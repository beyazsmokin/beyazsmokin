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BFTC" sheetId="2" state="visible" r:id="rId2"/>
    <sheet xmlns:r="http://schemas.openxmlformats.org/officeDocument/2006/relationships" name="Dönemsel BFTC" sheetId="3" state="visible" r:id="rId3"/>
    <sheet xmlns:r="http://schemas.openxmlformats.org/officeDocument/2006/relationships" name="Teknik Tarifler" sheetId="4" state="visible" r:id="rId4"/>
    <sheet xmlns:r="http://schemas.openxmlformats.org/officeDocument/2006/relationships" name="Fiyat Kaynakları" sheetId="5" state="visible" r:id="rId5"/>
    <sheet xmlns:r="http://schemas.openxmlformats.org/officeDocument/2006/relationships" name="Metraj Mahal Listesi" sheetId="6" state="visible" r:id="rId6"/>
    <sheet xmlns:r="http://schemas.openxmlformats.org/officeDocument/2006/relationships" name="Mevcut Mahal Listesi" sheetId="7" state="visible" r:id="rId7"/>
    <sheet xmlns:r="http://schemas.openxmlformats.org/officeDocument/2006/relationships" name="Pursantaj Keşif Analizi" sheetId="8" state="visible" r:id="rId8"/>
    <sheet xmlns:r="http://schemas.openxmlformats.org/officeDocument/2006/relationships" name="Grup Eşleme" sheetId="9" state="visible" r:id="rId9"/>
    <sheet xmlns:r="http://schemas.openxmlformats.org/officeDocument/2006/relationships" name="Açık Sorular" sheetId="10" state="visible" r:id="rId10"/>
    <sheet xmlns:r="http://schemas.openxmlformats.org/officeDocument/2006/relationships" name="Kazı Derinlik Analizi" sheetId="11" state="visible" r:id="rId11"/>
    <sheet xmlns:r="http://schemas.openxmlformats.org/officeDocument/2006/relationships" name="Yeterlilik" sheetId="12" state="visible" r:id="rId12"/>
    <sheet xmlns:r="http://schemas.openxmlformats.org/officeDocument/2006/relationships" name="Teknik" sheetId="13" state="visible" r:id="rId13"/>
    <sheet xmlns:r="http://schemas.openxmlformats.org/officeDocument/2006/relationships" name="Mali" sheetId="14" state="visible" r:id="rId14"/>
    <sheet xmlns:r="http://schemas.openxmlformats.org/officeDocument/2006/relationships" name="Riskler" sheetId="15" state="visible" r:id="rId15"/>
    <sheet xmlns:r="http://schemas.openxmlformats.org/officeDocument/2006/relationships" name="Kişisel Hesap" sheetId="16" state="visible" r:id="rId16"/>
    <sheet xmlns:r="http://schemas.openxmlformats.org/officeDocument/2006/relationships" name="Yapılacaklar" sheetId="17" state="visible" r:id="rId17"/>
    <sheet xmlns:r="http://schemas.openxmlformats.org/officeDocument/2006/relationships" name="_harita" sheetId="18" state="hidden" r:id="rId18"/>
  </sheets>
  <definedNames>
    <definedName name="PursUyum">'Özet'!$B$17</definedName>
    <definedName name="PursCiddi">'Özet'!$B$18</definedName>
    <definedName name="KaziEk">'Özet'!$B$19</definedName>
    <definedName name="HendekB">'Özet'!$B$20</definedName>
    <definedName name="IksaH">'Özet'!$B$21</definedName>
    <definedName name="YaklasikMaliyet">'Özet'!$B$10</definedName>
    <definedName name="_xlnm._FilterDatabase" localSheetId="1" hidden="1">'BFTC'!$A$4:$H$504</definedName>
    <definedName name="_xlnm.Print_Titles" localSheetId="1">'BFTC'!$4:$4</definedName>
    <definedName name="_xlnm._FilterDatabase" localSheetId="2" hidden="1">'Dönemsel BFTC'!$A$4:$W$504</definedName>
    <definedName name="_xlnm.Print_Titles" localSheetId="2">'Dönemsel BFTC'!$4:$4</definedName>
    <definedName name="_xlnm._FilterDatabase" localSheetId="3" hidden="1">'Teknik Tarifler'!$A$4:$C$504</definedName>
    <definedName name="_xlnm.Print_Titles" localSheetId="3">'Teknik Tarifler'!$4:$4</definedName>
    <definedName name="_xlnm._FilterDatabase" localSheetId="4" hidden="1">'Fiyat Kaynakları'!$A$4:$I$504</definedName>
    <definedName name="_xlnm.Print_Titles" localSheetId="4">'Fiyat Kaynakları'!$4:$4</definedName>
    <definedName name="_xlnm._FilterDatabase" localSheetId="5" hidden="1">'Metraj Mahal Listesi'!$A$4:$K$504</definedName>
    <definedName name="_xlnm.Print_Titles" localSheetId="5">'Metraj Mahal Listesi'!$4:$4</definedName>
    <definedName name="_xlnm._FilterDatabase" localSheetId="6" hidden="1">'Mevcut Mahal Listesi'!$A$4:$H$504</definedName>
    <definedName name="_xlnm.Print_Titles" localSheetId="6">'Mevcut Mahal Listesi'!$4:$4</definedName>
    <definedName name="_xlnm._FilterDatabase" localSheetId="7" hidden="1">'Pursantaj Keşif Analizi'!$A$4:$K$504</definedName>
    <definedName name="_xlnm.Print_Titles" localSheetId="7">'Pursantaj Keşif Analizi'!$4:$4</definedName>
    <definedName name="_xlnm._FilterDatabase" localSheetId="8" hidden="1">'Grup Eşleme'!$A$4:$H$504</definedName>
    <definedName name="_xlnm.Print_Titles" localSheetId="8">'Grup Eşleme'!$4:$4</definedName>
    <definedName name="_xlnm._FilterDatabase" localSheetId="9" hidden="1">'Açık Sorular'!$A$4:$F$504</definedName>
    <definedName name="_xlnm.Print_Titles" localSheetId="9">'Açık Sorular'!$4:$4</definedName>
    <definedName name="_xlnm._FilterDatabase" localSheetId="10" hidden="1">'Kazı Derinlik Analizi'!$A$4:$L$504</definedName>
    <definedName name="_xlnm.Print_Titles" localSheetId="10">'Kazı Derinlik Analizi'!$4:$4</definedName>
    <definedName name="_xlnm._FilterDatabase" localSheetId="11" hidden="1">'Yeterlilik'!$A$4:$E$504</definedName>
    <definedName name="_xlnm.Print_Titles" localSheetId="11">'Yeterlilik'!$4:$4</definedName>
    <definedName name="_xlnm._FilterDatabase" localSheetId="12" hidden="1">'Teknik'!$A$4:$E$504</definedName>
    <definedName name="_xlnm.Print_Titles" localSheetId="12">'Teknik'!$4:$4</definedName>
    <definedName name="_xlnm._FilterDatabase" localSheetId="13" hidden="1">'Mali'!$A$4:$E$504</definedName>
    <definedName name="_xlnm.Print_Titles" localSheetId="13">'Mali'!$4:$4</definedName>
    <definedName name="_xlnm._FilterDatabase" localSheetId="14" hidden="1">'Riskler'!$A$4:$E$504</definedName>
    <definedName name="_xlnm.Print_Titles" localSheetId="14">'Riskler'!$4:$4</definedName>
    <definedName name="_xlnm._FilterDatabase" localSheetId="15" hidden="1">'Kişisel Hesap'!$A$4:$J$504</definedName>
    <definedName name="_xlnm.Print_Titles" localSheetId="15">'Kişisel Hesap'!$4:$4</definedName>
    <definedName name="_xlnm._FilterDatabase" localSheetId="16" hidden="1">'Yapılacaklar'!$A$4:$E$504</definedName>
    <definedName name="_xlnm.Print_Titles" localSheetId="16">'Yapılacaklar'!$4:$4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dd.mm.yyyy"/>
    <numFmt numFmtId="166" formatCode="#,##0.000"/>
    <numFmt numFmtId="167" formatCode="#,##0.00;-#,##0.00;;@"/>
    <numFmt numFmtId="168" formatCode="0.0000"/>
    <numFmt numFmtId="169" formatCode="+0.0000;-0.0000;0"/>
    <numFmt numFmtId="170" formatCode="+0.0;-0.0;0"/>
    <numFmt numFmtId="171" formatCode="0.00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7085"/>
      <sz val="9"/>
    </font>
    <font>
      <b val="1"/>
      <color rgb="00163460"/>
      <sz val="11"/>
    </font>
    <font>
      <b val="1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63460"/>
      </patternFill>
    </fill>
    <fill>
      <patternFill patternType="solid">
        <fgColor rgb="00EEF1F6"/>
      </patternFill>
    </fill>
    <fill>
      <patternFill patternType="solid">
        <fgColor rgb="002B4C7E"/>
      </patternFill>
    </fill>
    <fill>
      <patternFill patternType="solid">
        <fgColor rgb="00F3E9D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 indent="1"/>
    </xf>
    <xf numFmtId="0" fontId="3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3" borderId="1" pivotButton="0" quotePrefix="0" xfId="0"/>
    <xf numFmtId="164" fontId="0" fillId="3" borderId="1" pivotButton="0" quotePrefix="0" xfId="0"/>
    <xf numFmtId="1" fontId="0" fillId="3" borderId="1" pivotButton="0" quotePrefix="0" xfId="0"/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4" fontId="4" fillId="5" borderId="1" pivotButton="0" quotePrefix="0" xfId="0"/>
    <xf numFmtId="0" fontId="6" fillId="4" borderId="1" applyAlignment="1" pivotButton="0" quotePrefix="0" xfId="0">
      <alignment horizontal="center" vertical="center" wrapText="1"/>
    </xf>
    <xf numFmtId="166" fontId="0" fillId="3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167" fontId="4" fillId="5" borderId="1" pivotButton="0" quotePrefix="0" xfId="0"/>
    <xf numFmtId="166" fontId="0" fillId="0" borderId="1" applyAlignment="1" pivotButton="0" quotePrefix="0" xfId="0">
      <alignment vertical="top"/>
    </xf>
    <xf numFmtId="167" fontId="0" fillId="3" borderId="1" applyAlignment="1" pivotButton="0" quotePrefix="0" xfId="0">
      <alignment vertical="top"/>
    </xf>
    <xf numFmtId="168" fontId="4" fillId="5" borderId="1" pivotButton="0" quotePrefix="0" xfId="0"/>
    <xf numFmtId="168" fontId="0" fillId="0" borderId="1" applyAlignment="1" pivotButton="0" quotePrefix="0" xfId="0">
      <alignment vertical="top"/>
    </xf>
    <xf numFmtId="168" fontId="0" fillId="3" borderId="1" applyAlignment="1" pivotButton="0" quotePrefix="0" xfId="0">
      <alignment vertical="top"/>
    </xf>
    <xf numFmtId="169" fontId="0" fillId="3" borderId="1" applyAlignment="1" pivotButton="0" quotePrefix="0" xfId="0">
      <alignment vertical="top"/>
    </xf>
    <xf numFmtId="17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1" fontId="0" fillId="3" borderId="1" applyAlignment="1" pivotButton="0" quotePrefix="0" xfId="0">
      <alignment vertical="top"/>
    </xf>
    <xf numFmtId="2" fontId="0" fillId="0" borderId="1" applyAlignment="1" pivotButton="0" quotePrefix="0" xfId="0">
      <alignment vertical="top"/>
    </xf>
    <xf numFmtId="2" fontId="0" fillId="3" borderId="1" applyAlignment="1" pivotButton="0" quotePrefix="0" xfId="0">
      <alignment vertical="top"/>
    </xf>
    <xf numFmtId="171" fontId="0" fillId="3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FCE8B2"/>
        </patternFill>
      </fill>
    </dxf>
    <dxf>
      <fill>
        <patternFill patternType="solid">
          <fgColor rgb="00F4C7C3"/>
        </patternFill>
      </fill>
    </dxf>
    <dxf>
      <fill>
        <patternFill patternType="solid">
          <fgColor rgb="00FCD9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8" customWidth="1" min="2" max="2"/>
    <col width="4" customWidth="1" min="3" max="3"/>
    <col width="30" customWidth="1" min="4" max="4"/>
    <col width="22" customWidth="1" min="5" max="5"/>
  </cols>
  <sheetData>
    <row r="1" ht="28" customHeight="1">
      <c r="A1" s="1" t="inlineStr">
        <is>
          <t>İHALE ANALİZ RAPORU · ANAHTAR TESLİM / GÖTÜRÜ BEDEL</t>
        </is>
      </c>
    </row>
    <row r="2" ht="30" customHeight="1">
      <c r="A2" s="2" t="inlineStr">
        <is>
          <t>Beyaz hücreler analizden doldurulur, gri hücreler hesaplanır. Karar ve gerekçe raporun ilk satırıdır.</t>
        </is>
      </c>
    </row>
    <row r="3">
      <c r="A3" s="3" t="inlineStr">
        <is>
          <t>İHALE BİLGİLERİ</t>
        </is>
      </c>
      <c r="D3" s="3" t="inlineStr">
        <is>
          <t>SONUÇ ÖZETİ</t>
        </is>
      </c>
    </row>
    <row r="4">
      <c r="A4" s="4" t="inlineStr">
        <is>
          <t>İhale Kayıt No (İKN)</t>
        </is>
      </c>
      <c r="B4" s="5" t="n"/>
      <c r="D4" s="4" t="inlineStr">
        <is>
          <t>Metraj toplamı</t>
        </is>
      </c>
      <c r="E4" s="6">
        <f>'Metraj Mahal Listesi'!K3</f>
        <v/>
      </c>
    </row>
    <row r="5">
      <c r="A5" s="4" t="inlineStr">
        <is>
          <t>İdare</t>
        </is>
      </c>
      <c r="B5" s="5" t="n"/>
      <c r="D5" s="4" t="inlineStr">
        <is>
          <t>Metraj / yaklaşık maliyet</t>
        </is>
      </c>
      <c r="E5" s="7">
        <f>IF(OR(YaklasikMaliyet="",'Metraj Mahal Listesi'!K3=0),"",'Metraj Mahal Listesi'!K3/YaklasikMaliyet)</f>
        <v/>
      </c>
    </row>
    <row r="6">
      <c r="A6" s="4" t="inlineStr">
        <is>
          <t>İşin Adı</t>
        </is>
      </c>
      <c r="B6" s="5" t="n"/>
      <c r="D6" s="4" t="inlineStr">
        <is>
          <t>BFTC toplamı</t>
        </is>
      </c>
      <c r="E6" s="6">
        <f>BFTC!G3</f>
        <v/>
      </c>
    </row>
    <row r="7">
      <c r="A7" s="4" t="inlineStr">
        <is>
          <t>İhale Usulü</t>
        </is>
      </c>
      <c r="B7" s="5" t="n"/>
      <c r="D7" s="4" t="inlineStr">
        <is>
          <t>Poz sayısı</t>
        </is>
      </c>
      <c r="E7" s="8">
        <f>COUNTA(BFTC!B5:B504)</f>
        <v/>
      </c>
    </row>
    <row r="8">
      <c r="A8" s="4" t="inlineStr">
        <is>
          <t>Teklif Türü</t>
        </is>
      </c>
      <c r="B8" s="5" t="n"/>
      <c r="D8" s="4" t="inlineStr">
        <is>
          <t>Metraj satırı</t>
        </is>
      </c>
      <c r="E8" s="8">
        <f>COUNTA('Metraj Mahal Listesi'!$C$5:$C$504)</f>
        <v/>
      </c>
    </row>
    <row r="9">
      <c r="A9" s="4" t="inlineStr">
        <is>
          <t>İhale Tarihi ve Saati</t>
        </is>
      </c>
      <c r="B9" s="5" t="n"/>
      <c r="D9" s="4" t="inlineStr">
        <is>
          <t>Miktarı girilmemiş satır</t>
        </is>
      </c>
      <c r="E9" s="8">
        <f>SUMPRODUCT(('Metraj Mahal Listesi'!$C$5:$C$504&lt;&gt;"")*(LEFT('Metraj Mahal Listesi'!$C$5:$C$504,1)&lt;&gt;"—")*('Metraj Mahal Listesi'!$F$5:$F$504=""))</f>
        <v/>
      </c>
    </row>
    <row r="10">
      <c r="A10" s="4" t="inlineStr">
        <is>
          <t>Yaklaşık Maliyet</t>
        </is>
      </c>
      <c r="B10" s="9" t="n"/>
      <c r="D10" s="4" t="inlineStr">
        <is>
          <t>Fiyatı olmayan satır</t>
        </is>
      </c>
      <c r="E10" s="8">
        <f>SUMPRODUCT(('Metraj Mahal Listesi'!$F$5:$F$504&lt;&gt;"")*(LEFT('Metraj Mahal Listesi'!$C$5:$C$504,1)&lt;&gt;"—")*('Metraj Mahal Listesi'!$J$5:$J$504=0))</f>
        <v/>
      </c>
    </row>
    <row r="11">
      <c r="A11" s="4" t="inlineStr">
        <is>
          <t>Geçici Teminat Oranı</t>
        </is>
      </c>
      <c r="B11" s="10" t="n"/>
      <c r="D11" s="4" t="inlineStr">
        <is>
          <t>BEKLİYOR işaretli satır</t>
        </is>
      </c>
      <c r="E11" s="8">
        <f>COUNTIF('Metraj Mahal Listesi'!$I$5:$I$504,"*BEKLİYOR*")</f>
        <v/>
      </c>
    </row>
    <row r="12">
      <c r="A12" s="4" t="inlineStr">
        <is>
          <t>Geçici Teminat Tutarı</t>
        </is>
      </c>
      <c r="B12" s="11">
        <f>IF(OR(B10="",B11=""),"",B10*B11)</f>
        <v/>
      </c>
      <c r="D12" s="4" t="inlineStr">
        <is>
          <t>Pursantajla eşlenmemiş tutar</t>
        </is>
      </c>
      <c r="E12" s="6">
        <f>IF('Metraj Mahal Listesi'!K3=0,"",'Metraj Mahal Listesi'!K3-'Pursantaj Keşif Analizi'!E3)</f>
        <v/>
      </c>
    </row>
    <row r="13">
      <c r="A13" s="4" t="inlineStr">
        <is>
          <t>İşin Süresi</t>
        </is>
      </c>
      <c r="B13" s="5" t="n"/>
      <c r="D13" s="4" t="inlineStr">
        <is>
          <t>Pursantaj ✗ ciddi fark</t>
        </is>
      </c>
      <c r="E13" s="8">
        <f>COUNTIF('Pursantaj Keşif Analizi'!I5:I504,"✗*")</f>
        <v/>
      </c>
    </row>
    <row r="14">
      <c r="A14" s="4" t="inlineStr">
        <is>
          <t>İşin Yeri</t>
        </is>
      </c>
      <c r="B14" s="5" t="n"/>
      <c r="D14" s="4" t="inlineStr">
        <is>
          <t>Pursantaj ⚠ dikkat</t>
        </is>
      </c>
      <c r="E14" s="8">
        <f>COUNTIF('Pursantaj Keşif Analizi'!I5:I504,"⚠*")</f>
        <v/>
      </c>
    </row>
    <row r="15">
      <c r="A15" s="4" t="inlineStr">
        <is>
          <t>Karar</t>
        </is>
      </c>
      <c r="B15" s="12" t="n"/>
      <c r="D15" s="4" t="inlineStr">
        <is>
          <t>Açık soru (cevaplanmamış)</t>
        </is>
      </c>
      <c r="E15" s="8">
        <f>COUNTA('Açık Sorular'!C5:C504)-COUNTIF('Açık Sorular'!E5:E504,"CEVAPLAND*")</f>
        <v/>
      </c>
    </row>
    <row r="16">
      <c r="A16" s="4" t="inlineStr">
        <is>
          <t>Karar Gerekçesi</t>
        </is>
      </c>
      <c r="B16" s="5" t="n"/>
      <c r="D16" s="4" t="inlineStr">
        <is>
          <t>Yüksek risk</t>
        </is>
      </c>
      <c r="E16" s="8">
        <f>COUNTIF(Riskler!D5:D504,"Yüksek")</f>
        <v/>
      </c>
    </row>
    <row r="17">
      <c r="A17" s="4" t="inlineStr">
        <is>
          <t>Pursantaj ✔ eşiği (puan)</t>
        </is>
      </c>
      <c r="B17" s="13" t="n">
        <v>1</v>
      </c>
      <c r="D17" s="4" t="inlineStr">
        <is>
          <t>Eksik yeterlilik</t>
        </is>
      </c>
      <c r="E17" s="8">
        <f>COUNTIF(Yeterlilik!D5:D504,"Eksik")</f>
        <v/>
      </c>
    </row>
    <row r="18">
      <c r="A18" s="4" t="inlineStr">
        <is>
          <t>Pursantaj ✗ eşiği (puan)</t>
        </is>
      </c>
      <c r="B18" s="13" t="n">
        <v>2.5</v>
      </c>
      <c r="D18" s="4" t="inlineStr">
        <is>
          <t>Sistem tahmini (kişisel hesap)</t>
        </is>
      </c>
      <c r="E18" s="6">
        <f>'Kişisel Hesap'!G3</f>
        <v/>
      </c>
    </row>
    <row r="19">
      <c r="A19" s="4" t="inlineStr">
        <is>
          <t>Kazı ek derinliği (m)</t>
        </is>
      </c>
      <c r="B19" s="13" t="n">
        <v>0.1</v>
      </c>
      <c r="D19" s="4" t="inlineStr">
        <is>
          <t>Sizin yönteminizle</t>
        </is>
      </c>
      <c r="E19" s="6">
        <f>'Kişisel Hesap'!H3</f>
        <v/>
      </c>
    </row>
    <row r="20">
      <c r="A20" s="4" t="inlineStr">
        <is>
          <t>Hendek genişliği (m)</t>
        </is>
      </c>
      <c r="B20" s="13" t="n">
        <v>1</v>
      </c>
    </row>
    <row r="21">
      <c r="A21" s="4" t="inlineStr">
        <is>
          <t>İksa derinlik eşiği (m)</t>
        </is>
      </c>
      <c r="B21" s="13" t="n">
        <v>1.5</v>
      </c>
    </row>
    <row r="22">
      <c r="A22" s="4" t="inlineStr">
        <is>
          <t>Analiz Tarihi</t>
        </is>
      </c>
      <c r="B22" s="14" t="n"/>
    </row>
  </sheetData>
  <mergeCells count="2">
    <mergeCell ref="A2:E2"/>
    <mergeCell ref="A1:E1"/>
  </mergeCells>
  <conditionalFormatting sqref="B15">
    <cfRule type="cellIs" priority="1" operator="equal" dxfId="0">
      <formula>"Katıl"</formula>
    </cfRule>
    <cfRule type="cellIs" priority="2" operator="equal" dxfId="1">
      <formula>"Şartlı katıl"</formula>
    </cfRule>
    <cfRule type="cellIs" priority="3" operator="equal" dxfId="2">
      <formula>"Katılma"</formula>
    </cfRule>
  </conditionalFormatting>
  <dataValidations count="1">
    <dataValidation sqref="B15" showDropDown="0" showInputMessage="0" showErrorMessage="0" allowBlank="1" type="list">
      <formula1>"Katıl,Şartlı katıl,Katılma"</formula1>
    </dataValidation>
  </dataValidation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50" customWidth="1" min="3" max="3"/>
    <col width="8" customWidth="1" min="4" max="4"/>
    <col width="14" customWidth="1" min="5" max="5"/>
    <col width="14" customWidth="1" min="6" max="6"/>
    <col width="17" customWidth="1" min="7" max="7"/>
    <col width="34" customWidth="1" min="8" max="8"/>
  </cols>
  <sheetData>
    <row r="1" ht="28" customHeight="1">
      <c r="A1" s="1" t="inlineStr">
        <is>
          <t>BİRİM FİYAT TEKLİF CETVELİ (KENDİ HESABIMIZ)</t>
        </is>
      </c>
    </row>
    <row r="2" ht="30" customHeight="1">
      <c r="A2" s="2" t="inlineStr">
        <is>
          <t>Miktar elle girilmez: Metraj Mahal Listesi'ndeki aynı pozların toplamıdır (Durum'u KAPSAM DIŞI / DAHİL DEĞİL ile başlayanlar hariç). Birim fiyatın kaynağı Fiyat Kaynakları sayfasındadır.</t>
        </is>
      </c>
    </row>
    <row r="3">
      <c r="A3" s="15" t="inlineStr">
        <is>
          <t>TOPLAM</t>
        </is>
      </c>
      <c r="B3" s="16" t="n"/>
      <c r="C3" s="16" t="n"/>
      <c r="D3" s="16" t="n"/>
      <c r="E3" s="16" t="n"/>
      <c r="F3" s="16" t="n"/>
      <c r="G3" s="17">
        <f>SUM(G5:G504)</f>
        <v/>
      </c>
      <c r="H3" s="16" t="n"/>
    </row>
    <row r="4" ht="32" customHeight="1">
      <c r="A4" s="18" t="inlineStr">
        <is>
          <t>Sıra No</t>
        </is>
      </c>
      <c r="B4" s="18" t="inlineStr">
        <is>
          <t>Poz No</t>
        </is>
      </c>
      <c r="C4" s="18" t="inlineStr">
        <is>
          <t>İmalatın Cinsi</t>
        </is>
      </c>
      <c r="D4" s="18" t="inlineStr">
        <is>
          <t>Birim</t>
        </is>
      </c>
      <c r="E4" s="18" t="inlineStr">
        <is>
          <t>Miktar</t>
        </is>
      </c>
      <c r="F4" s="18" t="inlineStr">
        <is>
          <t>Birim Fiyat</t>
        </is>
      </c>
      <c r="G4" s="18" t="inlineStr">
        <is>
          <t>Tutar</t>
        </is>
      </c>
      <c r="H4" s="18" t="inlineStr">
        <is>
          <t>Not</t>
        </is>
      </c>
    </row>
    <row r="5">
      <c r="A5" s="5" t="n"/>
      <c r="B5" s="5" t="n"/>
      <c r="C5" s="5" t="n"/>
      <c r="D5" s="5" t="n"/>
      <c r="E5" s="19">
        <f>IF(B5="","",SUMIFS('Metraj Mahal Listesi'!$F$5:$F$504,'Metraj Mahal Listesi'!$C$5:$C$504,B5,'Metraj Mahal Listesi'!$I$5:$I$504,"&lt;&gt;KAPSAM DIŞI*",'Metraj Mahal Listesi'!$I$5:$I$504,"&lt;&gt;DAHİL DEĞİL*"))</f>
        <v/>
      </c>
      <c r="F5" s="20" t="n"/>
      <c r="G5" s="21">
        <f>IF(OR(E5="",F5=""),"",E5*F5)</f>
        <v/>
      </c>
      <c r="H5" s="5" t="n"/>
    </row>
    <row r="6">
      <c r="A6" s="5" t="n"/>
      <c r="B6" s="5" t="n"/>
      <c r="C6" s="5" t="n"/>
      <c r="D6" s="5" t="n"/>
      <c r="E6" s="19">
        <f>IF(B6="","",SUMIFS('Metraj Mahal Listesi'!$F$5:$F$504,'Metraj Mahal Listesi'!$C$5:$C$504,B6,'Metraj Mahal Listesi'!$I$5:$I$504,"&lt;&gt;KAPSAM DIŞI*",'Metraj Mahal Listesi'!$I$5:$I$504,"&lt;&gt;DAHİL DEĞİL*"))</f>
        <v/>
      </c>
      <c r="F6" s="20" t="n"/>
      <c r="G6" s="21">
        <f>IF(OR(E6="",F6=""),"",E6*F6)</f>
        <v/>
      </c>
      <c r="H6" s="5" t="n"/>
    </row>
    <row r="7">
      <c r="A7" s="5" t="n"/>
      <c r="B7" s="5" t="n"/>
      <c r="C7" s="5" t="n"/>
      <c r="D7" s="5" t="n"/>
      <c r="E7" s="19">
        <f>IF(B7="","",SUMIFS('Metraj Mahal Listesi'!$F$5:$F$504,'Metraj Mahal Listesi'!$C$5:$C$504,B7,'Metraj Mahal Listesi'!$I$5:$I$504,"&lt;&gt;KAPSAM DIŞI*",'Metraj Mahal Listesi'!$I$5:$I$504,"&lt;&gt;DAHİL DEĞİL*"))</f>
        <v/>
      </c>
      <c r="F7" s="20" t="n"/>
      <c r="G7" s="21">
        <f>IF(OR(E7="",F7=""),"",E7*F7)</f>
        <v/>
      </c>
      <c r="H7" s="5" t="n"/>
    </row>
    <row r="8">
      <c r="A8" s="5" t="n"/>
      <c r="B8" s="5" t="n"/>
      <c r="C8" s="5" t="n"/>
      <c r="D8" s="5" t="n"/>
      <c r="E8" s="19">
        <f>IF(B8="","",SUMIFS('Metraj Mahal Listesi'!$F$5:$F$504,'Metraj Mahal Listesi'!$C$5:$C$504,B8,'Metraj Mahal Listesi'!$I$5:$I$504,"&lt;&gt;KAPSAM DIŞI*",'Metraj Mahal Listesi'!$I$5:$I$504,"&lt;&gt;DAHİL DEĞİL*"))</f>
        <v/>
      </c>
      <c r="F8" s="20" t="n"/>
      <c r="G8" s="21">
        <f>IF(OR(E8="",F8=""),"",E8*F8)</f>
        <v/>
      </c>
      <c r="H8" s="5" t="n"/>
    </row>
    <row r="9">
      <c r="A9" s="5" t="n"/>
      <c r="B9" s="5" t="n"/>
      <c r="C9" s="5" t="n"/>
      <c r="D9" s="5" t="n"/>
      <c r="E9" s="19">
        <f>IF(B9="","",SUMIFS('Metraj Mahal Listesi'!$F$5:$F$504,'Metraj Mahal Listesi'!$C$5:$C$504,B9,'Metraj Mahal Listesi'!$I$5:$I$504,"&lt;&gt;KAPSAM DIŞI*",'Metraj Mahal Listesi'!$I$5:$I$504,"&lt;&gt;DAHİL DEĞİL*"))</f>
        <v/>
      </c>
      <c r="F9" s="20" t="n"/>
      <c r="G9" s="21">
        <f>IF(OR(E9="",F9=""),"",E9*F9)</f>
        <v/>
      </c>
      <c r="H9" s="5" t="n"/>
    </row>
    <row r="10">
      <c r="A10" s="5" t="n"/>
      <c r="B10" s="5" t="n"/>
      <c r="C10" s="5" t="n"/>
      <c r="D10" s="5" t="n"/>
      <c r="E10" s="19">
        <f>IF(B10="","",SUMIFS('Metraj Mahal Listesi'!$F$5:$F$504,'Metraj Mahal Listesi'!$C$5:$C$504,B10,'Metraj Mahal Listesi'!$I$5:$I$504,"&lt;&gt;KAPSAM DIŞI*",'Metraj Mahal Listesi'!$I$5:$I$504,"&lt;&gt;DAHİL DEĞİL*"))</f>
        <v/>
      </c>
      <c r="F10" s="20" t="n"/>
      <c r="G10" s="21">
        <f>IF(OR(E10="",F10=""),"",E10*F10)</f>
        <v/>
      </c>
      <c r="H10" s="5" t="n"/>
    </row>
    <row r="11">
      <c r="A11" s="5" t="n"/>
      <c r="B11" s="5" t="n"/>
      <c r="C11" s="5" t="n"/>
      <c r="D11" s="5" t="n"/>
      <c r="E11" s="19">
        <f>IF(B11="","",SUMIFS('Metraj Mahal Listesi'!$F$5:$F$504,'Metraj Mahal Listesi'!$C$5:$C$504,B11,'Metraj Mahal Listesi'!$I$5:$I$504,"&lt;&gt;KAPSAM DIŞI*",'Metraj Mahal Listesi'!$I$5:$I$504,"&lt;&gt;DAHİL DEĞİL*"))</f>
        <v/>
      </c>
      <c r="F11" s="20" t="n"/>
      <c r="G11" s="21">
        <f>IF(OR(E11="",F11=""),"",E11*F11)</f>
        <v/>
      </c>
      <c r="H11" s="5" t="n"/>
    </row>
    <row r="12">
      <c r="A12" s="5" t="n"/>
      <c r="B12" s="5" t="n"/>
      <c r="C12" s="5" t="n"/>
      <c r="D12" s="5" t="n"/>
      <c r="E12" s="19">
        <f>IF(B12="","",SUMIFS('Metraj Mahal Listesi'!$F$5:$F$504,'Metraj Mahal Listesi'!$C$5:$C$504,B12,'Metraj Mahal Listesi'!$I$5:$I$504,"&lt;&gt;KAPSAM DIŞI*",'Metraj Mahal Listesi'!$I$5:$I$504,"&lt;&gt;DAHİL DEĞİL*"))</f>
        <v/>
      </c>
      <c r="F12" s="20" t="n"/>
      <c r="G12" s="21">
        <f>IF(OR(E12="",F12=""),"",E12*F12)</f>
        <v/>
      </c>
      <c r="H12" s="5" t="n"/>
    </row>
    <row r="13">
      <c r="A13" s="5" t="n"/>
      <c r="B13" s="5" t="n"/>
      <c r="C13" s="5" t="n"/>
      <c r="D13" s="5" t="n"/>
      <c r="E13" s="19">
        <f>IF(B13="","",SUMIFS('Metraj Mahal Listesi'!$F$5:$F$504,'Metraj Mahal Listesi'!$C$5:$C$504,B13,'Metraj Mahal Listesi'!$I$5:$I$504,"&lt;&gt;KAPSAM DIŞI*",'Metraj Mahal Listesi'!$I$5:$I$504,"&lt;&gt;DAHİL DEĞİL*"))</f>
        <v/>
      </c>
      <c r="F13" s="20" t="n"/>
      <c r="G13" s="21">
        <f>IF(OR(E13="",F13=""),"",E13*F13)</f>
        <v/>
      </c>
      <c r="H13" s="5" t="n"/>
    </row>
    <row r="14">
      <c r="A14" s="5" t="n"/>
      <c r="B14" s="5" t="n"/>
      <c r="C14" s="5" t="n"/>
      <c r="D14" s="5" t="n"/>
      <c r="E14" s="19">
        <f>IF(B14="","",SUMIFS('Metraj Mahal Listesi'!$F$5:$F$504,'Metraj Mahal Listesi'!$C$5:$C$504,B14,'Metraj Mahal Listesi'!$I$5:$I$504,"&lt;&gt;KAPSAM DIŞI*",'Metraj Mahal Listesi'!$I$5:$I$504,"&lt;&gt;DAHİL DEĞİL*"))</f>
        <v/>
      </c>
      <c r="F14" s="20" t="n"/>
      <c r="G14" s="21">
        <f>IF(OR(E14="",F14=""),"",E14*F14)</f>
        <v/>
      </c>
      <c r="H14" s="5" t="n"/>
    </row>
    <row r="15">
      <c r="A15" s="5" t="n"/>
      <c r="B15" s="5" t="n"/>
      <c r="C15" s="5" t="n"/>
      <c r="D15" s="5" t="n"/>
      <c r="E15" s="19">
        <f>IF(B15="","",SUMIFS('Metraj Mahal Listesi'!$F$5:$F$504,'Metraj Mahal Listesi'!$C$5:$C$504,B15,'Metraj Mahal Listesi'!$I$5:$I$504,"&lt;&gt;KAPSAM DIŞI*",'Metraj Mahal Listesi'!$I$5:$I$504,"&lt;&gt;DAHİL DEĞİL*"))</f>
        <v/>
      </c>
      <c r="F15" s="20" t="n"/>
      <c r="G15" s="21">
        <f>IF(OR(E15="",F15=""),"",E15*F15)</f>
        <v/>
      </c>
      <c r="H15" s="5" t="n"/>
    </row>
    <row r="16">
      <c r="A16" s="5" t="n"/>
      <c r="B16" s="5" t="n"/>
      <c r="C16" s="5" t="n"/>
      <c r="D16" s="5" t="n"/>
      <c r="E16" s="19">
        <f>IF(B16="","",SUMIFS('Metraj Mahal Listesi'!$F$5:$F$504,'Metraj Mahal Listesi'!$C$5:$C$504,B16,'Metraj Mahal Listesi'!$I$5:$I$504,"&lt;&gt;KAPSAM DIŞI*",'Metraj Mahal Listesi'!$I$5:$I$504,"&lt;&gt;DAHİL DEĞİL*"))</f>
        <v/>
      </c>
      <c r="F16" s="20" t="n"/>
      <c r="G16" s="21">
        <f>IF(OR(E16="",F16=""),"",E16*F16)</f>
        <v/>
      </c>
      <c r="H16" s="5" t="n"/>
    </row>
    <row r="17">
      <c r="A17" s="5" t="n"/>
      <c r="B17" s="5" t="n"/>
      <c r="C17" s="5" t="n"/>
      <c r="D17" s="5" t="n"/>
      <c r="E17" s="19">
        <f>IF(B17="","",SUMIFS('Metraj Mahal Listesi'!$F$5:$F$504,'Metraj Mahal Listesi'!$C$5:$C$504,B17,'Metraj Mahal Listesi'!$I$5:$I$504,"&lt;&gt;KAPSAM DIŞI*",'Metraj Mahal Listesi'!$I$5:$I$504,"&lt;&gt;DAHİL DEĞİL*"))</f>
        <v/>
      </c>
      <c r="F17" s="20" t="n"/>
      <c r="G17" s="21">
        <f>IF(OR(E17="",F17=""),"",E17*F17)</f>
        <v/>
      </c>
      <c r="H17" s="5" t="n"/>
    </row>
    <row r="18">
      <c r="A18" s="5" t="n"/>
      <c r="B18" s="5" t="n"/>
      <c r="C18" s="5" t="n"/>
      <c r="D18" s="5" t="n"/>
      <c r="E18" s="19">
        <f>IF(B18="","",SUMIFS('Metraj Mahal Listesi'!$F$5:$F$504,'Metraj Mahal Listesi'!$C$5:$C$504,B18,'Metraj Mahal Listesi'!$I$5:$I$504,"&lt;&gt;KAPSAM DIŞI*",'Metraj Mahal Listesi'!$I$5:$I$504,"&lt;&gt;DAHİL DEĞİL*"))</f>
        <v/>
      </c>
      <c r="F18" s="20" t="n"/>
      <c r="G18" s="21">
        <f>IF(OR(E18="",F18=""),"",E18*F18)</f>
        <v/>
      </c>
      <c r="H18" s="5" t="n"/>
    </row>
    <row r="19">
      <c r="A19" s="5" t="n"/>
      <c r="B19" s="5" t="n"/>
      <c r="C19" s="5" t="n"/>
      <c r="D19" s="5" t="n"/>
      <c r="E19" s="19">
        <f>IF(B19="","",SUMIFS('Metraj Mahal Listesi'!$F$5:$F$504,'Metraj Mahal Listesi'!$C$5:$C$504,B19,'Metraj Mahal Listesi'!$I$5:$I$504,"&lt;&gt;KAPSAM DIŞI*",'Metraj Mahal Listesi'!$I$5:$I$504,"&lt;&gt;DAHİL DEĞİL*"))</f>
        <v/>
      </c>
      <c r="F19" s="20" t="n"/>
      <c r="G19" s="21">
        <f>IF(OR(E19="",F19=""),"",E19*F19)</f>
        <v/>
      </c>
      <c r="H19" s="5" t="n"/>
    </row>
    <row r="20">
      <c r="A20" s="5" t="n"/>
      <c r="B20" s="5" t="n"/>
      <c r="C20" s="5" t="n"/>
      <c r="D20" s="5" t="n"/>
      <c r="E20" s="19">
        <f>IF(B20="","",SUMIFS('Metraj Mahal Listesi'!$F$5:$F$504,'Metraj Mahal Listesi'!$C$5:$C$504,B20,'Metraj Mahal Listesi'!$I$5:$I$504,"&lt;&gt;KAPSAM DIŞI*",'Metraj Mahal Listesi'!$I$5:$I$504,"&lt;&gt;DAHİL DEĞİL*"))</f>
        <v/>
      </c>
      <c r="F20" s="20" t="n"/>
      <c r="G20" s="21">
        <f>IF(OR(E20="",F20=""),"",E20*F20)</f>
        <v/>
      </c>
      <c r="H20" s="5" t="n"/>
    </row>
    <row r="21">
      <c r="A21" s="5" t="n"/>
      <c r="B21" s="5" t="n"/>
      <c r="C21" s="5" t="n"/>
      <c r="D21" s="5" t="n"/>
      <c r="E21" s="19">
        <f>IF(B21="","",SUMIFS('Metraj Mahal Listesi'!$F$5:$F$504,'Metraj Mahal Listesi'!$C$5:$C$504,B21,'Metraj Mahal Listesi'!$I$5:$I$504,"&lt;&gt;KAPSAM DIŞI*",'Metraj Mahal Listesi'!$I$5:$I$504,"&lt;&gt;DAHİL DEĞİL*"))</f>
        <v/>
      </c>
      <c r="F21" s="20" t="n"/>
      <c r="G21" s="21">
        <f>IF(OR(E21="",F21=""),"",E21*F21)</f>
        <v/>
      </c>
      <c r="H21" s="5" t="n"/>
    </row>
    <row r="22">
      <c r="A22" s="5" t="n"/>
      <c r="B22" s="5" t="n"/>
      <c r="C22" s="5" t="n"/>
      <c r="D22" s="5" t="n"/>
      <c r="E22" s="19">
        <f>IF(B22="","",SUMIFS('Metraj Mahal Listesi'!$F$5:$F$504,'Metraj Mahal Listesi'!$C$5:$C$504,B22,'Metraj Mahal Listesi'!$I$5:$I$504,"&lt;&gt;KAPSAM DIŞI*",'Metraj Mahal Listesi'!$I$5:$I$504,"&lt;&gt;DAHİL DEĞİL*"))</f>
        <v/>
      </c>
      <c r="F22" s="20" t="n"/>
      <c r="G22" s="21">
        <f>IF(OR(E22="",F22=""),"",E22*F22)</f>
        <v/>
      </c>
      <c r="H22" s="5" t="n"/>
    </row>
    <row r="23">
      <c r="A23" s="5" t="n"/>
      <c r="B23" s="5" t="n"/>
      <c r="C23" s="5" t="n"/>
      <c r="D23" s="5" t="n"/>
      <c r="E23" s="19">
        <f>IF(B23="","",SUMIFS('Metraj Mahal Listesi'!$F$5:$F$504,'Metraj Mahal Listesi'!$C$5:$C$504,B23,'Metraj Mahal Listesi'!$I$5:$I$504,"&lt;&gt;KAPSAM DIŞI*",'Metraj Mahal Listesi'!$I$5:$I$504,"&lt;&gt;DAHİL DEĞİL*"))</f>
        <v/>
      </c>
      <c r="F23" s="20" t="n"/>
      <c r="G23" s="21">
        <f>IF(OR(E23="",F23=""),"",E23*F23)</f>
        <v/>
      </c>
      <c r="H23" s="5" t="n"/>
    </row>
    <row r="24">
      <c r="A24" s="5" t="n"/>
      <c r="B24" s="5" t="n"/>
      <c r="C24" s="5" t="n"/>
      <c r="D24" s="5" t="n"/>
      <c r="E24" s="19">
        <f>IF(B24="","",SUMIFS('Metraj Mahal Listesi'!$F$5:$F$504,'Metraj Mahal Listesi'!$C$5:$C$504,B24,'Metraj Mahal Listesi'!$I$5:$I$504,"&lt;&gt;KAPSAM DIŞI*",'Metraj Mahal Listesi'!$I$5:$I$504,"&lt;&gt;DAHİL DEĞİL*"))</f>
        <v/>
      </c>
      <c r="F24" s="20" t="n"/>
      <c r="G24" s="21">
        <f>IF(OR(E24="",F24=""),"",E24*F24)</f>
        <v/>
      </c>
      <c r="H24" s="5" t="n"/>
    </row>
    <row r="25">
      <c r="A25" s="5" t="n"/>
      <c r="B25" s="5" t="n"/>
      <c r="C25" s="5" t="n"/>
      <c r="D25" s="5" t="n"/>
      <c r="E25" s="19">
        <f>IF(B25="","",SUMIFS('Metraj Mahal Listesi'!$F$5:$F$504,'Metraj Mahal Listesi'!$C$5:$C$504,B25,'Metraj Mahal Listesi'!$I$5:$I$504,"&lt;&gt;KAPSAM DIŞI*",'Metraj Mahal Listesi'!$I$5:$I$504,"&lt;&gt;DAHİL DEĞİL*"))</f>
        <v/>
      </c>
      <c r="F25" s="20" t="n"/>
      <c r="G25" s="21">
        <f>IF(OR(E25="",F25=""),"",E25*F25)</f>
        <v/>
      </c>
      <c r="H25" s="5" t="n"/>
    </row>
    <row r="26">
      <c r="A26" s="5" t="n"/>
      <c r="B26" s="5" t="n"/>
      <c r="C26" s="5" t="n"/>
      <c r="D26" s="5" t="n"/>
      <c r="E26" s="19">
        <f>IF(B26="","",SUMIFS('Metraj Mahal Listesi'!$F$5:$F$504,'Metraj Mahal Listesi'!$C$5:$C$504,B26,'Metraj Mahal Listesi'!$I$5:$I$504,"&lt;&gt;KAPSAM DIŞI*",'Metraj Mahal Listesi'!$I$5:$I$504,"&lt;&gt;DAHİL DEĞİL*"))</f>
        <v/>
      </c>
      <c r="F26" s="20" t="n"/>
      <c r="G26" s="21">
        <f>IF(OR(E26="",F26=""),"",E26*F26)</f>
        <v/>
      </c>
      <c r="H26" s="5" t="n"/>
    </row>
    <row r="27">
      <c r="A27" s="5" t="n"/>
      <c r="B27" s="5" t="n"/>
      <c r="C27" s="5" t="n"/>
      <c r="D27" s="5" t="n"/>
      <c r="E27" s="19">
        <f>IF(B27="","",SUMIFS('Metraj Mahal Listesi'!$F$5:$F$504,'Metraj Mahal Listesi'!$C$5:$C$504,B27,'Metraj Mahal Listesi'!$I$5:$I$504,"&lt;&gt;KAPSAM DIŞI*",'Metraj Mahal Listesi'!$I$5:$I$504,"&lt;&gt;DAHİL DEĞİL*"))</f>
        <v/>
      </c>
      <c r="F27" s="20" t="n"/>
      <c r="G27" s="21">
        <f>IF(OR(E27="",F27=""),"",E27*F27)</f>
        <v/>
      </c>
      <c r="H27" s="5" t="n"/>
    </row>
    <row r="28">
      <c r="A28" s="5" t="n"/>
      <c r="B28" s="5" t="n"/>
      <c r="C28" s="5" t="n"/>
      <c r="D28" s="5" t="n"/>
      <c r="E28" s="19">
        <f>IF(B28="","",SUMIFS('Metraj Mahal Listesi'!$F$5:$F$504,'Metraj Mahal Listesi'!$C$5:$C$504,B28,'Metraj Mahal Listesi'!$I$5:$I$504,"&lt;&gt;KAPSAM DIŞI*",'Metraj Mahal Listesi'!$I$5:$I$504,"&lt;&gt;DAHİL DEĞİL*"))</f>
        <v/>
      </c>
      <c r="F28" s="20" t="n"/>
      <c r="G28" s="21">
        <f>IF(OR(E28="",F28=""),"",E28*F28)</f>
        <v/>
      </c>
      <c r="H28" s="5" t="n"/>
    </row>
    <row r="29">
      <c r="A29" s="5" t="n"/>
      <c r="B29" s="5" t="n"/>
      <c r="C29" s="5" t="n"/>
      <c r="D29" s="5" t="n"/>
      <c r="E29" s="19">
        <f>IF(B29="","",SUMIFS('Metraj Mahal Listesi'!$F$5:$F$504,'Metraj Mahal Listesi'!$C$5:$C$504,B29,'Metraj Mahal Listesi'!$I$5:$I$504,"&lt;&gt;KAPSAM DIŞI*",'Metraj Mahal Listesi'!$I$5:$I$504,"&lt;&gt;DAHİL DEĞİL*"))</f>
        <v/>
      </c>
      <c r="F29" s="20" t="n"/>
      <c r="G29" s="21">
        <f>IF(OR(E29="",F29=""),"",E29*F29)</f>
        <v/>
      </c>
      <c r="H29" s="5" t="n"/>
    </row>
    <row r="30">
      <c r="A30" s="5" t="n"/>
      <c r="B30" s="5" t="n"/>
      <c r="C30" s="5" t="n"/>
      <c r="D30" s="5" t="n"/>
      <c r="E30" s="19">
        <f>IF(B30="","",SUMIFS('Metraj Mahal Listesi'!$F$5:$F$504,'Metraj Mahal Listesi'!$C$5:$C$504,B30,'Metraj Mahal Listesi'!$I$5:$I$504,"&lt;&gt;KAPSAM DIŞI*",'Metraj Mahal Listesi'!$I$5:$I$504,"&lt;&gt;DAHİL DEĞİL*"))</f>
        <v/>
      </c>
      <c r="F30" s="20" t="n"/>
      <c r="G30" s="21">
        <f>IF(OR(E30="",F30=""),"",E30*F30)</f>
        <v/>
      </c>
      <c r="H30" s="5" t="n"/>
    </row>
    <row r="31">
      <c r="A31" s="5" t="n"/>
      <c r="B31" s="5" t="n"/>
      <c r="C31" s="5" t="n"/>
      <c r="D31" s="5" t="n"/>
      <c r="E31" s="19">
        <f>IF(B31="","",SUMIFS('Metraj Mahal Listesi'!$F$5:$F$504,'Metraj Mahal Listesi'!$C$5:$C$504,B31,'Metraj Mahal Listesi'!$I$5:$I$504,"&lt;&gt;KAPSAM DIŞI*",'Metraj Mahal Listesi'!$I$5:$I$504,"&lt;&gt;DAHİL DEĞİL*"))</f>
        <v/>
      </c>
      <c r="F31" s="20" t="n"/>
      <c r="G31" s="21">
        <f>IF(OR(E31="",F31=""),"",E31*F31)</f>
        <v/>
      </c>
      <c r="H31" s="5" t="n"/>
    </row>
    <row r="32">
      <c r="A32" s="5" t="n"/>
      <c r="B32" s="5" t="n"/>
      <c r="C32" s="5" t="n"/>
      <c r="D32" s="5" t="n"/>
      <c r="E32" s="19">
        <f>IF(B32="","",SUMIFS('Metraj Mahal Listesi'!$F$5:$F$504,'Metraj Mahal Listesi'!$C$5:$C$504,B32,'Metraj Mahal Listesi'!$I$5:$I$504,"&lt;&gt;KAPSAM DIŞI*",'Metraj Mahal Listesi'!$I$5:$I$504,"&lt;&gt;DAHİL DEĞİL*"))</f>
        <v/>
      </c>
      <c r="F32" s="20" t="n"/>
      <c r="G32" s="21">
        <f>IF(OR(E32="",F32=""),"",E32*F32)</f>
        <v/>
      </c>
      <c r="H32" s="5" t="n"/>
    </row>
    <row r="33">
      <c r="A33" s="5" t="n"/>
      <c r="B33" s="5" t="n"/>
      <c r="C33" s="5" t="n"/>
      <c r="D33" s="5" t="n"/>
      <c r="E33" s="19">
        <f>IF(B33="","",SUMIFS('Metraj Mahal Listesi'!$F$5:$F$504,'Metraj Mahal Listesi'!$C$5:$C$504,B33,'Metraj Mahal Listesi'!$I$5:$I$504,"&lt;&gt;KAPSAM DIŞI*",'Metraj Mahal Listesi'!$I$5:$I$504,"&lt;&gt;DAHİL DEĞİL*"))</f>
        <v/>
      </c>
      <c r="F33" s="20" t="n"/>
      <c r="G33" s="21">
        <f>IF(OR(E33="",F33=""),"",E33*F33)</f>
        <v/>
      </c>
      <c r="H33" s="5" t="n"/>
    </row>
    <row r="34">
      <c r="A34" s="5" t="n"/>
      <c r="B34" s="5" t="n"/>
      <c r="C34" s="5" t="n"/>
      <c r="D34" s="5" t="n"/>
      <c r="E34" s="19">
        <f>IF(B34="","",SUMIFS('Metraj Mahal Listesi'!$F$5:$F$504,'Metraj Mahal Listesi'!$C$5:$C$504,B34,'Metraj Mahal Listesi'!$I$5:$I$504,"&lt;&gt;KAPSAM DIŞI*",'Metraj Mahal Listesi'!$I$5:$I$504,"&lt;&gt;DAHİL DEĞİL*"))</f>
        <v/>
      </c>
      <c r="F34" s="20" t="n"/>
      <c r="G34" s="21">
        <f>IF(OR(E34="",F34=""),"",E34*F34)</f>
        <v/>
      </c>
      <c r="H34" s="5" t="n"/>
    </row>
    <row r="35">
      <c r="A35" s="5" t="n"/>
      <c r="B35" s="5" t="n"/>
      <c r="C35" s="5" t="n"/>
      <c r="D35" s="5" t="n"/>
      <c r="E35" s="19">
        <f>IF(B35="","",SUMIFS('Metraj Mahal Listesi'!$F$5:$F$504,'Metraj Mahal Listesi'!$C$5:$C$504,B35,'Metraj Mahal Listesi'!$I$5:$I$504,"&lt;&gt;KAPSAM DIŞI*",'Metraj Mahal Listesi'!$I$5:$I$504,"&lt;&gt;DAHİL DEĞİL*"))</f>
        <v/>
      </c>
      <c r="F35" s="20" t="n"/>
      <c r="G35" s="21">
        <f>IF(OR(E35="",F35=""),"",E35*F35)</f>
        <v/>
      </c>
      <c r="H35" s="5" t="n"/>
    </row>
    <row r="36">
      <c r="A36" s="5" t="n"/>
      <c r="B36" s="5" t="n"/>
      <c r="C36" s="5" t="n"/>
      <c r="D36" s="5" t="n"/>
      <c r="E36" s="19">
        <f>IF(B36="","",SUMIFS('Metraj Mahal Listesi'!$F$5:$F$504,'Metraj Mahal Listesi'!$C$5:$C$504,B36,'Metraj Mahal Listesi'!$I$5:$I$504,"&lt;&gt;KAPSAM DIŞI*",'Metraj Mahal Listesi'!$I$5:$I$504,"&lt;&gt;DAHİL DEĞİL*"))</f>
        <v/>
      </c>
      <c r="F36" s="20" t="n"/>
      <c r="G36" s="21">
        <f>IF(OR(E36="",F36=""),"",E36*F36)</f>
        <v/>
      </c>
      <c r="H36" s="5" t="n"/>
    </row>
    <row r="37">
      <c r="A37" s="5" t="n"/>
      <c r="B37" s="5" t="n"/>
      <c r="C37" s="5" t="n"/>
      <c r="D37" s="5" t="n"/>
      <c r="E37" s="19">
        <f>IF(B37="","",SUMIFS('Metraj Mahal Listesi'!$F$5:$F$504,'Metraj Mahal Listesi'!$C$5:$C$504,B37,'Metraj Mahal Listesi'!$I$5:$I$504,"&lt;&gt;KAPSAM DIŞI*",'Metraj Mahal Listesi'!$I$5:$I$504,"&lt;&gt;DAHİL DEĞİL*"))</f>
        <v/>
      </c>
      <c r="F37" s="20" t="n"/>
      <c r="G37" s="21">
        <f>IF(OR(E37="",F37=""),"",E37*F37)</f>
        <v/>
      </c>
      <c r="H37" s="5" t="n"/>
    </row>
    <row r="38">
      <c r="A38" s="5" t="n"/>
      <c r="B38" s="5" t="n"/>
      <c r="C38" s="5" t="n"/>
      <c r="D38" s="5" t="n"/>
      <c r="E38" s="19">
        <f>IF(B38="","",SUMIFS('Metraj Mahal Listesi'!$F$5:$F$504,'Metraj Mahal Listesi'!$C$5:$C$504,B38,'Metraj Mahal Listesi'!$I$5:$I$504,"&lt;&gt;KAPSAM DIŞI*",'Metraj Mahal Listesi'!$I$5:$I$504,"&lt;&gt;DAHİL DEĞİL*"))</f>
        <v/>
      </c>
      <c r="F38" s="20" t="n"/>
      <c r="G38" s="21">
        <f>IF(OR(E38="",F38=""),"",E38*F38)</f>
        <v/>
      </c>
      <c r="H38" s="5" t="n"/>
    </row>
    <row r="39">
      <c r="A39" s="5" t="n"/>
      <c r="B39" s="5" t="n"/>
      <c r="C39" s="5" t="n"/>
      <c r="D39" s="5" t="n"/>
      <c r="E39" s="19">
        <f>IF(B39="","",SUMIFS('Metraj Mahal Listesi'!$F$5:$F$504,'Metraj Mahal Listesi'!$C$5:$C$504,B39,'Metraj Mahal Listesi'!$I$5:$I$504,"&lt;&gt;KAPSAM DIŞI*",'Metraj Mahal Listesi'!$I$5:$I$504,"&lt;&gt;DAHİL DEĞİL*"))</f>
        <v/>
      </c>
      <c r="F39" s="20" t="n"/>
      <c r="G39" s="21">
        <f>IF(OR(E39="",F39=""),"",E39*F39)</f>
        <v/>
      </c>
      <c r="H39" s="5" t="n"/>
    </row>
    <row r="40">
      <c r="A40" s="5" t="n"/>
      <c r="B40" s="5" t="n"/>
      <c r="C40" s="5" t="n"/>
      <c r="D40" s="5" t="n"/>
      <c r="E40" s="19">
        <f>IF(B40="","",SUMIFS('Metraj Mahal Listesi'!$F$5:$F$504,'Metraj Mahal Listesi'!$C$5:$C$504,B40,'Metraj Mahal Listesi'!$I$5:$I$504,"&lt;&gt;KAPSAM DIŞI*",'Metraj Mahal Listesi'!$I$5:$I$504,"&lt;&gt;DAHİL DEĞİL*"))</f>
        <v/>
      </c>
      <c r="F40" s="20" t="n"/>
      <c r="G40" s="21">
        <f>IF(OR(E40="",F40=""),"",E40*F40)</f>
        <v/>
      </c>
      <c r="H40" s="5" t="n"/>
    </row>
    <row r="41">
      <c r="A41" s="5" t="n"/>
      <c r="B41" s="5" t="n"/>
      <c r="C41" s="5" t="n"/>
      <c r="D41" s="5" t="n"/>
      <c r="E41" s="19">
        <f>IF(B41="","",SUMIFS('Metraj Mahal Listesi'!$F$5:$F$504,'Metraj Mahal Listesi'!$C$5:$C$504,B41,'Metraj Mahal Listesi'!$I$5:$I$504,"&lt;&gt;KAPSAM DIŞI*",'Metraj Mahal Listesi'!$I$5:$I$504,"&lt;&gt;DAHİL DEĞİL*"))</f>
        <v/>
      </c>
      <c r="F41" s="20" t="n"/>
      <c r="G41" s="21">
        <f>IF(OR(E41="",F41=""),"",E41*F41)</f>
        <v/>
      </c>
      <c r="H41" s="5" t="n"/>
    </row>
    <row r="42">
      <c r="A42" s="5" t="n"/>
      <c r="B42" s="5" t="n"/>
      <c r="C42" s="5" t="n"/>
      <c r="D42" s="5" t="n"/>
      <c r="E42" s="19">
        <f>IF(B42="","",SUMIFS('Metraj Mahal Listesi'!$F$5:$F$504,'Metraj Mahal Listesi'!$C$5:$C$504,B42,'Metraj Mahal Listesi'!$I$5:$I$504,"&lt;&gt;KAPSAM DIŞI*",'Metraj Mahal Listesi'!$I$5:$I$504,"&lt;&gt;DAHİL DEĞİL*"))</f>
        <v/>
      </c>
      <c r="F42" s="20" t="n"/>
      <c r="G42" s="21">
        <f>IF(OR(E42="",F42=""),"",E42*F42)</f>
        <v/>
      </c>
      <c r="H42" s="5" t="n"/>
    </row>
    <row r="43">
      <c r="A43" s="5" t="n"/>
      <c r="B43" s="5" t="n"/>
      <c r="C43" s="5" t="n"/>
      <c r="D43" s="5" t="n"/>
      <c r="E43" s="19">
        <f>IF(B43="","",SUMIFS('Metraj Mahal Listesi'!$F$5:$F$504,'Metraj Mahal Listesi'!$C$5:$C$504,B43,'Metraj Mahal Listesi'!$I$5:$I$504,"&lt;&gt;KAPSAM DIŞI*",'Metraj Mahal Listesi'!$I$5:$I$504,"&lt;&gt;DAHİL DEĞİL*"))</f>
        <v/>
      </c>
      <c r="F43" s="20" t="n"/>
      <c r="G43" s="21">
        <f>IF(OR(E43="",F43=""),"",E43*F43)</f>
        <v/>
      </c>
      <c r="H43" s="5" t="n"/>
    </row>
    <row r="44">
      <c r="A44" s="5" t="n"/>
      <c r="B44" s="5" t="n"/>
      <c r="C44" s="5" t="n"/>
      <c r="D44" s="5" t="n"/>
      <c r="E44" s="19">
        <f>IF(B44="","",SUMIFS('Metraj Mahal Listesi'!$F$5:$F$504,'Metraj Mahal Listesi'!$C$5:$C$504,B44,'Metraj Mahal Listesi'!$I$5:$I$504,"&lt;&gt;KAPSAM DIŞI*",'Metraj Mahal Listesi'!$I$5:$I$504,"&lt;&gt;DAHİL DEĞİL*"))</f>
        <v/>
      </c>
      <c r="F44" s="20" t="n"/>
      <c r="G44" s="21">
        <f>IF(OR(E44="",F44=""),"",E44*F44)</f>
        <v/>
      </c>
      <c r="H44" s="5" t="n"/>
    </row>
    <row r="45">
      <c r="A45" s="5" t="n"/>
      <c r="B45" s="5" t="n"/>
      <c r="C45" s="5" t="n"/>
      <c r="D45" s="5" t="n"/>
      <c r="E45" s="19">
        <f>IF(B45="","",SUMIFS('Metraj Mahal Listesi'!$F$5:$F$504,'Metraj Mahal Listesi'!$C$5:$C$504,B45,'Metraj Mahal Listesi'!$I$5:$I$504,"&lt;&gt;KAPSAM DIŞI*",'Metraj Mahal Listesi'!$I$5:$I$504,"&lt;&gt;DAHİL DEĞİL*"))</f>
        <v/>
      </c>
      <c r="F45" s="20" t="n"/>
      <c r="G45" s="21">
        <f>IF(OR(E45="",F45=""),"",E45*F45)</f>
        <v/>
      </c>
      <c r="H45" s="5" t="n"/>
    </row>
    <row r="46">
      <c r="A46" s="5" t="n"/>
      <c r="B46" s="5" t="n"/>
      <c r="C46" s="5" t="n"/>
      <c r="D46" s="5" t="n"/>
      <c r="E46" s="19">
        <f>IF(B46="","",SUMIFS('Metraj Mahal Listesi'!$F$5:$F$504,'Metraj Mahal Listesi'!$C$5:$C$504,B46,'Metraj Mahal Listesi'!$I$5:$I$504,"&lt;&gt;KAPSAM DIŞI*",'Metraj Mahal Listesi'!$I$5:$I$504,"&lt;&gt;DAHİL DEĞİL*"))</f>
        <v/>
      </c>
      <c r="F46" s="20" t="n"/>
      <c r="G46" s="21">
        <f>IF(OR(E46="",F46=""),"",E46*F46)</f>
        <v/>
      </c>
      <c r="H46" s="5" t="n"/>
    </row>
    <row r="47">
      <c r="A47" s="5" t="n"/>
      <c r="B47" s="5" t="n"/>
      <c r="C47" s="5" t="n"/>
      <c r="D47" s="5" t="n"/>
      <c r="E47" s="19">
        <f>IF(B47="","",SUMIFS('Metraj Mahal Listesi'!$F$5:$F$504,'Metraj Mahal Listesi'!$C$5:$C$504,B47,'Metraj Mahal Listesi'!$I$5:$I$504,"&lt;&gt;KAPSAM DIŞI*",'Metraj Mahal Listesi'!$I$5:$I$504,"&lt;&gt;DAHİL DEĞİL*"))</f>
        <v/>
      </c>
      <c r="F47" s="20" t="n"/>
      <c r="G47" s="21">
        <f>IF(OR(E47="",F47=""),"",E47*F47)</f>
        <v/>
      </c>
      <c r="H47" s="5" t="n"/>
    </row>
    <row r="48">
      <c r="A48" s="5" t="n"/>
      <c r="B48" s="5" t="n"/>
      <c r="C48" s="5" t="n"/>
      <c r="D48" s="5" t="n"/>
      <c r="E48" s="19">
        <f>IF(B48="","",SUMIFS('Metraj Mahal Listesi'!$F$5:$F$504,'Metraj Mahal Listesi'!$C$5:$C$504,B48,'Metraj Mahal Listesi'!$I$5:$I$504,"&lt;&gt;KAPSAM DIŞI*",'Metraj Mahal Listesi'!$I$5:$I$504,"&lt;&gt;DAHİL DEĞİL*"))</f>
        <v/>
      </c>
      <c r="F48" s="20" t="n"/>
      <c r="G48" s="21">
        <f>IF(OR(E48="",F48=""),"",E48*F48)</f>
        <v/>
      </c>
      <c r="H48" s="5" t="n"/>
    </row>
    <row r="49">
      <c r="A49" s="5" t="n"/>
      <c r="B49" s="5" t="n"/>
      <c r="C49" s="5" t="n"/>
      <c r="D49" s="5" t="n"/>
      <c r="E49" s="19">
        <f>IF(B49="","",SUMIFS('Metraj Mahal Listesi'!$F$5:$F$504,'Metraj Mahal Listesi'!$C$5:$C$504,B49,'Metraj Mahal Listesi'!$I$5:$I$504,"&lt;&gt;KAPSAM DIŞI*",'Metraj Mahal Listesi'!$I$5:$I$504,"&lt;&gt;DAHİL DEĞİL*"))</f>
        <v/>
      </c>
      <c r="F49" s="20" t="n"/>
      <c r="G49" s="21">
        <f>IF(OR(E49="",F49=""),"",E49*F49)</f>
        <v/>
      </c>
      <c r="H49" s="5" t="n"/>
    </row>
    <row r="50">
      <c r="A50" s="5" t="n"/>
      <c r="B50" s="5" t="n"/>
      <c r="C50" s="5" t="n"/>
      <c r="D50" s="5" t="n"/>
      <c r="E50" s="19">
        <f>IF(B50="","",SUMIFS('Metraj Mahal Listesi'!$F$5:$F$504,'Metraj Mahal Listesi'!$C$5:$C$504,B50,'Metraj Mahal Listesi'!$I$5:$I$504,"&lt;&gt;KAPSAM DIŞI*",'Metraj Mahal Listesi'!$I$5:$I$504,"&lt;&gt;DAHİL DEĞİL*"))</f>
        <v/>
      </c>
      <c r="F50" s="20" t="n"/>
      <c r="G50" s="21">
        <f>IF(OR(E50="",F50=""),"",E50*F50)</f>
        <v/>
      </c>
      <c r="H50" s="5" t="n"/>
    </row>
    <row r="51">
      <c r="A51" s="5" t="n"/>
      <c r="B51" s="5" t="n"/>
      <c r="C51" s="5" t="n"/>
      <c r="D51" s="5" t="n"/>
      <c r="E51" s="19">
        <f>IF(B51="","",SUMIFS('Metraj Mahal Listesi'!$F$5:$F$504,'Metraj Mahal Listesi'!$C$5:$C$504,B51,'Metraj Mahal Listesi'!$I$5:$I$504,"&lt;&gt;KAPSAM DIŞI*",'Metraj Mahal Listesi'!$I$5:$I$504,"&lt;&gt;DAHİL DEĞİL*"))</f>
        <v/>
      </c>
      <c r="F51" s="20" t="n"/>
      <c r="G51" s="21">
        <f>IF(OR(E51="",F51=""),"",E51*F51)</f>
        <v/>
      </c>
      <c r="H51" s="5" t="n"/>
    </row>
    <row r="52">
      <c r="A52" s="5" t="n"/>
      <c r="B52" s="5" t="n"/>
      <c r="C52" s="5" t="n"/>
      <c r="D52" s="5" t="n"/>
      <c r="E52" s="19">
        <f>IF(B52="","",SUMIFS('Metraj Mahal Listesi'!$F$5:$F$504,'Metraj Mahal Listesi'!$C$5:$C$504,B52,'Metraj Mahal Listesi'!$I$5:$I$504,"&lt;&gt;KAPSAM DIŞI*",'Metraj Mahal Listesi'!$I$5:$I$504,"&lt;&gt;DAHİL DEĞİL*"))</f>
        <v/>
      </c>
      <c r="F52" s="20" t="n"/>
      <c r="G52" s="21">
        <f>IF(OR(E52="",F52=""),"",E52*F52)</f>
        <v/>
      </c>
      <c r="H52" s="5" t="n"/>
    </row>
    <row r="53">
      <c r="A53" s="5" t="n"/>
      <c r="B53" s="5" t="n"/>
      <c r="C53" s="5" t="n"/>
      <c r="D53" s="5" t="n"/>
      <c r="E53" s="19">
        <f>IF(B53="","",SUMIFS('Metraj Mahal Listesi'!$F$5:$F$504,'Metraj Mahal Listesi'!$C$5:$C$504,B53,'Metraj Mahal Listesi'!$I$5:$I$504,"&lt;&gt;KAPSAM DIŞI*",'Metraj Mahal Listesi'!$I$5:$I$504,"&lt;&gt;DAHİL DEĞİL*"))</f>
        <v/>
      </c>
      <c r="F53" s="20" t="n"/>
      <c r="G53" s="21">
        <f>IF(OR(E53="",F53=""),"",E53*F53)</f>
        <v/>
      </c>
      <c r="H53" s="5" t="n"/>
    </row>
    <row r="54">
      <c r="A54" s="5" t="n"/>
      <c r="B54" s="5" t="n"/>
      <c r="C54" s="5" t="n"/>
      <c r="D54" s="5" t="n"/>
      <c r="E54" s="19">
        <f>IF(B54="","",SUMIFS('Metraj Mahal Listesi'!$F$5:$F$504,'Metraj Mahal Listesi'!$C$5:$C$504,B54,'Metraj Mahal Listesi'!$I$5:$I$504,"&lt;&gt;KAPSAM DIŞI*",'Metraj Mahal Listesi'!$I$5:$I$504,"&lt;&gt;DAHİL DEĞİL*"))</f>
        <v/>
      </c>
      <c r="F54" s="20" t="n"/>
      <c r="G54" s="21">
        <f>IF(OR(E54="",F54=""),"",E54*F54)</f>
        <v/>
      </c>
      <c r="H54" s="5" t="n"/>
    </row>
    <row r="55">
      <c r="A55" s="5" t="n"/>
      <c r="B55" s="5" t="n"/>
      <c r="C55" s="5" t="n"/>
      <c r="D55" s="5" t="n"/>
      <c r="E55" s="19">
        <f>IF(B55="","",SUMIFS('Metraj Mahal Listesi'!$F$5:$F$504,'Metraj Mahal Listesi'!$C$5:$C$504,B55,'Metraj Mahal Listesi'!$I$5:$I$504,"&lt;&gt;KAPSAM DIŞI*",'Metraj Mahal Listesi'!$I$5:$I$504,"&lt;&gt;DAHİL DEĞİL*"))</f>
        <v/>
      </c>
      <c r="F55" s="20" t="n"/>
      <c r="G55" s="21">
        <f>IF(OR(E55="",F55=""),"",E55*F55)</f>
        <v/>
      </c>
      <c r="H55" s="5" t="n"/>
    </row>
    <row r="56">
      <c r="A56" s="5" t="n"/>
      <c r="B56" s="5" t="n"/>
      <c r="C56" s="5" t="n"/>
      <c r="D56" s="5" t="n"/>
      <c r="E56" s="19">
        <f>IF(B56="","",SUMIFS('Metraj Mahal Listesi'!$F$5:$F$504,'Metraj Mahal Listesi'!$C$5:$C$504,B56,'Metraj Mahal Listesi'!$I$5:$I$504,"&lt;&gt;KAPSAM DIŞI*",'Metraj Mahal Listesi'!$I$5:$I$504,"&lt;&gt;DAHİL DEĞİL*"))</f>
        <v/>
      </c>
      <c r="F56" s="20" t="n"/>
      <c r="G56" s="21">
        <f>IF(OR(E56="",F56=""),"",E56*F56)</f>
        <v/>
      </c>
      <c r="H56" s="5" t="n"/>
    </row>
    <row r="57">
      <c r="A57" s="5" t="n"/>
      <c r="B57" s="5" t="n"/>
      <c r="C57" s="5" t="n"/>
      <c r="D57" s="5" t="n"/>
      <c r="E57" s="19">
        <f>IF(B57="","",SUMIFS('Metraj Mahal Listesi'!$F$5:$F$504,'Metraj Mahal Listesi'!$C$5:$C$504,B57,'Metraj Mahal Listesi'!$I$5:$I$504,"&lt;&gt;KAPSAM DIŞI*",'Metraj Mahal Listesi'!$I$5:$I$504,"&lt;&gt;DAHİL DEĞİL*"))</f>
        <v/>
      </c>
      <c r="F57" s="20" t="n"/>
      <c r="G57" s="21">
        <f>IF(OR(E57="",F57=""),"",E57*F57)</f>
        <v/>
      </c>
      <c r="H57" s="5" t="n"/>
    </row>
    <row r="58">
      <c r="A58" s="5" t="n"/>
      <c r="B58" s="5" t="n"/>
      <c r="C58" s="5" t="n"/>
      <c r="D58" s="5" t="n"/>
      <c r="E58" s="19">
        <f>IF(B58="","",SUMIFS('Metraj Mahal Listesi'!$F$5:$F$504,'Metraj Mahal Listesi'!$C$5:$C$504,B58,'Metraj Mahal Listesi'!$I$5:$I$504,"&lt;&gt;KAPSAM DIŞI*",'Metraj Mahal Listesi'!$I$5:$I$504,"&lt;&gt;DAHİL DEĞİL*"))</f>
        <v/>
      </c>
      <c r="F58" s="20" t="n"/>
      <c r="G58" s="21">
        <f>IF(OR(E58="",F58=""),"",E58*F58)</f>
        <v/>
      </c>
      <c r="H58" s="5" t="n"/>
    </row>
    <row r="59">
      <c r="A59" s="5" t="n"/>
      <c r="B59" s="5" t="n"/>
      <c r="C59" s="5" t="n"/>
      <c r="D59" s="5" t="n"/>
      <c r="E59" s="19">
        <f>IF(B59="","",SUMIFS('Metraj Mahal Listesi'!$F$5:$F$504,'Metraj Mahal Listesi'!$C$5:$C$504,B59,'Metraj Mahal Listesi'!$I$5:$I$504,"&lt;&gt;KAPSAM DIŞI*",'Metraj Mahal Listesi'!$I$5:$I$504,"&lt;&gt;DAHİL DEĞİL*"))</f>
        <v/>
      </c>
      <c r="F59" s="20" t="n"/>
      <c r="G59" s="21">
        <f>IF(OR(E59="",F59=""),"",E59*F59)</f>
        <v/>
      </c>
      <c r="H59" s="5" t="n"/>
    </row>
    <row r="60">
      <c r="A60" s="5" t="n"/>
      <c r="B60" s="5" t="n"/>
      <c r="C60" s="5" t="n"/>
      <c r="D60" s="5" t="n"/>
      <c r="E60" s="19">
        <f>IF(B60="","",SUMIFS('Metraj Mahal Listesi'!$F$5:$F$504,'Metraj Mahal Listesi'!$C$5:$C$504,B60,'Metraj Mahal Listesi'!$I$5:$I$504,"&lt;&gt;KAPSAM DIŞI*",'Metraj Mahal Listesi'!$I$5:$I$504,"&lt;&gt;DAHİL DEĞİL*"))</f>
        <v/>
      </c>
      <c r="F60" s="20" t="n"/>
      <c r="G60" s="21">
        <f>IF(OR(E60="",F60=""),"",E60*F60)</f>
        <v/>
      </c>
      <c r="H60" s="5" t="n"/>
    </row>
    <row r="61">
      <c r="A61" s="5" t="n"/>
      <c r="B61" s="5" t="n"/>
      <c r="C61" s="5" t="n"/>
      <c r="D61" s="5" t="n"/>
      <c r="E61" s="19">
        <f>IF(B61="","",SUMIFS('Metraj Mahal Listesi'!$F$5:$F$504,'Metraj Mahal Listesi'!$C$5:$C$504,B61,'Metraj Mahal Listesi'!$I$5:$I$504,"&lt;&gt;KAPSAM DIŞI*",'Metraj Mahal Listesi'!$I$5:$I$504,"&lt;&gt;DAHİL DEĞİL*"))</f>
        <v/>
      </c>
      <c r="F61" s="20" t="n"/>
      <c r="G61" s="21">
        <f>IF(OR(E61="",F61=""),"",E61*F61)</f>
        <v/>
      </c>
      <c r="H61" s="5" t="n"/>
    </row>
    <row r="62">
      <c r="A62" s="5" t="n"/>
      <c r="B62" s="5" t="n"/>
      <c r="C62" s="5" t="n"/>
      <c r="D62" s="5" t="n"/>
      <c r="E62" s="19">
        <f>IF(B62="","",SUMIFS('Metraj Mahal Listesi'!$F$5:$F$504,'Metraj Mahal Listesi'!$C$5:$C$504,B62,'Metraj Mahal Listesi'!$I$5:$I$504,"&lt;&gt;KAPSAM DIŞI*",'Metraj Mahal Listesi'!$I$5:$I$504,"&lt;&gt;DAHİL DEĞİL*"))</f>
        <v/>
      </c>
      <c r="F62" s="20" t="n"/>
      <c r="G62" s="21">
        <f>IF(OR(E62="",F62=""),"",E62*F62)</f>
        <v/>
      </c>
      <c r="H62" s="5" t="n"/>
    </row>
    <row r="63">
      <c r="A63" s="5" t="n"/>
      <c r="B63" s="5" t="n"/>
      <c r="C63" s="5" t="n"/>
      <c r="D63" s="5" t="n"/>
      <c r="E63" s="19">
        <f>IF(B63="","",SUMIFS('Metraj Mahal Listesi'!$F$5:$F$504,'Metraj Mahal Listesi'!$C$5:$C$504,B63,'Metraj Mahal Listesi'!$I$5:$I$504,"&lt;&gt;KAPSAM DIŞI*",'Metraj Mahal Listesi'!$I$5:$I$504,"&lt;&gt;DAHİL DEĞİL*"))</f>
        <v/>
      </c>
      <c r="F63" s="20" t="n"/>
      <c r="G63" s="21">
        <f>IF(OR(E63="",F63=""),"",E63*F63)</f>
        <v/>
      </c>
      <c r="H63" s="5" t="n"/>
    </row>
    <row r="64">
      <c r="A64" s="5" t="n"/>
      <c r="B64" s="5" t="n"/>
      <c r="C64" s="5" t="n"/>
      <c r="D64" s="5" t="n"/>
      <c r="E64" s="19">
        <f>IF(B64="","",SUMIFS('Metraj Mahal Listesi'!$F$5:$F$504,'Metraj Mahal Listesi'!$C$5:$C$504,B64,'Metraj Mahal Listesi'!$I$5:$I$504,"&lt;&gt;KAPSAM DIŞI*",'Metraj Mahal Listesi'!$I$5:$I$504,"&lt;&gt;DAHİL DEĞİL*"))</f>
        <v/>
      </c>
      <c r="F64" s="20" t="n"/>
      <c r="G64" s="21">
        <f>IF(OR(E64="",F64=""),"",E64*F64)</f>
        <v/>
      </c>
      <c r="H64" s="5" t="n"/>
    </row>
    <row r="65">
      <c r="A65" s="5" t="n"/>
      <c r="B65" s="5" t="n"/>
      <c r="C65" s="5" t="n"/>
      <c r="D65" s="5" t="n"/>
      <c r="E65" s="19">
        <f>IF(B65="","",SUMIFS('Metraj Mahal Listesi'!$F$5:$F$504,'Metraj Mahal Listesi'!$C$5:$C$504,B65,'Metraj Mahal Listesi'!$I$5:$I$504,"&lt;&gt;KAPSAM DIŞI*",'Metraj Mahal Listesi'!$I$5:$I$504,"&lt;&gt;DAHİL DEĞİL*"))</f>
        <v/>
      </c>
      <c r="F65" s="20" t="n"/>
      <c r="G65" s="21">
        <f>IF(OR(E65="",F65=""),"",E65*F65)</f>
        <v/>
      </c>
      <c r="H65" s="5" t="n"/>
    </row>
    <row r="66">
      <c r="A66" s="5" t="n"/>
      <c r="B66" s="5" t="n"/>
      <c r="C66" s="5" t="n"/>
      <c r="D66" s="5" t="n"/>
      <c r="E66" s="19">
        <f>IF(B66="","",SUMIFS('Metraj Mahal Listesi'!$F$5:$F$504,'Metraj Mahal Listesi'!$C$5:$C$504,B66,'Metraj Mahal Listesi'!$I$5:$I$504,"&lt;&gt;KAPSAM DIŞI*",'Metraj Mahal Listesi'!$I$5:$I$504,"&lt;&gt;DAHİL DEĞİL*"))</f>
        <v/>
      </c>
      <c r="F66" s="20" t="n"/>
      <c r="G66" s="21">
        <f>IF(OR(E66="",F66=""),"",E66*F66)</f>
        <v/>
      </c>
      <c r="H66" s="5" t="n"/>
    </row>
    <row r="67">
      <c r="A67" s="5" t="n"/>
      <c r="B67" s="5" t="n"/>
      <c r="C67" s="5" t="n"/>
      <c r="D67" s="5" t="n"/>
      <c r="E67" s="19">
        <f>IF(B67="","",SUMIFS('Metraj Mahal Listesi'!$F$5:$F$504,'Metraj Mahal Listesi'!$C$5:$C$504,B67,'Metraj Mahal Listesi'!$I$5:$I$504,"&lt;&gt;KAPSAM DIŞI*",'Metraj Mahal Listesi'!$I$5:$I$504,"&lt;&gt;DAHİL DEĞİL*"))</f>
        <v/>
      </c>
      <c r="F67" s="20" t="n"/>
      <c r="G67" s="21">
        <f>IF(OR(E67="",F67=""),"",E67*F67)</f>
        <v/>
      </c>
      <c r="H67" s="5" t="n"/>
    </row>
    <row r="68">
      <c r="A68" s="5" t="n"/>
      <c r="B68" s="5" t="n"/>
      <c r="C68" s="5" t="n"/>
      <c r="D68" s="5" t="n"/>
      <c r="E68" s="19">
        <f>IF(B68="","",SUMIFS('Metraj Mahal Listesi'!$F$5:$F$504,'Metraj Mahal Listesi'!$C$5:$C$504,B68,'Metraj Mahal Listesi'!$I$5:$I$504,"&lt;&gt;KAPSAM DIŞI*",'Metraj Mahal Listesi'!$I$5:$I$504,"&lt;&gt;DAHİL DEĞİL*"))</f>
        <v/>
      </c>
      <c r="F68" s="20" t="n"/>
      <c r="G68" s="21">
        <f>IF(OR(E68="",F68=""),"",E68*F68)</f>
        <v/>
      </c>
      <c r="H68" s="5" t="n"/>
    </row>
    <row r="69">
      <c r="A69" s="5" t="n"/>
      <c r="B69" s="5" t="n"/>
      <c r="C69" s="5" t="n"/>
      <c r="D69" s="5" t="n"/>
      <c r="E69" s="19">
        <f>IF(B69="","",SUMIFS('Metraj Mahal Listesi'!$F$5:$F$504,'Metraj Mahal Listesi'!$C$5:$C$504,B69,'Metraj Mahal Listesi'!$I$5:$I$504,"&lt;&gt;KAPSAM DIŞI*",'Metraj Mahal Listesi'!$I$5:$I$504,"&lt;&gt;DAHİL DEĞİL*"))</f>
        <v/>
      </c>
      <c r="F69" s="20" t="n"/>
      <c r="G69" s="21">
        <f>IF(OR(E69="",F69=""),"",E69*F69)</f>
        <v/>
      </c>
      <c r="H69" s="5" t="n"/>
    </row>
    <row r="70">
      <c r="A70" s="5" t="n"/>
      <c r="B70" s="5" t="n"/>
      <c r="C70" s="5" t="n"/>
      <c r="D70" s="5" t="n"/>
      <c r="E70" s="19">
        <f>IF(B70="","",SUMIFS('Metraj Mahal Listesi'!$F$5:$F$504,'Metraj Mahal Listesi'!$C$5:$C$504,B70,'Metraj Mahal Listesi'!$I$5:$I$504,"&lt;&gt;KAPSAM DIŞI*",'Metraj Mahal Listesi'!$I$5:$I$504,"&lt;&gt;DAHİL DEĞİL*"))</f>
        <v/>
      </c>
      <c r="F70" s="20" t="n"/>
      <c r="G70" s="21">
        <f>IF(OR(E70="",F70=""),"",E70*F70)</f>
        <v/>
      </c>
      <c r="H70" s="5" t="n"/>
    </row>
    <row r="71">
      <c r="A71" s="5" t="n"/>
      <c r="B71" s="5" t="n"/>
      <c r="C71" s="5" t="n"/>
      <c r="D71" s="5" t="n"/>
      <c r="E71" s="19">
        <f>IF(B71="","",SUMIFS('Metraj Mahal Listesi'!$F$5:$F$504,'Metraj Mahal Listesi'!$C$5:$C$504,B71,'Metraj Mahal Listesi'!$I$5:$I$504,"&lt;&gt;KAPSAM DIŞI*",'Metraj Mahal Listesi'!$I$5:$I$504,"&lt;&gt;DAHİL DEĞİL*"))</f>
        <v/>
      </c>
      <c r="F71" s="20" t="n"/>
      <c r="G71" s="21">
        <f>IF(OR(E71="",F71=""),"",E71*F71)</f>
        <v/>
      </c>
      <c r="H71" s="5" t="n"/>
    </row>
    <row r="72">
      <c r="A72" s="5" t="n"/>
      <c r="B72" s="5" t="n"/>
      <c r="C72" s="5" t="n"/>
      <c r="D72" s="5" t="n"/>
      <c r="E72" s="19">
        <f>IF(B72="","",SUMIFS('Metraj Mahal Listesi'!$F$5:$F$504,'Metraj Mahal Listesi'!$C$5:$C$504,B72,'Metraj Mahal Listesi'!$I$5:$I$504,"&lt;&gt;KAPSAM DIŞI*",'Metraj Mahal Listesi'!$I$5:$I$504,"&lt;&gt;DAHİL DEĞİL*"))</f>
        <v/>
      </c>
      <c r="F72" s="20" t="n"/>
      <c r="G72" s="21">
        <f>IF(OR(E72="",F72=""),"",E72*F72)</f>
        <v/>
      </c>
      <c r="H72" s="5" t="n"/>
    </row>
    <row r="73">
      <c r="A73" s="5" t="n"/>
      <c r="B73" s="5" t="n"/>
      <c r="C73" s="5" t="n"/>
      <c r="D73" s="5" t="n"/>
      <c r="E73" s="19">
        <f>IF(B73="","",SUMIFS('Metraj Mahal Listesi'!$F$5:$F$504,'Metraj Mahal Listesi'!$C$5:$C$504,B73,'Metraj Mahal Listesi'!$I$5:$I$504,"&lt;&gt;KAPSAM DIŞI*",'Metraj Mahal Listesi'!$I$5:$I$504,"&lt;&gt;DAHİL DEĞİL*"))</f>
        <v/>
      </c>
      <c r="F73" s="20" t="n"/>
      <c r="G73" s="21">
        <f>IF(OR(E73="",F73=""),"",E73*F73)</f>
        <v/>
      </c>
      <c r="H73" s="5" t="n"/>
    </row>
    <row r="74">
      <c r="A74" s="5" t="n"/>
      <c r="B74" s="5" t="n"/>
      <c r="C74" s="5" t="n"/>
      <c r="D74" s="5" t="n"/>
      <c r="E74" s="19">
        <f>IF(B74="","",SUMIFS('Metraj Mahal Listesi'!$F$5:$F$504,'Metraj Mahal Listesi'!$C$5:$C$504,B74,'Metraj Mahal Listesi'!$I$5:$I$504,"&lt;&gt;KAPSAM DIŞI*",'Metraj Mahal Listesi'!$I$5:$I$504,"&lt;&gt;DAHİL DEĞİL*"))</f>
        <v/>
      </c>
      <c r="F74" s="20" t="n"/>
      <c r="G74" s="21">
        <f>IF(OR(E74="",F74=""),"",E74*F74)</f>
        <v/>
      </c>
      <c r="H74" s="5" t="n"/>
    </row>
    <row r="75">
      <c r="A75" s="5" t="n"/>
      <c r="B75" s="5" t="n"/>
      <c r="C75" s="5" t="n"/>
      <c r="D75" s="5" t="n"/>
      <c r="E75" s="19">
        <f>IF(B75="","",SUMIFS('Metraj Mahal Listesi'!$F$5:$F$504,'Metraj Mahal Listesi'!$C$5:$C$504,B75,'Metraj Mahal Listesi'!$I$5:$I$504,"&lt;&gt;KAPSAM DIŞI*",'Metraj Mahal Listesi'!$I$5:$I$504,"&lt;&gt;DAHİL DEĞİL*"))</f>
        <v/>
      </c>
      <c r="F75" s="20" t="n"/>
      <c r="G75" s="21">
        <f>IF(OR(E75="",F75=""),"",E75*F75)</f>
        <v/>
      </c>
      <c r="H75" s="5" t="n"/>
    </row>
    <row r="76">
      <c r="A76" s="5" t="n"/>
      <c r="B76" s="5" t="n"/>
      <c r="C76" s="5" t="n"/>
      <c r="D76" s="5" t="n"/>
      <c r="E76" s="19">
        <f>IF(B76="","",SUMIFS('Metraj Mahal Listesi'!$F$5:$F$504,'Metraj Mahal Listesi'!$C$5:$C$504,B76,'Metraj Mahal Listesi'!$I$5:$I$504,"&lt;&gt;KAPSAM DIŞI*",'Metraj Mahal Listesi'!$I$5:$I$504,"&lt;&gt;DAHİL DEĞİL*"))</f>
        <v/>
      </c>
      <c r="F76" s="20" t="n"/>
      <c r="G76" s="21">
        <f>IF(OR(E76="",F76=""),"",E76*F76)</f>
        <v/>
      </c>
      <c r="H76" s="5" t="n"/>
    </row>
    <row r="77">
      <c r="A77" s="5" t="n"/>
      <c r="B77" s="5" t="n"/>
      <c r="C77" s="5" t="n"/>
      <c r="D77" s="5" t="n"/>
      <c r="E77" s="19">
        <f>IF(B77="","",SUMIFS('Metraj Mahal Listesi'!$F$5:$F$504,'Metraj Mahal Listesi'!$C$5:$C$504,B77,'Metraj Mahal Listesi'!$I$5:$I$504,"&lt;&gt;KAPSAM DIŞI*",'Metraj Mahal Listesi'!$I$5:$I$504,"&lt;&gt;DAHİL DEĞİL*"))</f>
        <v/>
      </c>
      <c r="F77" s="20" t="n"/>
      <c r="G77" s="21">
        <f>IF(OR(E77="",F77=""),"",E77*F77)</f>
        <v/>
      </c>
      <c r="H77" s="5" t="n"/>
    </row>
    <row r="78">
      <c r="A78" s="5" t="n"/>
      <c r="B78" s="5" t="n"/>
      <c r="C78" s="5" t="n"/>
      <c r="D78" s="5" t="n"/>
      <c r="E78" s="19">
        <f>IF(B78="","",SUMIFS('Metraj Mahal Listesi'!$F$5:$F$504,'Metraj Mahal Listesi'!$C$5:$C$504,B78,'Metraj Mahal Listesi'!$I$5:$I$504,"&lt;&gt;KAPSAM DIŞI*",'Metraj Mahal Listesi'!$I$5:$I$504,"&lt;&gt;DAHİL DEĞİL*"))</f>
        <v/>
      </c>
      <c r="F78" s="20" t="n"/>
      <c r="G78" s="21">
        <f>IF(OR(E78="",F78=""),"",E78*F78)</f>
        <v/>
      </c>
      <c r="H78" s="5" t="n"/>
    </row>
    <row r="79">
      <c r="A79" s="5" t="n"/>
      <c r="B79" s="5" t="n"/>
      <c r="C79" s="5" t="n"/>
      <c r="D79" s="5" t="n"/>
      <c r="E79" s="19">
        <f>IF(B79="","",SUMIFS('Metraj Mahal Listesi'!$F$5:$F$504,'Metraj Mahal Listesi'!$C$5:$C$504,B79,'Metraj Mahal Listesi'!$I$5:$I$504,"&lt;&gt;KAPSAM DIŞI*",'Metraj Mahal Listesi'!$I$5:$I$504,"&lt;&gt;DAHİL DEĞİL*"))</f>
        <v/>
      </c>
      <c r="F79" s="20" t="n"/>
      <c r="G79" s="21">
        <f>IF(OR(E79="",F79=""),"",E79*F79)</f>
        <v/>
      </c>
      <c r="H79" s="5" t="n"/>
    </row>
    <row r="80">
      <c r="A80" s="5" t="n"/>
      <c r="B80" s="5" t="n"/>
      <c r="C80" s="5" t="n"/>
      <c r="D80" s="5" t="n"/>
      <c r="E80" s="19">
        <f>IF(B80="","",SUMIFS('Metraj Mahal Listesi'!$F$5:$F$504,'Metraj Mahal Listesi'!$C$5:$C$504,B80,'Metraj Mahal Listesi'!$I$5:$I$504,"&lt;&gt;KAPSAM DIŞI*",'Metraj Mahal Listesi'!$I$5:$I$504,"&lt;&gt;DAHİL DEĞİL*"))</f>
        <v/>
      </c>
      <c r="F80" s="20" t="n"/>
      <c r="G80" s="21">
        <f>IF(OR(E80="",F80=""),"",E80*F80)</f>
        <v/>
      </c>
      <c r="H80" s="5" t="n"/>
    </row>
    <row r="81">
      <c r="A81" s="5" t="n"/>
      <c r="B81" s="5" t="n"/>
      <c r="C81" s="5" t="n"/>
      <c r="D81" s="5" t="n"/>
      <c r="E81" s="19">
        <f>IF(B81="","",SUMIFS('Metraj Mahal Listesi'!$F$5:$F$504,'Metraj Mahal Listesi'!$C$5:$C$504,B81,'Metraj Mahal Listesi'!$I$5:$I$504,"&lt;&gt;KAPSAM DIŞI*",'Metraj Mahal Listesi'!$I$5:$I$504,"&lt;&gt;DAHİL DEĞİL*"))</f>
        <v/>
      </c>
      <c r="F81" s="20" t="n"/>
      <c r="G81" s="21">
        <f>IF(OR(E81="",F81=""),"",E81*F81)</f>
        <v/>
      </c>
      <c r="H81" s="5" t="n"/>
    </row>
    <row r="82">
      <c r="A82" s="5" t="n"/>
      <c r="B82" s="5" t="n"/>
      <c r="C82" s="5" t="n"/>
      <c r="D82" s="5" t="n"/>
      <c r="E82" s="19">
        <f>IF(B82="","",SUMIFS('Metraj Mahal Listesi'!$F$5:$F$504,'Metraj Mahal Listesi'!$C$5:$C$504,B82,'Metraj Mahal Listesi'!$I$5:$I$504,"&lt;&gt;KAPSAM DIŞI*",'Metraj Mahal Listesi'!$I$5:$I$504,"&lt;&gt;DAHİL DEĞİL*"))</f>
        <v/>
      </c>
      <c r="F82" s="20" t="n"/>
      <c r="G82" s="21">
        <f>IF(OR(E82="",F82=""),"",E82*F82)</f>
        <v/>
      </c>
      <c r="H82" s="5" t="n"/>
    </row>
    <row r="83">
      <c r="A83" s="5" t="n"/>
      <c r="B83" s="5" t="n"/>
      <c r="C83" s="5" t="n"/>
      <c r="D83" s="5" t="n"/>
      <c r="E83" s="19">
        <f>IF(B83="","",SUMIFS('Metraj Mahal Listesi'!$F$5:$F$504,'Metraj Mahal Listesi'!$C$5:$C$504,B83,'Metraj Mahal Listesi'!$I$5:$I$504,"&lt;&gt;KAPSAM DIŞI*",'Metraj Mahal Listesi'!$I$5:$I$504,"&lt;&gt;DAHİL DEĞİL*"))</f>
        <v/>
      </c>
      <c r="F83" s="20" t="n"/>
      <c r="G83" s="21">
        <f>IF(OR(E83="",F83=""),"",E83*F83)</f>
        <v/>
      </c>
      <c r="H83" s="5" t="n"/>
    </row>
    <row r="84">
      <c r="A84" s="5" t="n"/>
      <c r="B84" s="5" t="n"/>
      <c r="C84" s="5" t="n"/>
      <c r="D84" s="5" t="n"/>
      <c r="E84" s="19">
        <f>IF(B84="","",SUMIFS('Metraj Mahal Listesi'!$F$5:$F$504,'Metraj Mahal Listesi'!$C$5:$C$504,B84,'Metraj Mahal Listesi'!$I$5:$I$504,"&lt;&gt;KAPSAM DIŞI*",'Metraj Mahal Listesi'!$I$5:$I$504,"&lt;&gt;DAHİL DEĞİL*"))</f>
        <v/>
      </c>
      <c r="F84" s="20" t="n"/>
      <c r="G84" s="21">
        <f>IF(OR(E84="",F84=""),"",E84*F84)</f>
        <v/>
      </c>
      <c r="H84" s="5" t="n"/>
    </row>
    <row r="85">
      <c r="A85" s="5" t="n"/>
      <c r="B85" s="5" t="n"/>
      <c r="C85" s="5" t="n"/>
      <c r="D85" s="5" t="n"/>
      <c r="E85" s="19">
        <f>IF(B85="","",SUMIFS('Metraj Mahal Listesi'!$F$5:$F$504,'Metraj Mahal Listesi'!$C$5:$C$504,B85,'Metraj Mahal Listesi'!$I$5:$I$504,"&lt;&gt;KAPSAM DIŞI*",'Metraj Mahal Listesi'!$I$5:$I$504,"&lt;&gt;DAHİL DEĞİL*"))</f>
        <v/>
      </c>
      <c r="F85" s="20" t="n"/>
      <c r="G85" s="21">
        <f>IF(OR(E85="",F85=""),"",E85*F85)</f>
        <v/>
      </c>
      <c r="H85" s="5" t="n"/>
    </row>
    <row r="86">
      <c r="A86" s="5" t="n"/>
      <c r="B86" s="5" t="n"/>
      <c r="C86" s="5" t="n"/>
      <c r="D86" s="5" t="n"/>
      <c r="E86" s="19">
        <f>IF(B86="","",SUMIFS('Metraj Mahal Listesi'!$F$5:$F$504,'Metraj Mahal Listesi'!$C$5:$C$504,B86,'Metraj Mahal Listesi'!$I$5:$I$504,"&lt;&gt;KAPSAM DIŞI*",'Metraj Mahal Listesi'!$I$5:$I$504,"&lt;&gt;DAHİL DEĞİL*"))</f>
        <v/>
      </c>
      <c r="F86" s="20" t="n"/>
      <c r="G86" s="21">
        <f>IF(OR(E86="",F86=""),"",E86*F86)</f>
        <v/>
      </c>
      <c r="H86" s="5" t="n"/>
    </row>
    <row r="87">
      <c r="A87" s="5" t="n"/>
      <c r="B87" s="5" t="n"/>
      <c r="C87" s="5" t="n"/>
      <c r="D87" s="5" t="n"/>
      <c r="E87" s="19">
        <f>IF(B87="","",SUMIFS('Metraj Mahal Listesi'!$F$5:$F$504,'Metraj Mahal Listesi'!$C$5:$C$504,B87,'Metraj Mahal Listesi'!$I$5:$I$504,"&lt;&gt;KAPSAM DIŞI*",'Metraj Mahal Listesi'!$I$5:$I$504,"&lt;&gt;DAHİL DEĞİL*"))</f>
        <v/>
      </c>
      <c r="F87" s="20" t="n"/>
      <c r="G87" s="21">
        <f>IF(OR(E87="",F87=""),"",E87*F87)</f>
        <v/>
      </c>
      <c r="H87" s="5" t="n"/>
    </row>
    <row r="88">
      <c r="A88" s="5" t="n"/>
      <c r="B88" s="5" t="n"/>
      <c r="C88" s="5" t="n"/>
      <c r="D88" s="5" t="n"/>
      <c r="E88" s="19">
        <f>IF(B88="","",SUMIFS('Metraj Mahal Listesi'!$F$5:$F$504,'Metraj Mahal Listesi'!$C$5:$C$504,B88,'Metraj Mahal Listesi'!$I$5:$I$504,"&lt;&gt;KAPSAM DIŞI*",'Metraj Mahal Listesi'!$I$5:$I$504,"&lt;&gt;DAHİL DEĞİL*"))</f>
        <v/>
      </c>
      <c r="F88" s="20" t="n"/>
      <c r="G88" s="21">
        <f>IF(OR(E88="",F88=""),"",E88*F88)</f>
        <v/>
      </c>
      <c r="H88" s="5" t="n"/>
    </row>
    <row r="89">
      <c r="A89" s="5" t="n"/>
      <c r="B89" s="5" t="n"/>
      <c r="C89" s="5" t="n"/>
      <c r="D89" s="5" t="n"/>
      <c r="E89" s="19">
        <f>IF(B89="","",SUMIFS('Metraj Mahal Listesi'!$F$5:$F$504,'Metraj Mahal Listesi'!$C$5:$C$504,B89,'Metraj Mahal Listesi'!$I$5:$I$504,"&lt;&gt;KAPSAM DIŞI*",'Metraj Mahal Listesi'!$I$5:$I$504,"&lt;&gt;DAHİL DEĞİL*"))</f>
        <v/>
      </c>
      <c r="F89" s="20" t="n"/>
      <c r="G89" s="21">
        <f>IF(OR(E89="",F89=""),"",E89*F89)</f>
        <v/>
      </c>
      <c r="H89" s="5" t="n"/>
    </row>
    <row r="90">
      <c r="A90" s="5" t="n"/>
      <c r="B90" s="5" t="n"/>
      <c r="C90" s="5" t="n"/>
      <c r="D90" s="5" t="n"/>
      <c r="E90" s="19">
        <f>IF(B90="","",SUMIFS('Metraj Mahal Listesi'!$F$5:$F$504,'Metraj Mahal Listesi'!$C$5:$C$504,B90,'Metraj Mahal Listesi'!$I$5:$I$504,"&lt;&gt;KAPSAM DIŞI*",'Metraj Mahal Listesi'!$I$5:$I$504,"&lt;&gt;DAHİL DEĞİL*"))</f>
        <v/>
      </c>
      <c r="F90" s="20" t="n"/>
      <c r="G90" s="21">
        <f>IF(OR(E90="",F90=""),"",E90*F90)</f>
        <v/>
      </c>
      <c r="H90" s="5" t="n"/>
    </row>
    <row r="91">
      <c r="A91" s="5" t="n"/>
      <c r="B91" s="5" t="n"/>
      <c r="C91" s="5" t="n"/>
      <c r="D91" s="5" t="n"/>
      <c r="E91" s="19">
        <f>IF(B91="","",SUMIFS('Metraj Mahal Listesi'!$F$5:$F$504,'Metraj Mahal Listesi'!$C$5:$C$504,B91,'Metraj Mahal Listesi'!$I$5:$I$504,"&lt;&gt;KAPSAM DIŞI*",'Metraj Mahal Listesi'!$I$5:$I$504,"&lt;&gt;DAHİL DEĞİL*"))</f>
        <v/>
      </c>
      <c r="F91" s="20" t="n"/>
      <c r="G91" s="21">
        <f>IF(OR(E91="",F91=""),"",E91*F91)</f>
        <v/>
      </c>
      <c r="H91" s="5" t="n"/>
    </row>
    <row r="92">
      <c r="A92" s="5" t="n"/>
      <c r="B92" s="5" t="n"/>
      <c r="C92" s="5" t="n"/>
      <c r="D92" s="5" t="n"/>
      <c r="E92" s="19">
        <f>IF(B92="","",SUMIFS('Metraj Mahal Listesi'!$F$5:$F$504,'Metraj Mahal Listesi'!$C$5:$C$504,B92,'Metraj Mahal Listesi'!$I$5:$I$504,"&lt;&gt;KAPSAM DIŞI*",'Metraj Mahal Listesi'!$I$5:$I$504,"&lt;&gt;DAHİL DEĞİL*"))</f>
        <v/>
      </c>
      <c r="F92" s="20" t="n"/>
      <c r="G92" s="21">
        <f>IF(OR(E92="",F92=""),"",E92*F92)</f>
        <v/>
      </c>
      <c r="H92" s="5" t="n"/>
    </row>
    <row r="93">
      <c r="A93" s="5" t="n"/>
      <c r="B93" s="5" t="n"/>
      <c r="C93" s="5" t="n"/>
      <c r="D93" s="5" t="n"/>
      <c r="E93" s="19">
        <f>IF(B93="","",SUMIFS('Metraj Mahal Listesi'!$F$5:$F$504,'Metraj Mahal Listesi'!$C$5:$C$504,B93,'Metraj Mahal Listesi'!$I$5:$I$504,"&lt;&gt;KAPSAM DIŞI*",'Metraj Mahal Listesi'!$I$5:$I$504,"&lt;&gt;DAHİL DEĞİL*"))</f>
        <v/>
      </c>
      <c r="F93" s="20" t="n"/>
      <c r="G93" s="21">
        <f>IF(OR(E93="",F93=""),"",E93*F93)</f>
        <v/>
      </c>
      <c r="H93" s="5" t="n"/>
    </row>
    <row r="94">
      <c r="A94" s="5" t="n"/>
      <c r="B94" s="5" t="n"/>
      <c r="C94" s="5" t="n"/>
      <c r="D94" s="5" t="n"/>
      <c r="E94" s="19">
        <f>IF(B94="","",SUMIFS('Metraj Mahal Listesi'!$F$5:$F$504,'Metraj Mahal Listesi'!$C$5:$C$504,B94,'Metraj Mahal Listesi'!$I$5:$I$504,"&lt;&gt;KAPSAM DIŞI*",'Metraj Mahal Listesi'!$I$5:$I$504,"&lt;&gt;DAHİL DEĞİL*"))</f>
        <v/>
      </c>
      <c r="F94" s="20" t="n"/>
      <c r="G94" s="21">
        <f>IF(OR(E94="",F94=""),"",E94*F94)</f>
        <v/>
      </c>
      <c r="H94" s="5" t="n"/>
    </row>
    <row r="95">
      <c r="A95" s="5" t="n"/>
      <c r="B95" s="5" t="n"/>
      <c r="C95" s="5" t="n"/>
      <c r="D95" s="5" t="n"/>
      <c r="E95" s="19">
        <f>IF(B95="","",SUMIFS('Metraj Mahal Listesi'!$F$5:$F$504,'Metraj Mahal Listesi'!$C$5:$C$504,B95,'Metraj Mahal Listesi'!$I$5:$I$504,"&lt;&gt;KAPSAM DIŞI*",'Metraj Mahal Listesi'!$I$5:$I$504,"&lt;&gt;DAHİL DEĞİL*"))</f>
        <v/>
      </c>
      <c r="F95" s="20" t="n"/>
      <c r="G95" s="21">
        <f>IF(OR(E95="",F95=""),"",E95*F95)</f>
        <v/>
      </c>
      <c r="H95" s="5" t="n"/>
    </row>
    <row r="96">
      <c r="A96" s="5" t="n"/>
      <c r="B96" s="5" t="n"/>
      <c r="C96" s="5" t="n"/>
      <c r="D96" s="5" t="n"/>
      <c r="E96" s="19">
        <f>IF(B96="","",SUMIFS('Metraj Mahal Listesi'!$F$5:$F$504,'Metraj Mahal Listesi'!$C$5:$C$504,B96,'Metraj Mahal Listesi'!$I$5:$I$504,"&lt;&gt;KAPSAM DIŞI*",'Metraj Mahal Listesi'!$I$5:$I$504,"&lt;&gt;DAHİL DEĞİL*"))</f>
        <v/>
      </c>
      <c r="F96" s="20" t="n"/>
      <c r="G96" s="21">
        <f>IF(OR(E96="",F96=""),"",E96*F96)</f>
        <v/>
      </c>
      <c r="H96" s="5" t="n"/>
    </row>
    <row r="97">
      <c r="A97" s="5" t="n"/>
      <c r="B97" s="5" t="n"/>
      <c r="C97" s="5" t="n"/>
      <c r="D97" s="5" t="n"/>
      <c r="E97" s="19">
        <f>IF(B97="","",SUMIFS('Metraj Mahal Listesi'!$F$5:$F$504,'Metraj Mahal Listesi'!$C$5:$C$504,B97,'Metraj Mahal Listesi'!$I$5:$I$504,"&lt;&gt;KAPSAM DIŞI*",'Metraj Mahal Listesi'!$I$5:$I$504,"&lt;&gt;DAHİL DEĞİL*"))</f>
        <v/>
      </c>
      <c r="F97" s="20" t="n"/>
      <c r="G97" s="21">
        <f>IF(OR(E97="",F97=""),"",E97*F97)</f>
        <v/>
      </c>
      <c r="H97" s="5" t="n"/>
    </row>
    <row r="98">
      <c r="A98" s="5" t="n"/>
      <c r="B98" s="5" t="n"/>
      <c r="C98" s="5" t="n"/>
      <c r="D98" s="5" t="n"/>
      <c r="E98" s="19">
        <f>IF(B98="","",SUMIFS('Metraj Mahal Listesi'!$F$5:$F$504,'Metraj Mahal Listesi'!$C$5:$C$504,B98,'Metraj Mahal Listesi'!$I$5:$I$504,"&lt;&gt;KAPSAM DIŞI*",'Metraj Mahal Listesi'!$I$5:$I$504,"&lt;&gt;DAHİL DEĞİL*"))</f>
        <v/>
      </c>
      <c r="F98" s="20" t="n"/>
      <c r="G98" s="21">
        <f>IF(OR(E98="",F98=""),"",E98*F98)</f>
        <v/>
      </c>
      <c r="H98" s="5" t="n"/>
    </row>
    <row r="99">
      <c r="A99" s="5" t="n"/>
      <c r="B99" s="5" t="n"/>
      <c r="C99" s="5" t="n"/>
      <c r="D99" s="5" t="n"/>
      <c r="E99" s="19">
        <f>IF(B99="","",SUMIFS('Metraj Mahal Listesi'!$F$5:$F$504,'Metraj Mahal Listesi'!$C$5:$C$504,B99,'Metraj Mahal Listesi'!$I$5:$I$504,"&lt;&gt;KAPSAM DIŞI*",'Metraj Mahal Listesi'!$I$5:$I$504,"&lt;&gt;DAHİL DEĞİL*"))</f>
        <v/>
      </c>
      <c r="F99" s="20" t="n"/>
      <c r="G99" s="21">
        <f>IF(OR(E99="",F99=""),"",E99*F99)</f>
        <v/>
      </c>
      <c r="H99" s="5" t="n"/>
    </row>
    <row r="100">
      <c r="A100" s="5" t="n"/>
      <c r="B100" s="5" t="n"/>
      <c r="C100" s="5" t="n"/>
      <c r="D100" s="5" t="n"/>
      <c r="E100" s="19">
        <f>IF(B100="","",SUMIFS('Metraj Mahal Listesi'!$F$5:$F$504,'Metraj Mahal Listesi'!$C$5:$C$504,B100,'Metraj Mahal Listesi'!$I$5:$I$504,"&lt;&gt;KAPSAM DIŞI*",'Metraj Mahal Listesi'!$I$5:$I$504,"&lt;&gt;DAHİL DEĞİL*"))</f>
        <v/>
      </c>
      <c r="F100" s="20" t="n"/>
      <c r="G100" s="21">
        <f>IF(OR(E100="",F100=""),"",E100*F100)</f>
        <v/>
      </c>
      <c r="H100" s="5" t="n"/>
    </row>
    <row r="101">
      <c r="A101" s="5" t="n"/>
      <c r="B101" s="5" t="n"/>
      <c r="C101" s="5" t="n"/>
      <c r="D101" s="5" t="n"/>
      <c r="E101" s="19">
        <f>IF(B101="","",SUMIFS('Metraj Mahal Listesi'!$F$5:$F$504,'Metraj Mahal Listesi'!$C$5:$C$504,B101,'Metraj Mahal Listesi'!$I$5:$I$504,"&lt;&gt;KAPSAM DIŞI*",'Metraj Mahal Listesi'!$I$5:$I$504,"&lt;&gt;DAHİL DEĞİL*"))</f>
        <v/>
      </c>
      <c r="F101" s="20" t="n"/>
      <c r="G101" s="21">
        <f>IF(OR(E101="",F101=""),"",E101*F101)</f>
        <v/>
      </c>
      <c r="H101" s="5" t="n"/>
    </row>
    <row r="102">
      <c r="A102" s="5" t="n"/>
      <c r="B102" s="5" t="n"/>
      <c r="C102" s="5" t="n"/>
      <c r="D102" s="5" t="n"/>
      <c r="E102" s="19">
        <f>IF(B102="","",SUMIFS('Metraj Mahal Listesi'!$F$5:$F$504,'Metraj Mahal Listesi'!$C$5:$C$504,B102,'Metraj Mahal Listesi'!$I$5:$I$504,"&lt;&gt;KAPSAM DIŞI*",'Metraj Mahal Listesi'!$I$5:$I$504,"&lt;&gt;DAHİL DEĞİL*"))</f>
        <v/>
      </c>
      <c r="F102" s="20" t="n"/>
      <c r="G102" s="21">
        <f>IF(OR(E102="",F102=""),"",E102*F102)</f>
        <v/>
      </c>
      <c r="H102" s="5" t="n"/>
    </row>
    <row r="103">
      <c r="A103" s="5" t="n"/>
      <c r="B103" s="5" t="n"/>
      <c r="C103" s="5" t="n"/>
      <c r="D103" s="5" t="n"/>
      <c r="E103" s="19">
        <f>IF(B103="","",SUMIFS('Metraj Mahal Listesi'!$F$5:$F$504,'Metraj Mahal Listesi'!$C$5:$C$504,B103,'Metraj Mahal Listesi'!$I$5:$I$504,"&lt;&gt;KAPSAM DIŞI*",'Metraj Mahal Listesi'!$I$5:$I$504,"&lt;&gt;DAHİL DEĞİL*"))</f>
        <v/>
      </c>
      <c r="F103" s="20" t="n"/>
      <c r="G103" s="21">
        <f>IF(OR(E103="",F103=""),"",E103*F103)</f>
        <v/>
      </c>
      <c r="H103" s="5" t="n"/>
    </row>
    <row r="104">
      <c r="A104" s="5" t="n"/>
      <c r="B104" s="5" t="n"/>
      <c r="C104" s="5" t="n"/>
      <c r="D104" s="5" t="n"/>
      <c r="E104" s="19">
        <f>IF(B104="","",SUMIFS('Metraj Mahal Listesi'!$F$5:$F$504,'Metraj Mahal Listesi'!$C$5:$C$504,B104,'Metraj Mahal Listesi'!$I$5:$I$504,"&lt;&gt;KAPSAM DIŞI*",'Metraj Mahal Listesi'!$I$5:$I$504,"&lt;&gt;DAHİL DEĞİL*"))</f>
        <v/>
      </c>
      <c r="F104" s="20" t="n"/>
      <c r="G104" s="21">
        <f>IF(OR(E104="",F104=""),"",E104*F104)</f>
        <v/>
      </c>
      <c r="H104" s="5" t="n"/>
    </row>
    <row r="105">
      <c r="A105" s="5" t="n"/>
      <c r="B105" s="5" t="n"/>
      <c r="C105" s="5" t="n"/>
      <c r="D105" s="5" t="n"/>
      <c r="E105" s="19">
        <f>IF(B105="","",SUMIFS('Metraj Mahal Listesi'!$F$5:$F$504,'Metraj Mahal Listesi'!$C$5:$C$504,B105,'Metraj Mahal Listesi'!$I$5:$I$504,"&lt;&gt;KAPSAM DIŞI*",'Metraj Mahal Listesi'!$I$5:$I$504,"&lt;&gt;DAHİL DEĞİL*"))</f>
        <v/>
      </c>
      <c r="F105" s="20" t="n"/>
      <c r="G105" s="21">
        <f>IF(OR(E105="",F105=""),"",E105*F105)</f>
        <v/>
      </c>
      <c r="H105" s="5" t="n"/>
    </row>
    <row r="106">
      <c r="A106" s="5" t="n"/>
      <c r="B106" s="5" t="n"/>
      <c r="C106" s="5" t="n"/>
      <c r="D106" s="5" t="n"/>
      <c r="E106" s="19">
        <f>IF(B106="","",SUMIFS('Metraj Mahal Listesi'!$F$5:$F$504,'Metraj Mahal Listesi'!$C$5:$C$504,B106,'Metraj Mahal Listesi'!$I$5:$I$504,"&lt;&gt;KAPSAM DIŞI*",'Metraj Mahal Listesi'!$I$5:$I$504,"&lt;&gt;DAHİL DEĞİL*"))</f>
        <v/>
      </c>
      <c r="F106" s="20" t="n"/>
      <c r="G106" s="21">
        <f>IF(OR(E106="",F106=""),"",E106*F106)</f>
        <v/>
      </c>
      <c r="H106" s="5" t="n"/>
    </row>
    <row r="107">
      <c r="A107" s="5" t="n"/>
      <c r="B107" s="5" t="n"/>
      <c r="C107" s="5" t="n"/>
      <c r="D107" s="5" t="n"/>
      <c r="E107" s="19">
        <f>IF(B107="","",SUMIFS('Metraj Mahal Listesi'!$F$5:$F$504,'Metraj Mahal Listesi'!$C$5:$C$504,B107,'Metraj Mahal Listesi'!$I$5:$I$504,"&lt;&gt;KAPSAM DIŞI*",'Metraj Mahal Listesi'!$I$5:$I$504,"&lt;&gt;DAHİL DEĞİL*"))</f>
        <v/>
      </c>
      <c r="F107" s="20" t="n"/>
      <c r="G107" s="21">
        <f>IF(OR(E107="",F107=""),"",E107*F107)</f>
        <v/>
      </c>
      <c r="H107" s="5" t="n"/>
    </row>
    <row r="108">
      <c r="A108" s="5" t="n"/>
      <c r="B108" s="5" t="n"/>
      <c r="C108" s="5" t="n"/>
      <c r="D108" s="5" t="n"/>
      <c r="E108" s="19">
        <f>IF(B108="","",SUMIFS('Metraj Mahal Listesi'!$F$5:$F$504,'Metraj Mahal Listesi'!$C$5:$C$504,B108,'Metraj Mahal Listesi'!$I$5:$I$504,"&lt;&gt;KAPSAM DIŞI*",'Metraj Mahal Listesi'!$I$5:$I$504,"&lt;&gt;DAHİL DEĞİL*"))</f>
        <v/>
      </c>
      <c r="F108" s="20" t="n"/>
      <c r="G108" s="21">
        <f>IF(OR(E108="",F108=""),"",E108*F108)</f>
        <v/>
      </c>
      <c r="H108" s="5" t="n"/>
    </row>
    <row r="109">
      <c r="A109" s="5" t="n"/>
      <c r="B109" s="5" t="n"/>
      <c r="C109" s="5" t="n"/>
      <c r="D109" s="5" t="n"/>
      <c r="E109" s="19">
        <f>IF(B109="","",SUMIFS('Metraj Mahal Listesi'!$F$5:$F$504,'Metraj Mahal Listesi'!$C$5:$C$504,B109,'Metraj Mahal Listesi'!$I$5:$I$504,"&lt;&gt;KAPSAM DIŞI*",'Metraj Mahal Listesi'!$I$5:$I$504,"&lt;&gt;DAHİL DEĞİL*"))</f>
        <v/>
      </c>
      <c r="F109" s="20" t="n"/>
      <c r="G109" s="21">
        <f>IF(OR(E109="",F109=""),"",E109*F109)</f>
        <v/>
      </c>
      <c r="H109" s="5" t="n"/>
    </row>
    <row r="110">
      <c r="A110" s="5" t="n"/>
      <c r="B110" s="5" t="n"/>
      <c r="C110" s="5" t="n"/>
      <c r="D110" s="5" t="n"/>
      <c r="E110" s="19">
        <f>IF(B110="","",SUMIFS('Metraj Mahal Listesi'!$F$5:$F$504,'Metraj Mahal Listesi'!$C$5:$C$504,B110,'Metraj Mahal Listesi'!$I$5:$I$504,"&lt;&gt;KAPSAM DIŞI*",'Metraj Mahal Listesi'!$I$5:$I$504,"&lt;&gt;DAHİL DEĞİL*"))</f>
        <v/>
      </c>
      <c r="F110" s="20" t="n"/>
      <c r="G110" s="21">
        <f>IF(OR(E110="",F110=""),"",E110*F110)</f>
        <v/>
      </c>
      <c r="H110" s="5" t="n"/>
    </row>
    <row r="111">
      <c r="A111" s="5" t="n"/>
      <c r="B111" s="5" t="n"/>
      <c r="C111" s="5" t="n"/>
      <c r="D111" s="5" t="n"/>
      <c r="E111" s="19">
        <f>IF(B111="","",SUMIFS('Metraj Mahal Listesi'!$F$5:$F$504,'Metraj Mahal Listesi'!$C$5:$C$504,B111,'Metraj Mahal Listesi'!$I$5:$I$504,"&lt;&gt;KAPSAM DIŞI*",'Metraj Mahal Listesi'!$I$5:$I$504,"&lt;&gt;DAHİL DEĞİL*"))</f>
        <v/>
      </c>
      <c r="F111" s="20" t="n"/>
      <c r="G111" s="21">
        <f>IF(OR(E111="",F111=""),"",E111*F111)</f>
        <v/>
      </c>
      <c r="H111" s="5" t="n"/>
    </row>
    <row r="112">
      <c r="A112" s="5" t="n"/>
      <c r="B112" s="5" t="n"/>
      <c r="C112" s="5" t="n"/>
      <c r="D112" s="5" t="n"/>
      <c r="E112" s="19">
        <f>IF(B112="","",SUMIFS('Metraj Mahal Listesi'!$F$5:$F$504,'Metraj Mahal Listesi'!$C$5:$C$504,B112,'Metraj Mahal Listesi'!$I$5:$I$504,"&lt;&gt;KAPSAM DIŞI*",'Metraj Mahal Listesi'!$I$5:$I$504,"&lt;&gt;DAHİL DEĞİL*"))</f>
        <v/>
      </c>
      <c r="F112" s="20" t="n"/>
      <c r="G112" s="21">
        <f>IF(OR(E112="",F112=""),"",E112*F112)</f>
        <v/>
      </c>
      <c r="H112" s="5" t="n"/>
    </row>
    <row r="113">
      <c r="A113" s="5" t="n"/>
      <c r="B113" s="5" t="n"/>
      <c r="C113" s="5" t="n"/>
      <c r="D113" s="5" t="n"/>
      <c r="E113" s="19">
        <f>IF(B113="","",SUMIFS('Metraj Mahal Listesi'!$F$5:$F$504,'Metraj Mahal Listesi'!$C$5:$C$504,B113,'Metraj Mahal Listesi'!$I$5:$I$504,"&lt;&gt;KAPSAM DIŞI*",'Metraj Mahal Listesi'!$I$5:$I$504,"&lt;&gt;DAHİL DEĞİL*"))</f>
        <v/>
      </c>
      <c r="F113" s="20" t="n"/>
      <c r="G113" s="21">
        <f>IF(OR(E113="",F113=""),"",E113*F113)</f>
        <v/>
      </c>
      <c r="H113" s="5" t="n"/>
    </row>
    <row r="114">
      <c r="A114" s="5" t="n"/>
      <c r="B114" s="5" t="n"/>
      <c r="C114" s="5" t="n"/>
      <c r="D114" s="5" t="n"/>
      <c r="E114" s="19">
        <f>IF(B114="","",SUMIFS('Metraj Mahal Listesi'!$F$5:$F$504,'Metraj Mahal Listesi'!$C$5:$C$504,B114,'Metraj Mahal Listesi'!$I$5:$I$504,"&lt;&gt;KAPSAM DIŞI*",'Metraj Mahal Listesi'!$I$5:$I$504,"&lt;&gt;DAHİL DEĞİL*"))</f>
        <v/>
      </c>
      <c r="F114" s="20" t="n"/>
      <c r="G114" s="21">
        <f>IF(OR(E114="",F114=""),"",E114*F114)</f>
        <v/>
      </c>
      <c r="H114" s="5" t="n"/>
    </row>
    <row r="115">
      <c r="A115" s="5" t="n"/>
      <c r="B115" s="5" t="n"/>
      <c r="C115" s="5" t="n"/>
      <c r="D115" s="5" t="n"/>
      <c r="E115" s="19">
        <f>IF(B115="","",SUMIFS('Metraj Mahal Listesi'!$F$5:$F$504,'Metraj Mahal Listesi'!$C$5:$C$504,B115,'Metraj Mahal Listesi'!$I$5:$I$504,"&lt;&gt;KAPSAM DIŞI*",'Metraj Mahal Listesi'!$I$5:$I$504,"&lt;&gt;DAHİL DEĞİL*"))</f>
        <v/>
      </c>
      <c r="F115" s="20" t="n"/>
      <c r="G115" s="21">
        <f>IF(OR(E115="",F115=""),"",E115*F115)</f>
        <v/>
      </c>
      <c r="H115" s="5" t="n"/>
    </row>
    <row r="116">
      <c r="A116" s="5" t="n"/>
      <c r="B116" s="5" t="n"/>
      <c r="C116" s="5" t="n"/>
      <c r="D116" s="5" t="n"/>
      <c r="E116" s="19">
        <f>IF(B116="","",SUMIFS('Metraj Mahal Listesi'!$F$5:$F$504,'Metraj Mahal Listesi'!$C$5:$C$504,B116,'Metraj Mahal Listesi'!$I$5:$I$504,"&lt;&gt;KAPSAM DIŞI*",'Metraj Mahal Listesi'!$I$5:$I$504,"&lt;&gt;DAHİL DEĞİL*"))</f>
        <v/>
      </c>
      <c r="F116" s="20" t="n"/>
      <c r="G116" s="21">
        <f>IF(OR(E116="",F116=""),"",E116*F116)</f>
        <v/>
      </c>
      <c r="H116" s="5" t="n"/>
    </row>
    <row r="117">
      <c r="A117" s="5" t="n"/>
      <c r="B117" s="5" t="n"/>
      <c r="C117" s="5" t="n"/>
      <c r="D117" s="5" t="n"/>
      <c r="E117" s="19">
        <f>IF(B117="","",SUMIFS('Metraj Mahal Listesi'!$F$5:$F$504,'Metraj Mahal Listesi'!$C$5:$C$504,B117,'Metraj Mahal Listesi'!$I$5:$I$504,"&lt;&gt;KAPSAM DIŞI*",'Metraj Mahal Listesi'!$I$5:$I$504,"&lt;&gt;DAHİL DEĞİL*"))</f>
        <v/>
      </c>
      <c r="F117" s="20" t="n"/>
      <c r="G117" s="21">
        <f>IF(OR(E117="",F117=""),"",E117*F117)</f>
        <v/>
      </c>
      <c r="H117" s="5" t="n"/>
    </row>
    <row r="118">
      <c r="A118" s="5" t="n"/>
      <c r="B118" s="5" t="n"/>
      <c r="C118" s="5" t="n"/>
      <c r="D118" s="5" t="n"/>
      <c r="E118" s="19">
        <f>IF(B118="","",SUMIFS('Metraj Mahal Listesi'!$F$5:$F$504,'Metraj Mahal Listesi'!$C$5:$C$504,B118,'Metraj Mahal Listesi'!$I$5:$I$504,"&lt;&gt;KAPSAM DIŞI*",'Metraj Mahal Listesi'!$I$5:$I$504,"&lt;&gt;DAHİL DEĞİL*"))</f>
        <v/>
      </c>
      <c r="F118" s="20" t="n"/>
      <c r="G118" s="21">
        <f>IF(OR(E118="",F118=""),"",E118*F118)</f>
        <v/>
      </c>
      <c r="H118" s="5" t="n"/>
    </row>
    <row r="119">
      <c r="A119" s="5" t="n"/>
      <c r="B119" s="5" t="n"/>
      <c r="C119" s="5" t="n"/>
      <c r="D119" s="5" t="n"/>
      <c r="E119" s="19">
        <f>IF(B119="","",SUMIFS('Metraj Mahal Listesi'!$F$5:$F$504,'Metraj Mahal Listesi'!$C$5:$C$504,B119,'Metraj Mahal Listesi'!$I$5:$I$504,"&lt;&gt;KAPSAM DIŞI*",'Metraj Mahal Listesi'!$I$5:$I$504,"&lt;&gt;DAHİL DEĞİL*"))</f>
        <v/>
      </c>
      <c r="F119" s="20" t="n"/>
      <c r="G119" s="21">
        <f>IF(OR(E119="",F119=""),"",E119*F119)</f>
        <v/>
      </c>
      <c r="H119" s="5" t="n"/>
    </row>
    <row r="120">
      <c r="A120" s="5" t="n"/>
      <c r="B120" s="5" t="n"/>
      <c r="C120" s="5" t="n"/>
      <c r="D120" s="5" t="n"/>
      <c r="E120" s="19">
        <f>IF(B120="","",SUMIFS('Metraj Mahal Listesi'!$F$5:$F$504,'Metraj Mahal Listesi'!$C$5:$C$504,B120,'Metraj Mahal Listesi'!$I$5:$I$504,"&lt;&gt;KAPSAM DIŞI*",'Metraj Mahal Listesi'!$I$5:$I$504,"&lt;&gt;DAHİL DEĞİL*"))</f>
        <v/>
      </c>
      <c r="F120" s="20" t="n"/>
      <c r="G120" s="21">
        <f>IF(OR(E120="",F120=""),"",E120*F120)</f>
        <v/>
      </c>
      <c r="H120" s="5" t="n"/>
    </row>
    <row r="121">
      <c r="A121" s="5" t="n"/>
      <c r="B121" s="5" t="n"/>
      <c r="C121" s="5" t="n"/>
      <c r="D121" s="5" t="n"/>
      <c r="E121" s="19">
        <f>IF(B121="","",SUMIFS('Metraj Mahal Listesi'!$F$5:$F$504,'Metraj Mahal Listesi'!$C$5:$C$504,B121,'Metraj Mahal Listesi'!$I$5:$I$504,"&lt;&gt;KAPSAM DIŞI*",'Metraj Mahal Listesi'!$I$5:$I$504,"&lt;&gt;DAHİL DEĞİL*"))</f>
        <v/>
      </c>
      <c r="F121" s="20" t="n"/>
      <c r="G121" s="21">
        <f>IF(OR(E121="",F121=""),"",E121*F121)</f>
        <v/>
      </c>
      <c r="H121" s="5" t="n"/>
    </row>
    <row r="122">
      <c r="A122" s="5" t="n"/>
      <c r="B122" s="5" t="n"/>
      <c r="C122" s="5" t="n"/>
      <c r="D122" s="5" t="n"/>
      <c r="E122" s="19">
        <f>IF(B122="","",SUMIFS('Metraj Mahal Listesi'!$F$5:$F$504,'Metraj Mahal Listesi'!$C$5:$C$504,B122,'Metraj Mahal Listesi'!$I$5:$I$504,"&lt;&gt;KAPSAM DIŞI*",'Metraj Mahal Listesi'!$I$5:$I$504,"&lt;&gt;DAHİL DEĞİL*"))</f>
        <v/>
      </c>
      <c r="F122" s="20" t="n"/>
      <c r="G122" s="21">
        <f>IF(OR(E122="",F122=""),"",E122*F122)</f>
        <v/>
      </c>
      <c r="H122" s="5" t="n"/>
    </row>
    <row r="123">
      <c r="A123" s="5" t="n"/>
      <c r="B123" s="5" t="n"/>
      <c r="C123" s="5" t="n"/>
      <c r="D123" s="5" t="n"/>
      <c r="E123" s="19">
        <f>IF(B123="","",SUMIFS('Metraj Mahal Listesi'!$F$5:$F$504,'Metraj Mahal Listesi'!$C$5:$C$504,B123,'Metraj Mahal Listesi'!$I$5:$I$504,"&lt;&gt;KAPSAM DIŞI*",'Metraj Mahal Listesi'!$I$5:$I$504,"&lt;&gt;DAHİL DEĞİL*"))</f>
        <v/>
      </c>
      <c r="F123" s="20" t="n"/>
      <c r="G123" s="21">
        <f>IF(OR(E123="",F123=""),"",E123*F123)</f>
        <v/>
      </c>
      <c r="H123" s="5" t="n"/>
    </row>
    <row r="124">
      <c r="A124" s="5" t="n"/>
      <c r="B124" s="5" t="n"/>
      <c r="C124" s="5" t="n"/>
      <c r="D124" s="5" t="n"/>
      <c r="E124" s="19">
        <f>IF(B124="","",SUMIFS('Metraj Mahal Listesi'!$F$5:$F$504,'Metraj Mahal Listesi'!$C$5:$C$504,B124,'Metraj Mahal Listesi'!$I$5:$I$504,"&lt;&gt;KAPSAM DIŞI*",'Metraj Mahal Listesi'!$I$5:$I$504,"&lt;&gt;DAHİL DEĞİL*"))</f>
        <v/>
      </c>
      <c r="F124" s="20" t="n"/>
      <c r="G124" s="21">
        <f>IF(OR(E124="",F124=""),"",E124*F124)</f>
        <v/>
      </c>
      <c r="H124" s="5" t="n"/>
    </row>
    <row r="125">
      <c r="A125" s="5" t="n"/>
      <c r="B125" s="5" t="n"/>
      <c r="C125" s="5" t="n"/>
      <c r="D125" s="5" t="n"/>
      <c r="E125" s="19">
        <f>IF(B125="","",SUMIFS('Metraj Mahal Listesi'!$F$5:$F$504,'Metraj Mahal Listesi'!$C$5:$C$504,B125,'Metraj Mahal Listesi'!$I$5:$I$504,"&lt;&gt;KAPSAM DIŞI*",'Metraj Mahal Listesi'!$I$5:$I$504,"&lt;&gt;DAHİL DEĞİL*"))</f>
        <v/>
      </c>
      <c r="F125" s="20" t="n"/>
      <c r="G125" s="21">
        <f>IF(OR(E125="",F125=""),"",E125*F125)</f>
        <v/>
      </c>
      <c r="H125" s="5" t="n"/>
    </row>
    <row r="126">
      <c r="A126" s="5" t="n"/>
      <c r="B126" s="5" t="n"/>
      <c r="C126" s="5" t="n"/>
      <c r="D126" s="5" t="n"/>
      <c r="E126" s="19">
        <f>IF(B126="","",SUMIFS('Metraj Mahal Listesi'!$F$5:$F$504,'Metraj Mahal Listesi'!$C$5:$C$504,B126,'Metraj Mahal Listesi'!$I$5:$I$504,"&lt;&gt;KAPSAM DIŞI*",'Metraj Mahal Listesi'!$I$5:$I$504,"&lt;&gt;DAHİL DEĞİL*"))</f>
        <v/>
      </c>
      <c r="F126" s="20" t="n"/>
      <c r="G126" s="21">
        <f>IF(OR(E126="",F126=""),"",E126*F126)</f>
        <v/>
      </c>
      <c r="H126" s="5" t="n"/>
    </row>
    <row r="127">
      <c r="A127" s="5" t="n"/>
      <c r="B127" s="5" t="n"/>
      <c r="C127" s="5" t="n"/>
      <c r="D127" s="5" t="n"/>
      <c r="E127" s="19">
        <f>IF(B127="","",SUMIFS('Metraj Mahal Listesi'!$F$5:$F$504,'Metraj Mahal Listesi'!$C$5:$C$504,B127,'Metraj Mahal Listesi'!$I$5:$I$504,"&lt;&gt;KAPSAM DIŞI*",'Metraj Mahal Listesi'!$I$5:$I$504,"&lt;&gt;DAHİL DEĞİL*"))</f>
        <v/>
      </c>
      <c r="F127" s="20" t="n"/>
      <c r="G127" s="21">
        <f>IF(OR(E127="",F127=""),"",E127*F127)</f>
        <v/>
      </c>
      <c r="H127" s="5" t="n"/>
    </row>
    <row r="128">
      <c r="A128" s="5" t="n"/>
      <c r="B128" s="5" t="n"/>
      <c r="C128" s="5" t="n"/>
      <c r="D128" s="5" t="n"/>
      <c r="E128" s="19">
        <f>IF(B128="","",SUMIFS('Metraj Mahal Listesi'!$F$5:$F$504,'Metraj Mahal Listesi'!$C$5:$C$504,B128,'Metraj Mahal Listesi'!$I$5:$I$504,"&lt;&gt;KAPSAM DIŞI*",'Metraj Mahal Listesi'!$I$5:$I$504,"&lt;&gt;DAHİL DEĞİL*"))</f>
        <v/>
      </c>
      <c r="F128" s="20" t="n"/>
      <c r="G128" s="21">
        <f>IF(OR(E128="",F128=""),"",E128*F128)</f>
        <v/>
      </c>
      <c r="H128" s="5" t="n"/>
    </row>
    <row r="129">
      <c r="A129" s="5" t="n"/>
      <c r="B129" s="5" t="n"/>
      <c r="C129" s="5" t="n"/>
      <c r="D129" s="5" t="n"/>
      <c r="E129" s="19">
        <f>IF(B129="","",SUMIFS('Metraj Mahal Listesi'!$F$5:$F$504,'Metraj Mahal Listesi'!$C$5:$C$504,B129,'Metraj Mahal Listesi'!$I$5:$I$504,"&lt;&gt;KAPSAM DIŞI*",'Metraj Mahal Listesi'!$I$5:$I$504,"&lt;&gt;DAHİL DEĞİL*"))</f>
        <v/>
      </c>
      <c r="F129" s="20" t="n"/>
      <c r="G129" s="21">
        <f>IF(OR(E129="",F129=""),"",E129*F129)</f>
        <v/>
      </c>
      <c r="H129" s="5" t="n"/>
    </row>
    <row r="130">
      <c r="A130" s="5" t="n"/>
      <c r="B130" s="5" t="n"/>
      <c r="C130" s="5" t="n"/>
      <c r="D130" s="5" t="n"/>
      <c r="E130" s="19">
        <f>IF(B130="","",SUMIFS('Metraj Mahal Listesi'!$F$5:$F$504,'Metraj Mahal Listesi'!$C$5:$C$504,B130,'Metraj Mahal Listesi'!$I$5:$I$504,"&lt;&gt;KAPSAM DIŞI*",'Metraj Mahal Listesi'!$I$5:$I$504,"&lt;&gt;DAHİL DEĞİL*"))</f>
        <v/>
      </c>
      <c r="F130" s="20" t="n"/>
      <c r="G130" s="21">
        <f>IF(OR(E130="",F130=""),"",E130*F130)</f>
        <v/>
      </c>
      <c r="H130" s="5" t="n"/>
    </row>
    <row r="131">
      <c r="A131" s="5" t="n"/>
      <c r="B131" s="5" t="n"/>
      <c r="C131" s="5" t="n"/>
      <c r="D131" s="5" t="n"/>
      <c r="E131" s="19">
        <f>IF(B131="","",SUMIFS('Metraj Mahal Listesi'!$F$5:$F$504,'Metraj Mahal Listesi'!$C$5:$C$504,B131,'Metraj Mahal Listesi'!$I$5:$I$504,"&lt;&gt;KAPSAM DIŞI*",'Metraj Mahal Listesi'!$I$5:$I$504,"&lt;&gt;DAHİL DEĞİL*"))</f>
        <v/>
      </c>
      <c r="F131" s="20" t="n"/>
      <c r="G131" s="21">
        <f>IF(OR(E131="",F131=""),"",E131*F131)</f>
        <v/>
      </c>
      <c r="H131" s="5" t="n"/>
    </row>
    <row r="132">
      <c r="A132" s="5" t="n"/>
      <c r="B132" s="5" t="n"/>
      <c r="C132" s="5" t="n"/>
      <c r="D132" s="5" t="n"/>
      <c r="E132" s="19">
        <f>IF(B132="","",SUMIFS('Metraj Mahal Listesi'!$F$5:$F$504,'Metraj Mahal Listesi'!$C$5:$C$504,B132,'Metraj Mahal Listesi'!$I$5:$I$504,"&lt;&gt;KAPSAM DIŞI*",'Metraj Mahal Listesi'!$I$5:$I$504,"&lt;&gt;DAHİL DEĞİL*"))</f>
        <v/>
      </c>
      <c r="F132" s="20" t="n"/>
      <c r="G132" s="21">
        <f>IF(OR(E132="",F132=""),"",E132*F132)</f>
        <v/>
      </c>
      <c r="H132" s="5" t="n"/>
    </row>
    <row r="133">
      <c r="A133" s="5" t="n"/>
      <c r="B133" s="5" t="n"/>
      <c r="C133" s="5" t="n"/>
      <c r="D133" s="5" t="n"/>
      <c r="E133" s="19">
        <f>IF(B133="","",SUMIFS('Metraj Mahal Listesi'!$F$5:$F$504,'Metraj Mahal Listesi'!$C$5:$C$504,B133,'Metraj Mahal Listesi'!$I$5:$I$504,"&lt;&gt;KAPSAM DIŞI*",'Metraj Mahal Listesi'!$I$5:$I$504,"&lt;&gt;DAHİL DEĞİL*"))</f>
        <v/>
      </c>
      <c r="F133" s="20" t="n"/>
      <c r="G133" s="21">
        <f>IF(OR(E133="",F133=""),"",E133*F133)</f>
        <v/>
      </c>
      <c r="H133" s="5" t="n"/>
    </row>
    <row r="134">
      <c r="A134" s="5" t="n"/>
      <c r="B134" s="5" t="n"/>
      <c r="C134" s="5" t="n"/>
      <c r="D134" s="5" t="n"/>
      <c r="E134" s="19">
        <f>IF(B134="","",SUMIFS('Metraj Mahal Listesi'!$F$5:$F$504,'Metraj Mahal Listesi'!$C$5:$C$504,B134,'Metraj Mahal Listesi'!$I$5:$I$504,"&lt;&gt;KAPSAM DIŞI*",'Metraj Mahal Listesi'!$I$5:$I$504,"&lt;&gt;DAHİL DEĞİL*"))</f>
        <v/>
      </c>
      <c r="F134" s="20" t="n"/>
      <c r="G134" s="21">
        <f>IF(OR(E134="",F134=""),"",E134*F134)</f>
        <v/>
      </c>
      <c r="H134" s="5" t="n"/>
    </row>
    <row r="135">
      <c r="A135" s="5" t="n"/>
      <c r="B135" s="5" t="n"/>
      <c r="C135" s="5" t="n"/>
      <c r="D135" s="5" t="n"/>
      <c r="E135" s="19">
        <f>IF(B135="","",SUMIFS('Metraj Mahal Listesi'!$F$5:$F$504,'Metraj Mahal Listesi'!$C$5:$C$504,B135,'Metraj Mahal Listesi'!$I$5:$I$504,"&lt;&gt;KAPSAM DIŞI*",'Metraj Mahal Listesi'!$I$5:$I$504,"&lt;&gt;DAHİL DEĞİL*"))</f>
        <v/>
      </c>
      <c r="F135" s="20" t="n"/>
      <c r="G135" s="21">
        <f>IF(OR(E135="",F135=""),"",E135*F135)</f>
        <v/>
      </c>
      <c r="H135" s="5" t="n"/>
    </row>
    <row r="136">
      <c r="A136" s="5" t="n"/>
      <c r="B136" s="5" t="n"/>
      <c r="C136" s="5" t="n"/>
      <c r="D136" s="5" t="n"/>
      <c r="E136" s="19">
        <f>IF(B136="","",SUMIFS('Metraj Mahal Listesi'!$F$5:$F$504,'Metraj Mahal Listesi'!$C$5:$C$504,B136,'Metraj Mahal Listesi'!$I$5:$I$504,"&lt;&gt;KAPSAM DIŞI*",'Metraj Mahal Listesi'!$I$5:$I$504,"&lt;&gt;DAHİL DEĞİL*"))</f>
        <v/>
      </c>
      <c r="F136" s="20" t="n"/>
      <c r="G136" s="21">
        <f>IF(OR(E136="",F136=""),"",E136*F136)</f>
        <v/>
      </c>
      <c r="H136" s="5" t="n"/>
    </row>
    <row r="137">
      <c r="A137" s="5" t="n"/>
      <c r="B137" s="5" t="n"/>
      <c r="C137" s="5" t="n"/>
      <c r="D137" s="5" t="n"/>
      <c r="E137" s="19">
        <f>IF(B137="","",SUMIFS('Metraj Mahal Listesi'!$F$5:$F$504,'Metraj Mahal Listesi'!$C$5:$C$504,B137,'Metraj Mahal Listesi'!$I$5:$I$504,"&lt;&gt;KAPSAM DIŞI*",'Metraj Mahal Listesi'!$I$5:$I$504,"&lt;&gt;DAHİL DEĞİL*"))</f>
        <v/>
      </c>
      <c r="F137" s="20" t="n"/>
      <c r="G137" s="21">
        <f>IF(OR(E137="",F137=""),"",E137*F137)</f>
        <v/>
      </c>
      <c r="H137" s="5" t="n"/>
    </row>
    <row r="138">
      <c r="A138" s="5" t="n"/>
      <c r="B138" s="5" t="n"/>
      <c r="C138" s="5" t="n"/>
      <c r="D138" s="5" t="n"/>
      <c r="E138" s="19">
        <f>IF(B138="","",SUMIFS('Metraj Mahal Listesi'!$F$5:$F$504,'Metraj Mahal Listesi'!$C$5:$C$504,B138,'Metraj Mahal Listesi'!$I$5:$I$504,"&lt;&gt;KAPSAM DIŞI*",'Metraj Mahal Listesi'!$I$5:$I$504,"&lt;&gt;DAHİL DEĞİL*"))</f>
        <v/>
      </c>
      <c r="F138" s="20" t="n"/>
      <c r="G138" s="21">
        <f>IF(OR(E138="",F138=""),"",E138*F138)</f>
        <v/>
      </c>
      <c r="H138" s="5" t="n"/>
    </row>
    <row r="139">
      <c r="A139" s="5" t="n"/>
      <c r="B139" s="5" t="n"/>
      <c r="C139" s="5" t="n"/>
      <c r="D139" s="5" t="n"/>
      <c r="E139" s="19">
        <f>IF(B139="","",SUMIFS('Metraj Mahal Listesi'!$F$5:$F$504,'Metraj Mahal Listesi'!$C$5:$C$504,B139,'Metraj Mahal Listesi'!$I$5:$I$504,"&lt;&gt;KAPSAM DIŞI*",'Metraj Mahal Listesi'!$I$5:$I$504,"&lt;&gt;DAHİL DEĞİL*"))</f>
        <v/>
      </c>
      <c r="F139" s="20" t="n"/>
      <c r="G139" s="21">
        <f>IF(OR(E139="",F139=""),"",E139*F139)</f>
        <v/>
      </c>
      <c r="H139" s="5" t="n"/>
    </row>
    <row r="140">
      <c r="A140" s="5" t="n"/>
      <c r="B140" s="5" t="n"/>
      <c r="C140" s="5" t="n"/>
      <c r="D140" s="5" t="n"/>
      <c r="E140" s="19">
        <f>IF(B140="","",SUMIFS('Metraj Mahal Listesi'!$F$5:$F$504,'Metraj Mahal Listesi'!$C$5:$C$504,B140,'Metraj Mahal Listesi'!$I$5:$I$504,"&lt;&gt;KAPSAM DIŞI*",'Metraj Mahal Listesi'!$I$5:$I$504,"&lt;&gt;DAHİL DEĞİL*"))</f>
        <v/>
      </c>
      <c r="F140" s="20" t="n"/>
      <c r="G140" s="21">
        <f>IF(OR(E140="",F140=""),"",E140*F140)</f>
        <v/>
      </c>
      <c r="H140" s="5" t="n"/>
    </row>
    <row r="141">
      <c r="A141" s="5" t="n"/>
      <c r="B141" s="5" t="n"/>
      <c r="C141" s="5" t="n"/>
      <c r="D141" s="5" t="n"/>
      <c r="E141" s="19">
        <f>IF(B141="","",SUMIFS('Metraj Mahal Listesi'!$F$5:$F$504,'Metraj Mahal Listesi'!$C$5:$C$504,B141,'Metraj Mahal Listesi'!$I$5:$I$504,"&lt;&gt;KAPSAM DIŞI*",'Metraj Mahal Listesi'!$I$5:$I$504,"&lt;&gt;DAHİL DEĞİL*"))</f>
        <v/>
      </c>
      <c r="F141" s="20" t="n"/>
      <c r="G141" s="21">
        <f>IF(OR(E141="",F141=""),"",E141*F141)</f>
        <v/>
      </c>
      <c r="H141" s="5" t="n"/>
    </row>
    <row r="142">
      <c r="A142" s="5" t="n"/>
      <c r="B142" s="5" t="n"/>
      <c r="C142" s="5" t="n"/>
      <c r="D142" s="5" t="n"/>
      <c r="E142" s="19">
        <f>IF(B142="","",SUMIFS('Metraj Mahal Listesi'!$F$5:$F$504,'Metraj Mahal Listesi'!$C$5:$C$504,B142,'Metraj Mahal Listesi'!$I$5:$I$504,"&lt;&gt;KAPSAM DIŞI*",'Metraj Mahal Listesi'!$I$5:$I$504,"&lt;&gt;DAHİL DEĞİL*"))</f>
        <v/>
      </c>
      <c r="F142" s="20" t="n"/>
      <c r="G142" s="21">
        <f>IF(OR(E142="",F142=""),"",E142*F142)</f>
        <v/>
      </c>
      <c r="H142" s="5" t="n"/>
    </row>
    <row r="143">
      <c r="A143" s="5" t="n"/>
      <c r="B143" s="5" t="n"/>
      <c r="C143" s="5" t="n"/>
      <c r="D143" s="5" t="n"/>
      <c r="E143" s="19">
        <f>IF(B143="","",SUMIFS('Metraj Mahal Listesi'!$F$5:$F$504,'Metraj Mahal Listesi'!$C$5:$C$504,B143,'Metraj Mahal Listesi'!$I$5:$I$504,"&lt;&gt;KAPSAM DIŞI*",'Metraj Mahal Listesi'!$I$5:$I$504,"&lt;&gt;DAHİL DEĞİL*"))</f>
        <v/>
      </c>
      <c r="F143" s="20" t="n"/>
      <c r="G143" s="21">
        <f>IF(OR(E143="",F143=""),"",E143*F143)</f>
        <v/>
      </c>
      <c r="H143" s="5" t="n"/>
    </row>
    <row r="144">
      <c r="A144" s="5" t="n"/>
      <c r="B144" s="5" t="n"/>
      <c r="C144" s="5" t="n"/>
      <c r="D144" s="5" t="n"/>
      <c r="E144" s="19">
        <f>IF(B144="","",SUMIFS('Metraj Mahal Listesi'!$F$5:$F$504,'Metraj Mahal Listesi'!$C$5:$C$504,B144,'Metraj Mahal Listesi'!$I$5:$I$504,"&lt;&gt;KAPSAM DIŞI*",'Metraj Mahal Listesi'!$I$5:$I$504,"&lt;&gt;DAHİL DEĞİL*"))</f>
        <v/>
      </c>
      <c r="F144" s="20" t="n"/>
      <c r="G144" s="21">
        <f>IF(OR(E144="",F144=""),"",E144*F144)</f>
        <v/>
      </c>
      <c r="H144" s="5" t="n"/>
    </row>
    <row r="145">
      <c r="A145" s="5" t="n"/>
      <c r="B145" s="5" t="n"/>
      <c r="C145" s="5" t="n"/>
      <c r="D145" s="5" t="n"/>
      <c r="E145" s="19">
        <f>IF(B145="","",SUMIFS('Metraj Mahal Listesi'!$F$5:$F$504,'Metraj Mahal Listesi'!$C$5:$C$504,B145,'Metraj Mahal Listesi'!$I$5:$I$504,"&lt;&gt;KAPSAM DIŞI*",'Metraj Mahal Listesi'!$I$5:$I$504,"&lt;&gt;DAHİL DEĞİL*"))</f>
        <v/>
      </c>
      <c r="F145" s="20" t="n"/>
      <c r="G145" s="21">
        <f>IF(OR(E145="",F145=""),"",E145*F145)</f>
        <v/>
      </c>
      <c r="H145" s="5" t="n"/>
    </row>
    <row r="146">
      <c r="A146" s="5" t="n"/>
      <c r="B146" s="5" t="n"/>
      <c r="C146" s="5" t="n"/>
      <c r="D146" s="5" t="n"/>
      <c r="E146" s="19">
        <f>IF(B146="","",SUMIFS('Metraj Mahal Listesi'!$F$5:$F$504,'Metraj Mahal Listesi'!$C$5:$C$504,B146,'Metraj Mahal Listesi'!$I$5:$I$504,"&lt;&gt;KAPSAM DIŞI*",'Metraj Mahal Listesi'!$I$5:$I$504,"&lt;&gt;DAHİL DEĞİL*"))</f>
        <v/>
      </c>
      <c r="F146" s="20" t="n"/>
      <c r="G146" s="21">
        <f>IF(OR(E146="",F146=""),"",E146*F146)</f>
        <v/>
      </c>
      <c r="H146" s="5" t="n"/>
    </row>
    <row r="147">
      <c r="A147" s="5" t="n"/>
      <c r="B147" s="5" t="n"/>
      <c r="C147" s="5" t="n"/>
      <c r="D147" s="5" t="n"/>
      <c r="E147" s="19">
        <f>IF(B147="","",SUMIFS('Metraj Mahal Listesi'!$F$5:$F$504,'Metraj Mahal Listesi'!$C$5:$C$504,B147,'Metraj Mahal Listesi'!$I$5:$I$504,"&lt;&gt;KAPSAM DIŞI*",'Metraj Mahal Listesi'!$I$5:$I$504,"&lt;&gt;DAHİL DEĞİL*"))</f>
        <v/>
      </c>
      <c r="F147" s="20" t="n"/>
      <c r="G147" s="21">
        <f>IF(OR(E147="",F147=""),"",E147*F147)</f>
        <v/>
      </c>
      <c r="H147" s="5" t="n"/>
    </row>
    <row r="148">
      <c r="A148" s="5" t="n"/>
      <c r="B148" s="5" t="n"/>
      <c r="C148" s="5" t="n"/>
      <c r="D148" s="5" t="n"/>
      <c r="E148" s="19">
        <f>IF(B148="","",SUMIFS('Metraj Mahal Listesi'!$F$5:$F$504,'Metraj Mahal Listesi'!$C$5:$C$504,B148,'Metraj Mahal Listesi'!$I$5:$I$504,"&lt;&gt;KAPSAM DIŞI*",'Metraj Mahal Listesi'!$I$5:$I$504,"&lt;&gt;DAHİL DEĞİL*"))</f>
        <v/>
      </c>
      <c r="F148" s="20" t="n"/>
      <c r="G148" s="21">
        <f>IF(OR(E148="",F148=""),"",E148*F148)</f>
        <v/>
      </c>
      <c r="H148" s="5" t="n"/>
    </row>
    <row r="149">
      <c r="A149" s="5" t="n"/>
      <c r="B149" s="5" t="n"/>
      <c r="C149" s="5" t="n"/>
      <c r="D149" s="5" t="n"/>
      <c r="E149" s="19">
        <f>IF(B149="","",SUMIFS('Metraj Mahal Listesi'!$F$5:$F$504,'Metraj Mahal Listesi'!$C$5:$C$504,B149,'Metraj Mahal Listesi'!$I$5:$I$504,"&lt;&gt;KAPSAM DIŞI*",'Metraj Mahal Listesi'!$I$5:$I$504,"&lt;&gt;DAHİL DEĞİL*"))</f>
        <v/>
      </c>
      <c r="F149" s="20" t="n"/>
      <c r="G149" s="21">
        <f>IF(OR(E149="",F149=""),"",E149*F149)</f>
        <v/>
      </c>
      <c r="H149" s="5" t="n"/>
    </row>
    <row r="150">
      <c r="A150" s="5" t="n"/>
      <c r="B150" s="5" t="n"/>
      <c r="C150" s="5" t="n"/>
      <c r="D150" s="5" t="n"/>
      <c r="E150" s="19">
        <f>IF(B150="","",SUMIFS('Metraj Mahal Listesi'!$F$5:$F$504,'Metraj Mahal Listesi'!$C$5:$C$504,B150,'Metraj Mahal Listesi'!$I$5:$I$504,"&lt;&gt;KAPSAM DIŞI*",'Metraj Mahal Listesi'!$I$5:$I$504,"&lt;&gt;DAHİL DEĞİL*"))</f>
        <v/>
      </c>
      <c r="F150" s="20" t="n"/>
      <c r="G150" s="21">
        <f>IF(OR(E150="",F150=""),"",E150*F150)</f>
        <v/>
      </c>
      <c r="H150" s="5" t="n"/>
    </row>
    <row r="151">
      <c r="A151" s="5" t="n"/>
      <c r="B151" s="5" t="n"/>
      <c r="C151" s="5" t="n"/>
      <c r="D151" s="5" t="n"/>
      <c r="E151" s="19">
        <f>IF(B151="","",SUMIFS('Metraj Mahal Listesi'!$F$5:$F$504,'Metraj Mahal Listesi'!$C$5:$C$504,B151,'Metraj Mahal Listesi'!$I$5:$I$504,"&lt;&gt;KAPSAM DIŞI*",'Metraj Mahal Listesi'!$I$5:$I$504,"&lt;&gt;DAHİL DEĞİL*"))</f>
        <v/>
      </c>
      <c r="F151" s="20" t="n"/>
      <c r="G151" s="21">
        <f>IF(OR(E151="",F151=""),"",E151*F151)</f>
        <v/>
      </c>
      <c r="H151" s="5" t="n"/>
    </row>
    <row r="152">
      <c r="A152" s="5" t="n"/>
      <c r="B152" s="5" t="n"/>
      <c r="C152" s="5" t="n"/>
      <c r="D152" s="5" t="n"/>
      <c r="E152" s="19">
        <f>IF(B152="","",SUMIFS('Metraj Mahal Listesi'!$F$5:$F$504,'Metraj Mahal Listesi'!$C$5:$C$504,B152,'Metraj Mahal Listesi'!$I$5:$I$504,"&lt;&gt;KAPSAM DIŞI*",'Metraj Mahal Listesi'!$I$5:$I$504,"&lt;&gt;DAHİL DEĞİL*"))</f>
        <v/>
      </c>
      <c r="F152" s="20" t="n"/>
      <c r="G152" s="21">
        <f>IF(OR(E152="",F152=""),"",E152*F152)</f>
        <v/>
      </c>
      <c r="H152" s="5" t="n"/>
    </row>
    <row r="153">
      <c r="A153" s="5" t="n"/>
      <c r="B153" s="5" t="n"/>
      <c r="C153" s="5" t="n"/>
      <c r="D153" s="5" t="n"/>
      <c r="E153" s="19">
        <f>IF(B153="","",SUMIFS('Metraj Mahal Listesi'!$F$5:$F$504,'Metraj Mahal Listesi'!$C$5:$C$504,B153,'Metraj Mahal Listesi'!$I$5:$I$504,"&lt;&gt;KAPSAM DIŞI*",'Metraj Mahal Listesi'!$I$5:$I$504,"&lt;&gt;DAHİL DEĞİL*"))</f>
        <v/>
      </c>
      <c r="F153" s="20" t="n"/>
      <c r="G153" s="21">
        <f>IF(OR(E153="",F153=""),"",E153*F153)</f>
        <v/>
      </c>
      <c r="H153" s="5" t="n"/>
    </row>
    <row r="154">
      <c r="A154" s="5" t="n"/>
      <c r="B154" s="5" t="n"/>
      <c r="C154" s="5" t="n"/>
      <c r="D154" s="5" t="n"/>
      <c r="E154" s="19">
        <f>IF(B154="","",SUMIFS('Metraj Mahal Listesi'!$F$5:$F$504,'Metraj Mahal Listesi'!$C$5:$C$504,B154,'Metraj Mahal Listesi'!$I$5:$I$504,"&lt;&gt;KAPSAM DIŞI*",'Metraj Mahal Listesi'!$I$5:$I$504,"&lt;&gt;DAHİL DEĞİL*"))</f>
        <v/>
      </c>
      <c r="F154" s="20" t="n"/>
      <c r="G154" s="21">
        <f>IF(OR(E154="",F154=""),"",E154*F154)</f>
        <v/>
      </c>
      <c r="H154" s="5" t="n"/>
    </row>
    <row r="155">
      <c r="A155" s="5" t="n"/>
      <c r="B155" s="5" t="n"/>
      <c r="C155" s="5" t="n"/>
      <c r="D155" s="5" t="n"/>
      <c r="E155" s="19">
        <f>IF(B155="","",SUMIFS('Metraj Mahal Listesi'!$F$5:$F$504,'Metraj Mahal Listesi'!$C$5:$C$504,B155,'Metraj Mahal Listesi'!$I$5:$I$504,"&lt;&gt;KAPSAM DIŞI*",'Metraj Mahal Listesi'!$I$5:$I$504,"&lt;&gt;DAHİL DEĞİL*"))</f>
        <v/>
      </c>
      <c r="F155" s="20" t="n"/>
      <c r="G155" s="21">
        <f>IF(OR(E155="",F155=""),"",E155*F155)</f>
        <v/>
      </c>
      <c r="H155" s="5" t="n"/>
    </row>
    <row r="156">
      <c r="A156" s="5" t="n"/>
      <c r="B156" s="5" t="n"/>
      <c r="C156" s="5" t="n"/>
      <c r="D156" s="5" t="n"/>
      <c r="E156" s="19">
        <f>IF(B156="","",SUMIFS('Metraj Mahal Listesi'!$F$5:$F$504,'Metraj Mahal Listesi'!$C$5:$C$504,B156,'Metraj Mahal Listesi'!$I$5:$I$504,"&lt;&gt;KAPSAM DIŞI*",'Metraj Mahal Listesi'!$I$5:$I$504,"&lt;&gt;DAHİL DEĞİL*"))</f>
        <v/>
      </c>
      <c r="F156" s="20" t="n"/>
      <c r="G156" s="21">
        <f>IF(OR(E156="",F156=""),"",E156*F156)</f>
        <v/>
      </c>
      <c r="H156" s="5" t="n"/>
    </row>
    <row r="157">
      <c r="A157" s="5" t="n"/>
      <c r="B157" s="5" t="n"/>
      <c r="C157" s="5" t="n"/>
      <c r="D157" s="5" t="n"/>
      <c r="E157" s="19">
        <f>IF(B157="","",SUMIFS('Metraj Mahal Listesi'!$F$5:$F$504,'Metraj Mahal Listesi'!$C$5:$C$504,B157,'Metraj Mahal Listesi'!$I$5:$I$504,"&lt;&gt;KAPSAM DIŞI*",'Metraj Mahal Listesi'!$I$5:$I$504,"&lt;&gt;DAHİL DEĞİL*"))</f>
        <v/>
      </c>
      <c r="F157" s="20" t="n"/>
      <c r="G157" s="21">
        <f>IF(OR(E157="",F157=""),"",E157*F157)</f>
        <v/>
      </c>
      <c r="H157" s="5" t="n"/>
    </row>
    <row r="158">
      <c r="A158" s="5" t="n"/>
      <c r="B158" s="5" t="n"/>
      <c r="C158" s="5" t="n"/>
      <c r="D158" s="5" t="n"/>
      <c r="E158" s="19">
        <f>IF(B158="","",SUMIFS('Metraj Mahal Listesi'!$F$5:$F$504,'Metraj Mahal Listesi'!$C$5:$C$504,B158,'Metraj Mahal Listesi'!$I$5:$I$504,"&lt;&gt;KAPSAM DIŞI*",'Metraj Mahal Listesi'!$I$5:$I$504,"&lt;&gt;DAHİL DEĞİL*"))</f>
        <v/>
      </c>
      <c r="F158" s="20" t="n"/>
      <c r="G158" s="21">
        <f>IF(OR(E158="",F158=""),"",E158*F158)</f>
        <v/>
      </c>
      <c r="H158" s="5" t="n"/>
    </row>
    <row r="159">
      <c r="A159" s="5" t="n"/>
      <c r="B159" s="5" t="n"/>
      <c r="C159" s="5" t="n"/>
      <c r="D159" s="5" t="n"/>
      <c r="E159" s="19">
        <f>IF(B159="","",SUMIFS('Metraj Mahal Listesi'!$F$5:$F$504,'Metraj Mahal Listesi'!$C$5:$C$504,B159,'Metraj Mahal Listesi'!$I$5:$I$504,"&lt;&gt;KAPSAM DIŞI*",'Metraj Mahal Listesi'!$I$5:$I$504,"&lt;&gt;DAHİL DEĞİL*"))</f>
        <v/>
      </c>
      <c r="F159" s="20" t="n"/>
      <c r="G159" s="21">
        <f>IF(OR(E159="",F159=""),"",E159*F159)</f>
        <v/>
      </c>
      <c r="H159" s="5" t="n"/>
    </row>
    <row r="160">
      <c r="A160" s="5" t="n"/>
      <c r="B160" s="5" t="n"/>
      <c r="C160" s="5" t="n"/>
      <c r="D160" s="5" t="n"/>
      <c r="E160" s="19">
        <f>IF(B160="","",SUMIFS('Metraj Mahal Listesi'!$F$5:$F$504,'Metraj Mahal Listesi'!$C$5:$C$504,B160,'Metraj Mahal Listesi'!$I$5:$I$504,"&lt;&gt;KAPSAM DIŞI*",'Metraj Mahal Listesi'!$I$5:$I$504,"&lt;&gt;DAHİL DEĞİL*"))</f>
        <v/>
      </c>
      <c r="F160" s="20" t="n"/>
      <c r="G160" s="21">
        <f>IF(OR(E160="",F160=""),"",E160*F160)</f>
        <v/>
      </c>
      <c r="H160" s="5" t="n"/>
    </row>
    <row r="161">
      <c r="A161" s="5" t="n"/>
      <c r="B161" s="5" t="n"/>
      <c r="C161" s="5" t="n"/>
      <c r="D161" s="5" t="n"/>
      <c r="E161" s="19">
        <f>IF(B161="","",SUMIFS('Metraj Mahal Listesi'!$F$5:$F$504,'Metraj Mahal Listesi'!$C$5:$C$504,B161,'Metraj Mahal Listesi'!$I$5:$I$504,"&lt;&gt;KAPSAM DIŞI*",'Metraj Mahal Listesi'!$I$5:$I$504,"&lt;&gt;DAHİL DEĞİL*"))</f>
        <v/>
      </c>
      <c r="F161" s="20" t="n"/>
      <c r="G161" s="21">
        <f>IF(OR(E161="",F161=""),"",E161*F161)</f>
        <v/>
      </c>
      <c r="H161" s="5" t="n"/>
    </row>
    <row r="162">
      <c r="A162" s="5" t="n"/>
      <c r="B162" s="5" t="n"/>
      <c r="C162" s="5" t="n"/>
      <c r="D162" s="5" t="n"/>
      <c r="E162" s="19">
        <f>IF(B162="","",SUMIFS('Metraj Mahal Listesi'!$F$5:$F$504,'Metraj Mahal Listesi'!$C$5:$C$504,B162,'Metraj Mahal Listesi'!$I$5:$I$504,"&lt;&gt;KAPSAM DIŞI*",'Metraj Mahal Listesi'!$I$5:$I$504,"&lt;&gt;DAHİL DEĞİL*"))</f>
        <v/>
      </c>
      <c r="F162" s="20" t="n"/>
      <c r="G162" s="21">
        <f>IF(OR(E162="",F162=""),"",E162*F162)</f>
        <v/>
      </c>
      <c r="H162" s="5" t="n"/>
    </row>
    <row r="163">
      <c r="A163" s="5" t="n"/>
      <c r="B163" s="5" t="n"/>
      <c r="C163" s="5" t="n"/>
      <c r="D163" s="5" t="n"/>
      <c r="E163" s="19">
        <f>IF(B163="","",SUMIFS('Metraj Mahal Listesi'!$F$5:$F$504,'Metraj Mahal Listesi'!$C$5:$C$504,B163,'Metraj Mahal Listesi'!$I$5:$I$504,"&lt;&gt;KAPSAM DIŞI*",'Metraj Mahal Listesi'!$I$5:$I$504,"&lt;&gt;DAHİL DEĞİL*"))</f>
        <v/>
      </c>
      <c r="F163" s="20" t="n"/>
      <c r="G163" s="21">
        <f>IF(OR(E163="",F163=""),"",E163*F163)</f>
        <v/>
      </c>
      <c r="H163" s="5" t="n"/>
    </row>
    <row r="164">
      <c r="A164" s="5" t="n"/>
      <c r="B164" s="5" t="n"/>
      <c r="C164" s="5" t="n"/>
      <c r="D164" s="5" t="n"/>
      <c r="E164" s="19">
        <f>IF(B164="","",SUMIFS('Metraj Mahal Listesi'!$F$5:$F$504,'Metraj Mahal Listesi'!$C$5:$C$504,B164,'Metraj Mahal Listesi'!$I$5:$I$504,"&lt;&gt;KAPSAM DIŞI*",'Metraj Mahal Listesi'!$I$5:$I$504,"&lt;&gt;DAHİL DEĞİL*"))</f>
        <v/>
      </c>
      <c r="F164" s="20" t="n"/>
      <c r="G164" s="21">
        <f>IF(OR(E164="",F164=""),"",E164*F164)</f>
        <v/>
      </c>
      <c r="H164" s="5" t="n"/>
    </row>
    <row r="165">
      <c r="A165" s="5" t="n"/>
      <c r="B165" s="5" t="n"/>
      <c r="C165" s="5" t="n"/>
      <c r="D165" s="5" t="n"/>
      <c r="E165" s="19">
        <f>IF(B165="","",SUMIFS('Metraj Mahal Listesi'!$F$5:$F$504,'Metraj Mahal Listesi'!$C$5:$C$504,B165,'Metraj Mahal Listesi'!$I$5:$I$504,"&lt;&gt;KAPSAM DIŞI*",'Metraj Mahal Listesi'!$I$5:$I$504,"&lt;&gt;DAHİL DEĞİL*"))</f>
        <v/>
      </c>
      <c r="F165" s="20" t="n"/>
      <c r="G165" s="21">
        <f>IF(OR(E165="",F165=""),"",E165*F165)</f>
        <v/>
      </c>
      <c r="H165" s="5" t="n"/>
    </row>
    <row r="166">
      <c r="A166" s="5" t="n"/>
      <c r="B166" s="5" t="n"/>
      <c r="C166" s="5" t="n"/>
      <c r="D166" s="5" t="n"/>
      <c r="E166" s="19">
        <f>IF(B166="","",SUMIFS('Metraj Mahal Listesi'!$F$5:$F$504,'Metraj Mahal Listesi'!$C$5:$C$504,B166,'Metraj Mahal Listesi'!$I$5:$I$504,"&lt;&gt;KAPSAM DIŞI*",'Metraj Mahal Listesi'!$I$5:$I$504,"&lt;&gt;DAHİL DEĞİL*"))</f>
        <v/>
      </c>
      <c r="F166" s="20" t="n"/>
      <c r="G166" s="21">
        <f>IF(OR(E166="",F166=""),"",E166*F166)</f>
        <v/>
      </c>
      <c r="H166" s="5" t="n"/>
    </row>
    <row r="167">
      <c r="A167" s="5" t="n"/>
      <c r="B167" s="5" t="n"/>
      <c r="C167" s="5" t="n"/>
      <c r="D167" s="5" t="n"/>
      <c r="E167" s="19">
        <f>IF(B167="","",SUMIFS('Metraj Mahal Listesi'!$F$5:$F$504,'Metraj Mahal Listesi'!$C$5:$C$504,B167,'Metraj Mahal Listesi'!$I$5:$I$504,"&lt;&gt;KAPSAM DIŞI*",'Metraj Mahal Listesi'!$I$5:$I$504,"&lt;&gt;DAHİL DEĞİL*"))</f>
        <v/>
      </c>
      <c r="F167" s="20" t="n"/>
      <c r="G167" s="21">
        <f>IF(OR(E167="",F167=""),"",E167*F167)</f>
        <v/>
      </c>
      <c r="H167" s="5" t="n"/>
    </row>
    <row r="168">
      <c r="A168" s="5" t="n"/>
      <c r="B168" s="5" t="n"/>
      <c r="C168" s="5" t="n"/>
      <c r="D168" s="5" t="n"/>
      <c r="E168" s="19">
        <f>IF(B168="","",SUMIFS('Metraj Mahal Listesi'!$F$5:$F$504,'Metraj Mahal Listesi'!$C$5:$C$504,B168,'Metraj Mahal Listesi'!$I$5:$I$504,"&lt;&gt;KAPSAM DIŞI*",'Metraj Mahal Listesi'!$I$5:$I$504,"&lt;&gt;DAHİL DEĞİL*"))</f>
        <v/>
      </c>
      <c r="F168" s="20" t="n"/>
      <c r="G168" s="21">
        <f>IF(OR(E168="",F168=""),"",E168*F168)</f>
        <v/>
      </c>
      <c r="H168" s="5" t="n"/>
    </row>
    <row r="169">
      <c r="A169" s="5" t="n"/>
      <c r="B169" s="5" t="n"/>
      <c r="C169" s="5" t="n"/>
      <c r="D169" s="5" t="n"/>
      <c r="E169" s="19">
        <f>IF(B169="","",SUMIFS('Metraj Mahal Listesi'!$F$5:$F$504,'Metraj Mahal Listesi'!$C$5:$C$504,B169,'Metraj Mahal Listesi'!$I$5:$I$504,"&lt;&gt;KAPSAM DIŞI*",'Metraj Mahal Listesi'!$I$5:$I$504,"&lt;&gt;DAHİL DEĞİL*"))</f>
        <v/>
      </c>
      <c r="F169" s="20" t="n"/>
      <c r="G169" s="21">
        <f>IF(OR(E169="",F169=""),"",E169*F169)</f>
        <v/>
      </c>
      <c r="H169" s="5" t="n"/>
    </row>
    <row r="170">
      <c r="A170" s="5" t="n"/>
      <c r="B170" s="5" t="n"/>
      <c r="C170" s="5" t="n"/>
      <c r="D170" s="5" t="n"/>
      <c r="E170" s="19">
        <f>IF(B170="","",SUMIFS('Metraj Mahal Listesi'!$F$5:$F$504,'Metraj Mahal Listesi'!$C$5:$C$504,B170,'Metraj Mahal Listesi'!$I$5:$I$504,"&lt;&gt;KAPSAM DIŞI*",'Metraj Mahal Listesi'!$I$5:$I$504,"&lt;&gt;DAHİL DEĞİL*"))</f>
        <v/>
      </c>
      <c r="F170" s="20" t="n"/>
      <c r="G170" s="21">
        <f>IF(OR(E170="",F170=""),"",E170*F170)</f>
        <v/>
      </c>
      <c r="H170" s="5" t="n"/>
    </row>
    <row r="171">
      <c r="A171" s="5" t="n"/>
      <c r="B171" s="5" t="n"/>
      <c r="C171" s="5" t="n"/>
      <c r="D171" s="5" t="n"/>
      <c r="E171" s="19">
        <f>IF(B171="","",SUMIFS('Metraj Mahal Listesi'!$F$5:$F$504,'Metraj Mahal Listesi'!$C$5:$C$504,B171,'Metraj Mahal Listesi'!$I$5:$I$504,"&lt;&gt;KAPSAM DIŞI*",'Metraj Mahal Listesi'!$I$5:$I$504,"&lt;&gt;DAHİL DEĞİL*"))</f>
        <v/>
      </c>
      <c r="F171" s="20" t="n"/>
      <c r="G171" s="21">
        <f>IF(OR(E171="",F171=""),"",E171*F171)</f>
        <v/>
      </c>
      <c r="H171" s="5" t="n"/>
    </row>
    <row r="172">
      <c r="A172" s="5" t="n"/>
      <c r="B172" s="5" t="n"/>
      <c r="C172" s="5" t="n"/>
      <c r="D172" s="5" t="n"/>
      <c r="E172" s="19">
        <f>IF(B172="","",SUMIFS('Metraj Mahal Listesi'!$F$5:$F$504,'Metraj Mahal Listesi'!$C$5:$C$504,B172,'Metraj Mahal Listesi'!$I$5:$I$504,"&lt;&gt;KAPSAM DIŞI*",'Metraj Mahal Listesi'!$I$5:$I$504,"&lt;&gt;DAHİL DEĞİL*"))</f>
        <v/>
      </c>
      <c r="F172" s="20" t="n"/>
      <c r="G172" s="21">
        <f>IF(OR(E172="",F172=""),"",E172*F172)</f>
        <v/>
      </c>
      <c r="H172" s="5" t="n"/>
    </row>
    <row r="173">
      <c r="A173" s="5" t="n"/>
      <c r="B173" s="5" t="n"/>
      <c r="C173" s="5" t="n"/>
      <c r="D173" s="5" t="n"/>
      <c r="E173" s="19">
        <f>IF(B173="","",SUMIFS('Metraj Mahal Listesi'!$F$5:$F$504,'Metraj Mahal Listesi'!$C$5:$C$504,B173,'Metraj Mahal Listesi'!$I$5:$I$504,"&lt;&gt;KAPSAM DIŞI*",'Metraj Mahal Listesi'!$I$5:$I$504,"&lt;&gt;DAHİL DEĞİL*"))</f>
        <v/>
      </c>
      <c r="F173" s="20" t="n"/>
      <c r="G173" s="21">
        <f>IF(OR(E173="",F173=""),"",E173*F173)</f>
        <v/>
      </c>
      <c r="H173" s="5" t="n"/>
    </row>
    <row r="174">
      <c r="A174" s="5" t="n"/>
      <c r="B174" s="5" t="n"/>
      <c r="C174" s="5" t="n"/>
      <c r="D174" s="5" t="n"/>
      <c r="E174" s="19">
        <f>IF(B174="","",SUMIFS('Metraj Mahal Listesi'!$F$5:$F$504,'Metraj Mahal Listesi'!$C$5:$C$504,B174,'Metraj Mahal Listesi'!$I$5:$I$504,"&lt;&gt;KAPSAM DIŞI*",'Metraj Mahal Listesi'!$I$5:$I$504,"&lt;&gt;DAHİL DEĞİL*"))</f>
        <v/>
      </c>
      <c r="F174" s="20" t="n"/>
      <c r="G174" s="21">
        <f>IF(OR(E174="",F174=""),"",E174*F174)</f>
        <v/>
      </c>
      <c r="H174" s="5" t="n"/>
    </row>
    <row r="175">
      <c r="A175" s="5" t="n"/>
      <c r="B175" s="5" t="n"/>
      <c r="C175" s="5" t="n"/>
      <c r="D175" s="5" t="n"/>
      <c r="E175" s="19">
        <f>IF(B175="","",SUMIFS('Metraj Mahal Listesi'!$F$5:$F$504,'Metraj Mahal Listesi'!$C$5:$C$504,B175,'Metraj Mahal Listesi'!$I$5:$I$504,"&lt;&gt;KAPSAM DIŞI*",'Metraj Mahal Listesi'!$I$5:$I$504,"&lt;&gt;DAHİL DEĞİL*"))</f>
        <v/>
      </c>
      <c r="F175" s="20" t="n"/>
      <c r="G175" s="21">
        <f>IF(OR(E175="",F175=""),"",E175*F175)</f>
        <v/>
      </c>
      <c r="H175" s="5" t="n"/>
    </row>
    <row r="176">
      <c r="A176" s="5" t="n"/>
      <c r="B176" s="5" t="n"/>
      <c r="C176" s="5" t="n"/>
      <c r="D176" s="5" t="n"/>
      <c r="E176" s="19">
        <f>IF(B176="","",SUMIFS('Metraj Mahal Listesi'!$F$5:$F$504,'Metraj Mahal Listesi'!$C$5:$C$504,B176,'Metraj Mahal Listesi'!$I$5:$I$504,"&lt;&gt;KAPSAM DIŞI*",'Metraj Mahal Listesi'!$I$5:$I$504,"&lt;&gt;DAHİL DEĞİL*"))</f>
        <v/>
      </c>
      <c r="F176" s="20" t="n"/>
      <c r="G176" s="21">
        <f>IF(OR(E176="",F176=""),"",E176*F176)</f>
        <v/>
      </c>
      <c r="H176" s="5" t="n"/>
    </row>
    <row r="177">
      <c r="A177" s="5" t="n"/>
      <c r="B177" s="5" t="n"/>
      <c r="C177" s="5" t="n"/>
      <c r="D177" s="5" t="n"/>
      <c r="E177" s="19">
        <f>IF(B177="","",SUMIFS('Metraj Mahal Listesi'!$F$5:$F$504,'Metraj Mahal Listesi'!$C$5:$C$504,B177,'Metraj Mahal Listesi'!$I$5:$I$504,"&lt;&gt;KAPSAM DIŞI*",'Metraj Mahal Listesi'!$I$5:$I$504,"&lt;&gt;DAHİL DEĞİL*"))</f>
        <v/>
      </c>
      <c r="F177" s="20" t="n"/>
      <c r="G177" s="21">
        <f>IF(OR(E177="",F177=""),"",E177*F177)</f>
        <v/>
      </c>
      <c r="H177" s="5" t="n"/>
    </row>
    <row r="178">
      <c r="A178" s="5" t="n"/>
      <c r="B178" s="5" t="n"/>
      <c r="C178" s="5" t="n"/>
      <c r="D178" s="5" t="n"/>
      <c r="E178" s="19">
        <f>IF(B178="","",SUMIFS('Metraj Mahal Listesi'!$F$5:$F$504,'Metraj Mahal Listesi'!$C$5:$C$504,B178,'Metraj Mahal Listesi'!$I$5:$I$504,"&lt;&gt;KAPSAM DIŞI*",'Metraj Mahal Listesi'!$I$5:$I$504,"&lt;&gt;DAHİL DEĞİL*"))</f>
        <v/>
      </c>
      <c r="F178" s="20" t="n"/>
      <c r="G178" s="21">
        <f>IF(OR(E178="",F178=""),"",E178*F178)</f>
        <v/>
      </c>
      <c r="H178" s="5" t="n"/>
    </row>
    <row r="179">
      <c r="A179" s="5" t="n"/>
      <c r="B179" s="5" t="n"/>
      <c r="C179" s="5" t="n"/>
      <c r="D179" s="5" t="n"/>
      <c r="E179" s="19">
        <f>IF(B179="","",SUMIFS('Metraj Mahal Listesi'!$F$5:$F$504,'Metraj Mahal Listesi'!$C$5:$C$504,B179,'Metraj Mahal Listesi'!$I$5:$I$504,"&lt;&gt;KAPSAM DIŞI*",'Metraj Mahal Listesi'!$I$5:$I$504,"&lt;&gt;DAHİL DEĞİL*"))</f>
        <v/>
      </c>
      <c r="F179" s="20" t="n"/>
      <c r="G179" s="21">
        <f>IF(OR(E179="",F179=""),"",E179*F179)</f>
        <v/>
      </c>
      <c r="H179" s="5" t="n"/>
    </row>
    <row r="180">
      <c r="A180" s="5" t="n"/>
      <c r="B180" s="5" t="n"/>
      <c r="C180" s="5" t="n"/>
      <c r="D180" s="5" t="n"/>
      <c r="E180" s="19">
        <f>IF(B180="","",SUMIFS('Metraj Mahal Listesi'!$F$5:$F$504,'Metraj Mahal Listesi'!$C$5:$C$504,B180,'Metraj Mahal Listesi'!$I$5:$I$504,"&lt;&gt;KAPSAM DIŞI*",'Metraj Mahal Listesi'!$I$5:$I$504,"&lt;&gt;DAHİL DEĞİL*"))</f>
        <v/>
      </c>
      <c r="F180" s="20" t="n"/>
      <c r="G180" s="21">
        <f>IF(OR(E180="",F180=""),"",E180*F180)</f>
        <v/>
      </c>
      <c r="H180" s="5" t="n"/>
    </row>
    <row r="181">
      <c r="A181" s="5" t="n"/>
      <c r="B181" s="5" t="n"/>
      <c r="C181" s="5" t="n"/>
      <c r="D181" s="5" t="n"/>
      <c r="E181" s="19">
        <f>IF(B181="","",SUMIFS('Metraj Mahal Listesi'!$F$5:$F$504,'Metraj Mahal Listesi'!$C$5:$C$504,B181,'Metraj Mahal Listesi'!$I$5:$I$504,"&lt;&gt;KAPSAM DIŞI*",'Metraj Mahal Listesi'!$I$5:$I$504,"&lt;&gt;DAHİL DEĞİL*"))</f>
        <v/>
      </c>
      <c r="F181" s="20" t="n"/>
      <c r="G181" s="21">
        <f>IF(OR(E181="",F181=""),"",E181*F181)</f>
        <v/>
      </c>
      <c r="H181" s="5" t="n"/>
    </row>
    <row r="182">
      <c r="A182" s="5" t="n"/>
      <c r="B182" s="5" t="n"/>
      <c r="C182" s="5" t="n"/>
      <c r="D182" s="5" t="n"/>
      <c r="E182" s="19">
        <f>IF(B182="","",SUMIFS('Metraj Mahal Listesi'!$F$5:$F$504,'Metraj Mahal Listesi'!$C$5:$C$504,B182,'Metraj Mahal Listesi'!$I$5:$I$504,"&lt;&gt;KAPSAM DIŞI*",'Metraj Mahal Listesi'!$I$5:$I$504,"&lt;&gt;DAHİL DEĞİL*"))</f>
        <v/>
      </c>
      <c r="F182" s="20" t="n"/>
      <c r="G182" s="21">
        <f>IF(OR(E182="",F182=""),"",E182*F182)</f>
        <v/>
      </c>
      <c r="H182" s="5" t="n"/>
    </row>
    <row r="183">
      <c r="A183" s="5" t="n"/>
      <c r="B183" s="5" t="n"/>
      <c r="C183" s="5" t="n"/>
      <c r="D183" s="5" t="n"/>
      <c r="E183" s="19">
        <f>IF(B183="","",SUMIFS('Metraj Mahal Listesi'!$F$5:$F$504,'Metraj Mahal Listesi'!$C$5:$C$504,B183,'Metraj Mahal Listesi'!$I$5:$I$504,"&lt;&gt;KAPSAM DIŞI*",'Metraj Mahal Listesi'!$I$5:$I$504,"&lt;&gt;DAHİL DEĞİL*"))</f>
        <v/>
      </c>
      <c r="F183" s="20" t="n"/>
      <c r="G183" s="21">
        <f>IF(OR(E183="",F183=""),"",E183*F183)</f>
        <v/>
      </c>
      <c r="H183" s="5" t="n"/>
    </row>
    <row r="184">
      <c r="A184" s="5" t="n"/>
      <c r="B184" s="5" t="n"/>
      <c r="C184" s="5" t="n"/>
      <c r="D184" s="5" t="n"/>
      <c r="E184" s="19">
        <f>IF(B184="","",SUMIFS('Metraj Mahal Listesi'!$F$5:$F$504,'Metraj Mahal Listesi'!$C$5:$C$504,B184,'Metraj Mahal Listesi'!$I$5:$I$504,"&lt;&gt;KAPSAM DIŞI*",'Metraj Mahal Listesi'!$I$5:$I$504,"&lt;&gt;DAHİL DEĞİL*"))</f>
        <v/>
      </c>
      <c r="F184" s="20" t="n"/>
      <c r="G184" s="21">
        <f>IF(OR(E184="",F184=""),"",E184*F184)</f>
        <v/>
      </c>
      <c r="H184" s="5" t="n"/>
    </row>
    <row r="185">
      <c r="A185" s="5" t="n"/>
      <c r="B185" s="5" t="n"/>
      <c r="C185" s="5" t="n"/>
      <c r="D185" s="5" t="n"/>
      <c r="E185" s="19">
        <f>IF(B185="","",SUMIFS('Metraj Mahal Listesi'!$F$5:$F$504,'Metraj Mahal Listesi'!$C$5:$C$504,B185,'Metraj Mahal Listesi'!$I$5:$I$504,"&lt;&gt;KAPSAM DIŞI*",'Metraj Mahal Listesi'!$I$5:$I$504,"&lt;&gt;DAHİL DEĞİL*"))</f>
        <v/>
      </c>
      <c r="F185" s="20" t="n"/>
      <c r="G185" s="21">
        <f>IF(OR(E185="",F185=""),"",E185*F185)</f>
        <v/>
      </c>
      <c r="H185" s="5" t="n"/>
    </row>
    <row r="186">
      <c r="A186" s="5" t="n"/>
      <c r="B186" s="5" t="n"/>
      <c r="C186" s="5" t="n"/>
      <c r="D186" s="5" t="n"/>
      <c r="E186" s="19">
        <f>IF(B186="","",SUMIFS('Metraj Mahal Listesi'!$F$5:$F$504,'Metraj Mahal Listesi'!$C$5:$C$504,B186,'Metraj Mahal Listesi'!$I$5:$I$504,"&lt;&gt;KAPSAM DIŞI*",'Metraj Mahal Listesi'!$I$5:$I$504,"&lt;&gt;DAHİL DEĞİL*"))</f>
        <v/>
      </c>
      <c r="F186" s="20" t="n"/>
      <c r="G186" s="21">
        <f>IF(OR(E186="",F186=""),"",E186*F186)</f>
        <v/>
      </c>
      <c r="H186" s="5" t="n"/>
    </row>
    <row r="187">
      <c r="A187" s="5" t="n"/>
      <c r="B187" s="5" t="n"/>
      <c r="C187" s="5" t="n"/>
      <c r="D187" s="5" t="n"/>
      <c r="E187" s="19">
        <f>IF(B187="","",SUMIFS('Metraj Mahal Listesi'!$F$5:$F$504,'Metraj Mahal Listesi'!$C$5:$C$504,B187,'Metraj Mahal Listesi'!$I$5:$I$504,"&lt;&gt;KAPSAM DIŞI*",'Metraj Mahal Listesi'!$I$5:$I$504,"&lt;&gt;DAHİL DEĞİL*"))</f>
        <v/>
      </c>
      <c r="F187" s="20" t="n"/>
      <c r="G187" s="21">
        <f>IF(OR(E187="",F187=""),"",E187*F187)</f>
        <v/>
      </c>
      <c r="H187" s="5" t="n"/>
    </row>
    <row r="188">
      <c r="A188" s="5" t="n"/>
      <c r="B188" s="5" t="n"/>
      <c r="C188" s="5" t="n"/>
      <c r="D188" s="5" t="n"/>
      <c r="E188" s="19">
        <f>IF(B188="","",SUMIFS('Metraj Mahal Listesi'!$F$5:$F$504,'Metraj Mahal Listesi'!$C$5:$C$504,B188,'Metraj Mahal Listesi'!$I$5:$I$504,"&lt;&gt;KAPSAM DIŞI*",'Metraj Mahal Listesi'!$I$5:$I$504,"&lt;&gt;DAHİL DEĞİL*"))</f>
        <v/>
      </c>
      <c r="F188" s="20" t="n"/>
      <c r="G188" s="21">
        <f>IF(OR(E188="",F188=""),"",E188*F188)</f>
        <v/>
      </c>
      <c r="H188" s="5" t="n"/>
    </row>
    <row r="189">
      <c r="A189" s="5" t="n"/>
      <c r="B189" s="5" t="n"/>
      <c r="C189" s="5" t="n"/>
      <c r="D189" s="5" t="n"/>
      <c r="E189" s="19">
        <f>IF(B189="","",SUMIFS('Metraj Mahal Listesi'!$F$5:$F$504,'Metraj Mahal Listesi'!$C$5:$C$504,B189,'Metraj Mahal Listesi'!$I$5:$I$504,"&lt;&gt;KAPSAM DIŞI*",'Metraj Mahal Listesi'!$I$5:$I$504,"&lt;&gt;DAHİL DEĞİL*"))</f>
        <v/>
      </c>
      <c r="F189" s="20" t="n"/>
      <c r="G189" s="21">
        <f>IF(OR(E189="",F189=""),"",E189*F189)</f>
        <v/>
      </c>
      <c r="H189" s="5" t="n"/>
    </row>
    <row r="190">
      <c r="A190" s="5" t="n"/>
      <c r="B190" s="5" t="n"/>
      <c r="C190" s="5" t="n"/>
      <c r="D190" s="5" t="n"/>
      <c r="E190" s="19">
        <f>IF(B190="","",SUMIFS('Metraj Mahal Listesi'!$F$5:$F$504,'Metraj Mahal Listesi'!$C$5:$C$504,B190,'Metraj Mahal Listesi'!$I$5:$I$504,"&lt;&gt;KAPSAM DIŞI*",'Metraj Mahal Listesi'!$I$5:$I$504,"&lt;&gt;DAHİL DEĞİL*"))</f>
        <v/>
      </c>
      <c r="F190" s="20" t="n"/>
      <c r="G190" s="21">
        <f>IF(OR(E190="",F190=""),"",E190*F190)</f>
        <v/>
      </c>
      <c r="H190" s="5" t="n"/>
    </row>
    <row r="191">
      <c r="A191" s="5" t="n"/>
      <c r="B191" s="5" t="n"/>
      <c r="C191" s="5" t="n"/>
      <c r="D191" s="5" t="n"/>
      <c r="E191" s="19">
        <f>IF(B191="","",SUMIFS('Metraj Mahal Listesi'!$F$5:$F$504,'Metraj Mahal Listesi'!$C$5:$C$504,B191,'Metraj Mahal Listesi'!$I$5:$I$504,"&lt;&gt;KAPSAM DIŞI*",'Metraj Mahal Listesi'!$I$5:$I$504,"&lt;&gt;DAHİL DEĞİL*"))</f>
        <v/>
      </c>
      <c r="F191" s="20" t="n"/>
      <c r="G191" s="21">
        <f>IF(OR(E191="",F191=""),"",E191*F191)</f>
        <v/>
      </c>
      <c r="H191" s="5" t="n"/>
    </row>
    <row r="192">
      <c r="A192" s="5" t="n"/>
      <c r="B192" s="5" t="n"/>
      <c r="C192" s="5" t="n"/>
      <c r="D192" s="5" t="n"/>
      <c r="E192" s="19">
        <f>IF(B192="","",SUMIFS('Metraj Mahal Listesi'!$F$5:$F$504,'Metraj Mahal Listesi'!$C$5:$C$504,B192,'Metraj Mahal Listesi'!$I$5:$I$504,"&lt;&gt;KAPSAM DIŞI*",'Metraj Mahal Listesi'!$I$5:$I$504,"&lt;&gt;DAHİL DEĞİL*"))</f>
        <v/>
      </c>
      <c r="F192" s="20" t="n"/>
      <c r="G192" s="21">
        <f>IF(OR(E192="",F192=""),"",E192*F192)</f>
        <v/>
      </c>
      <c r="H192" s="5" t="n"/>
    </row>
    <row r="193">
      <c r="A193" s="5" t="n"/>
      <c r="B193" s="5" t="n"/>
      <c r="C193" s="5" t="n"/>
      <c r="D193" s="5" t="n"/>
      <c r="E193" s="19">
        <f>IF(B193="","",SUMIFS('Metraj Mahal Listesi'!$F$5:$F$504,'Metraj Mahal Listesi'!$C$5:$C$504,B193,'Metraj Mahal Listesi'!$I$5:$I$504,"&lt;&gt;KAPSAM DIŞI*",'Metraj Mahal Listesi'!$I$5:$I$504,"&lt;&gt;DAHİL DEĞİL*"))</f>
        <v/>
      </c>
      <c r="F193" s="20" t="n"/>
      <c r="G193" s="21">
        <f>IF(OR(E193="",F193=""),"",E193*F193)</f>
        <v/>
      </c>
      <c r="H193" s="5" t="n"/>
    </row>
    <row r="194">
      <c r="A194" s="5" t="n"/>
      <c r="B194" s="5" t="n"/>
      <c r="C194" s="5" t="n"/>
      <c r="D194" s="5" t="n"/>
      <c r="E194" s="19">
        <f>IF(B194="","",SUMIFS('Metraj Mahal Listesi'!$F$5:$F$504,'Metraj Mahal Listesi'!$C$5:$C$504,B194,'Metraj Mahal Listesi'!$I$5:$I$504,"&lt;&gt;KAPSAM DIŞI*",'Metraj Mahal Listesi'!$I$5:$I$504,"&lt;&gt;DAHİL DEĞİL*"))</f>
        <v/>
      </c>
      <c r="F194" s="20" t="n"/>
      <c r="G194" s="21">
        <f>IF(OR(E194="",F194=""),"",E194*F194)</f>
        <v/>
      </c>
      <c r="H194" s="5" t="n"/>
    </row>
    <row r="195">
      <c r="A195" s="5" t="n"/>
      <c r="B195" s="5" t="n"/>
      <c r="C195" s="5" t="n"/>
      <c r="D195" s="5" t="n"/>
      <c r="E195" s="19">
        <f>IF(B195="","",SUMIFS('Metraj Mahal Listesi'!$F$5:$F$504,'Metraj Mahal Listesi'!$C$5:$C$504,B195,'Metraj Mahal Listesi'!$I$5:$I$504,"&lt;&gt;KAPSAM DIŞI*",'Metraj Mahal Listesi'!$I$5:$I$504,"&lt;&gt;DAHİL DEĞİL*"))</f>
        <v/>
      </c>
      <c r="F195" s="20" t="n"/>
      <c r="G195" s="21">
        <f>IF(OR(E195="",F195=""),"",E195*F195)</f>
        <v/>
      </c>
      <c r="H195" s="5" t="n"/>
    </row>
    <row r="196">
      <c r="A196" s="5" t="n"/>
      <c r="B196" s="5" t="n"/>
      <c r="C196" s="5" t="n"/>
      <c r="D196" s="5" t="n"/>
      <c r="E196" s="19">
        <f>IF(B196="","",SUMIFS('Metraj Mahal Listesi'!$F$5:$F$504,'Metraj Mahal Listesi'!$C$5:$C$504,B196,'Metraj Mahal Listesi'!$I$5:$I$504,"&lt;&gt;KAPSAM DIŞI*",'Metraj Mahal Listesi'!$I$5:$I$504,"&lt;&gt;DAHİL DEĞİL*"))</f>
        <v/>
      </c>
      <c r="F196" s="20" t="n"/>
      <c r="G196" s="21">
        <f>IF(OR(E196="",F196=""),"",E196*F196)</f>
        <v/>
      </c>
      <c r="H196" s="5" t="n"/>
    </row>
    <row r="197">
      <c r="A197" s="5" t="n"/>
      <c r="B197" s="5" t="n"/>
      <c r="C197" s="5" t="n"/>
      <c r="D197" s="5" t="n"/>
      <c r="E197" s="19">
        <f>IF(B197="","",SUMIFS('Metraj Mahal Listesi'!$F$5:$F$504,'Metraj Mahal Listesi'!$C$5:$C$504,B197,'Metraj Mahal Listesi'!$I$5:$I$504,"&lt;&gt;KAPSAM DIŞI*",'Metraj Mahal Listesi'!$I$5:$I$504,"&lt;&gt;DAHİL DEĞİL*"))</f>
        <v/>
      </c>
      <c r="F197" s="20" t="n"/>
      <c r="G197" s="21">
        <f>IF(OR(E197="",F197=""),"",E197*F197)</f>
        <v/>
      </c>
      <c r="H197" s="5" t="n"/>
    </row>
    <row r="198">
      <c r="A198" s="5" t="n"/>
      <c r="B198" s="5" t="n"/>
      <c r="C198" s="5" t="n"/>
      <c r="D198" s="5" t="n"/>
      <c r="E198" s="19">
        <f>IF(B198="","",SUMIFS('Metraj Mahal Listesi'!$F$5:$F$504,'Metraj Mahal Listesi'!$C$5:$C$504,B198,'Metraj Mahal Listesi'!$I$5:$I$504,"&lt;&gt;KAPSAM DIŞI*",'Metraj Mahal Listesi'!$I$5:$I$504,"&lt;&gt;DAHİL DEĞİL*"))</f>
        <v/>
      </c>
      <c r="F198" s="20" t="n"/>
      <c r="G198" s="21">
        <f>IF(OR(E198="",F198=""),"",E198*F198)</f>
        <v/>
      </c>
      <c r="H198" s="5" t="n"/>
    </row>
    <row r="199">
      <c r="A199" s="5" t="n"/>
      <c r="B199" s="5" t="n"/>
      <c r="C199" s="5" t="n"/>
      <c r="D199" s="5" t="n"/>
      <c r="E199" s="19">
        <f>IF(B199="","",SUMIFS('Metraj Mahal Listesi'!$F$5:$F$504,'Metraj Mahal Listesi'!$C$5:$C$504,B199,'Metraj Mahal Listesi'!$I$5:$I$504,"&lt;&gt;KAPSAM DIŞI*",'Metraj Mahal Listesi'!$I$5:$I$504,"&lt;&gt;DAHİL DEĞİL*"))</f>
        <v/>
      </c>
      <c r="F199" s="20" t="n"/>
      <c r="G199" s="21">
        <f>IF(OR(E199="",F199=""),"",E199*F199)</f>
        <v/>
      </c>
      <c r="H199" s="5" t="n"/>
    </row>
    <row r="200">
      <c r="A200" s="5" t="n"/>
      <c r="B200" s="5" t="n"/>
      <c r="C200" s="5" t="n"/>
      <c r="D200" s="5" t="n"/>
      <c r="E200" s="19">
        <f>IF(B200="","",SUMIFS('Metraj Mahal Listesi'!$F$5:$F$504,'Metraj Mahal Listesi'!$C$5:$C$504,B200,'Metraj Mahal Listesi'!$I$5:$I$504,"&lt;&gt;KAPSAM DIŞI*",'Metraj Mahal Listesi'!$I$5:$I$504,"&lt;&gt;DAHİL DEĞİL*"))</f>
        <v/>
      </c>
      <c r="F200" s="20" t="n"/>
      <c r="G200" s="21">
        <f>IF(OR(E200="",F200=""),"",E200*F200)</f>
        <v/>
      </c>
      <c r="H200" s="5" t="n"/>
    </row>
    <row r="201">
      <c r="A201" s="5" t="n"/>
      <c r="B201" s="5" t="n"/>
      <c r="C201" s="5" t="n"/>
      <c r="D201" s="5" t="n"/>
      <c r="E201" s="19">
        <f>IF(B201="","",SUMIFS('Metraj Mahal Listesi'!$F$5:$F$504,'Metraj Mahal Listesi'!$C$5:$C$504,B201,'Metraj Mahal Listesi'!$I$5:$I$504,"&lt;&gt;KAPSAM DIŞI*",'Metraj Mahal Listesi'!$I$5:$I$504,"&lt;&gt;DAHİL DEĞİL*"))</f>
        <v/>
      </c>
      <c r="F201" s="20" t="n"/>
      <c r="G201" s="21">
        <f>IF(OR(E201="",F201=""),"",E201*F201)</f>
        <v/>
      </c>
      <c r="H201" s="5" t="n"/>
    </row>
    <row r="202">
      <c r="A202" s="5" t="n"/>
      <c r="B202" s="5" t="n"/>
      <c r="C202" s="5" t="n"/>
      <c r="D202" s="5" t="n"/>
      <c r="E202" s="19">
        <f>IF(B202="","",SUMIFS('Metraj Mahal Listesi'!$F$5:$F$504,'Metraj Mahal Listesi'!$C$5:$C$504,B202,'Metraj Mahal Listesi'!$I$5:$I$504,"&lt;&gt;KAPSAM DIŞI*",'Metraj Mahal Listesi'!$I$5:$I$504,"&lt;&gt;DAHİL DEĞİL*"))</f>
        <v/>
      </c>
      <c r="F202" s="20" t="n"/>
      <c r="G202" s="21">
        <f>IF(OR(E202="",F202=""),"",E202*F202)</f>
        <v/>
      </c>
      <c r="H202" s="5" t="n"/>
    </row>
    <row r="203">
      <c r="A203" s="5" t="n"/>
      <c r="B203" s="5" t="n"/>
      <c r="C203" s="5" t="n"/>
      <c r="D203" s="5" t="n"/>
      <c r="E203" s="19">
        <f>IF(B203="","",SUMIFS('Metraj Mahal Listesi'!$F$5:$F$504,'Metraj Mahal Listesi'!$C$5:$C$504,B203,'Metraj Mahal Listesi'!$I$5:$I$504,"&lt;&gt;KAPSAM DIŞI*",'Metraj Mahal Listesi'!$I$5:$I$504,"&lt;&gt;DAHİL DEĞİL*"))</f>
        <v/>
      </c>
      <c r="F203" s="20" t="n"/>
      <c r="G203" s="21">
        <f>IF(OR(E203="",F203=""),"",E203*F203)</f>
        <v/>
      </c>
      <c r="H203" s="5" t="n"/>
    </row>
    <row r="204">
      <c r="A204" s="5" t="n"/>
      <c r="B204" s="5" t="n"/>
      <c r="C204" s="5" t="n"/>
      <c r="D204" s="5" t="n"/>
      <c r="E204" s="19">
        <f>IF(B204="","",SUMIFS('Metraj Mahal Listesi'!$F$5:$F$504,'Metraj Mahal Listesi'!$C$5:$C$504,B204,'Metraj Mahal Listesi'!$I$5:$I$504,"&lt;&gt;KAPSAM DIŞI*",'Metraj Mahal Listesi'!$I$5:$I$504,"&lt;&gt;DAHİL DEĞİL*"))</f>
        <v/>
      </c>
      <c r="F204" s="20" t="n"/>
      <c r="G204" s="21">
        <f>IF(OR(E204="",F204=""),"",E204*F204)</f>
        <v/>
      </c>
      <c r="H204" s="5" t="n"/>
    </row>
    <row r="205">
      <c r="A205" s="5" t="n"/>
      <c r="B205" s="5" t="n"/>
      <c r="C205" s="5" t="n"/>
      <c r="D205" s="5" t="n"/>
      <c r="E205" s="19">
        <f>IF(B205="","",SUMIFS('Metraj Mahal Listesi'!$F$5:$F$504,'Metraj Mahal Listesi'!$C$5:$C$504,B205,'Metraj Mahal Listesi'!$I$5:$I$504,"&lt;&gt;KAPSAM DIŞI*",'Metraj Mahal Listesi'!$I$5:$I$504,"&lt;&gt;DAHİL DEĞİL*"))</f>
        <v/>
      </c>
      <c r="F205" s="20" t="n"/>
      <c r="G205" s="21">
        <f>IF(OR(E205="",F205=""),"",E205*F205)</f>
        <v/>
      </c>
      <c r="H205" s="5" t="n"/>
    </row>
    <row r="206">
      <c r="A206" s="5" t="n"/>
      <c r="B206" s="5" t="n"/>
      <c r="C206" s="5" t="n"/>
      <c r="D206" s="5" t="n"/>
      <c r="E206" s="19">
        <f>IF(B206="","",SUMIFS('Metraj Mahal Listesi'!$F$5:$F$504,'Metraj Mahal Listesi'!$C$5:$C$504,B206,'Metraj Mahal Listesi'!$I$5:$I$504,"&lt;&gt;KAPSAM DIŞI*",'Metraj Mahal Listesi'!$I$5:$I$504,"&lt;&gt;DAHİL DEĞİL*"))</f>
        <v/>
      </c>
      <c r="F206" s="20" t="n"/>
      <c r="G206" s="21">
        <f>IF(OR(E206="",F206=""),"",E206*F206)</f>
        <v/>
      </c>
      <c r="H206" s="5" t="n"/>
    </row>
    <row r="207">
      <c r="A207" s="5" t="n"/>
      <c r="B207" s="5" t="n"/>
      <c r="C207" s="5" t="n"/>
      <c r="D207" s="5" t="n"/>
      <c r="E207" s="19">
        <f>IF(B207="","",SUMIFS('Metraj Mahal Listesi'!$F$5:$F$504,'Metraj Mahal Listesi'!$C$5:$C$504,B207,'Metraj Mahal Listesi'!$I$5:$I$504,"&lt;&gt;KAPSAM DIŞI*",'Metraj Mahal Listesi'!$I$5:$I$504,"&lt;&gt;DAHİL DEĞİL*"))</f>
        <v/>
      </c>
      <c r="F207" s="20" t="n"/>
      <c r="G207" s="21">
        <f>IF(OR(E207="",F207=""),"",E207*F207)</f>
        <v/>
      </c>
      <c r="H207" s="5" t="n"/>
    </row>
    <row r="208">
      <c r="A208" s="5" t="n"/>
      <c r="B208" s="5" t="n"/>
      <c r="C208" s="5" t="n"/>
      <c r="D208" s="5" t="n"/>
      <c r="E208" s="19">
        <f>IF(B208="","",SUMIFS('Metraj Mahal Listesi'!$F$5:$F$504,'Metraj Mahal Listesi'!$C$5:$C$504,B208,'Metraj Mahal Listesi'!$I$5:$I$504,"&lt;&gt;KAPSAM DIŞI*",'Metraj Mahal Listesi'!$I$5:$I$504,"&lt;&gt;DAHİL DEĞİL*"))</f>
        <v/>
      </c>
      <c r="F208" s="20" t="n"/>
      <c r="G208" s="21">
        <f>IF(OR(E208="",F208=""),"",E208*F208)</f>
        <v/>
      </c>
      <c r="H208" s="5" t="n"/>
    </row>
    <row r="209">
      <c r="A209" s="5" t="n"/>
      <c r="B209" s="5" t="n"/>
      <c r="C209" s="5" t="n"/>
      <c r="D209" s="5" t="n"/>
      <c r="E209" s="19">
        <f>IF(B209="","",SUMIFS('Metraj Mahal Listesi'!$F$5:$F$504,'Metraj Mahal Listesi'!$C$5:$C$504,B209,'Metraj Mahal Listesi'!$I$5:$I$504,"&lt;&gt;KAPSAM DIŞI*",'Metraj Mahal Listesi'!$I$5:$I$504,"&lt;&gt;DAHİL DEĞİL*"))</f>
        <v/>
      </c>
      <c r="F209" s="20" t="n"/>
      <c r="G209" s="21">
        <f>IF(OR(E209="",F209=""),"",E209*F209)</f>
        <v/>
      </c>
      <c r="H209" s="5" t="n"/>
    </row>
    <row r="210">
      <c r="A210" s="5" t="n"/>
      <c r="B210" s="5" t="n"/>
      <c r="C210" s="5" t="n"/>
      <c r="D210" s="5" t="n"/>
      <c r="E210" s="19">
        <f>IF(B210="","",SUMIFS('Metraj Mahal Listesi'!$F$5:$F$504,'Metraj Mahal Listesi'!$C$5:$C$504,B210,'Metraj Mahal Listesi'!$I$5:$I$504,"&lt;&gt;KAPSAM DIŞI*",'Metraj Mahal Listesi'!$I$5:$I$504,"&lt;&gt;DAHİL DEĞİL*"))</f>
        <v/>
      </c>
      <c r="F210" s="20" t="n"/>
      <c r="G210" s="21">
        <f>IF(OR(E210="",F210=""),"",E210*F210)</f>
        <v/>
      </c>
      <c r="H210" s="5" t="n"/>
    </row>
    <row r="211">
      <c r="A211" s="5" t="n"/>
      <c r="B211" s="5" t="n"/>
      <c r="C211" s="5" t="n"/>
      <c r="D211" s="5" t="n"/>
      <c r="E211" s="19">
        <f>IF(B211="","",SUMIFS('Metraj Mahal Listesi'!$F$5:$F$504,'Metraj Mahal Listesi'!$C$5:$C$504,B211,'Metraj Mahal Listesi'!$I$5:$I$504,"&lt;&gt;KAPSAM DIŞI*",'Metraj Mahal Listesi'!$I$5:$I$504,"&lt;&gt;DAHİL DEĞİL*"))</f>
        <v/>
      </c>
      <c r="F211" s="20" t="n"/>
      <c r="G211" s="21">
        <f>IF(OR(E211="",F211=""),"",E211*F211)</f>
        <v/>
      </c>
      <c r="H211" s="5" t="n"/>
    </row>
    <row r="212">
      <c r="A212" s="5" t="n"/>
      <c r="B212" s="5" t="n"/>
      <c r="C212" s="5" t="n"/>
      <c r="D212" s="5" t="n"/>
      <c r="E212" s="19">
        <f>IF(B212="","",SUMIFS('Metraj Mahal Listesi'!$F$5:$F$504,'Metraj Mahal Listesi'!$C$5:$C$504,B212,'Metraj Mahal Listesi'!$I$5:$I$504,"&lt;&gt;KAPSAM DIŞI*",'Metraj Mahal Listesi'!$I$5:$I$504,"&lt;&gt;DAHİL DEĞİL*"))</f>
        <v/>
      </c>
      <c r="F212" s="20" t="n"/>
      <c r="G212" s="21">
        <f>IF(OR(E212="",F212=""),"",E212*F212)</f>
        <v/>
      </c>
      <c r="H212" s="5" t="n"/>
    </row>
    <row r="213">
      <c r="A213" s="5" t="n"/>
      <c r="B213" s="5" t="n"/>
      <c r="C213" s="5" t="n"/>
      <c r="D213" s="5" t="n"/>
      <c r="E213" s="19">
        <f>IF(B213="","",SUMIFS('Metraj Mahal Listesi'!$F$5:$F$504,'Metraj Mahal Listesi'!$C$5:$C$504,B213,'Metraj Mahal Listesi'!$I$5:$I$504,"&lt;&gt;KAPSAM DIŞI*",'Metraj Mahal Listesi'!$I$5:$I$504,"&lt;&gt;DAHİL DEĞİL*"))</f>
        <v/>
      </c>
      <c r="F213" s="20" t="n"/>
      <c r="G213" s="21">
        <f>IF(OR(E213="",F213=""),"",E213*F213)</f>
        <v/>
      </c>
      <c r="H213" s="5" t="n"/>
    </row>
    <row r="214">
      <c r="A214" s="5" t="n"/>
      <c r="B214" s="5" t="n"/>
      <c r="C214" s="5" t="n"/>
      <c r="D214" s="5" t="n"/>
      <c r="E214" s="19">
        <f>IF(B214="","",SUMIFS('Metraj Mahal Listesi'!$F$5:$F$504,'Metraj Mahal Listesi'!$C$5:$C$504,B214,'Metraj Mahal Listesi'!$I$5:$I$504,"&lt;&gt;KAPSAM DIŞI*",'Metraj Mahal Listesi'!$I$5:$I$504,"&lt;&gt;DAHİL DEĞİL*"))</f>
        <v/>
      </c>
      <c r="F214" s="20" t="n"/>
      <c r="G214" s="21">
        <f>IF(OR(E214="",F214=""),"",E214*F214)</f>
        <v/>
      </c>
      <c r="H214" s="5" t="n"/>
    </row>
    <row r="215">
      <c r="A215" s="5" t="n"/>
      <c r="B215" s="5" t="n"/>
      <c r="C215" s="5" t="n"/>
      <c r="D215" s="5" t="n"/>
      <c r="E215" s="19">
        <f>IF(B215="","",SUMIFS('Metraj Mahal Listesi'!$F$5:$F$504,'Metraj Mahal Listesi'!$C$5:$C$504,B215,'Metraj Mahal Listesi'!$I$5:$I$504,"&lt;&gt;KAPSAM DIŞI*",'Metraj Mahal Listesi'!$I$5:$I$504,"&lt;&gt;DAHİL DEĞİL*"))</f>
        <v/>
      </c>
      <c r="F215" s="20" t="n"/>
      <c r="G215" s="21">
        <f>IF(OR(E215="",F215=""),"",E215*F215)</f>
        <v/>
      </c>
      <c r="H215" s="5" t="n"/>
    </row>
    <row r="216">
      <c r="A216" s="5" t="n"/>
      <c r="B216" s="5" t="n"/>
      <c r="C216" s="5" t="n"/>
      <c r="D216" s="5" t="n"/>
      <c r="E216" s="19">
        <f>IF(B216="","",SUMIFS('Metraj Mahal Listesi'!$F$5:$F$504,'Metraj Mahal Listesi'!$C$5:$C$504,B216,'Metraj Mahal Listesi'!$I$5:$I$504,"&lt;&gt;KAPSAM DIŞI*",'Metraj Mahal Listesi'!$I$5:$I$504,"&lt;&gt;DAHİL DEĞİL*"))</f>
        <v/>
      </c>
      <c r="F216" s="20" t="n"/>
      <c r="G216" s="21">
        <f>IF(OR(E216="",F216=""),"",E216*F216)</f>
        <v/>
      </c>
      <c r="H216" s="5" t="n"/>
    </row>
    <row r="217">
      <c r="A217" s="5" t="n"/>
      <c r="B217" s="5" t="n"/>
      <c r="C217" s="5" t="n"/>
      <c r="D217" s="5" t="n"/>
      <c r="E217" s="19">
        <f>IF(B217="","",SUMIFS('Metraj Mahal Listesi'!$F$5:$F$504,'Metraj Mahal Listesi'!$C$5:$C$504,B217,'Metraj Mahal Listesi'!$I$5:$I$504,"&lt;&gt;KAPSAM DIŞI*",'Metraj Mahal Listesi'!$I$5:$I$504,"&lt;&gt;DAHİL DEĞİL*"))</f>
        <v/>
      </c>
      <c r="F217" s="20" t="n"/>
      <c r="G217" s="21">
        <f>IF(OR(E217="",F217=""),"",E217*F217)</f>
        <v/>
      </c>
      <c r="H217" s="5" t="n"/>
    </row>
    <row r="218">
      <c r="A218" s="5" t="n"/>
      <c r="B218" s="5" t="n"/>
      <c r="C218" s="5" t="n"/>
      <c r="D218" s="5" t="n"/>
      <c r="E218" s="19">
        <f>IF(B218="","",SUMIFS('Metraj Mahal Listesi'!$F$5:$F$504,'Metraj Mahal Listesi'!$C$5:$C$504,B218,'Metraj Mahal Listesi'!$I$5:$I$504,"&lt;&gt;KAPSAM DIŞI*",'Metraj Mahal Listesi'!$I$5:$I$504,"&lt;&gt;DAHİL DEĞİL*"))</f>
        <v/>
      </c>
      <c r="F218" s="20" t="n"/>
      <c r="G218" s="21">
        <f>IF(OR(E218="",F218=""),"",E218*F218)</f>
        <v/>
      </c>
      <c r="H218" s="5" t="n"/>
    </row>
    <row r="219">
      <c r="A219" s="5" t="n"/>
      <c r="B219" s="5" t="n"/>
      <c r="C219" s="5" t="n"/>
      <c r="D219" s="5" t="n"/>
      <c r="E219" s="19">
        <f>IF(B219="","",SUMIFS('Metraj Mahal Listesi'!$F$5:$F$504,'Metraj Mahal Listesi'!$C$5:$C$504,B219,'Metraj Mahal Listesi'!$I$5:$I$504,"&lt;&gt;KAPSAM DIŞI*",'Metraj Mahal Listesi'!$I$5:$I$504,"&lt;&gt;DAHİL DEĞİL*"))</f>
        <v/>
      </c>
      <c r="F219" s="20" t="n"/>
      <c r="G219" s="21">
        <f>IF(OR(E219="",F219=""),"",E219*F219)</f>
        <v/>
      </c>
      <c r="H219" s="5" t="n"/>
    </row>
    <row r="220">
      <c r="A220" s="5" t="n"/>
      <c r="B220" s="5" t="n"/>
      <c r="C220" s="5" t="n"/>
      <c r="D220" s="5" t="n"/>
      <c r="E220" s="19">
        <f>IF(B220="","",SUMIFS('Metraj Mahal Listesi'!$F$5:$F$504,'Metraj Mahal Listesi'!$C$5:$C$504,B220,'Metraj Mahal Listesi'!$I$5:$I$504,"&lt;&gt;KAPSAM DIŞI*",'Metraj Mahal Listesi'!$I$5:$I$504,"&lt;&gt;DAHİL DEĞİL*"))</f>
        <v/>
      </c>
      <c r="F220" s="20" t="n"/>
      <c r="G220" s="21">
        <f>IF(OR(E220="",F220=""),"",E220*F220)</f>
        <v/>
      </c>
      <c r="H220" s="5" t="n"/>
    </row>
    <row r="221">
      <c r="A221" s="5" t="n"/>
      <c r="B221" s="5" t="n"/>
      <c r="C221" s="5" t="n"/>
      <c r="D221" s="5" t="n"/>
      <c r="E221" s="19">
        <f>IF(B221="","",SUMIFS('Metraj Mahal Listesi'!$F$5:$F$504,'Metraj Mahal Listesi'!$C$5:$C$504,B221,'Metraj Mahal Listesi'!$I$5:$I$504,"&lt;&gt;KAPSAM DIŞI*",'Metraj Mahal Listesi'!$I$5:$I$504,"&lt;&gt;DAHİL DEĞİL*"))</f>
        <v/>
      </c>
      <c r="F221" s="20" t="n"/>
      <c r="G221" s="21">
        <f>IF(OR(E221="",F221=""),"",E221*F221)</f>
        <v/>
      </c>
      <c r="H221" s="5" t="n"/>
    </row>
    <row r="222">
      <c r="A222" s="5" t="n"/>
      <c r="B222" s="5" t="n"/>
      <c r="C222" s="5" t="n"/>
      <c r="D222" s="5" t="n"/>
      <c r="E222" s="19">
        <f>IF(B222="","",SUMIFS('Metraj Mahal Listesi'!$F$5:$F$504,'Metraj Mahal Listesi'!$C$5:$C$504,B222,'Metraj Mahal Listesi'!$I$5:$I$504,"&lt;&gt;KAPSAM DIŞI*",'Metraj Mahal Listesi'!$I$5:$I$504,"&lt;&gt;DAHİL DEĞİL*"))</f>
        <v/>
      </c>
      <c r="F222" s="20" t="n"/>
      <c r="G222" s="21">
        <f>IF(OR(E222="",F222=""),"",E222*F222)</f>
        <v/>
      </c>
      <c r="H222" s="5" t="n"/>
    </row>
    <row r="223">
      <c r="A223" s="5" t="n"/>
      <c r="B223" s="5" t="n"/>
      <c r="C223" s="5" t="n"/>
      <c r="D223" s="5" t="n"/>
      <c r="E223" s="19">
        <f>IF(B223="","",SUMIFS('Metraj Mahal Listesi'!$F$5:$F$504,'Metraj Mahal Listesi'!$C$5:$C$504,B223,'Metraj Mahal Listesi'!$I$5:$I$504,"&lt;&gt;KAPSAM DIŞI*",'Metraj Mahal Listesi'!$I$5:$I$504,"&lt;&gt;DAHİL DEĞİL*"))</f>
        <v/>
      </c>
      <c r="F223" s="20" t="n"/>
      <c r="G223" s="21">
        <f>IF(OR(E223="",F223=""),"",E223*F223)</f>
        <v/>
      </c>
      <c r="H223" s="5" t="n"/>
    </row>
    <row r="224">
      <c r="A224" s="5" t="n"/>
      <c r="B224" s="5" t="n"/>
      <c r="C224" s="5" t="n"/>
      <c r="D224" s="5" t="n"/>
      <c r="E224" s="19">
        <f>IF(B224="","",SUMIFS('Metraj Mahal Listesi'!$F$5:$F$504,'Metraj Mahal Listesi'!$C$5:$C$504,B224,'Metraj Mahal Listesi'!$I$5:$I$504,"&lt;&gt;KAPSAM DIŞI*",'Metraj Mahal Listesi'!$I$5:$I$504,"&lt;&gt;DAHİL DEĞİL*"))</f>
        <v/>
      </c>
      <c r="F224" s="20" t="n"/>
      <c r="G224" s="21">
        <f>IF(OR(E224="",F224=""),"",E224*F224)</f>
        <v/>
      </c>
      <c r="H224" s="5" t="n"/>
    </row>
    <row r="225">
      <c r="A225" s="5" t="n"/>
      <c r="B225" s="5" t="n"/>
      <c r="C225" s="5" t="n"/>
      <c r="D225" s="5" t="n"/>
      <c r="E225" s="19">
        <f>IF(B225="","",SUMIFS('Metraj Mahal Listesi'!$F$5:$F$504,'Metraj Mahal Listesi'!$C$5:$C$504,B225,'Metraj Mahal Listesi'!$I$5:$I$504,"&lt;&gt;KAPSAM DIŞI*",'Metraj Mahal Listesi'!$I$5:$I$504,"&lt;&gt;DAHİL DEĞİL*"))</f>
        <v/>
      </c>
      <c r="F225" s="20" t="n"/>
      <c r="G225" s="21">
        <f>IF(OR(E225="",F225=""),"",E225*F225)</f>
        <v/>
      </c>
      <c r="H225" s="5" t="n"/>
    </row>
    <row r="226">
      <c r="A226" s="5" t="n"/>
      <c r="B226" s="5" t="n"/>
      <c r="C226" s="5" t="n"/>
      <c r="D226" s="5" t="n"/>
      <c r="E226" s="19">
        <f>IF(B226="","",SUMIFS('Metraj Mahal Listesi'!$F$5:$F$504,'Metraj Mahal Listesi'!$C$5:$C$504,B226,'Metraj Mahal Listesi'!$I$5:$I$504,"&lt;&gt;KAPSAM DIŞI*",'Metraj Mahal Listesi'!$I$5:$I$504,"&lt;&gt;DAHİL DEĞİL*"))</f>
        <v/>
      </c>
      <c r="F226" s="20" t="n"/>
      <c r="G226" s="21">
        <f>IF(OR(E226="",F226=""),"",E226*F226)</f>
        <v/>
      </c>
      <c r="H226" s="5" t="n"/>
    </row>
    <row r="227">
      <c r="A227" s="5" t="n"/>
      <c r="B227" s="5" t="n"/>
      <c r="C227" s="5" t="n"/>
      <c r="D227" s="5" t="n"/>
      <c r="E227" s="19">
        <f>IF(B227="","",SUMIFS('Metraj Mahal Listesi'!$F$5:$F$504,'Metraj Mahal Listesi'!$C$5:$C$504,B227,'Metraj Mahal Listesi'!$I$5:$I$504,"&lt;&gt;KAPSAM DIŞI*",'Metraj Mahal Listesi'!$I$5:$I$504,"&lt;&gt;DAHİL DEĞİL*"))</f>
        <v/>
      </c>
      <c r="F227" s="20" t="n"/>
      <c r="G227" s="21">
        <f>IF(OR(E227="",F227=""),"",E227*F227)</f>
        <v/>
      </c>
      <c r="H227" s="5" t="n"/>
    </row>
    <row r="228">
      <c r="A228" s="5" t="n"/>
      <c r="B228" s="5" t="n"/>
      <c r="C228" s="5" t="n"/>
      <c r="D228" s="5" t="n"/>
      <c r="E228" s="19">
        <f>IF(B228="","",SUMIFS('Metraj Mahal Listesi'!$F$5:$F$504,'Metraj Mahal Listesi'!$C$5:$C$504,B228,'Metraj Mahal Listesi'!$I$5:$I$504,"&lt;&gt;KAPSAM DIŞI*",'Metraj Mahal Listesi'!$I$5:$I$504,"&lt;&gt;DAHİL DEĞİL*"))</f>
        <v/>
      </c>
      <c r="F228" s="20" t="n"/>
      <c r="G228" s="21">
        <f>IF(OR(E228="",F228=""),"",E228*F228)</f>
        <v/>
      </c>
      <c r="H228" s="5" t="n"/>
    </row>
    <row r="229">
      <c r="A229" s="5" t="n"/>
      <c r="B229" s="5" t="n"/>
      <c r="C229" s="5" t="n"/>
      <c r="D229" s="5" t="n"/>
      <c r="E229" s="19">
        <f>IF(B229="","",SUMIFS('Metraj Mahal Listesi'!$F$5:$F$504,'Metraj Mahal Listesi'!$C$5:$C$504,B229,'Metraj Mahal Listesi'!$I$5:$I$504,"&lt;&gt;KAPSAM DIŞI*",'Metraj Mahal Listesi'!$I$5:$I$504,"&lt;&gt;DAHİL DEĞİL*"))</f>
        <v/>
      </c>
      <c r="F229" s="20" t="n"/>
      <c r="G229" s="21">
        <f>IF(OR(E229="",F229=""),"",E229*F229)</f>
        <v/>
      </c>
      <c r="H229" s="5" t="n"/>
    </row>
    <row r="230">
      <c r="A230" s="5" t="n"/>
      <c r="B230" s="5" t="n"/>
      <c r="C230" s="5" t="n"/>
      <c r="D230" s="5" t="n"/>
      <c r="E230" s="19">
        <f>IF(B230="","",SUMIFS('Metraj Mahal Listesi'!$F$5:$F$504,'Metraj Mahal Listesi'!$C$5:$C$504,B230,'Metraj Mahal Listesi'!$I$5:$I$504,"&lt;&gt;KAPSAM DIŞI*",'Metraj Mahal Listesi'!$I$5:$I$504,"&lt;&gt;DAHİL DEĞİL*"))</f>
        <v/>
      </c>
      <c r="F230" s="20" t="n"/>
      <c r="G230" s="21">
        <f>IF(OR(E230="",F230=""),"",E230*F230)</f>
        <v/>
      </c>
      <c r="H230" s="5" t="n"/>
    </row>
    <row r="231">
      <c r="A231" s="5" t="n"/>
      <c r="B231" s="5" t="n"/>
      <c r="C231" s="5" t="n"/>
      <c r="D231" s="5" t="n"/>
      <c r="E231" s="19">
        <f>IF(B231="","",SUMIFS('Metraj Mahal Listesi'!$F$5:$F$504,'Metraj Mahal Listesi'!$C$5:$C$504,B231,'Metraj Mahal Listesi'!$I$5:$I$504,"&lt;&gt;KAPSAM DIŞI*",'Metraj Mahal Listesi'!$I$5:$I$504,"&lt;&gt;DAHİL DEĞİL*"))</f>
        <v/>
      </c>
      <c r="F231" s="20" t="n"/>
      <c r="G231" s="21">
        <f>IF(OR(E231="",F231=""),"",E231*F231)</f>
        <v/>
      </c>
      <c r="H231" s="5" t="n"/>
    </row>
    <row r="232">
      <c r="A232" s="5" t="n"/>
      <c r="B232" s="5" t="n"/>
      <c r="C232" s="5" t="n"/>
      <c r="D232" s="5" t="n"/>
      <c r="E232" s="19">
        <f>IF(B232="","",SUMIFS('Metraj Mahal Listesi'!$F$5:$F$504,'Metraj Mahal Listesi'!$C$5:$C$504,B232,'Metraj Mahal Listesi'!$I$5:$I$504,"&lt;&gt;KAPSAM DIŞI*",'Metraj Mahal Listesi'!$I$5:$I$504,"&lt;&gt;DAHİL DEĞİL*"))</f>
        <v/>
      </c>
      <c r="F232" s="20" t="n"/>
      <c r="G232" s="21">
        <f>IF(OR(E232="",F232=""),"",E232*F232)</f>
        <v/>
      </c>
      <c r="H232" s="5" t="n"/>
    </row>
    <row r="233">
      <c r="A233" s="5" t="n"/>
      <c r="B233" s="5" t="n"/>
      <c r="C233" s="5" t="n"/>
      <c r="D233" s="5" t="n"/>
      <c r="E233" s="19">
        <f>IF(B233="","",SUMIFS('Metraj Mahal Listesi'!$F$5:$F$504,'Metraj Mahal Listesi'!$C$5:$C$504,B233,'Metraj Mahal Listesi'!$I$5:$I$504,"&lt;&gt;KAPSAM DIŞI*",'Metraj Mahal Listesi'!$I$5:$I$504,"&lt;&gt;DAHİL DEĞİL*"))</f>
        <v/>
      </c>
      <c r="F233" s="20" t="n"/>
      <c r="G233" s="21">
        <f>IF(OR(E233="",F233=""),"",E233*F233)</f>
        <v/>
      </c>
      <c r="H233" s="5" t="n"/>
    </row>
    <row r="234">
      <c r="A234" s="5" t="n"/>
      <c r="B234" s="5" t="n"/>
      <c r="C234" s="5" t="n"/>
      <c r="D234" s="5" t="n"/>
      <c r="E234" s="19">
        <f>IF(B234="","",SUMIFS('Metraj Mahal Listesi'!$F$5:$F$504,'Metraj Mahal Listesi'!$C$5:$C$504,B234,'Metraj Mahal Listesi'!$I$5:$I$504,"&lt;&gt;KAPSAM DIŞI*",'Metraj Mahal Listesi'!$I$5:$I$504,"&lt;&gt;DAHİL DEĞİL*"))</f>
        <v/>
      </c>
      <c r="F234" s="20" t="n"/>
      <c r="G234" s="21">
        <f>IF(OR(E234="",F234=""),"",E234*F234)</f>
        <v/>
      </c>
      <c r="H234" s="5" t="n"/>
    </row>
    <row r="235">
      <c r="A235" s="5" t="n"/>
      <c r="B235" s="5" t="n"/>
      <c r="C235" s="5" t="n"/>
      <c r="D235" s="5" t="n"/>
      <c r="E235" s="19">
        <f>IF(B235="","",SUMIFS('Metraj Mahal Listesi'!$F$5:$F$504,'Metraj Mahal Listesi'!$C$5:$C$504,B235,'Metraj Mahal Listesi'!$I$5:$I$504,"&lt;&gt;KAPSAM DIŞI*",'Metraj Mahal Listesi'!$I$5:$I$504,"&lt;&gt;DAHİL DEĞİL*"))</f>
        <v/>
      </c>
      <c r="F235" s="20" t="n"/>
      <c r="G235" s="21">
        <f>IF(OR(E235="",F235=""),"",E235*F235)</f>
        <v/>
      </c>
      <c r="H235" s="5" t="n"/>
    </row>
    <row r="236">
      <c r="A236" s="5" t="n"/>
      <c r="B236" s="5" t="n"/>
      <c r="C236" s="5" t="n"/>
      <c r="D236" s="5" t="n"/>
      <c r="E236" s="19">
        <f>IF(B236="","",SUMIFS('Metraj Mahal Listesi'!$F$5:$F$504,'Metraj Mahal Listesi'!$C$5:$C$504,B236,'Metraj Mahal Listesi'!$I$5:$I$504,"&lt;&gt;KAPSAM DIŞI*",'Metraj Mahal Listesi'!$I$5:$I$504,"&lt;&gt;DAHİL DEĞİL*"))</f>
        <v/>
      </c>
      <c r="F236" s="20" t="n"/>
      <c r="G236" s="21">
        <f>IF(OR(E236="",F236=""),"",E236*F236)</f>
        <v/>
      </c>
      <c r="H236" s="5" t="n"/>
    </row>
    <row r="237">
      <c r="A237" s="5" t="n"/>
      <c r="B237" s="5" t="n"/>
      <c r="C237" s="5" t="n"/>
      <c r="D237" s="5" t="n"/>
      <c r="E237" s="19">
        <f>IF(B237="","",SUMIFS('Metraj Mahal Listesi'!$F$5:$F$504,'Metraj Mahal Listesi'!$C$5:$C$504,B237,'Metraj Mahal Listesi'!$I$5:$I$504,"&lt;&gt;KAPSAM DIŞI*",'Metraj Mahal Listesi'!$I$5:$I$504,"&lt;&gt;DAHİL DEĞİL*"))</f>
        <v/>
      </c>
      <c r="F237" s="20" t="n"/>
      <c r="G237" s="21">
        <f>IF(OR(E237="",F237=""),"",E237*F237)</f>
        <v/>
      </c>
      <c r="H237" s="5" t="n"/>
    </row>
    <row r="238">
      <c r="A238" s="5" t="n"/>
      <c r="B238" s="5" t="n"/>
      <c r="C238" s="5" t="n"/>
      <c r="D238" s="5" t="n"/>
      <c r="E238" s="19">
        <f>IF(B238="","",SUMIFS('Metraj Mahal Listesi'!$F$5:$F$504,'Metraj Mahal Listesi'!$C$5:$C$504,B238,'Metraj Mahal Listesi'!$I$5:$I$504,"&lt;&gt;KAPSAM DIŞI*",'Metraj Mahal Listesi'!$I$5:$I$504,"&lt;&gt;DAHİL DEĞİL*"))</f>
        <v/>
      </c>
      <c r="F238" s="20" t="n"/>
      <c r="G238" s="21">
        <f>IF(OR(E238="",F238=""),"",E238*F238)</f>
        <v/>
      </c>
      <c r="H238" s="5" t="n"/>
    </row>
    <row r="239">
      <c r="A239" s="5" t="n"/>
      <c r="B239" s="5" t="n"/>
      <c r="C239" s="5" t="n"/>
      <c r="D239" s="5" t="n"/>
      <c r="E239" s="19">
        <f>IF(B239="","",SUMIFS('Metraj Mahal Listesi'!$F$5:$F$504,'Metraj Mahal Listesi'!$C$5:$C$504,B239,'Metraj Mahal Listesi'!$I$5:$I$504,"&lt;&gt;KAPSAM DIŞI*",'Metraj Mahal Listesi'!$I$5:$I$504,"&lt;&gt;DAHİL DEĞİL*"))</f>
        <v/>
      </c>
      <c r="F239" s="20" t="n"/>
      <c r="G239" s="21">
        <f>IF(OR(E239="",F239=""),"",E239*F239)</f>
        <v/>
      </c>
      <c r="H239" s="5" t="n"/>
    </row>
    <row r="240">
      <c r="A240" s="5" t="n"/>
      <c r="B240" s="5" t="n"/>
      <c r="C240" s="5" t="n"/>
      <c r="D240" s="5" t="n"/>
      <c r="E240" s="19">
        <f>IF(B240="","",SUMIFS('Metraj Mahal Listesi'!$F$5:$F$504,'Metraj Mahal Listesi'!$C$5:$C$504,B240,'Metraj Mahal Listesi'!$I$5:$I$504,"&lt;&gt;KAPSAM DIŞI*",'Metraj Mahal Listesi'!$I$5:$I$504,"&lt;&gt;DAHİL DEĞİL*"))</f>
        <v/>
      </c>
      <c r="F240" s="20" t="n"/>
      <c r="G240" s="21">
        <f>IF(OR(E240="",F240=""),"",E240*F240)</f>
        <v/>
      </c>
      <c r="H240" s="5" t="n"/>
    </row>
    <row r="241">
      <c r="A241" s="5" t="n"/>
      <c r="B241" s="5" t="n"/>
      <c r="C241" s="5" t="n"/>
      <c r="D241" s="5" t="n"/>
      <c r="E241" s="19">
        <f>IF(B241="","",SUMIFS('Metraj Mahal Listesi'!$F$5:$F$504,'Metraj Mahal Listesi'!$C$5:$C$504,B241,'Metraj Mahal Listesi'!$I$5:$I$504,"&lt;&gt;KAPSAM DIŞI*",'Metraj Mahal Listesi'!$I$5:$I$504,"&lt;&gt;DAHİL DEĞİL*"))</f>
        <v/>
      </c>
      <c r="F241" s="20" t="n"/>
      <c r="G241" s="21">
        <f>IF(OR(E241="",F241=""),"",E241*F241)</f>
        <v/>
      </c>
      <c r="H241" s="5" t="n"/>
    </row>
    <row r="242">
      <c r="A242" s="5" t="n"/>
      <c r="B242" s="5" t="n"/>
      <c r="C242" s="5" t="n"/>
      <c r="D242" s="5" t="n"/>
      <c r="E242" s="19">
        <f>IF(B242="","",SUMIFS('Metraj Mahal Listesi'!$F$5:$F$504,'Metraj Mahal Listesi'!$C$5:$C$504,B242,'Metraj Mahal Listesi'!$I$5:$I$504,"&lt;&gt;KAPSAM DIŞI*",'Metraj Mahal Listesi'!$I$5:$I$504,"&lt;&gt;DAHİL DEĞİL*"))</f>
        <v/>
      </c>
      <c r="F242" s="20" t="n"/>
      <c r="G242" s="21">
        <f>IF(OR(E242="",F242=""),"",E242*F242)</f>
        <v/>
      </c>
      <c r="H242" s="5" t="n"/>
    </row>
    <row r="243">
      <c r="A243" s="5" t="n"/>
      <c r="B243" s="5" t="n"/>
      <c r="C243" s="5" t="n"/>
      <c r="D243" s="5" t="n"/>
      <c r="E243" s="19">
        <f>IF(B243="","",SUMIFS('Metraj Mahal Listesi'!$F$5:$F$504,'Metraj Mahal Listesi'!$C$5:$C$504,B243,'Metraj Mahal Listesi'!$I$5:$I$504,"&lt;&gt;KAPSAM DIŞI*",'Metraj Mahal Listesi'!$I$5:$I$504,"&lt;&gt;DAHİL DEĞİL*"))</f>
        <v/>
      </c>
      <c r="F243" s="20" t="n"/>
      <c r="G243" s="21">
        <f>IF(OR(E243="",F243=""),"",E243*F243)</f>
        <v/>
      </c>
      <c r="H243" s="5" t="n"/>
    </row>
    <row r="244">
      <c r="A244" s="5" t="n"/>
      <c r="B244" s="5" t="n"/>
      <c r="C244" s="5" t="n"/>
      <c r="D244" s="5" t="n"/>
      <c r="E244" s="19">
        <f>IF(B244="","",SUMIFS('Metraj Mahal Listesi'!$F$5:$F$504,'Metraj Mahal Listesi'!$C$5:$C$504,B244,'Metraj Mahal Listesi'!$I$5:$I$504,"&lt;&gt;KAPSAM DIŞI*",'Metraj Mahal Listesi'!$I$5:$I$504,"&lt;&gt;DAHİL DEĞİL*"))</f>
        <v/>
      </c>
      <c r="F244" s="20" t="n"/>
      <c r="G244" s="21">
        <f>IF(OR(E244="",F244=""),"",E244*F244)</f>
        <v/>
      </c>
      <c r="H244" s="5" t="n"/>
    </row>
    <row r="245">
      <c r="A245" s="5" t="n"/>
      <c r="B245" s="5" t="n"/>
      <c r="C245" s="5" t="n"/>
      <c r="D245" s="5" t="n"/>
      <c r="E245" s="19">
        <f>IF(B245="","",SUMIFS('Metraj Mahal Listesi'!$F$5:$F$504,'Metraj Mahal Listesi'!$C$5:$C$504,B245,'Metraj Mahal Listesi'!$I$5:$I$504,"&lt;&gt;KAPSAM DIŞI*",'Metraj Mahal Listesi'!$I$5:$I$504,"&lt;&gt;DAHİL DEĞİL*"))</f>
        <v/>
      </c>
      <c r="F245" s="20" t="n"/>
      <c r="G245" s="21">
        <f>IF(OR(E245="",F245=""),"",E245*F245)</f>
        <v/>
      </c>
      <c r="H245" s="5" t="n"/>
    </row>
    <row r="246">
      <c r="A246" s="5" t="n"/>
      <c r="B246" s="5" t="n"/>
      <c r="C246" s="5" t="n"/>
      <c r="D246" s="5" t="n"/>
      <c r="E246" s="19">
        <f>IF(B246="","",SUMIFS('Metraj Mahal Listesi'!$F$5:$F$504,'Metraj Mahal Listesi'!$C$5:$C$504,B246,'Metraj Mahal Listesi'!$I$5:$I$504,"&lt;&gt;KAPSAM DIŞI*",'Metraj Mahal Listesi'!$I$5:$I$504,"&lt;&gt;DAHİL DEĞİL*"))</f>
        <v/>
      </c>
      <c r="F246" s="20" t="n"/>
      <c r="G246" s="21">
        <f>IF(OR(E246="",F246=""),"",E246*F246)</f>
        <v/>
      </c>
      <c r="H246" s="5" t="n"/>
    </row>
    <row r="247">
      <c r="A247" s="5" t="n"/>
      <c r="B247" s="5" t="n"/>
      <c r="C247" s="5" t="n"/>
      <c r="D247" s="5" t="n"/>
      <c r="E247" s="19">
        <f>IF(B247="","",SUMIFS('Metraj Mahal Listesi'!$F$5:$F$504,'Metraj Mahal Listesi'!$C$5:$C$504,B247,'Metraj Mahal Listesi'!$I$5:$I$504,"&lt;&gt;KAPSAM DIŞI*",'Metraj Mahal Listesi'!$I$5:$I$504,"&lt;&gt;DAHİL DEĞİL*"))</f>
        <v/>
      </c>
      <c r="F247" s="20" t="n"/>
      <c r="G247" s="21">
        <f>IF(OR(E247="",F247=""),"",E247*F247)</f>
        <v/>
      </c>
      <c r="H247" s="5" t="n"/>
    </row>
    <row r="248">
      <c r="A248" s="5" t="n"/>
      <c r="B248" s="5" t="n"/>
      <c r="C248" s="5" t="n"/>
      <c r="D248" s="5" t="n"/>
      <c r="E248" s="19">
        <f>IF(B248="","",SUMIFS('Metraj Mahal Listesi'!$F$5:$F$504,'Metraj Mahal Listesi'!$C$5:$C$504,B248,'Metraj Mahal Listesi'!$I$5:$I$504,"&lt;&gt;KAPSAM DIŞI*",'Metraj Mahal Listesi'!$I$5:$I$504,"&lt;&gt;DAHİL DEĞİL*"))</f>
        <v/>
      </c>
      <c r="F248" s="20" t="n"/>
      <c r="G248" s="21">
        <f>IF(OR(E248="",F248=""),"",E248*F248)</f>
        <v/>
      </c>
      <c r="H248" s="5" t="n"/>
    </row>
    <row r="249">
      <c r="A249" s="5" t="n"/>
      <c r="B249" s="5" t="n"/>
      <c r="C249" s="5" t="n"/>
      <c r="D249" s="5" t="n"/>
      <c r="E249" s="19">
        <f>IF(B249="","",SUMIFS('Metraj Mahal Listesi'!$F$5:$F$504,'Metraj Mahal Listesi'!$C$5:$C$504,B249,'Metraj Mahal Listesi'!$I$5:$I$504,"&lt;&gt;KAPSAM DIŞI*",'Metraj Mahal Listesi'!$I$5:$I$504,"&lt;&gt;DAHİL DEĞİL*"))</f>
        <v/>
      </c>
      <c r="F249" s="20" t="n"/>
      <c r="G249" s="21">
        <f>IF(OR(E249="",F249=""),"",E249*F249)</f>
        <v/>
      </c>
      <c r="H249" s="5" t="n"/>
    </row>
    <row r="250">
      <c r="A250" s="5" t="n"/>
      <c r="B250" s="5" t="n"/>
      <c r="C250" s="5" t="n"/>
      <c r="D250" s="5" t="n"/>
      <c r="E250" s="19">
        <f>IF(B250="","",SUMIFS('Metraj Mahal Listesi'!$F$5:$F$504,'Metraj Mahal Listesi'!$C$5:$C$504,B250,'Metraj Mahal Listesi'!$I$5:$I$504,"&lt;&gt;KAPSAM DIŞI*",'Metraj Mahal Listesi'!$I$5:$I$504,"&lt;&gt;DAHİL DEĞİL*"))</f>
        <v/>
      </c>
      <c r="F250" s="20" t="n"/>
      <c r="G250" s="21">
        <f>IF(OR(E250="",F250=""),"",E250*F250)</f>
        <v/>
      </c>
      <c r="H250" s="5" t="n"/>
    </row>
    <row r="251">
      <c r="A251" s="5" t="n"/>
      <c r="B251" s="5" t="n"/>
      <c r="C251" s="5" t="n"/>
      <c r="D251" s="5" t="n"/>
      <c r="E251" s="19">
        <f>IF(B251="","",SUMIFS('Metraj Mahal Listesi'!$F$5:$F$504,'Metraj Mahal Listesi'!$C$5:$C$504,B251,'Metraj Mahal Listesi'!$I$5:$I$504,"&lt;&gt;KAPSAM DIŞI*",'Metraj Mahal Listesi'!$I$5:$I$504,"&lt;&gt;DAHİL DEĞİL*"))</f>
        <v/>
      </c>
      <c r="F251" s="20" t="n"/>
      <c r="G251" s="21">
        <f>IF(OR(E251="",F251=""),"",E251*F251)</f>
        <v/>
      </c>
      <c r="H251" s="5" t="n"/>
    </row>
    <row r="252">
      <c r="A252" s="5" t="n"/>
      <c r="B252" s="5" t="n"/>
      <c r="C252" s="5" t="n"/>
      <c r="D252" s="5" t="n"/>
      <c r="E252" s="19">
        <f>IF(B252="","",SUMIFS('Metraj Mahal Listesi'!$F$5:$F$504,'Metraj Mahal Listesi'!$C$5:$C$504,B252,'Metraj Mahal Listesi'!$I$5:$I$504,"&lt;&gt;KAPSAM DIŞI*",'Metraj Mahal Listesi'!$I$5:$I$504,"&lt;&gt;DAHİL DEĞİL*"))</f>
        <v/>
      </c>
      <c r="F252" s="20" t="n"/>
      <c r="G252" s="21">
        <f>IF(OR(E252="",F252=""),"",E252*F252)</f>
        <v/>
      </c>
      <c r="H252" s="5" t="n"/>
    </row>
    <row r="253">
      <c r="A253" s="5" t="n"/>
      <c r="B253" s="5" t="n"/>
      <c r="C253" s="5" t="n"/>
      <c r="D253" s="5" t="n"/>
      <c r="E253" s="19">
        <f>IF(B253="","",SUMIFS('Metraj Mahal Listesi'!$F$5:$F$504,'Metraj Mahal Listesi'!$C$5:$C$504,B253,'Metraj Mahal Listesi'!$I$5:$I$504,"&lt;&gt;KAPSAM DIŞI*",'Metraj Mahal Listesi'!$I$5:$I$504,"&lt;&gt;DAHİL DEĞİL*"))</f>
        <v/>
      </c>
      <c r="F253" s="20" t="n"/>
      <c r="G253" s="21">
        <f>IF(OR(E253="",F253=""),"",E253*F253)</f>
        <v/>
      </c>
      <c r="H253" s="5" t="n"/>
    </row>
    <row r="254">
      <c r="A254" s="5" t="n"/>
      <c r="B254" s="5" t="n"/>
      <c r="C254" s="5" t="n"/>
      <c r="D254" s="5" t="n"/>
      <c r="E254" s="19">
        <f>IF(B254="","",SUMIFS('Metraj Mahal Listesi'!$F$5:$F$504,'Metraj Mahal Listesi'!$C$5:$C$504,B254,'Metraj Mahal Listesi'!$I$5:$I$504,"&lt;&gt;KAPSAM DIŞI*",'Metraj Mahal Listesi'!$I$5:$I$504,"&lt;&gt;DAHİL DEĞİL*"))</f>
        <v/>
      </c>
      <c r="F254" s="20" t="n"/>
      <c r="G254" s="21">
        <f>IF(OR(E254="",F254=""),"",E254*F254)</f>
        <v/>
      </c>
      <c r="H254" s="5" t="n"/>
    </row>
    <row r="255">
      <c r="A255" s="5" t="n"/>
      <c r="B255" s="5" t="n"/>
      <c r="C255" s="5" t="n"/>
      <c r="D255" s="5" t="n"/>
      <c r="E255" s="19">
        <f>IF(B255="","",SUMIFS('Metraj Mahal Listesi'!$F$5:$F$504,'Metraj Mahal Listesi'!$C$5:$C$504,B255,'Metraj Mahal Listesi'!$I$5:$I$504,"&lt;&gt;KAPSAM DIŞI*",'Metraj Mahal Listesi'!$I$5:$I$504,"&lt;&gt;DAHİL DEĞİL*"))</f>
        <v/>
      </c>
      <c r="F255" s="20" t="n"/>
      <c r="G255" s="21">
        <f>IF(OR(E255="",F255=""),"",E255*F255)</f>
        <v/>
      </c>
      <c r="H255" s="5" t="n"/>
    </row>
    <row r="256">
      <c r="A256" s="5" t="n"/>
      <c r="B256" s="5" t="n"/>
      <c r="C256" s="5" t="n"/>
      <c r="D256" s="5" t="n"/>
      <c r="E256" s="19">
        <f>IF(B256="","",SUMIFS('Metraj Mahal Listesi'!$F$5:$F$504,'Metraj Mahal Listesi'!$C$5:$C$504,B256,'Metraj Mahal Listesi'!$I$5:$I$504,"&lt;&gt;KAPSAM DIŞI*",'Metraj Mahal Listesi'!$I$5:$I$504,"&lt;&gt;DAHİL DEĞİL*"))</f>
        <v/>
      </c>
      <c r="F256" s="20" t="n"/>
      <c r="G256" s="21">
        <f>IF(OR(E256="",F256=""),"",E256*F256)</f>
        <v/>
      </c>
      <c r="H256" s="5" t="n"/>
    </row>
    <row r="257">
      <c r="A257" s="5" t="n"/>
      <c r="B257" s="5" t="n"/>
      <c r="C257" s="5" t="n"/>
      <c r="D257" s="5" t="n"/>
      <c r="E257" s="19">
        <f>IF(B257="","",SUMIFS('Metraj Mahal Listesi'!$F$5:$F$504,'Metraj Mahal Listesi'!$C$5:$C$504,B257,'Metraj Mahal Listesi'!$I$5:$I$504,"&lt;&gt;KAPSAM DIŞI*",'Metraj Mahal Listesi'!$I$5:$I$504,"&lt;&gt;DAHİL DEĞİL*"))</f>
        <v/>
      </c>
      <c r="F257" s="20" t="n"/>
      <c r="G257" s="21">
        <f>IF(OR(E257="",F257=""),"",E257*F257)</f>
        <v/>
      </c>
      <c r="H257" s="5" t="n"/>
    </row>
    <row r="258">
      <c r="A258" s="5" t="n"/>
      <c r="B258" s="5" t="n"/>
      <c r="C258" s="5" t="n"/>
      <c r="D258" s="5" t="n"/>
      <c r="E258" s="19">
        <f>IF(B258="","",SUMIFS('Metraj Mahal Listesi'!$F$5:$F$504,'Metraj Mahal Listesi'!$C$5:$C$504,B258,'Metraj Mahal Listesi'!$I$5:$I$504,"&lt;&gt;KAPSAM DIŞI*",'Metraj Mahal Listesi'!$I$5:$I$504,"&lt;&gt;DAHİL DEĞİL*"))</f>
        <v/>
      </c>
      <c r="F258" s="20" t="n"/>
      <c r="G258" s="21">
        <f>IF(OR(E258="",F258=""),"",E258*F258)</f>
        <v/>
      </c>
      <c r="H258" s="5" t="n"/>
    </row>
    <row r="259">
      <c r="A259" s="5" t="n"/>
      <c r="B259" s="5" t="n"/>
      <c r="C259" s="5" t="n"/>
      <c r="D259" s="5" t="n"/>
      <c r="E259" s="19">
        <f>IF(B259="","",SUMIFS('Metraj Mahal Listesi'!$F$5:$F$504,'Metraj Mahal Listesi'!$C$5:$C$504,B259,'Metraj Mahal Listesi'!$I$5:$I$504,"&lt;&gt;KAPSAM DIŞI*",'Metraj Mahal Listesi'!$I$5:$I$504,"&lt;&gt;DAHİL DEĞİL*"))</f>
        <v/>
      </c>
      <c r="F259" s="20" t="n"/>
      <c r="G259" s="21">
        <f>IF(OR(E259="",F259=""),"",E259*F259)</f>
        <v/>
      </c>
      <c r="H259" s="5" t="n"/>
    </row>
    <row r="260">
      <c r="A260" s="5" t="n"/>
      <c r="B260" s="5" t="n"/>
      <c r="C260" s="5" t="n"/>
      <c r="D260" s="5" t="n"/>
      <c r="E260" s="19">
        <f>IF(B260="","",SUMIFS('Metraj Mahal Listesi'!$F$5:$F$504,'Metraj Mahal Listesi'!$C$5:$C$504,B260,'Metraj Mahal Listesi'!$I$5:$I$504,"&lt;&gt;KAPSAM DIŞI*",'Metraj Mahal Listesi'!$I$5:$I$504,"&lt;&gt;DAHİL DEĞİL*"))</f>
        <v/>
      </c>
      <c r="F260" s="20" t="n"/>
      <c r="G260" s="21">
        <f>IF(OR(E260="",F260=""),"",E260*F260)</f>
        <v/>
      </c>
      <c r="H260" s="5" t="n"/>
    </row>
    <row r="261">
      <c r="A261" s="5" t="n"/>
      <c r="B261" s="5" t="n"/>
      <c r="C261" s="5" t="n"/>
      <c r="D261" s="5" t="n"/>
      <c r="E261" s="19">
        <f>IF(B261="","",SUMIFS('Metraj Mahal Listesi'!$F$5:$F$504,'Metraj Mahal Listesi'!$C$5:$C$504,B261,'Metraj Mahal Listesi'!$I$5:$I$504,"&lt;&gt;KAPSAM DIŞI*",'Metraj Mahal Listesi'!$I$5:$I$504,"&lt;&gt;DAHİL DEĞİL*"))</f>
        <v/>
      </c>
      <c r="F261" s="20" t="n"/>
      <c r="G261" s="21">
        <f>IF(OR(E261="",F261=""),"",E261*F261)</f>
        <v/>
      </c>
      <c r="H261" s="5" t="n"/>
    </row>
    <row r="262">
      <c r="A262" s="5" t="n"/>
      <c r="B262" s="5" t="n"/>
      <c r="C262" s="5" t="n"/>
      <c r="D262" s="5" t="n"/>
      <c r="E262" s="19">
        <f>IF(B262="","",SUMIFS('Metraj Mahal Listesi'!$F$5:$F$504,'Metraj Mahal Listesi'!$C$5:$C$504,B262,'Metraj Mahal Listesi'!$I$5:$I$504,"&lt;&gt;KAPSAM DIŞI*",'Metraj Mahal Listesi'!$I$5:$I$504,"&lt;&gt;DAHİL DEĞİL*"))</f>
        <v/>
      </c>
      <c r="F262" s="20" t="n"/>
      <c r="G262" s="21">
        <f>IF(OR(E262="",F262=""),"",E262*F262)</f>
        <v/>
      </c>
      <c r="H262" s="5" t="n"/>
    </row>
    <row r="263">
      <c r="A263" s="5" t="n"/>
      <c r="B263" s="5" t="n"/>
      <c r="C263" s="5" t="n"/>
      <c r="D263" s="5" t="n"/>
      <c r="E263" s="19">
        <f>IF(B263="","",SUMIFS('Metraj Mahal Listesi'!$F$5:$F$504,'Metraj Mahal Listesi'!$C$5:$C$504,B263,'Metraj Mahal Listesi'!$I$5:$I$504,"&lt;&gt;KAPSAM DIŞI*",'Metraj Mahal Listesi'!$I$5:$I$504,"&lt;&gt;DAHİL DEĞİL*"))</f>
        <v/>
      </c>
      <c r="F263" s="20" t="n"/>
      <c r="G263" s="21">
        <f>IF(OR(E263="",F263=""),"",E263*F263)</f>
        <v/>
      </c>
      <c r="H263" s="5" t="n"/>
    </row>
    <row r="264">
      <c r="A264" s="5" t="n"/>
      <c r="B264" s="5" t="n"/>
      <c r="C264" s="5" t="n"/>
      <c r="D264" s="5" t="n"/>
      <c r="E264" s="19">
        <f>IF(B264="","",SUMIFS('Metraj Mahal Listesi'!$F$5:$F$504,'Metraj Mahal Listesi'!$C$5:$C$504,B264,'Metraj Mahal Listesi'!$I$5:$I$504,"&lt;&gt;KAPSAM DIŞI*",'Metraj Mahal Listesi'!$I$5:$I$504,"&lt;&gt;DAHİL DEĞİL*"))</f>
        <v/>
      </c>
      <c r="F264" s="20" t="n"/>
      <c r="G264" s="21">
        <f>IF(OR(E264="",F264=""),"",E264*F264)</f>
        <v/>
      </c>
      <c r="H264" s="5" t="n"/>
    </row>
    <row r="265">
      <c r="A265" s="5" t="n"/>
      <c r="B265" s="5" t="n"/>
      <c r="C265" s="5" t="n"/>
      <c r="D265" s="5" t="n"/>
      <c r="E265" s="19">
        <f>IF(B265="","",SUMIFS('Metraj Mahal Listesi'!$F$5:$F$504,'Metraj Mahal Listesi'!$C$5:$C$504,B265,'Metraj Mahal Listesi'!$I$5:$I$504,"&lt;&gt;KAPSAM DIŞI*",'Metraj Mahal Listesi'!$I$5:$I$504,"&lt;&gt;DAHİL DEĞİL*"))</f>
        <v/>
      </c>
      <c r="F265" s="20" t="n"/>
      <c r="G265" s="21">
        <f>IF(OR(E265="",F265=""),"",E265*F265)</f>
        <v/>
      </c>
      <c r="H265" s="5" t="n"/>
    </row>
    <row r="266">
      <c r="A266" s="5" t="n"/>
      <c r="B266" s="5" t="n"/>
      <c r="C266" s="5" t="n"/>
      <c r="D266" s="5" t="n"/>
      <c r="E266" s="19">
        <f>IF(B266="","",SUMIFS('Metraj Mahal Listesi'!$F$5:$F$504,'Metraj Mahal Listesi'!$C$5:$C$504,B266,'Metraj Mahal Listesi'!$I$5:$I$504,"&lt;&gt;KAPSAM DIŞI*",'Metraj Mahal Listesi'!$I$5:$I$504,"&lt;&gt;DAHİL DEĞİL*"))</f>
        <v/>
      </c>
      <c r="F266" s="20" t="n"/>
      <c r="G266" s="21">
        <f>IF(OR(E266="",F266=""),"",E266*F266)</f>
        <v/>
      </c>
      <c r="H266" s="5" t="n"/>
    </row>
    <row r="267">
      <c r="A267" s="5" t="n"/>
      <c r="B267" s="5" t="n"/>
      <c r="C267" s="5" t="n"/>
      <c r="D267" s="5" t="n"/>
      <c r="E267" s="19">
        <f>IF(B267="","",SUMIFS('Metraj Mahal Listesi'!$F$5:$F$504,'Metraj Mahal Listesi'!$C$5:$C$504,B267,'Metraj Mahal Listesi'!$I$5:$I$504,"&lt;&gt;KAPSAM DIŞI*",'Metraj Mahal Listesi'!$I$5:$I$504,"&lt;&gt;DAHİL DEĞİL*"))</f>
        <v/>
      </c>
      <c r="F267" s="20" t="n"/>
      <c r="G267" s="21">
        <f>IF(OR(E267="",F267=""),"",E267*F267)</f>
        <v/>
      </c>
      <c r="H267" s="5" t="n"/>
    </row>
    <row r="268">
      <c r="A268" s="5" t="n"/>
      <c r="B268" s="5" t="n"/>
      <c r="C268" s="5" t="n"/>
      <c r="D268" s="5" t="n"/>
      <c r="E268" s="19">
        <f>IF(B268="","",SUMIFS('Metraj Mahal Listesi'!$F$5:$F$504,'Metraj Mahal Listesi'!$C$5:$C$504,B268,'Metraj Mahal Listesi'!$I$5:$I$504,"&lt;&gt;KAPSAM DIŞI*",'Metraj Mahal Listesi'!$I$5:$I$504,"&lt;&gt;DAHİL DEĞİL*"))</f>
        <v/>
      </c>
      <c r="F268" s="20" t="n"/>
      <c r="G268" s="21">
        <f>IF(OR(E268="",F268=""),"",E268*F268)</f>
        <v/>
      </c>
      <c r="H268" s="5" t="n"/>
    </row>
    <row r="269">
      <c r="A269" s="5" t="n"/>
      <c r="B269" s="5" t="n"/>
      <c r="C269" s="5" t="n"/>
      <c r="D269" s="5" t="n"/>
      <c r="E269" s="19">
        <f>IF(B269="","",SUMIFS('Metraj Mahal Listesi'!$F$5:$F$504,'Metraj Mahal Listesi'!$C$5:$C$504,B269,'Metraj Mahal Listesi'!$I$5:$I$504,"&lt;&gt;KAPSAM DIŞI*",'Metraj Mahal Listesi'!$I$5:$I$504,"&lt;&gt;DAHİL DEĞİL*"))</f>
        <v/>
      </c>
      <c r="F269" s="20" t="n"/>
      <c r="G269" s="21">
        <f>IF(OR(E269="",F269=""),"",E269*F269)</f>
        <v/>
      </c>
      <c r="H269" s="5" t="n"/>
    </row>
    <row r="270">
      <c r="A270" s="5" t="n"/>
      <c r="B270" s="5" t="n"/>
      <c r="C270" s="5" t="n"/>
      <c r="D270" s="5" t="n"/>
      <c r="E270" s="19">
        <f>IF(B270="","",SUMIFS('Metraj Mahal Listesi'!$F$5:$F$504,'Metraj Mahal Listesi'!$C$5:$C$504,B270,'Metraj Mahal Listesi'!$I$5:$I$504,"&lt;&gt;KAPSAM DIŞI*",'Metraj Mahal Listesi'!$I$5:$I$504,"&lt;&gt;DAHİL DEĞİL*"))</f>
        <v/>
      </c>
      <c r="F270" s="20" t="n"/>
      <c r="G270" s="21">
        <f>IF(OR(E270="",F270=""),"",E270*F270)</f>
        <v/>
      </c>
      <c r="H270" s="5" t="n"/>
    </row>
    <row r="271">
      <c r="A271" s="5" t="n"/>
      <c r="B271" s="5" t="n"/>
      <c r="C271" s="5" t="n"/>
      <c r="D271" s="5" t="n"/>
      <c r="E271" s="19">
        <f>IF(B271="","",SUMIFS('Metraj Mahal Listesi'!$F$5:$F$504,'Metraj Mahal Listesi'!$C$5:$C$504,B271,'Metraj Mahal Listesi'!$I$5:$I$504,"&lt;&gt;KAPSAM DIŞI*",'Metraj Mahal Listesi'!$I$5:$I$504,"&lt;&gt;DAHİL DEĞİL*"))</f>
        <v/>
      </c>
      <c r="F271" s="20" t="n"/>
      <c r="G271" s="21">
        <f>IF(OR(E271="",F271=""),"",E271*F271)</f>
        <v/>
      </c>
      <c r="H271" s="5" t="n"/>
    </row>
    <row r="272">
      <c r="A272" s="5" t="n"/>
      <c r="B272" s="5" t="n"/>
      <c r="C272" s="5" t="n"/>
      <c r="D272" s="5" t="n"/>
      <c r="E272" s="19">
        <f>IF(B272="","",SUMIFS('Metraj Mahal Listesi'!$F$5:$F$504,'Metraj Mahal Listesi'!$C$5:$C$504,B272,'Metraj Mahal Listesi'!$I$5:$I$504,"&lt;&gt;KAPSAM DIŞI*",'Metraj Mahal Listesi'!$I$5:$I$504,"&lt;&gt;DAHİL DEĞİL*"))</f>
        <v/>
      </c>
      <c r="F272" s="20" t="n"/>
      <c r="G272" s="21">
        <f>IF(OR(E272="",F272=""),"",E272*F272)</f>
        <v/>
      </c>
      <c r="H272" s="5" t="n"/>
    </row>
    <row r="273">
      <c r="A273" s="5" t="n"/>
      <c r="B273" s="5" t="n"/>
      <c r="C273" s="5" t="n"/>
      <c r="D273" s="5" t="n"/>
      <c r="E273" s="19">
        <f>IF(B273="","",SUMIFS('Metraj Mahal Listesi'!$F$5:$F$504,'Metraj Mahal Listesi'!$C$5:$C$504,B273,'Metraj Mahal Listesi'!$I$5:$I$504,"&lt;&gt;KAPSAM DIŞI*",'Metraj Mahal Listesi'!$I$5:$I$504,"&lt;&gt;DAHİL DEĞİL*"))</f>
        <v/>
      </c>
      <c r="F273" s="20" t="n"/>
      <c r="G273" s="21">
        <f>IF(OR(E273="",F273=""),"",E273*F273)</f>
        <v/>
      </c>
      <c r="H273" s="5" t="n"/>
    </row>
    <row r="274">
      <c r="A274" s="5" t="n"/>
      <c r="B274" s="5" t="n"/>
      <c r="C274" s="5" t="n"/>
      <c r="D274" s="5" t="n"/>
      <c r="E274" s="19">
        <f>IF(B274="","",SUMIFS('Metraj Mahal Listesi'!$F$5:$F$504,'Metraj Mahal Listesi'!$C$5:$C$504,B274,'Metraj Mahal Listesi'!$I$5:$I$504,"&lt;&gt;KAPSAM DIŞI*",'Metraj Mahal Listesi'!$I$5:$I$504,"&lt;&gt;DAHİL DEĞİL*"))</f>
        <v/>
      </c>
      <c r="F274" s="20" t="n"/>
      <c r="G274" s="21">
        <f>IF(OR(E274="",F274=""),"",E274*F274)</f>
        <v/>
      </c>
      <c r="H274" s="5" t="n"/>
    </row>
    <row r="275">
      <c r="A275" s="5" t="n"/>
      <c r="B275" s="5" t="n"/>
      <c r="C275" s="5" t="n"/>
      <c r="D275" s="5" t="n"/>
      <c r="E275" s="19">
        <f>IF(B275="","",SUMIFS('Metraj Mahal Listesi'!$F$5:$F$504,'Metraj Mahal Listesi'!$C$5:$C$504,B275,'Metraj Mahal Listesi'!$I$5:$I$504,"&lt;&gt;KAPSAM DIŞI*",'Metraj Mahal Listesi'!$I$5:$I$504,"&lt;&gt;DAHİL DEĞİL*"))</f>
        <v/>
      </c>
      <c r="F275" s="20" t="n"/>
      <c r="G275" s="21">
        <f>IF(OR(E275="",F275=""),"",E275*F275)</f>
        <v/>
      </c>
      <c r="H275" s="5" t="n"/>
    </row>
    <row r="276">
      <c r="A276" s="5" t="n"/>
      <c r="B276" s="5" t="n"/>
      <c r="C276" s="5" t="n"/>
      <c r="D276" s="5" t="n"/>
      <c r="E276" s="19">
        <f>IF(B276="","",SUMIFS('Metraj Mahal Listesi'!$F$5:$F$504,'Metraj Mahal Listesi'!$C$5:$C$504,B276,'Metraj Mahal Listesi'!$I$5:$I$504,"&lt;&gt;KAPSAM DIŞI*",'Metraj Mahal Listesi'!$I$5:$I$504,"&lt;&gt;DAHİL DEĞİL*"))</f>
        <v/>
      </c>
      <c r="F276" s="20" t="n"/>
      <c r="G276" s="21">
        <f>IF(OR(E276="",F276=""),"",E276*F276)</f>
        <v/>
      </c>
      <c r="H276" s="5" t="n"/>
    </row>
    <row r="277">
      <c r="A277" s="5" t="n"/>
      <c r="B277" s="5" t="n"/>
      <c r="C277" s="5" t="n"/>
      <c r="D277" s="5" t="n"/>
      <c r="E277" s="19">
        <f>IF(B277="","",SUMIFS('Metraj Mahal Listesi'!$F$5:$F$504,'Metraj Mahal Listesi'!$C$5:$C$504,B277,'Metraj Mahal Listesi'!$I$5:$I$504,"&lt;&gt;KAPSAM DIŞI*",'Metraj Mahal Listesi'!$I$5:$I$504,"&lt;&gt;DAHİL DEĞİL*"))</f>
        <v/>
      </c>
      <c r="F277" s="20" t="n"/>
      <c r="G277" s="21">
        <f>IF(OR(E277="",F277=""),"",E277*F277)</f>
        <v/>
      </c>
      <c r="H277" s="5" t="n"/>
    </row>
    <row r="278">
      <c r="A278" s="5" t="n"/>
      <c r="B278" s="5" t="n"/>
      <c r="C278" s="5" t="n"/>
      <c r="D278" s="5" t="n"/>
      <c r="E278" s="19">
        <f>IF(B278="","",SUMIFS('Metraj Mahal Listesi'!$F$5:$F$504,'Metraj Mahal Listesi'!$C$5:$C$504,B278,'Metraj Mahal Listesi'!$I$5:$I$504,"&lt;&gt;KAPSAM DIŞI*",'Metraj Mahal Listesi'!$I$5:$I$504,"&lt;&gt;DAHİL DEĞİL*"))</f>
        <v/>
      </c>
      <c r="F278" s="20" t="n"/>
      <c r="G278" s="21">
        <f>IF(OR(E278="",F278=""),"",E278*F278)</f>
        <v/>
      </c>
      <c r="H278" s="5" t="n"/>
    </row>
    <row r="279">
      <c r="A279" s="5" t="n"/>
      <c r="B279" s="5" t="n"/>
      <c r="C279" s="5" t="n"/>
      <c r="D279" s="5" t="n"/>
      <c r="E279" s="19">
        <f>IF(B279="","",SUMIFS('Metraj Mahal Listesi'!$F$5:$F$504,'Metraj Mahal Listesi'!$C$5:$C$504,B279,'Metraj Mahal Listesi'!$I$5:$I$504,"&lt;&gt;KAPSAM DIŞI*",'Metraj Mahal Listesi'!$I$5:$I$504,"&lt;&gt;DAHİL DEĞİL*"))</f>
        <v/>
      </c>
      <c r="F279" s="20" t="n"/>
      <c r="G279" s="21">
        <f>IF(OR(E279="",F279=""),"",E279*F279)</f>
        <v/>
      </c>
      <c r="H279" s="5" t="n"/>
    </row>
    <row r="280">
      <c r="A280" s="5" t="n"/>
      <c r="B280" s="5" t="n"/>
      <c r="C280" s="5" t="n"/>
      <c r="D280" s="5" t="n"/>
      <c r="E280" s="19">
        <f>IF(B280="","",SUMIFS('Metraj Mahal Listesi'!$F$5:$F$504,'Metraj Mahal Listesi'!$C$5:$C$504,B280,'Metraj Mahal Listesi'!$I$5:$I$504,"&lt;&gt;KAPSAM DIŞI*",'Metraj Mahal Listesi'!$I$5:$I$504,"&lt;&gt;DAHİL DEĞİL*"))</f>
        <v/>
      </c>
      <c r="F280" s="20" t="n"/>
      <c r="G280" s="21">
        <f>IF(OR(E280="",F280=""),"",E280*F280)</f>
        <v/>
      </c>
      <c r="H280" s="5" t="n"/>
    </row>
    <row r="281">
      <c r="A281" s="5" t="n"/>
      <c r="B281" s="5" t="n"/>
      <c r="C281" s="5" t="n"/>
      <c r="D281" s="5" t="n"/>
      <c r="E281" s="19">
        <f>IF(B281="","",SUMIFS('Metraj Mahal Listesi'!$F$5:$F$504,'Metraj Mahal Listesi'!$C$5:$C$504,B281,'Metraj Mahal Listesi'!$I$5:$I$504,"&lt;&gt;KAPSAM DIŞI*",'Metraj Mahal Listesi'!$I$5:$I$504,"&lt;&gt;DAHİL DEĞİL*"))</f>
        <v/>
      </c>
      <c r="F281" s="20" t="n"/>
      <c r="G281" s="21">
        <f>IF(OR(E281="",F281=""),"",E281*F281)</f>
        <v/>
      </c>
      <c r="H281" s="5" t="n"/>
    </row>
    <row r="282">
      <c r="A282" s="5" t="n"/>
      <c r="B282" s="5" t="n"/>
      <c r="C282" s="5" t="n"/>
      <c r="D282" s="5" t="n"/>
      <c r="E282" s="19">
        <f>IF(B282="","",SUMIFS('Metraj Mahal Listesi'!$F$5:$F$504,'Metraj Mahal Listesi'!$C$5:$C$504,B282,'Metraj Mahal Listesi'!$I$5:$I$504,"&lt;&gt;KAPSAM DIŞI*",'Metraj Mahal Listesi'!$I$5:$I$504,"&lt;&gt;DAHİL DEĞİL*"))</f>
        <v/>
      </c>
      <c r="F282" s="20" t="n"/>
      <c r="G282" s="21">
        <f>IF(OR(E282="",F282=""),"",E282*F282)</f>
        <v/>
      </c>
      <c r="H282" s="5" t="n"/>
    </row>
    <row r="283">
      <c r="A283" s="5" t="n"/>
      <c r="B283" s="5" t="n"/>
      <c r="C283" s="5" t="n"/>
      <c r="D283" s="5" t="n"/>
      <c r="E283" s="19">
        <f>IF(B283="","",SUMIFS('Metraj Mahal Listesi'!$F$5:$F$504,'Metraj Mahal Listesi'!$C$5:$C$504,B283,'Metraj Mahal Listesi'!$I$5:$I$504,"&lt;&gt;KAPSAM DIŞI*",'Metraj Mahal Listesi'!$I$5:$I$504,"&lt;&gt;DAHİL DEĞİL*"))</f>
        <v/>
      </c>
      <c r="F283" s="20" t="n"/>
      <c r="G283" s="21">
        <f>IF(OR(E283="",F283=""),"",E283*F283)</f>
        <v/>
      </c>
      <c r="H283" s="5" t="n"/>
    </row>
    <row r="284">
      <c r="A284" s="5" t="n"/>
      <c r="B284" s="5" t="n"/>
      <c r="C284" s="5" t="n"/>
      <c r="D284" s="5" t="n"/>
      <c r="E284" s="19">
        <f>IF(B284="","",SUMIFS('Metraj Mahal Listesi'!$F$5:$F$504,'Metraj Mahal Listesi'!$C$5:$C$504,B284,'Metraj Mahal Listesi'!$I$5:$I$504,"&lt;&gt;KAPSAM DIŞI*",'Metraj Mahal Listesi'!$I$5:$I$504,"&lt;&gt;DAHİL DEĞİL*"))</f>
        <v/>
      </c>
      <c r="F284" s="20" t="n"/>
      <c r="G284" s="21">
        <f>IF(OR(E284="",F284=""),"",E284*F284)</f>
        <v/>
      </c>
      <c r="H284" s="5" t="n"/>
    </row>
    <row r="285">
      <c r="A285" s="5" t="n"/>
      <c r="B285" s="5" t="n"/>
      <c r="C285" s="5" t="n"/>
      <c r="D285" s="5" t="n"/>
      <c r="E285" s="19">
        <f>IF(B285="","",SUMIFS('Metraj Mahal Listesi'!$F$5:$F$504,'Metraj Mahal Listesi'!$C$5:$C$504,B285,'Metraj Mahal Listesi'!$I$5:$I$504,"&lt;&gt;KAPSAM DIŞI*",'Metraj Mahal Listesi'!$I$5:$I$504,"&lt;&gt;DAHİL DEĞİL*"))</f>
        <v/>
      </c>
      <c r="F285" s="20" t="n"/>
      <c r="G285" s="21">
        <f>IF(OR(E285="",F285=""),"",E285*F285)</f>
        <v/>
      </c>
      <c r="H285" s="5" t="n"/>
    </row>
    <row r="286">
      <c r="A286" s="5" t="n"/>
      <c r="B286" s="5" t="n"/>
      <c r="C286" s="5" t="n"/>
      <c r="D286" s="5" t="n"/>
      <c r="E286" s="19">
        <f>IF(B286="","",SUMIFS('Metraj Mahal Listesi'!$F$5:$F$504,'Metraj Mahal Listesi'!$C$5:$C$504,B286,'Metraj Mahal Listesi'!$I$5:$I$504,"&lt;&gt;KAPSAM DIŞI*",'Metraj Mahal Listesi'!$I$5:$I$504,"&lt;&gt;DAHİL DEĞİL*"))</f>
        <v/>
      </c>
      <c r="F286" s="20" t="n"/>
      <c r="G286" s="21">
        <f>IF(OR(E286="",F286=""),"",E286*F286)</f>
        <v/>
      </c>
      <c r="H286" s="5" t="n"/>
    </row>
    <row r="287">
      <c r="A287" s="5" t="n"/>
      <c r="B287" s="5" t="n"/>
      <c r="C287" s="5" t="n"/>
      <c r="D287" s="5" t="n"/>
      <c r="E287" s="19">
        <f>IF(B287="","",SUMIFS('Metraj Mahal Listesi'!$F$5:$F$504,'Metraj Mahal Listesi'!$C$5:$C$504,B287,'Metraj Mahal Listesi'!$I$5:$I$504,"&lt;&gt;KAPSAM DIŞI*",'Metraj Mahal Listesi'!$I$5:$I$504,"&lt;&gt;DAHİL DEĞİL*"))</f>
        <v/>
      </c>
      <c r="F287" s="20" t="n"/>
      <c r="G287" s="21">
        <f>IF(OR(E287="",F287=""),"",E287*F287)</f>
        <v/>
      </c>
      <c r="H287" s="5" t="n"/>
    </row>
    <row r="288">
      <c r="A288" s="5" t="n"/>
      <c r="B288" s="5" t="n"/>
      <c r="C288" s="5" t="n"/>
      <c r="D288" s="5" t="n"/>
      <c r="E288" s="19">
        <f>IF(B288="","",SUMIFS('Metraj Mahal Listesi'!$F$5:$F$504,'Metraj Mahal Listesi'!$C$5:$C$504,B288,'Metraj Mahal Listesi'!$I$5:$I$504,"&lt;&gt;KAPSAM DIŞI*",'Metraj Mahal Listesi'!$I$5:$I$504,"&lt;&gt;DAHİL DEĞİL*"))</f>
        <v/>
      </c>
      <c r="F288" s="20" t="n"/>
      <c r="G288" s="21">
        <f>IF(OR(E288="",F288=""),"",E288*F288)</f>
        <v/>
      </c>
      <c r="H288" s="5" t="n"/>
    </row>
    <row r="289">
      <c r="A289" s="5" t="n"/>
      <c r="B289" s="5" t="n"/>
      <c r="C289" s="5" t="n"/>
      <c r="D289" s="5" t="n"/>
      <c r="E289" s="19">
        <f>IF(B289="","",SUMIFS('Metraj Mahal Listesi'!$F$5:$F$504,'Metraj Mahal Listesi'!$C$5:$C$504,B289,'Metraj Mahal Listesi'!$I$5:$I$504,"&lt;&gt;KAPSAM DIŞI*",'Metraj Mahal Listesi'!$I$5:$I$504,"&lt;&gt;DAHİL DEĞİL*"))</f>
        <v/>
      </c>
      <c r="F289" s="20" t="n"/>
      <c r="G289" s="21">
        <f>IF(OR(E289="",F289=""),"",E289*F289)</f>
        <v/>
      </c>
      <c r="H289" s="5" t="n"/>
    </row>
    <row r="290">
      <c r="A290" s="5" t="n"/>
      <c r="B290" s="5" t="n"/>
      <c r="C290" s="5" t="n"/>
      <c r="D290" s="5" t="n"/>
      <c r="E290" s="19">
        <f>IF(B290="","",SUMIFS('Metraj Mahal Listesi'!$F$5:$F$504,'Metraj Mahal Listesi'!$C$5:$C$504,B290,'Metraj Mahal Listesi'!$I$5:$I$504,"&lt;&gt;KAPSAM DIŞI*",'Metraj Mahal Listesi'!$I$5:$I$504,"&lt;&gt;DAHİL DEĞİL*"))</f>
        <v/>
      </c>
      <c r="F290" s="20" t="n"/>
      <c r="G290" s="21">
        <f>IF(OR(E290="",F290=""),"",E290*F290)</f>
        <v/>
      </c>
      <c r="H290" s="5" t="n"/>
    </row>
    <row r="291">
      <c r="A291" s="5" t="n"/>
      <c r="B291" s="5" t="n"/>
      <c r="C291" s="5" t="n"/>
      <c r="D291" s="5" t="n"/>
      <c r="E291" s="19">
        <f>IF(B291="","",SUMIFS('Metraj Mahal Listesi'!$F$5:$F$504,'Metraj Mahal Listesi'!$C$5:$C$504,B291,'Metraj Mahal Listesi'!$I$5:$I$504,"&lt;&gt;KAPSAM DIŞI*",'Metraj Mahal Listesi'!$I$5:$I$504,"&lt;&gt;DAHİL DEĞİL*"))</f>
        <v/>
      </c>
      <c r="F291" s="20" t="n"/>
      <c r="G291" s="21">
        <f>IF(OR(E291="",F291=""),"",E291*F291)</f>
        <v/>
      </c>
      <c r="H291" s="5" t="n"/>
    </row>
    <row r="292">
      <c r="A292" s="5" t="n"/>
      <c r="B292" s="5" t="n"/>
      <c r="C292" s="5" t="n"/>
      <c r="D292" s="5" t="n"/>
      <c r="E292" s="19">
        <f>IF(B292="","",SUMIFS('Metraj Mahal Listesi'!$F$5:$F$504,'Metraj Mahal Listesi'!$C$5:$C$504,B292,'Metraj Mahal Listesi'!$I$5:$I$504,"&lt;&gt;KAPSAM DIŞI*",'Metraj Mahal Listesi'!$I$5:$I$504,"&lt;&gt;DAHİL DEĞİL*"))</f>
        <v/>
      </c>
      <c r="F292" s="20" t="n"/>
      <c r="G292" s="21">
        <f>IF(OR(E292="",F292=""),"",E292*F292)</f>
        <v/>
      </c>
      <c r="H292" s="5" t="n"/>
    </row>
    <row r="293">
      <c r="A293" s="5" t="n"/>
      <c r="B293" s="5" t="n"/>
      <c r="C293" s="5" t="n"/>
      <c r="D293" s="5" t="n"/>
      <c r="E293" s="19">
        <f>IF(B293="","",SUMIFS('Metraj Mahal Listesi'!$F$5:$F$504,'Metraj Mahal Listesi'!$C$5:$C$504,B293,'Metraj Mahal Listesi'!$I$5:$I$504,"&lt;&gt;KAPSAM DIŞI*",'Metraj Mahal Listesi'!$I$5:$I$504,"&lt;&gt;DAHİL DEĞİL*"))</f>
        <v/>
      </c>
      <c r="F293" s="20" t="n"/>
      <c r="G293" s="21">
        <f>IF(OR(E293="",F293=""),"",E293*F293)</f>
        <v/>
      </c>
      <c r="H293" s="5" t="n"/>
    </row>
    <row r="294">
      <c r="A294" s="5" t="n"/>
      <c r="B294" s="5" t="n"/>
      <c r="C294" s="5" t="n"/>
      <c r="D294" s="5" t="n"/>
      <c r="E294" s="19">
        <f>IF(B294="","",SUMIFS('Metraj Mahal Listesi'!$F$5:$F$504,'Metraj Mahal Listesi'!$C$5:$C$504,B294,'Metraj Mahal Listesi'!$I$5:$I$504,"&lt;&gt;KAPSAM DIŞI*",'Metraj Mahal Listesi'!$I$5:$I$504,"&lt;&gt;DAHİL DEĞİL*"))</f>
        <v/>
      </c>
      <c r="F294" s="20" t="n"/>
      <c r="G294" s="21">
        <f>IF(OR(E294="",F294=""),"",E294*F294)</f>
        <v/>
      </c>
      <c r="H294" s="5" t="n"/>
    </row>
    <row r="295">
      <c r="A295" s="5" t="n"/>
      <c r="B295" s="5" t="n"/>
      <c r="C295" s="5" t="n"/>
      <c r="D295" s="5" t="n"/>
      <c r="E295" s="19">
        <f>IF(B295="","",SUMIFS('Metraj Mahal Listesi'!$F$5:$F$504,'Metraj Mahal Listesi'!$C$5:$C$504,B295,'Metraj Mahal Listesi'!$I$5:$I$504,"&lt;&gt;KAPSAM DIŞI*",'Metraj Mahal Listesi'!$I$5:$I$504,"&lt;&gt;DAHİL DEĞİL*"))</f>
        <v/>
      </c>
      <c r="F295" s="20" t="n"/>
      <c r="G295" s="21">
        <f>IF(OR(E295="",F295=""),"",E295*F295)</f>
        <v/>
      </c>
      <c r="H295" s="5" t="n"/>
    </row>
    <row r="296">
      <c r="A296" s="5" t="n"/>
      <c r="B296" s="5" t="n"/>
      <c r="C296" s="5" t="n"/>
      <c r="D296" s="5" t="n"/>
      <c r="E296" s="19">
        <f>IF(B296="","",SUMIFS('Metraj Mahal Listesi'!$F$5:$F$504,'Metraj Mahal Listesi'!$C$5:$C$504,B296,'Metraj Mahal Listesi'!$I$5:$I$504,"&lt;&gt;KAPSAM DIŞI*",'Metraj Mahal Listesi'!$I$5:$I$504,"&lt;&gt;DAHİL DEĞİL*"))</f>
        <v/>
      </c>
      <c r="F296" s="20" t="n"/>
      <c r="G296" s="21">
        <f>IF(OR(E296="",F296=""),"",E296*F296)</f>
        <v/>
      </c>
      <c r="H296" s="5" t="n"/>
    </row>
    <row r="297">
      <c r="A297" s="5" t="n"/>
      <c r="B297" s="5" t="n"/>
      <c r="C297" s="5" t="n"/>
      <c r="D297" s="5" t="n"/>
      <c r="E297" s="19">
        <f>IF(B297="","",SUMIFS('Metraj Mahal Listesi'!$F$5:$F$504,'Metraj Mahal Listesi'!$C$5:$C$504,B297,'Metraj Mahal Listesi'!$I$5:$I$504,"&lt;&gt;KAPSAM DIŞI*",'Metraj Mahal Listesi'!$I$5:$I$504,"&lt;&gt;DAHİL DEĞİL*"))</f>
        <v/>
      </c>
      <c r="F297" s="20" t="n"/>
      <c r="G297" s="21">
        <f>IF(OR(E297="",F297=""),"",E297*F297)</f>
        <v/>
      </c>
      <c r="H297" s="5" t="n"/>
    </row>
    <row r="298">
      <c r="A298" s="5" t="n"/>
      <c r="B298" s="5" t="n"/>
      <c r="C298" s="5" t="n"/>
      <c r="D298" s="5" t="n"/>
      <c r="E298" s="19">
        <f>IF(B298="","",SUMIFS('Metraj Mahal Listesi'!$F$5:$F$504,'Metraj Mahal Listesi'!$C$5:$C$504,B298,'Metraj Mahal Listesi'!$I$5:$I$504,"&lt;&gt;KAPSAM DIŞI*",'Metraj Mahal Listesi'!$I$5:$I$504,"&lt;&gt;DAHİL DEĞİL*"))</f>
        <v/>
      </c>
      <c r="F298" s="20" t="n"/>
      <c r="G298" s="21">
        <f>IF(OR(E298="",F298=""),"",E298*F298)</f>
        <v/>
      </c>
      <c r="H298" s="5" t="n"/>
    </row>
    <row r="299">
      <c r="A299" s="5" t="n"/>
      <c r="B299" s="5" t="n"/>
      <c r="C299" s="5" t="n"/>
      <c r="D299" s="5" t="n"/>
      <c r="E299" s="19">
        <f>IF(B299="","",SUMIFS('Metraj Mahal Listesi'!$F$5:$F$504,'Metraj Mahal Listesi'!$C$5:$C$504,B299,'Metraj Mahal Listesi'!$I$5:$I$504,"&lt;&gt;KAPSAM DIŞI*",'Metraj Mahal Listesi'!$I$5:$I$504,"&lt;&gt;DAHİL DEĞİL*"))</f>
        <v/>
      </c>
      <c r="F299" s="20" t="n"/>
      <c r="G299" s="21">
        <f>IF(OR(E299="",F299=""),"",E299*F299)</f>
        <v/>
      </c>
      <c r="H299" s="5" t="n"/>
    </row>
    <row r="300">
      <c r="A300" s="5" t="n"/>
      <c r="B300" s="5" t="n"/>
      <c r="C300" s="5" t="n"/>
      <c r="D300" s="5" t="n"/>
      <c r="E300" s="19">
        <f>IF(B300="","",SUMIFS('Metraj Mahal Listesi'!$F$5:$F$504,'Metraj Mahal Listesi'!$C$5:$C$504,B300,'Metraj Mahal Listesi'!$I$5:$I$504,"&lt;&gt;KAPSAM DIŞI*",'Metraj Mahal Listesi'!$I$5:$I$504,"&lt;&gt;DAHİL DEĞİL*"))</f>
        <v/>
      </c>
      <c r="F300" s="20" t="n"/>
      <c r="G300" s="21">
        <f>IF(OR(E300="",F300=""),"",E300*F300)</f>
        <v/>
      </c>
      <c r="H300" s="5" t="n"/>
    </row>
    <row r="301">
      <c r="A301" s="5" t="n"/>
      <c r="B301" s="5" t="n"/>
      <c r="C301" s="5" t="n"/>
      <c r="D301" s="5" t="n"/>
      <c r="E301" s="19">
        <f>IF(B301="","",SUMIFS('Metraj Mahal Listesi'!$F$5:$F$504,'Metraj Mahal Listesi'!$C$5:$C$504,B301,'Metraj Mahal Listesi'!$I$5:$I$504,"&lt;&gt;KAPSAM DIŞI*",'Metraj Mahal Listesi'!$I$5:$I$504,"&lt;&gt;DAHİL DEĞİL*"))</f>
        <v/>
      </c>
      <c r="F301" s="20" t="n"/>
      <c r="G301" s="21">
        <f>IF(OR(E301="",F301=""),"",E301*F301)</f>
        <v/>
      </c>
      <c r="H301" s="5" t="n"/>
    </row>
    <row r="302">
      <c r="A302" s="5" t="n"/>
      <c r="B302" s="5" t="n"/>
      <c r="C302" s="5" t="n"/>
      <c r="D302" s="5" t="n"/>
      <c r="E302" s="19">
        <f>IF(B302="","",SUMIFS('Metraj Mahal Listesi'!$F$5:$F$504,'Metraj Mahal Listesi'!$C$5:$C$504,B302,'Metraj Mahal Listesi'!$I$5:$I$504,"&lt;&gt;KAPSAM DIŞI*",'Metraj Mahal Listesi'!$I$5:$I$504,"&lt;&gt;DAHİL DEĞİL*"))</f>
        <v/>
      </c>
      <c r="F302" s="20" t="n"/>
      <c r="G302" s="21">
        <f>IF(OR(E302="",F302=""),"",E302*F302)</f>
        <v/>
      </c>
      <c r="H302" s="5" t="n"/>
    </row>
    <row r="303">
      <c r="A303" s="5" t="n"/>
      <c r="B303" s="5" t="n"/>
      <c r="C303" s="5" t="n"/>
      <c r="D303" s="5" t="n"/>
      <c r="E303" s="19">
        <f>IF(B303="","",SUMIFS('Metraj Mahal Listesi'!$F$5:$F$504,'Metraj Mahal Listesi'!$C$5:$C$504,B303,'Metraj Mahal Listesi'!$I$5:$I$504,"&lt;&gt;KAPSAM DIŞI*",'Metraj Mahal Listesi'!$I$5:$I$504,"&lt;&gt;DAHİL DEĞİL*"))</f>
        <v/>
      </c>
      <c r="F303" s="20" t="n"/>
      <c r="G303" s="21">
        <f>IF(OR(E303="",F303=""),"",E303*F303)</f>
        <v/>
      </c>
      <c r="H303" s="5" t="n"/>
    </row>
    <row r="304">
      <c r="A304" s="5" t="n"/>
      <c r="B304" s="5" t="n"/>
      <c r="C304" s="5" t="n"/>
      <c r="D304" s="5" t="n"/>
      <c r="E304" s="19">
        <f>IF(B304="","",SUMIFS('Metraj Mahal Listesi'!$F$5:$F$504,'Metraj Mahal Listesi'!$C$5:$C$504,B304,'Metraj Mahal Listesi'!$I$5:$I$504,"&lt;&gt;KAPSAM DIŞI*",'Metraj Mahal Listesi'!$I$5:$I$504,"&lt;&gt;DAHİL DEĞİL*"))</f>
        <v/>
      </c>
      <c r="F304" s="20" t="n"/>
      <c r="G304" s="21">
        <f>IF(OR(E304="",F304=""),"",E304*F304)</f>
        <v/>
      </c>
      <c r="H304" s="5" t="n"/>
    </row>
    <row r="305">
      <c r="A305" s="5" t="n"/>
      <c r="B305" s="5" t="n"/>
      <c r="C305" s="5" t="n"/>
      <c r="D305" s="5" t="n"/>
      <c r="E305" s="19">
        <f>IF(B305="","",SUMIFS('Metraj Mahal Listesi'!$F$5:$F$504,'Metraj Mahal Listesi'!$C$5:$C$504,B305,'Metraj Mahal Listesi'!$I$5:$I$504,"&lt;&gt;KAPSAM DIŞI*",'Metraj Mahal Listesi'!$I$5:$I$504,"&lt;&gt;DAHİL DEĞİL*"))</f>
        <v/>
      </c>
      <c r="F305" s="20" t="n"/>
      <c r="G305" s="21">
        <f>IF(OR(E305="",F305=""),"",E305*F305)</f>
        <v/>
      </c>
      <c r="H305" s="5" t="n"/>
    </row>
    <row r="306">
      <c r="A306" s="5" t="n"/>
      <c r="B306" s="5" t="n"/>
      <c r="C306" s="5" t="n"/>
      <c r="D306" s="5" t="n"/>
      <c r="E306" s="19">
        <f>IF(B306="","",SUMIFS('Metraj Mahal Listesi'!$F$5:$F$504,'Metraj Mahal Listesi'!$C$5:$C$504,B306,'Metraj Mahal Listesi'!$I$5:$I$504,"&lt;&gt;KAPSAM DIŞI*",'Metraj Mahal Listesi'!$I$5:$I$504,"&lt;&gt;DAHİL DEĞİL*"))</f>
        <v/>
      </c>
      <c r="F306" s="20" t="n"/>
      <c r="G306" s="21">
        <f>IF(OR(E306="",F306=""),"",E306*F306)</f>
        <v/>
      </c>
      <c r="H306" s="5" t="n"/>
    </row>
    <row r="307">
      <c r="A307" s="5" t="n"/>
      <c r="B307" s="5" t="n"/>
      <c r="C307" s="5" t="n"/>
      <c r="D307" s="5" t="n"/>
      <c r="E307" s="19">
        <f>IF(B307="","",SUMIFS('Metraj Mahal Listesi'!$F$5:$F$504,'Metraj Mahal Listesi'!$C$5:$C$504,B307,'Metraj Mahal Listesi'!$I$5:$I$504,"&lt;&gt;KAPSAM DIŞI*",'Metraj Mahal Listesi'!$I$5:$I$504,"&lt;&gt;DAHİL DEĞİL*"))</f>
        <v/>
      </c>
      <c r="F307" s="20" t="n"/>
      <c r="G307" s="21">
        <f>IF(OR(E307="",F307=""),"",E307*F307)</f>
        <v/>
      </c>
      <c r="H307" s="5" t="n"/>
    </row>
    <row r="308">
      <c r="A308" s="5" t="n"/>
      <c r="B308" s="5" t="n"/>
      <c r="C308" s="5" t="n"/>
      <c r="D308" s="5" t="n"/>
      <c r="E308" s="19">
        <f>IF(B308="","",SUMIFS('Metraj Mahal Listesi'!$F$5:$F$504,'Metraj Mahal Listesi'!$C$5:$C$504,B308,'Metraj Mahal Listesi'!$I$5:$I$504,"&lt;&gt;KAPSAM DIŞI*",'Metraj Mahal Listesi'!$I$5:$I$504,"&lt;&gt;DAHİL DEĞİL*"))</f>
        <v/>
      </c>
      <c r="F308" s="20" t="n"/>
      <c r="G308" s="21">
        <f>IF(OR(E308="",F308=""),"",E308*F308)</f>
        <v/>
      </c>
      <c r="H308" s="5" t="n"/>
    </row>
    <row r="309">
      <c r="A309" s="5" t="n"/>
      <c r="B309" s="5" t="n"/>
      <c r="C309" s="5" t="n"/>
      <c r="D309" s="5" t="n"/>
      <c r="E309" s="19">
        <f>IF(B309="","",SUMIFS('Metraj Mahal Listesi'!$F$5:$F$504,'Metraj Mahal Listesi'!$C$5:$C$504,B309,'Metraj Mahal Listesi'!$I$5:$I$504,"&lt;&gt;KAPSAM DIŞI*",'Metraj Mahal Listesi'!$I$5:$I$504,"&lt;&gt;DAHİL DEĞİL*"))</f>
        <v/>
      </c>
      <c r="F309" s="20" t="n"/>
      <c r="G309" s="21">
        <f>IF(OR(E309="",F309=""),"",E309*F309)</f>
        <v/>
      </c>
      <c r="H309" s="5" t="n"/>
    </row>
    <row r="310">
      <c r="A310" s="5" t="n"/>
      <c r="B310" s="5" t="n"/>
      <c r="C310" s="5" t="n"/>
      <c r="D310" s="5" t="n"/>
      <c r="E310" s="19">
        <f>IF(B310="","",SUMIFS('Metraj Mahal Listesi'!$F$5:$F$504,'Metraj Mahal Listesi'!$C$5:$C$504,B310,'Metraj Mahal Listesi'!$I$5:$I$504,"&lt;&gt;KAPSAM DIŞI*",'Metraj Mahal Listesi'!$I$5:$I$504,"&lt;&gt;DAHİL DEĞİL*"))</f>
        <v/>
      </c>
      <c r="F310" s="20" t="n"/>
      <c r="G310" s="21">
        <f>IF(OR(E310="",F310=""),"",E310*F310)</f>
        <v/>
      </c>
      <c r="H310" s="5" t="n"/>
    </row>
    <row r="311">
      <c r="A311" s="5" t="n"/>
      <c r="B311" s="5" t="n"/>
      <c r="C311" s="5" t="n"/>
      <c r="D311" s="5" t="n"/>
      <c r="E311" s="19">
        <f>IF(B311="","",SUMIFS('Metraj Mahal Listesi'!$F$5:$F$504,'Metraj Mahal Listesi'!$C$5:$C$504,B311,'Metraj Mahal Listesi'!$I$5:$I$504,"&lt;&gt;KAPSAM DIŞI*",'Metraj Mahal Listesi'!$I$5:$I$504,"&lt;&gt;DAHİL DEĞİL*"))</f>
        <v/>
      </c>
      <c r="F311" s="20" t="n"/>
      <c r="G311" s="21">
        <f>IF(OR(E311="",F311=""),"",E311*F311)</f>
        <v/>
      </c>
      <c r="H311" s="5" t="n"/>
    </row>
    <row r="312">
      <c r="A312" s="5" t="n"/>
      <c r="B312" s="5" t="n"/>
      <c r="C312" s="5" t="n"/>
      <c r="D312" s="5" t="n"/>
      <c r="E312" s="19">
        <f>IF(B312="","",SUMIFS('Metraj Mahal Listesi'!$F$5:$F$504,'Metraj Mahal Listesi'!$C$5:$C$504,B312,'Metraj Mahal Listesi'!$I$5:$I$504,"&lt;&gt;KAPSAM DIŞI*",'Metraj Mahal Listesi'!$I$5:$I$504,"&lt;&gt;DAHİL DEĞİL*"))</f>
        <v/>
      </c>
      <c r="F312" s="20" t="n"/>
      <c r="G312" s="21">
        <f>IF(OR(E312="",F312=""),"",E312*F312)</f>
        <v/>
      </c>
      <c r="H312" s="5" t="n"/>
    </row>
    <row r="313">
      <c r="A313" s="5" t="n"/>
      <c r="B313" s="5" t="n"/>
      <c r="C313" s="5" t="n"/>
      <c r="D313" s="5" t="n"/>
      <c r="E313" s="19">
        <f>IF(B313="","",SUMIFS('Metraj Mahal Listesi'!$F$5:$F$504,'Metraj Mahal Listesi'!$C$5:$C$504,B313,'Metraj Mahal Listesi'!$I$5:$I$504,"&lt;&gt;KAPSAM DIŞI*",'Metraj Mahal Listesi'!$I$5:$I$504,"&lt;&gt;DAHİL DEĞİL*"))</f>
        <v/>
      </c>
      <c r="F313" s="20" t="n"/>
      <c r="G313" s="21">
        <f>IF(OR(E313="",F313=""),"",E313*F313)</f>
        <v/>
      </c>
      <c r="H313" s="5" t="n"/>
    </row>
    <row r="314">
      <c r="A314" s="5" t="n"/>
      <c r="B314" s="5" t="n"/>
      <c r="C314" s="5" t="n"/>
      <c r="D314" s="5" t="n"/>
      <c r="E314" s="19">
        <f>IF(B314="","",SUMIFS('Metraj Mahal Listesi'!$F$5:$F$504,'Metraj Mahal Listesi'!$C$5:$C$504,B314,'Metraj Mahal Listesi'!$I$5:$I$504,"&lt;&gt;KAPSAM DIŞI*",'Metraj Mahal Listesi'!$I$5:$I$504,"&lt;&gt;DAHİL DEĞİL*"))</f>
        <v/>
      </c>
      <c r="F314" s="20" t="n"/>
      <c r="G314" s="21">
        <f>IF(OR(E314="",F314=""),"",E314*F314)</f>
        <v/>
      </c>
      <c r="H314" s="5" t="n"/>
    </row>
    <row r="315">
      <c r="A315" s="5" t="n"/>
      <c r="B315" s="5" t="n"/>
      <c r="C315" s="5" t="n"/>
      <c r="D315" s="5" t="n"/>
      <c r="E315" s="19">
        <f>IF(B315="","",SUMIFS('Metraj Mahal Listesi'!$F$5:$F$504,'Metraj Mahal Listesi'!$C$5:$C$504,B315,'Metraj Mahal Listesi'!$I$5:$I$504,"&lt;&gt;KAPSAM DIŞI*",'Metraj Mahal Listesi'!$I$5:$I$504,"&lt;&gt;DAHİL DEĞİL*"))</f>
        <v/>
      </c>
      <c r="F315" s="20" t="n"/>
      <c r="G315" s="21">
        <f>IF(OR(E315="",F315=""),"",E315*F315)</f>
        <v/>
      </c>
      <c r="H315" s="5" t="n"/>
    </row>
    <row r="316">
      <c r="A316" s="5" t="n"/>
      <c r="B316" s="5" t="n"/>
      <c r="C316" s="5" t="n"/>
      <c r="D316" s="5" t="n"/>
      <c r="E316" s="19">
        <f>IF(B316="","",SUMIFS('Metraj Mahal Listesi'!$F$5:$F$504,'Metraj Mahal Listesi'!$C$5:$C$504,B316,'Metraj Mahal Listesi'!$I$5:$I$504,"&lt;&gt;KAPSAM DIŞI*",'Metraj Mahal Listesi'!$I$5:$I$504,"&lt;&gt;DAHİL DEĞİL*"))</f>
        <v/>
      </c>
      <c r="F316" s="20" t="n"/>
      <c r="G316" s="21">
        <f>IF(OR(E316="",F316=""),"",E316*F316)</f>
        <v/>
      </c>
      <c r="H316" s="5" t="n"/>
    </row>
    <row r="317">
      <c r="A317" s="5" t="n"/>
      <c r="B317" s="5" t="n"/>
      <c r="C317" s="5" t="n"/>
      <c r="D317" s="5" t="n"/>
      <c r="E317" s="19">
        <f>IF(B317="","",SUMIFS('Metraj Mahal Listesi'!$F$5:$F$504,'Metraj Mahal Listesi'!$C$5:$C$504,B317,'Metraj Mahal Listesi'!$I$5:$I$504,"&lt;&gt;KAPSAM DIŞI*",'Metraj Mahal Listesi'!$I$5:$I$504,"&lt;&gt;DAHİL DEĞİL*"))</f>
        <v/>
      </c>
      <c r="F317" s="20" t="n"/>
      <c r="G317" s="21">
        <f>IF(OR(E317="",F317=""),"",E317*F317)</f>
        <v/>
      </c>
      <c r="H317" s="5" t="n"/>
    </row>
    <row r="318">
      <c r="A318" s="5" t="n"/>
      <c r="B318" s="5" t="n"/>
      <c r="C318" s="5" t="n"/>
      <c r="D318" s="5" t="n"/>
      <c r="E318" s="19">
        <f>IF(B318="","",SUMIFS('Metraj Mahal Listesi'!$F$5:$F$504,'Metraj Mahal Listesi'!$C$5:$C$504,B318,'Metraj Mahal Listesi'!$I$5:$I$504,"&lt;&gt;KAPSAM DIŞI*",'Metraj Mahal Listesi'!$I$5:$I$504,"&lt;&gt;DAHİL DEĞİL*"))</f>
        <v/>
      </c>
      <c r="F318" s="20" t="n"/>
      <c r="G318" s="21">
        <f>IF(OR(E318="",F318=""),"",E318*F318)</f>
        <v/>
      </c>
      <c r="H318" s="5" t="n"/>
    </row>
    <row r="319">
      <c r="A319" s="5" t="n"/>
      <c r="B319" s="5" t="n"/>
      <c r="C319" s="5" t="n"/>
      <c r="D319" s="5" t="n"/>
      <c r="E319" s="19">
        <f>IF(B319="","",SUMIFS('Metraj Mahal Listesi'!$F$5:$F$504,'Metraj Mahal Listesi'!$C$5:$C$504,B319,'Metraj Mahal Listesi'!$I$5:$I$504,"&lt;&gt;KAPSAM DIŞI*",'Metraj Mahal Listesi'!$I$5:$I$504,"&lt;&gt;DAHİL DEĞİL*"))</f>
        <v/>
      </c>
      <c r="F319" s="20" t="n"/>
      <c r="G319" s="21">
        <f>IF(OR(E319="",F319=""),"",E319*F319)</f>
        <v/>
      </c>
      <c r="H319" s="5" t="n"/>
    </row>
    <row r="320">
      <c r="A320" s="5" t="n"/>
      <c r="B320" s="5" t="n"/>
      <c r="C320" s="5" t="n"/>
      <c r="D320" s="5" t="n"/>
      <c r="E320" s="19">
        <f>IF(B320="","",SUMIFS('Metraj Mahal Listesi'!$F$5:$F$504,'Metraj Mahal Listesi'!$C$5:$C$504,B320,'Metraj Mahal Listesi'!$I$5:$I$504,"&lt;&gt;KAPSAM DIŞI*",'Metraj Mahal Listesi'!$I$5:$I$504,"&lt;&gt;DAHİL DEĞİL*"))</f>
        <v/>
      </c>
      <c r="F320" s="20" t="n"/>
      <c r="G320" s="21">
        <f>IF(OR(E320="",F320=""),"",E320*F320)</f>
        <v/>
      </c>
      <c r="H320" s="5" t="n"/>
    </row>
    <row r="321">
      <c r="A321" s="5" t="n"/>
      <c r="B321" s="5" t="n"/>
      <c r="C321" s="5" t="n"/>
      <c r="D321" s="5" t="n"/>
      <c r="E321" s="19">
        <f>IF(B321="","",SUMIFS('Metraj Mahal Listesi'!$F$5:$F$504,'Metraj Mahal Listesi'!$C$5:$C$504,B321,'Metraj Mahal Listesi'!$I$5:$I$504,"&lt;&gt;KAPSAM DIŞI*",'Metraj Mahal Listesi'!$I$5:$I$504,"&lt;&gt;DAHİL DEĞİL*"))</f>
        <v/>
      </c>
      <c r="F321" s="20" t="n"/>
      <c r="G321" s="21">
        <f>IF(OR(E321="",F321=""),"",E321*F321)</f>
        <v/>
      </c>
      <c r="H321" s="5" t="n"/>
    </row>
    <row r="322">
      <c r="A322" s="5" t="n"/>
      <c r="B322" s="5" t="n"/>
      <c r="C322" s="5" t="n"/>
      <c r="D322" s="5" t="n"/>
      <c r="E322" s="19">
        <f>IF(B322="","",SUMIFS('Metraj Mahal Listesi'!$F$5:$F$504,'Metraj Mahal Listesi'!$C$5:$C$504,B322,'Metraj Mahal Listesi'!$I$5:$I$504,"&lt;&gt;KAPSAM DIŞI*",'Metraj Mahal Listesi'!$I$5:$I$504,"&lt;&gt;DAHİL DEĞİL*"))</f>
        <v/>
      </c>
      <c r="F322" s="20" t="n"/>
      <c r="G322" s="21">
        <f>IF(OR(E322="",F322=""),"",E322*F322)</f>
        <v/>
      </c>
      <c r="H322" s="5" t="n"/>
    </row>
    <row r="323">
      <c r="A323" s="5" t="n"/>
      <c r="B323" s="5" t="n"/>
      <c r="C323" s="5" t="n"/>
      <c r="D323" s="5" t="n"/>
      <c r="E323" s="19">
        <f>IF(B323="","",SUMIFS('Metraj Mahal Listesi'!$F$5:$F$504,'Metraj Mahal Listesi'!$C$5:$C$504,B323,'Metraj Mahal Listesi'!$I$5:$I$504,"&lt;&gt;KAPSAM DIŞI*",'Metraj Mahal Listesi'!$I$5:$I$504,"&lt;&gt;DAHİL DEĞİL*"))</f>
        <v/>
      </c>
      <c r="F323" s="20" t="n"/>
      <c r="G323" s="21">
        <f>IF(OR(E323="",F323=""),"",E323*F323)</f>
        <v/>
      </c>
      <c r="H323" s="5" t="n"/>
    </row>
    <row r="324">
      <c r="A324" s="5" t="n"/>
      <c r="B324" s="5" t="n"/>
      <c r="C324" s="5" t="n"/>
      <c r="D324" s="5" t="n"/>
      <c r="E324" s="19">
        <f>IF(B324="","",SUMIFS('Metraj Mahal Listesi'!$F$5:$F$504,'Metraj Mahal Listesi'!$C$5:$C$504,B324,'Metraj Mahal Listesi'!$I$5:$I$504,"&lt;&gt;KAPSAM DIŞI*",'Metraj Mahal Listesi'!$I$5:$I$504,"&lt;&gt;DAHİL DEĞİL*"))</f>
        <v/>
      </c>
      <c r="F324" s="20" t="n"/>
      <c r="G324" s="21">
        <f>IF(OR(E324="",F324=""),"",E324*F324)</f>
        <v/>
      </c>
      <c r="H324" s="5" t="n"/>
    </row>
    <row r="325">
      <c r="A325" s="5" t="n"/>
      <c r="B325" s="5" t="n"/>
      <c r="C325" s="5" t="n"/>
      <c r="D325" s="5" t="n"/>
      <c r="E325" s="19">
        <f>IF(B325="","",SUMIFS('Metraj Mahal Listesi'!$F$5:$F$504,'Metraj Mahal Listesi'!$C$5:$C$504,B325,'Metraj Mahal Listesi'!$I$5:$I$504,"&lt;&gt;KAPSAM DIŞI*",'Metraj Mahal Listesi'!$I$5:$I$504,"&lt;&gt;DAHİL DEĞİL*"))</f>
        <v/>
      </c>
      <c r="F325" s="20" t="n"/>
      <c r="G325" s="21">
        <f>IF(OR(E325="",F325=""),"",E325*F325)</f>
        <v/>
      </c>
      <c r="H325" s="5" t="n"/>
    </row>
    <row r="326">
      <c r="A326" s="5" t="n"/>
      <c r="B326" s="5" t="n"/>
      <c r="C326" s="5" t="n"/>
      <c r="D326" s="5" t="n"/>
      <c r="E326" s="19">
        <f>IF(B326="","",SUMIFS('Metraj Mahal Listesi'!$F$5:$F$504,'Metraj Mahal Listesi'!$C$5:$C$504,B326,'Metraj Mahal Listesi'!$I$5:$I$504,"&lt;&gt;KAPSAM DIŞI*",'Metraj Mahal Listesi'!$I$5:$I$504,"&lt;&gt;DAHİL DEĞİL*"))</f>
        <v/>
      </c>
      <c r="F326" s="20" t="n"/>
      <c r="G326" s="21">
        <f>IF(OR(E326="",F326=""),"",E326*F326)</f>
        <v/>
      </c>
      <c r="H326" s="5" t="n"/>
    </row>
    <row r="327">
      <c r="A327" s="5" t="n"/>
      <c r="B327" s="5" t="n"/>
      <c r="C327" s="5" t="n"/>
      <c r="D327" s="5" t="n"/>
      <c r="E327" s="19">
        <f>IF(B327="","",SUMIFS('Metraj Mahal Listesi'!$F$5:$F$504,'Metraj Mahal Listesi'!$C$5:$C$504,B327,'Metraj Mahal Listesi'!$I$5:$I$504,"&lt;&gt;KAPSAM DIŞI*",'Metraj Mahal Listesi'!$I$5:$I$504,"&lt;&gt;DAHİL DEĞİL*"))</f>
        <v/>
      </c>
      <c r="F327" s="20" t="n"/>
      <c r="G327" s="21">
        <f>IF(OR(E327="",F327=""),"",E327*F327)</f>
        <v/>
      </c>
      <c r="H327" s="5" t="n"/>
    </row>
    <row r="328">
      <c r="A328" s="5" t="n"/>
      <c r="B328" s="5" t="n"/>
      <c r="C328" s="5" t="n"/>
      <c r="D328" s="5" t="n"/>
      <c r="E328" s="19">
        <f>IF(B328="","",SUMIFS('Metraj Mahal Listesi'!$F$5:$F$504,'Metraj Mahal Listesi'!$C$5:$C$504,B328,'Metraj Mahal Listesi'!$I$5:$I$504,"&lt;&gt;KAPSAM DIŞI*",'Metraj Mahal Listesi'!$I$5:$I$504,"&lt;&gt;DAHİL DEĞİL*"))</f>
        <v/>
      </c>
      <c r="F328" s="20" t="n"/>
      <c r="G328" s="21">
        <f>IF(OR(E328="",F328=""),"",E328*F328)</f>
        <v/>
      </c>
      <c r="H328" s="5" t="n"/>
    </row>
    <row r="329">
      <c r="A329" s="5" t="n"/>
      <c r="B329" s="5" t="n"/>
      <c r="C329" s="5" t="n"/>
      <c r="D329" s="5" t="n"/>
      <c r="E329" s="19">
        <f>IF(B329="","",SUMIFS('Metraj Mahal Listesi'!$F$5:$F$504,'Metraj Mahal Listesi'!$C$5:$C$504,B329,'Metraj Mahal Listesi'!$I$5:$I$504,"&lt;&gt;KAPSAM DIŞI*",'Metraj Mahal Listesi'!$I$5:$I$504,"&lt;&gt;DAHİL DEĞİL*"))</f>
        <v/>
      </c>
      <c r="F329" s="20" t="n"/>
      <c r="G329" s="21">
        <f>IF(OR(E329="",F329=""),"",E329*F329)</f>
        <v/>
      </c>
      <c r="H329" s="5" t="n"/>
    </row>
    <row r="330">
      <c r="A330" s="5" t="n"/>
      <c r="B330" s="5" t="n"/>
      <c r="C330" s="5" t="n"/>
      <c r="D330" s="5" t="n"/>
      <c r="E330" s="19">
        <f>IF(B330="","",SUMIFS('Metraj Mahal Listesi'!$F$5:$F$504,'Metraj Mahal Listesi'!$C$5:$C$504,B330,'Metraj Mahal Listesi'!$I$5:$I$504,"&lt;&gt;KAPSAM DIŞI*",'Metraj Mahal Listesi'!$I$5:$I$504,"&lt;&gt;DAHİL DEĞİL*"))</f>
        <v/>
      </c>
      <c r="F330" s="20" t="n"/>
      <c r="G330" s="21">
        <f>IF(OR(E330="",F330=""),"",E330*F330)</f>
        <v/>
      </c>
      <c r="H330" s="5" t="n"/>
    </row>
    <row r="331">
      <c r="A331" s="5" t="n"/>
      <c r="B331" s="5" t="n"/>
      <c r="C331" s="5" t="n"/>
      <c r="D331" s="5" t="n"/>
      <c r="E331" s="19">
        <f>IF(B331="","",SUMIFS('Metraj Mahal Listesi'!$F$5:$F$504,'Metraj Mahal Listesi'!$C$5:$C$504,B331,'Metraj Mahal Listesi'!$I$5:$I$504,"&lt;&gt;KAPSAM DIŞI*",'Metraj Mahal Listesi'!$I$5:$I$504,"&lt;&gt;DAHİL DEĞİL*"))</f>
        <v/>
      </c>
      <c r="F331" s="20" t="n"/>
      <c r="G331" s="21">
        <f>IF(OR(E331="",F331=""),"",E331*F331)</f>
        <v/>
      </c>
      <c r="H331" s="5" t="n"/>
    </row>
    <row r="332">
      <c r="A332" s="5" t="n"/>
      <c r="B332" s="5" t="n"/>
      <c r="C332" s="5" t="n"/>
      <c r="D332" s="5" t="n"/>
      <c r="E332" s="19">
        <f>IF(B332="","",SUMIFS('Metraj Mahal Listesi'!$F$5:$F$504,'Metraj Mahal Listesi'!$C$5:$C$504,B332,'Metraj Mahal Listesi'!$I$5:$I$504,"&lt;&gt;KAPSAM DIŞI*",'Metraj Mahal Listesi'!$I$5:$I$504,"&lt;&gt;DAHİL DEĞİL*"))</f>
        <v/>
      </c>
      <c r="F332" s="20" t="n"/>
      <c r="G332" s="21">
        <f>IF(OR(E332="",F332=""),"",E332*F332)</f>
        <v/>
      </c>
      <c r="H332" s="5" t="n"/>
    </row>
    <row r="333">
      <c r="A333" s="5" t="n"/>
      <c r="B333" s="5" t="n"/>
      <c r="C333" s="5" t="n"/>
      <c r="D333" s="5" t="n"/>
      <c r="E333" s="19">
        <f>IF(B333="","",SUMIFS('Metraj Mahal Listesi'!$F$5:$F$504,'Metraj Mahal Listesi'!$C$5:$C$504,B333,'Metraj Mahal Listesi'!$I$5:$I$504,"&lt;&gt;KAPSAM DIŞI*",'Metraj Mahal Listesi'!$I$5:$I$504,"&lt;&gt;DAHİL DEĞİL*"))</f>
        <v/>
      </c>
      <c r="F333" s="20" t="n"/>
      <c r="G333" s="21">
        <f>IF(OR(E333="",F333=""),"",E333*F333)</f>
        <v/>
      </c>
      <c r="H333" s="5" t="n"/>
    </row>
    <row r="334">
      <c r="A334" s="5" t="n"/>
      <c r="B334" s="5" t="n"/>
      <c r="C334" s="5" t="n"/>
      <c r="D334" s="5" t="n"/>
      <c r="E334" s="19">
        <f>IF(B334="","",SUMIFS('Metraj Mahal Listesi'!$F$5:$F$504,'Metraj Mahal Listesi'!$C$5:$C$504,B334,'Metraj Mahal Listesi'!$I$5:$I$504,"&lt;&gt;KAPSAM DIŞI*",'Metraj Mahal Listesi'!$I$5:$I$504,"&lt;&gt;DAHİL DEĞİL*"))</f>
        <v/>
      </c>
      <c r="F334" s="20" t="n"/>
      <c r="G334" s="21">
        <f>IF(OR(E334="",F334=""),"",E334*F334)</f>
        <v/>
      </c>
      <c r="H334" s="5" t="n"/>
    </row>
    <row r="335">
      <c r="A335" s="5" t="n"/>
      <c r="B335" s="5" t="n"/>
      <c r="C335" s="5" t="n"/>
      <c r="D335" s="5" t="n"/>
      <c r="E335" s="19">
        <f>IF(B335="","",SUMIFS('Metraj Mahal Listesi'!$F$5:$F$504,'Metraj Mahal Listesi'!$C$5:$C$504,B335,'Metraj Mahal Listesi'!$I$5:$I$504,"&lt;&gt;KAPSAM DIŞI*",'Metraj Mahal Listesi'!$I$5:$I$504,"&lt;&gt;DAHİL DEĞİL*"))</f>
        <v/>
      </c>
      <c r="F335" s="20" t="n"/>
      <c r="G335" s="21">
        <f>IF(OR(E335="",F335=""),"",E335*F335)</f>
        <v/>
      </c>
      <c r="H335" s="5" t="n"/>
    </row>
    <row r="336">
      <c r="A336" s="5" t="n"/>
      <c r="B336" s="5" t="n"/>
      <c r="C336" s="5" t="n"/>
      <c r="D336" s="5" t="n"/>
      <c r="E336" s="19">
        <f>IF(B336="","",SUMIFS('Metraj Mahal Listesi'!$F$5:$F$504,'Metraj Mahal Listesi'!$C$5:$C$504,B336,'Metraj Mahal Listesi'!$I$5:$I$504,"&lt;&gt;KAPSAM DIŞI*",'Metraj Mahal Listesi'!$I$5:$I$504,"&lt;&gt;DAHİL DEĞİL*"))</f>
        <v/>
      </c>
      <c r="F336" s="20" t="n"/>
      <c r="G336" s="21">
        <f>IF(OR(E336="",F336=""),"",E336*F336)</f>
        <v/>
      </c>
      <c r="H336" s="5" t="n"/>
    </row>
    <row r="337">
      <c r="A337" s="5" t="n"/>
      <c r="B337" s="5" t="n"/>
      <c r="C337" s="5" t="n"/>
      <c r="D337" s="5" t="n"/>
      <c r="E337" s="19">
        <f>IF(B337="","",SUMIFS('Metraj Mahal Listesi'!$F$5:$F$504,'Metraj Mahal Listesi'!$C$5:$C$504,B337,'Metraj Mahal Listesi'!$I$5:$I$504,"&lt;&gt;KAPSAM DIŞI*",'Metraj Mahal Listesi'!$I$5:$I$504,"&lt;&gt;DAHİL DEĞİL*"))</f>
        <v/>
      </c>
      <c r="F337" s="20" t="n"/>
      <c r="G337" s="21">
        <f>IF(OR(E337="",F337=""),"",E337*F337)</f>
        <v/>
      </c>
      <c r="H337" s="5" t="n"/>
    </row>
    <row r="338">
      <c r="A338" s="5" t="n"/>
      <c r="B338" s="5" t="n"/>
      <c r="C338" s="5" t="n"/>
      <c r="D338" s="5" t="n"/>
      <c r="E338" s="19">
        <f>IF(B338="","",SUMIFS('Metraj Mahal Listesi'!$F$5:$F$504,'Metraj Mahal Listesi'!$C$5:$C$504,B338,'Metraj Mahal Listesi'!$I$5:$I$504,"&lt;&gt;KAPSAM DIŞI*",'Metraj Mahal Listesi'!$I$5:$I$504,"&lt;&gt;DAHİL DEĞİL*"))</f>
        <v/>
      </c>
      <c r="F338" s="20" t="n"/>
      <c r="G338" s="21">
        <f>IF(OR(E338="",F338=""),"",E338*F338)</f>
        <v/>
      </c>
      <c r="H338" s="5" t="n"/>
    </row>
    <row r="339">
      <c r="A339" s="5" t="n"/>
      <c r="B339" s="5" t="n"/>
      <c r="C339" s="5" t="n"/>
      <c r="D339" s="5" t="n"/>
      <c r="E339" s="19">
        <f>IF(B339="","",SUMIFS('Metraj Mahal Listesi'!$F$5:$F$504,'Metraj Mahal Listesi'!$C$5:$C$504,B339,'Metraj Mahal Listesi'!$I$5:$I$504,"&lt;&gt;KAPSAM DIŞI*",'Metraj Mahal Listesi'!$I$5:$I$504,"&lt;&gt;DAHİL DEĞİL*"))</f>
        <v/>
      </c>
      <c r="F339" s="20" t="n"/>
      <c r="G339" s="21">
        <f>IF(OR(E339="",F339=""),"",E339*F339)</f>
        <v/>
      </c>
      <c r="H339" s="5" t="n"/>
    </row>
    <row r="340">
      <c r="A340" s="5" t="n"/>
      <c r="B340" s="5" t="n"/>
      <c r="C340" s="5" t="n"/>
      <c r="D340" s="5" t="n"/>
      <c r="E340" s="19">
        <f>IF(B340="","",SUMIFS('Metraj Mahal Listesi'!$F$5:$F$504,'Metraj Mahal Listesi'!$C$5:$C$504,B340,'Metraj Mahal Listesi'!$I$5:$I$504,"&lt;&gt;KAPSAM DIŞI*",'Metraj Mahal Listesi'!$I$5:$I$504,"&lt;&gt;DAHİL DEĞİL*"))</f>
        <v/>
      </c>
      <c r="F340" s="20" t="n"/>
      <c r="G340" s="21">
        <f>IF(OR(E340="",F340=""),"",E340*F340)</f>
        <v/>
      </c>
      <c r="H340" s="5" t="n"/>
    </row>
    <row r="341">
      <c r="A341" s="5" t="n"/>
      <c r="B341" s="5" t="n"/>
      <c r="C341" s="5" t="n"/>
      <c r="D341" s="5" t="n"/>
      <c r="E341" s="19">
        <f>IF(B341="","",SUMIFS('Metraj Mahal Listesi'!$F$5:$F$504,'Metraj Mahal Listesi'!$C$5:$C$504,B341,'Metraj Mahal Listesi'!$I$5:$I$504,"&lt;&gt;KAPSAM DIŞI*",'Metraj Mahal Listesi'!$I$5:$I$504,"&lt;&gt;DAHİL DEĞİL*"))</f>
        <v/>
      </c>
      <c r="F341" s="20" t="n"/>
      <c r="G341" s="21">
        <f>IF(OR(E341="",F341=""),"",E341*F341)</f>
        <v/>
      </c>
      <c r="H341" s="5" t="n"/>
    </row>
    <row r="342">
      <c r="A342" s="5" t="n"/>
      <c r="B342" s="5" t="n"/>
      <c r="C342" s="5" t="n"/>
      <c r="D342" s="5" t="n"/>
      <c r="E342" s="19">
        <f>IF(B342="","",SUMIFS('Metraj Mahal Listesi'!$F$5:$F$504,'Metraj Mahal Listesi'!$C$5:$C$504,B342,'Metraj Mahal Listesi'!$I$5:$I$504,"&lt;&gt;KAPSAM DIŞI*",'Metraj Mahal Listesi'!$I$5:$I$504,"&lt;&gt;DAHİL DEĞİL*"))</f>
        <v/>
      </c>
      <c r="F342" s="20" t="n"/>
      <c r="G342" s="21">
        <f>IF(OR(E342="",F342=""),"",E342*F342)</f>
        <v/>
      </c>
      <c r="H342" s="5" t="n"/>
    </row>
    <row r="343">
      <c r="A343" s="5" t="n"/>
      <c r="B343" s="5" t="n"/>
      <c r="C343" s="5" t="n"/>
      <c r="D343" s="5" t="n"/>
      <c r="E343" s="19">
        <f>IF(B343="","",SUMIFS('Metraj Mahal Listesi'!$F$5:$F$504,'Metraj Mahal Listesi'!$C$5:$C$504,B343,'Metraj Mahal Listesi'!$I$5:$I$504,"&lt;&gt;KAPSAM DIŞI*",'Metraj Mahal Listesi'!$I$5:$I$504,"&lt;&gt;DAHİL DEĞİL*"))</f>
        <v/>
      </c>
      <c r="F343" s="20" t="n"/>
      <c r="G343" s="21">
        <f>IF(OR(E343="",F343=""),"",E343*F343)</f>
        <v/>
      </c>
      <c r="H343" s="5" t="n"/>
    </row>
    <row r="344">
      <c r="A344" s="5" t="n"/>
      <c r="B344" s="5" t="n"/>
      <c r="C344" s="5" t="n"/>
      <c r="D344" s="5" t="n"/>
      <c r="E344" s="19">
        <f>IF(B344="","",SUMIFS('Metraj Mahal Listesi'!$F$5:$F$504,'Metraj Mahal Listesi'!$C$5:$C$504,B344,'Metraj Mahal Listesi'!$I$5:$I$504,"&lt;&gt;KAPSAM DIŞI*",'Metraj Mahal Listesi'!$I$5:$I$504,"&lt;&gt;DAHİL DEĞİL*"))</f>
        <v/>
      </c>
      <c r="F344" s="20" t="n"/>
      <c r="G344" s="21">
        <f>IF(OR(E344="",F344=""),"",E344*F344)</f>
        <v/>
      </c>
      <c r="H344" s="5" t="n"/>
    </row>
    <row r="345">
      <c r="A345" s="5" t="n"/>
      <c r="B345" s="5" t="n"/>
      <c r="C345" s="5" t="n"/>
      <c r="D345" s="5" t="n"/>
      <c r="E345" s="19">
        <f>IF(B345="","",SUMIFS('Metraj Mahal Listesi'!$F$5:$F$504,'Metraj Mahal Listesi'!$C$5:$C$504,B345,'Metraj Mahal Listesi'!$I$5:$I$504,"&lt;&gt;KAPSAM DIŞI*",'Metraj Mahal Listesi'!$I$5:$I$504,"&lt;&gt;DAHİL DEĞİL*"))</f>
        <v/>
      </c>
      <c r="F345" s="20" t="n"/>
      <c r="G345" s="21">
        <f>IF(OR(E345="",F345=""),"",E345*F345)</f>
        <v/>
      </c>
      <c r="H345" s="5" t="n"/>
    </row>
    <row r="346">
      <c r="A346" s="5" t="n"/>
      <c r="B346" s="5" t="n"/>
      <c r="C346" s="5" t="n"/>
      <c r="D346" s="5" t="n"/>
      <c r="E346" s="19">
        <f>IF(B346="","",SUMIFS('Metraj Mahal Listesi'!$F$5:$F$504,'Metraj Mahal Listesi'!$C$5:$C$504,B346,'Metraj Mahal Listesi'!$I$5:$I$504,"&lt;&gt;KAPSAM DIŞI*",'Metraj Mahal Listesi'!$I$5:$I$504,"&lt;&gt;DAHİL DEĞİL*"))</f>
        <v/>
      </c>
      <c r="F346" s="20" t="n"/>
      <c r="G346" s="21">
        <f>IF(OR(E346="",F346=""),"",E346*F346)</f>
        <v/>
      </c>
      <c r="H346" s="5" t="n"/>
    </row>
    <row r="347">
      <c r="A347" s="5" t="n"/>
      <c r="B347" s="5" t="n"/>
      <c r="C347" s="5" t="n"/>
      <c r="D347" s="5" t="n"/>
      <c r="E347" s="19">
        <f>IF(B347="","",SUMIFS('Metraj Mahal Listesi'!$F$5:$F$504,'Metraj Mahal Listesi'!$C$5:$C$504,B347,'Metraj Mahal Listesi'!$I$5:$I$504,"&lt;&gt;KAPSAM DIŞI*",'Metraj Mahal Listesi'!$I$5:$I$504,"&lt;&gt;DAHİL DEĞİL*"))</f>
        <v/>
      </c>
      <c r="F347" s="20" t="n"/>
      <c r="G347" s="21">
        <f>IF(OR(E347="",F347=""),"",E347*F347)</f>
        <v/>
      </c>
      <c r="H347" s="5" t="n"/>
    </row>
    <row r="348">
      <c r="A348" s="5" t="n"/>
      <c r="B348" s="5" t="n"/>
      <c r="C348" s="5" t="n"/>
      <c r="D348" s="5" t="n"/>
      <c r="E348" s="19">
        <f>IF(B348="","",SUMIFS('Metraj Mahal Listesi'!$F$5:$F$504,'Metraj Mahal Listesi'!$C$5:$C$504,B348,'Metraj Mahal Listesi'!$I$5:$I$504,"&lt;&gt;KAPSAM DIŞI*",'Metraj Mahal Listesi'!$I$5:$I$504,"&lt;&gt;DAHİL DEĞİL*"))</f>
        <v/>
      </c>
      <c r="F348" s="20" t="n"/>
      <c r="G348" s="21">
        <f>IF(OR(E348="",F348=""),"",E348*F348)</f>
        <v/>
      </c>
      <c r="H348" s="5" t="n"/>
    </row>
    <row r="349">
      <c r="A349" s="5" t="n"/>
      <c r="B349" s="5" t="n"/>
      <c r="C349" s="5" t="n"/>
      <c r="D349" s="5" t="n"/>
      <c r="E349" s="19">
        <f>IF(B349="","",SUMIFS('Metraj Mahal Listesi'!$F$5:$F$504,'Metraj Mahal Listesi'!$C$5:$C$504,B349,'Metraj Mahal Listesi'!$I$5:$I$504,"&lt;&gt;KAPSAM DIŞI*",'Metraj Mahal Listesi'!$I$5:$I$504,"&lt;&gt;DAHİL DEĞİL*"))</f>
        <v/>
      </c>
      <c r="F349" s="20" t="n"/>
      <c r="G349" s="21">
        <f>IF(OR(E349="",F349=""),"",E349*F349)</f>
        <v/>
      </c>
      <c r="H349" s="5" t="n"/>
    </row>
    <row r="350">
      <c r="A350" s="5" t="n"/>
      <c r="B350" s="5" t="n"/>
      <c r="C350" s="5" t="n"/>
      <c r="D350" s="5" t="n"/>
      <c r="E350" s="19">
        <f>IF(B350="","",SUMIFS('Metraj Mahal Listesi'!$F$5:$F$504,'Metraj Mahal Listesi'!$C$5:$C$504,B350,'Metraj Mahal Listesi'!$I$5:$I$504,"&lt;&gt;KAPSAM DIŞI*",'Metraj Mahal Listesi'!$I$5:$I$504,"&lt;&gt;DAHİL DEĞİL*"))</f>
        <v/>
      </c>
      <c r="F350" s="20" t="n"/>
      <c r="G350" s="21">
        <f>IF(OR(E350="",F350=""),"",E350*F350)</f>
        <v/>
      </c>
      <c r="H350" s="5" t="n"/>
    </row>
    <row r="351">
      <c r="A351" s="5" t="n"/>
      <c r="B351" s="5" t="n"/>
      <c r="C351" s="5" t="n"/>
      <c r="D351" s="5" t="n"/>
      <c r="E351" s="19">
        <f>IF(B351="","",SUMIFS('Metraj Mahal Listesi'!$F$5:$F$504,'Metraj Mahal Listesi'!$C$5:$C$504,B351,'Metraj Mahal Listesi'!$I$5:$I$504,"&lt;&gt;KAPSAM DIŞI*",'Metraj Mahal Listesi'!$I$5:$I$504,"&lt;&gt;DAHİL DEĞİL*"))</f>
        <v/>
      </c>
      <c r="F351" s="20" t="n"/>
      <c r="G351" s="21">
        <f>IF(OR(E351="",F351=""),"",E351*F351)</f>
        <v/>
      </c>
      <c r="H351" s="5" t="n"/>
    </row>
    <row r="352">
      <c r="A352" s="5" t="n"/>
      <c r="B352" s="5" t="n"/>
      <c r="C352" s="5" t="n"/>
      <c r="D352" s="5" t="n"/>
      <c r="E352" s="19">
        <f>IF(B352="","",SUMIFS('Metraj Mahal Listesi'!$F$5:$F$504,'Metraj Mahal Listesi'!$C$5:$C$504,B352,'Metraj Mahal Listesi'!$I$5:$I$504,"&lt;&gt;KAPSAM DIŞI*",'Metraj Mahal Listesi'!$I$5:$I$504,"&lt;&gt;DAHİL DEĞİL*"))</f>
        <v/>
      </c>
      <c r="F352" s="20" t="n"/>
      <c r="G352" s="21">
        <f>IF(OR(E352="",F352=""),"",E352*F352)</f>
        <v/>
      </c>
      <c r="H352" s="5" t="n"/>
    </row>
    <row r="353">
      <c r="A353" s="5" t="n"/>
      <c r="B353" s="5" t="n"/>
      <c r="C353" s="5" t="n"/>
      <c r="D353" s="5" t="n"/>
      <c r="E353" s="19">
        <f>IF(B353="","",SUMIFS('Metraj Mahal Listesi'!$F$5:$F$504,'Metraj Mahal Listesi'!$C$5:$C$504,B353,'Metraj Mahal Listesi'!$I$5:$I$504,"&lt;&gt;KAPSAM DIŞI*",'Metraj Mahal Listesi'!$I$5:$I$504,"&lt;&gt;DAHİL DEĞİL*"))</f>
        <v/>
      </c>
      <c r="F353" s="20" t="n"/>
      <c r="G353" s="21">
        <f>IF(OR(E353="",F353=""),"",E353*F353)</f>
        <v/>
      </c>
      <c r="H353" s="5" t="n"/>
    </row>
    <row r="354">
      <c r="A354" s="5" t="n"/>
      <c r="B354" s="5" t="n"/>
      <c r="C354" s="5" t="n"/>
      <c r="D354" s="5" t="n"/>
      <c r="E354" s="19">
        <f>IF(B354="","",SUMIFS('Metraj Mahal Listesi'!$F$5:$F$504,'Metraj Mahal Listesi'!$C$5:$C$504,B354,'Metraj Mahal Listesi'!$I$5:$I$504,"&lt;&gt;KAPSAM DIŞI*",'Metraj Mahal Listesi'!$I$5:$I$504,"&lt;&gt;DAHİL DEĞİL*"))</f>
        <v/>
      </c>
      <c r="F354" s="20" t="n"/>
      <c r="G354" s="21">
        <f>IF(OR(E354="",F354=""),"",E354*F354)</f>
        <v/>
      </c>
      <c r="H354" s="5" t="n"/>
    </row>
    <row r="355">
      <c r="A355" s="5" t="n"/>
      <c r="B355" s="5" t="n"/>
      <c r="C355" s="5" t="n"/>
      <c r="D355" s="5" t="n"/>
      <c r="E355" s="19">
        <f>IF(B355="","",SUMIFS('Metraj Mahal Listesi'!$F$5:$F$504,'Metraj Mahal Listesi'!$C$5:$C$504,B355,'Metraj Mahal Listesi'!$I$5:$I$504,"&lt;&gt;KAPSAM DIŞI*",'Metraj Mahal Listesi'!$I$5:$I$504,"&lt;&gt;DAHİL DEĞİL*"))</f>
        <v/>
      </c>
      <c r="F355" s="20" t="n"/>
      <c r="G355" s="21">
        <f>IF(OR(E355="",F355=""),"",E355*F355)</f>
        <v/>
      </c>
      <c r="H355" s="5" t="n"/>
    </row>
    <row r="356">
      <c r="A356" s="5" t="n"/>
      <c r="B356" s="5" t="n"/>
      <c r="C356" s="5" t="n"/>
      <c r="D356" s="5" t="n"/>
      <c r="E356" s="19">
        <f>IF(B356="","",SUMIFS('Metraj Mahal Listesi'!$F$5:$F$504,'Metraj Mahal Listesi'!$C$5:$C$504,B356,'Metraj Mahal Listesi'!$I$5:$I$504,"&lt;&gt;KAPSAM DIŞI*",'Metraj Mahal Listesi'!$I$5:$I$504,"&lt;&gt;DAHİL DEĞİL*"))</f>
        <v/>
      </c>
      <c r="F356" s="20" t="n"/>
      <c r="G356" s="21">
        <f>IF(OR(E356="",F356=""),"",E356*F356)</f>
        <v/>
      </c>
      <c r="H356" s="5" t="n"/>
    </row>
    <row r="357">
      <c r="A357" s="5" t="n"/>
      <c r="B357" s="5" t="n"/>
      <c r="C357" s="5" t="n"/>
      <c r="D357" s="5" t="n"/>
      <c r="E357" s="19">
        <f>IF(B357="","",SUMIFS('Metraj Mahal Listesi'!$F$5:$F$504,'Metraj Mahal Listesi'!$C$5:$C$504,B357,'Metraj Mahal Listesi'!$I$5:$I$504,"&lt;&gt;KAPSAM DIŞI*",'Metraj Mahal Listesi'!$I$5:$I$504,"&lt;&gt;DAHİL DEĞİL*"))</f>
        <v/>
      </c>
      <c r="F357" s="20" t="n"/>
      <c r="G357" s="21">
        <f>IF(OR(E357="",F357=""),"",E357*F357)</f>
        <v/>
      </c>
      <c r="H357" s="5" t="n"/>
    </row>
    <row r="358">
      <c r="A358" s="5" t="n"/>
      <c r="B358" s="5" t="n"/>
      <c r="C358" s="5" t="n"/>
      <c r="D358" s="5" t="n"/>
      <c r="E358" s="19">
        <f>IF(B358="","",SUMIFS('Metraj Mahal Listesi'!$F$5:$F$504,'Metraj Mahal Listesi'!$C$5:$C$504,B358,'Metraj Mahal Listesi'!$I$5:$I$504,"&lt;&gt;KAPSAM DIŞI*",'Metraj Mahal Listesi'!$I$5:$I$504,"&lt;&gt;DAHİL DEĞİL*"))</f>
        <v/>
      </c>
      <c r="F358" s="20" t="n"/>
      <c r="G358" s="21">
        <f>IF(OR(E358="",F358=""),"",E358*F358)</f>
        <v/>
      </c>
      <c r="H358" s="5" t="n"/>
    </row>
    <row r="359">
      <c r="A359" s="5" t="n"/>
      <c r="B359" s="5" t="n"/>
      <c r="C359" s="5" t="n"/>
      <c r="D359" s="5" t="n"/>
      <c r="E359" s="19">
        <f>IF(B359="","",SUMIFS('Metraj Mahal Listesi'!$F$5:$F$504,'Metraj Mahal Listesi'!$C$5:$C$504,B359,'Metraj Mahal Listesi'!$I$5:$I$504,"&lt;&gt;KAPSAM DIŞI*",'Metraj Mahal Listesi'!$I$5:$I$504,"&lt;&gt;DAHİL DEĞİL*"))</f>
        <v/>
      </c>
      <c r="F359" s="20" t="n"/>
      <c r="G359" s="21">
        <f>IF(OR(E359="",F359=""),"",E359*F359)</f>
        <v/>
      </c>
      <c r="H359" s="5" t="n"/>
    </row>
    <row r="360">
      <c r="A360" s="5" t="n"/>
      <c r="B360" s="5" t="n"/>
      <c r="C360" s="5" t="n"/>
      <c r="D360" s="5" t="n"/>
      <c r="E360" s="19">
        <f>IF(B360="","",SUMIFS('Metraj Mahal Listesi'!$F$5:$F$504,'Metraj Mahal Listesi'!$C$5:$C$504,B360,'Metraj Mahal Listesi'!$I$5:$I$504,"&lt;&gt;KAPSAM DIŞI*",'Metraj Mahal Listesi'!$I$5:$I$504,"&lt;&gt;DAHİL DEĞİL*"))</f>
        <v/>
      </c>
      <c r="F360" s="20" t="n"/>
      <c r="G360" s="21">
        <f>IF(OR(E360="",F360=""),"",E360*F360)</f>
        <v/>
      </c>
      <c r="H360" s="5" t="n"/>
    </row>
    <row r="361">
      <c r="A361" s="5" t="n"/>
      <c r="B361" s="5" t="n"/>
      <c r="C361" s="5" t="n"/>
      <c r="D361" s="5" t="n"/>
      <c r="E361" s="19">
        <f>IF(B361="","",SUMIFS('Metraj Mahal Listesi'!$F$5:$F$504,'Metraj Mahal Listesi'!$C$5:$C$504,B361,'Metraj Mahal Listesi'!$I$5:$I$504,"&lt;&gt;KAPSAM DIŞI*",'Metraj Mahal Listesi'!$I$5:$I$504,"&lt;&gt;DAHİL DEĞİL*"))</f>
        <v/>
      </c>
      <c r="F361" s="20" t="n"/>
      <c r="G361" s="21">
        <f>IF(OR(E361="",F361=""),"",E361*F361)</f>
        <v/>
      </c>
      <c r="H361" s="5" t="n"/>
    </row>
    <row r="362">
      <c r="A362" s="5" t="n"/>
      <c r="B362" s="5" t="n"/>
      <c r="C362" s="5" t="n"/>
      <c r="D362" s="5" t="n"/>
      <c r="E362" s="19">
        <f>IF(B362="","",SUMIFS('Metraj Mahal Listesi'!$F$5:$F$504,'Metraj Mahal Listesi'!$C$5:$C$504,B362,'Metraj Mahal Listesi'!$I$5:$I$504,"&lt;&gt;KAPSAM DIŞI*",'Metraj Mahal Listesi'!$I$5:$I$504,"&lt;&gt;DAHİL DEĞİL*"))</f>
        <v/>
      </c>
      <c r="F362" s="20" t="n"/>
      <c r="G362" s="21">
        <f>IF(OR(E362="",F362=""),"",E362*F362)</f>
        <v/>
      </c>
      <c r="H362" s="5" t="n"/>
    </row>
    <row r="363">
      <c r="A363" s="5" t="n"/>
      <c r="B363" s="5" t="n"/>
      <c r="C363" s="5" t="n"/>
      <c r="D363" s="5" t="n"/>
      <c r="E363" s="19">
        <f>IF(B363="","",SUMIFS('Metraj Mahal Listesi'!$F$5:$F$504,'Metraj Mahal Listesi'!$C$5:$C$504,B363,'Metraj Mahal Listesi'!$I$5:$I$504,"&lt;&gt;KAPSAM DIŞI*",'Metraj Mahal Listesi'!$I$5:$I$504,"&lt;&gt;DAHİL DEĞİL*"))</f>
        <v/>
      </c>
      <c r="F363" s="20" t="n"/>
      <c r="G363" s="21">
        <f>IF(OR(E363="",F363=""),"",E363*F363)</f>
        <v/>
      </c>
      <c r="H363" s="5" t="n"/>
    </row>
    <row r="364">
      <c r="A364" s="5" t="n"/>
      <c r="B364" s="5" t="n"/>
      <c r="C364" s="5" t="n"/>
      <c r="D364" s="5" t="n"/>
      <c r="E364" s="19">
        <f>IF(B364="","",SUMIFS('Metraj Mahal Listesi'!$F$5:$F$504,'Metraj Mahal Listesi'!$C$5:$C$504,B364,'Metraj Mahal Listesi'!$I$5:$I$504,"&lt;&gt;KAPSAM DIŞI*",'Metraj Mahal Listesi'!$I$5:$I$504,"&lt;&gt;DAHİL DEĞİL*"))</f>
        <v/>
      </c>
      <c r="F364" s="20" t="n"/>
      <c r="G364" s="21">
        <f>IF(OR(E364="",F364=""),"",E364*F364)</f>
        <v/>
      </c>
      <c r="H364" s="5" t="n"/>
    </row>
    <row r="365">
      <c r="A365" s="5" t="n"/>
      <c r="B365" s="5" t="n"/>
      <c r="C365" s="5" t="n"/>
      <c r="D365" s="5" t="n"/>
      <c r="E365" s="19">
        <f>IF(B365="","",SUMIFS('Metraj Mahal Listesi'!$F$5:$F$504,'Metraj Mahal Listesi'!$C$5:$C$504,B365,'Metraj Mahal Listesi'!$I$5:$I$504,"&lt;&gt;KAPSAM DIŞI*",'Metraj Mahal Listesi'!$I$5:$I$504,"&lt;&gt;DAHİL DEĞİL*"))</f>
        <v/>
      </c>
      <c r="F365" s="20" t="n"/>
      <c r="G365" s="21">
        <f>IF(OR(E365="",F365=""),"",E365*F365)</f>
        <v/>
      </c>
      <c r="H365" s="5" t="n"/>
    </row>
    <row r="366">
      <c r="A366" s="5" t="n"/>
      <c r="B366" s="5" t="n"/>
      <c r="C366" s="5" t="n"/>
      <c r="D366" s="5" t="n"/>
      <c r="E366" s="19">
        <f>IF(B366="","",SUMIFS('Metraj Mahal Listesi'!$F$5:$F$504,'Metraj Mahal Listesi'!$C$5:$C$504,B366,'Metraj Mahal Listesi'!$I$5:$I$504,"&lt;&gt;KAPSAM DIŞI*",'Metraj Mahal Listesi'!$I$5:$I$504,"&lt;&gt;DAHİL DEĞİL*"))</f>
        <v/>
      </c>
      <c r="F366" s="20" t="n"/>
      <c r="G366" s="21">
        <f>IF(OR(E366="",F366=""),"",E366*F366)</f>
        <v/>
      </c>
      <c r="H366" s="5" t="n"/>
    </row>
    <row r="367">
      <c r="A367" s="5" t="n"/>
      <c r="B367" s="5" t="n"/>
      <c r="C367" s="5" t="n"/>
      <c r="D367" s="5" t="n"/>
      <c r="E367" s="19">
        <f>IF(B367="","",SUMIFS('Metraj Mahal Listesi'!$F$5:$F$504,'Metraj Mahal Listesi'!$C$5:$C$504,B367,'Metraj Mahal Listesi'!$I$5:$I$504,"&lt;&gt;KAPSAM DIŞI*",'Metraj Mahal Listesi'!$I$5:$I$504,"&lt;&gt;DAHİL DEĞİL*"))</f>
        <v/>
      </c>
      <c r="F367" s="20" t="n"/>
      <c r="G367" s="21">
        <f>IF(OR(E367="",F367=""),"",E367*F367)</f>
        <v/>
      </c>
      <c r="H367" s="5" t="n"/>
    </row>
    <row r="368">
      <c r="A368" s="5" t="n"/>
      <c r="B368" s="5" t="n"/>
      <c r="C368" s="5" t="n"/>
      <c r="D368" s="5" t="n"/>
      <c r="E368" s="19">
        <f>IF(B368="","",SUMIFS('Metraj Mahal Listesi'!$F$5:$F$504,'Metraj Mahal Listesi'!$C$5:$C$504,B368,'Metraj Mahal Listesi'!$I$5:$I$504,"&lt;&gt;KAPSAM DIŞI*",'Metraj Mahal Listesi'!$I$5:$I$504,"&lt;&gt;DAHİL DEĞİL*"))</f>
        <v/>
      </c>
      <c r="F368" s="20" t="n"/>
      <c r="G368" s="21">
        <f>IF(OR(E368="",F368=""),"",E368*F368)</f>
        <v/>
      </c>
      <c r="H368" s="5" t="n"/>
    </row>
    <row r="369">
      <c r="A369" s="5" t="n"/>
      <c r="B369" s="5" t="n"/>
      <c r="C369" s="5" t="n"/>
      <c r="D369" s="5" t="n"/>
      <c r="E369" s="19">
        <f>IF(B369="","",SUMIFS('Metraj Mahal Listesi'!$F$5:$F$504,'Metraj Mahal Listesi'!$C$5:$C$504,B369,'Metraj Mahal Listesi'!$I$5:$I$504,"&lt;&gt;KAPSAM DIŞI*",'Metraj Mahal Listesi'!$I$5:$I$504,"&lt;&gt;DAHİL DEĞİL*"))</f>
        <v/>
      </c>
      <c r="F369" s="20" t="n"/>
      <c r="G369" s="21">
        <f>IF(OR(E369="",F369=""),"",E369*F369)</f>
        <v/>
      </c>
      <c r="H369" s="5" t="n"/>
    </row>
    <row r="370">
      <c r="A370" s="5" t="n"/>
      <c r="B370" s="5" t="n"/>
      <c r="C370" s="5" t="n"/>
      <c r="D370" s="5" t="n"/>
      <c r="E370" s="19">
        <f>IF(B370="","",SUMIFS('Metraj Mahal Listesi'!$F$5:$F$504,'Metraj Mahal Listesi'!$C$5:$C$504,B370,'Metraj Mahal Listesi'!$I$5:$I$504,"&lt;&gt;KAPSAM DIŞI*",'Metraj Mahal Listesi'!$I$5:$I$504,"&lt;&gt;DAHİL DEĞİL*"))</f>
        <v/>
      </c>
      <c r="F370" s="20" t="n"/>
      <c r="G370" s="21">
        <f>IF(OR(E370="",F370=""),"",E370*F370)</f>
        <v/>
      </c>
      <c r="H370" s="5" t="n"/>
    </row>
    <row r="371">
      <c r="A371" s="5" t="n"/>
      <c r="B371" s="5" t="n"/>
      <c r="C371" s="5" t="n"/>
      <c r="D371" s="5" t="n"/>
      <c r="E371" s="19">
        <f>IF(B371="","",SUMIFS('Metraj Mahal Listesi'!$F$5:$F$504,'Metraj Mahal Listesi'!$C$5:$C$504,B371,'Metraj Mahal Listesi'!$I$5:$I$504,"&lt;&gt;KAPSAM DIŞI*",'Metraj Mahal Listesi'!$I$5:$I$504,"&lt;&gt;DAHİL DEĞİL*"))</f>
        <v/>
      </c>
      <c r="F371" s="20" t="n"/>
      <c r="G371" s="21">
        <f>IF(OR(E371="",F371=""),"",E371*F371)</f>
        <v/>
      </c>
      <c r="H371" s="5" t="n"/>
    </row>
    <row r="372">
      <c r="A372" s="5" t="n"/>
      <c r="B372" s="5" t="n"/>
      <c r="C372" s="5" t="n"/>
      <c r="D372" s="5" t="n"/>
      <c r="E372" s="19">
        <f>IF(B372="","",SUMIFS('Metraj Mahal Listesi'!$F$5:$F$504,'Metraj Mahal Listesi'!$C$5:$C$504,B372,'Metraj Mahal Listesi'!$I$5:$I$504,"&lt;&gt;KAPSAM DIŞI*",'Metraj Mahal Listesi'!$I$5:$I$504,"&lt;&gt;DAHİL DEĞİL*"))</f>
        <v/>
      </c>
      <c r="F372" s="20" t="n"/>
      <c r="G372" s="21">
        <f>IF(OR(E372="",F372=""),"",E372*F372)</f>
        <v/>
      </c>
      <c r="H372" s="5" t="n"/>
    </row>
    <row r="373">
      <c r="A373" s="5" t="n"/>
      <c r="B373" s="5" t="n"/>
      <c r="C373" s="5" t="n"/>
      <c r="D373" s="5" t="n"/>
      <c r="E373" s="19">
        <f>IF(B373="","",SUMIFS('Metraj Mahal Listesi'!$F$5:$F$504,'Metraj Mahal Listesi'!$C$5:$C$504,B373,'Metraj Mahal Listesi'!$I$5:$I$504,"&lt;&gt;KAPSAM DIŞI*",'Metraj Mahal Listesi'!$I$5:$I$504,"&lt;&gt;DAHİL DEĞİL*"))</f>
        <v/>
      </c>
      <c r="F373" s="20" t="n"/>
      <c r="G373" s="21">
        <f>IF(OR(E373="",F373=""),"",E373*F373)</f>
        <v/>
      </c>
      <c r="H373" s="5" t="n"/>
    </row>
    <row r="374">
      <c r="A374" s="5" t="n"/>
      <c r="B374" s="5" t="n"/>
      <c r="C374" s="5" t="n"/>
      <c r="D374" s="5" t="n"/>
      <c r="E374" s="19">
        <f>IF(B374="","",SUMIFS('Metraj Mahal Listesi'!$F$5:$F$504,'Metraj Mahal Listesi'!$C$5:$C$504,B374,'Metraj Mahal Listesi'!$I$5:$I$504,"&lt;&gt;KAPSAM DIŞI*",'Metraj Mahal Listesi'!$I$5:$I$504,"&lt;&gt;DAHİL DEĞİL*"))</f>
        <v/>
      </c>
      <c r="F374" s="20" t="n"/>
      <c r="G374" s="21">
        <f>IF(OR(E374="",F374=""),"",E374*F374)</f>
        <v/>
      </c>
      <c r="H374" s="5" t="n"/>
    </row>
    <row r="375">
      <c r="A375" s="5" t="n"/>
      <c r="B375" s="5" t="n"/>
      <c r="C375" s="5" t="n"/>
      <c r="D375" s="5" t="n"/>
      <c r="E375" s="19">
        <f>IF(B375="","",SUMIFS('Metraj Mahal Listesi'!$F$5:$F$504,'Metraj Mahal Listesi'!$C$5:$C$504,B375,'Metraj Mahal Listesi'!$I$5:$I$504,"&lt;&gt;KAPSAM DIŞI*",'Metraj Mahal Listesi'!$I$5:$I$504,"&lt;&gt;DAHİL DEĞİL*"))</f>
        <v/>
      </c>
      <c r="F375" s="20" t="n"/>
      <c r="G375" s="21">
        <f>IF(OR(E375="",F375=""),"",E375*F375)</f>
        <v/>
      </c>
      <c r="H375" s="5" t="n"/>
    </row>
    <row r="376">
      <c r="A376" s="5" t="n"/>
      <c r="B376" s="5" t="n"/>
      <c r="C376" s="5" t="n"/>
      <c r="D376" s="5" t="n"/>
      <c r="E376" s="19">
        <f>IF(B376="","",SUMIFS('Metraj Mahal Listesi'!$F$5:$F$504,'Metraj Mahal Listesi'!$C$5:$C$504,B376,'Metraj Mahal Listesi'!$I$5:$I$504,"&lt;&gt;KAPSAM DIŞI*",'Metraj Mahal Listesi'!$I$5:$I$504,"&lt;&gt;DAHİL DEĞİL*"))</f>
        <v/>
      </c>
      <c r="F376" s="20" t="n"/>
      <c r="G376" s="21">
        <f>IF(OR(E376="",F376=""),"",E376*F376)</f>
        <v/>
      </c>
      <c r="H376" s="5" t="n"/>
    </row>
    <row r="377">
      <c r="A377" s="5" t="n"/>
      <c r="B377" s="5" t="n"/>
      <c r="C377" s="5" t="n"/>
      <c r="D377" s="5" t="n"/>
      <c r="E377" s="19">
        <f>IF(B377="","",SUMIFS('Metraj Mahal Listesi'!$F$5:$F$504,'Metraj Mahal Listesi'!$C$5:$C$504,B377,'Metraj Mahal Listesi'!$I$5:$I$504,"&lt;&gt;KAPSAM DIŞI*",'Metraj Mahal Listesi'!$I$5:$I$504,"&lt;&gt;DAHİL DEĞİL*"))</f>
        <v/>
      </c>
      <c r="F377" s="20" t="n"/>
      <c r="G377" s="21">
        <f>IF(OR(E377="",F377=""),"",E377*F377)</f>
        <v/>
      </c>
      <c r="H377" s="5" t="n"/>
    </row>
    <row r="378">
      <c r="A378" s="5" t="n"/>
      <c r="B378" s="5" t="n"/>
      <c r="C378" s="5" t="n"/>
      <c r="D378" s="5" t="n"/>
      <c r="E378" s="19">
        <f>IF(B378="","",SUMIFS('Metraj Mahal Listesi'!$F$5:$F$504,'Metraj Mahal Listesi'!$C$5:$C$504,B378,'Metraj Mahal Listesi'!$I$5:$I$504,"&lt;&gt;KAPSAM DIŞI*",'Metraj Mahal Listesi'!$I$5:$I$504,"&lt;&gt;DAHİL DEĞİL*"))</f>
        <v/>
      </c>
      <c r="F378" s="20" t="n"/>
      <c r="G378" s="21">
        <f>IF(OR(E378="",F378=""),"",E378*F378)</f>
        <v/>
      </c>
      <c r="H378" s="5" t="n"/>
    </row>
    <row r="379">
      <c r="A379" s="5" t="n"/>
      <c r="B379" s="5" t="n"/>
      <c r="C379" s="5" t="n"/>
      <c r="D379" s="5" t="n"/>
      <c r="E379" s="19">
        <f>IF(B379="","",SUMIFS('Metraj Mahal Listesi'!$F$5:$F$504,'Metraj Mahal Listesi'!$C$5:$C$504,B379,'Metraj Mahal Listesi'!$I$5:$I$504,"&lt;&gt;KAPSAM DIŞI*",'Metraj Mahal Listesi'!$I$5:$I$504,"&lt;&gt;DAHİL DEĞİL*"))</f>
        <v/>
      </c>
      <c r="F379" s="20" t="n"/>
      <c r="G379" s="21">
        <f>IF(OR(E379="",F379=""),"",E379*F379)</f>
        <v/>
      </c>
      <c r="H379" s="5" t="n"/>
    </row>
    <row r="380">
      <c r="A380" s="5" t="n"/>
      <c r="B380" s="5" t="n"/>
      <c r="C380" s="5" t="n"/>
      <c r="D380" s="5" t="n"/>
      <c r="E380" s="19">
        <f>IF(B380="","",SUMIFS('Metraj Mahal Listesi'!$F$5:$F$504,'Metraj Mahal Listesi'!$C$5:$C$504,B380,'Metraj Mahal Listesi'!$I$5:$I$504,"&lt;&gt;KAPSAM DIŞI*",'Metraj Mahal Listesi'!$I$5:$I$504,"&lt;&gt;DAHİL DEĞİL*"))</f>
        <v/>
      </c>
      <c r="F380" s="20" t="n"/>
      <c r="G380" s="21">
        <f>IF(OR(E380="",F380=""),"",E380*F380)</f>
        <v/>
      </c>
      <c r="H380" s="5" t="n"/>
    </row>
    <row r="381">
      <c r="A381" s="5" t="n"/>
      <c r="B381" s="5" t="n"/>
      <c r="C381" s="5" t="n"/>
      <c r="D381" s="5" t="n"/>
      <c r="E381" s="19">
        <f>IF(B381="","",SUMIFS('Metraj Mahal Listesi'!$F$5:$F$504,'Metraj Mahal Listesi'!$C$5:$C$504,B381,'Metraj Mahal Listesi'!$I$5:$I$504,"&lt;&gt;KAPSAM DIŞI*",'Metraj Mahal Listesi'!$I$5:$I$504,"&lt;&gt;DAHİL DEĞİL*"))</f>
        <v/>
      </c>
      <c r="F381" s="20" t="n"/>
      <c r="G381" s="21">
        <f>IF(OR(E381="",F381=""),"",E381*F381)</f>
        <v/>
      </c>
      <c r="H381" s="5" t="n"/>
    </row>
    <row r="382">
      <c r="A382" s="5" t="n"/>
      <c r="B382" s="5" t="n"/>
      <c r="C382" s="5" t="n"/>
      <c r="D382" s="5" t="n"/>
      <c r="E382" s="19">
        <f>IF(B382="","",SUMIFS('Metraj Mahal Listesi'!$F$5:$F$504,'Metraj Mahal Listesi'!$C$5:$C$504,B382,'Metraj Mahal Listesi'!$I$5:$I$504,"&lt;&gt;KAPSAM DIŞI*",'Metraj Mahal Listesi'!$I$5:$I$504,"&lt;&gt;DAHİL DEĞİL*"))</f>
        <v/>
      </c>
      <c r="F382" s="20" t="n"/>
      <c r="G382" s="21">
        <f>IF(OR(E382="",F382=""),"",E382*F382)</f>
        <v/>
      </c>
      <c r="H382" s="5" t="n"/>
    </row>
    <row r="383">
      <c r="A383" s="5" t="n"/>
      <c r="B383" s="5" t="n"/>
      <c r="C383" s="5" t="n"/>
      <c r="D383" s="5" t="n"/>
      <c r="E383" s="19">
        <f>IF(B383="","",SUMIFS('Metraj Mahal Listesi'!$F$5:$F$504,'Metraj Mahal Listesi'!$C$5:$C$504,B383,'Metraj Mahal Listesi'!$I$5:$I$504,"&lt;&gt;KAPSAM DIŞI*",'Metraj Mahal Listesi'!$I$5:$I$504,"&lt;&gt;DAHİL DEĞİL*"))</f>
        <v/>
      </c>
      <c r="F383" s="20" t="n"/>
      <c r="G383" s="21">
        <f>IF(OR(E383="",F383=""),"",E383*F383)</f>
        <v/>
      </c>
      <c r="H383" s="5" t="n"/>
    </row>
    <row r="384">
      <c r="A384" s="5" t="n"/>
      <c r="B384" s="5" t="n"/>
      <c r="C384" s="5" t="n"/>
      <c r="D384" s="5" t="n"/>
      <c r="E384" s="19">
        <f>IF(B384="","",SUMIFS('Metraj Mahal Listesi'!$F$5:$F$504,'Metraj Mahal Listesi'!$C$5:$C$504,B384,'Metraj Mahal Listesi'!$I$5:$I$504,"&lt;&gt;KAPSAM DIŞI*",'Metraj Mahal Listesi'!$I$5:$I$504,"&lt;&gt;DAHİL DEĞİL*"))</f>
        <v/>
      </c>
      <c r="F384" s="20" t="n"/>
      <c r="G384" s="21">
        <f>IF(OR(E384="",F384=""),"",E384*F384)</f>
        <v/>
      </c>
      <c r="H384" s="5" t="n"/>
    </row>
    <row r="385">
      <c r="A385" s="5" t="n"/>
      <c r="B385" s="5" t="n"/>
      <c r="C385" s="5" t="n"/>
      <c r="D385" s="5" t="n"/>
      <c r="E385" s="19">
        <f>IF(B385="","",SUMIFS('Metraj Mahal Listesi'!$F$5:$F$504,'Metraj Mahal Listesi'!$C$5:$C$504,B385,'Metraj Mahal Listesi'!$I$5:$I$504,"&lt;&gt;KAPSAM DIŞI*",'Metraj Mahal Listesi'!$I$5:$I$504,"&lt;&gt;DAHİL DEĞİL*"))</f>
        <v/>
      </c>
      <c r="F385" s="20" t="n"/>
      <c r="G385" s="21">
        <f>IF(OR(E385="",F385=""),"",E385*F385)</f>
        <v/>
      </c>
      <c r="H385" s="5" t="n"/>
    </row>
    <row r="386">
      <c r="A386" s="5" t="n"/>
      <c r="B386" s="5" t="n"/>
      <c r="C386" s="5" t="n"/>
      <c r="D386" s="5" t="n"/>
      <c r="E386" s="19">
        <f>IF(B386="","",SUMIFS('Metraj Mahal Listesi'!$F$5:$F$504,'Metraj Mahal Listesi'!$C$5:$C$504,B386,'Metraj Mahal Listesi'!$I$5:$I$504,"&lt;&gt;KAPSAM DIŞI*",'Metraj Mahal Listesi'!$I$5:$I$504,"&lt;&gt;DAHİL DEĞİL*"))</f>
        <v/>
      </c>
      <c r="F386" s="20" t="n"/>
      <c r="G386" s="21">
        <f>IF(OR(E386="",F386=""),"",E386*F386)</f>
        <v/>
      </c>
      <c r="H386" s="5" t="n"/>
    </row>
    <row r="387">
      <c r="A387" s="5" t="n"/>
      <c r="B387" s="5" t="n"/>
      <c r="C387" s="5" t="n"/>
      <c r="D387" s="5" t="n"/>
      <c r="E387" s="19">
        <f>IF(B387="","",SUMIFS('Metraj Mahal Listesi'!$F$5:$F$504,'Metraj Mahal Listesi'!$C$5:$C$504,B387,'Metraj Mahal Listesi'!$I$5:$I$504,"&lt;&gt;KAPSAM DIŞI*",'Metraj Mahal Listesi'!$I$5:$I$504,"&lt;&gt;DAHİL DEĞİL*"))</f>
        <v/>
      </c>
      <c r="F387" s="20" t="n"/>
      <c r="G387" s="21">
        <f>IF(OR(E387="",F387=""),"",E387*F387)</f>
        <v/>
      </c>
      <c r="H387" s="5" t="n"/>
    </row>
    <row r="388">
      <c r="A388" s="5" t="n"/>
      <c r="B388" s="5" t="n"/>
      <c r="C388" s="5" t="n"/>
      <c r="D388" s="5" t="n"/>
      <c r="E388" s="19">
        <f>IF(B388="","",SUMIFS('Metraj Mahal Listesi'!$F$5:$F$504,'Metraj Mahal Listesi'!$C$5:$C$504,B388,'Metraj Mahal Listesi'!$I$5:$I$504,"&lt;&gt;KAPSAM DIŞI*",'Metraj Mahal Listesi'!$I$5:$I$504,"&lt;&gt;DAHİL DEĞİL*"))</f>
        <v/>
      </c>
      <c r="F388" s="20" t="n"/>
      <c r="G388" s="21">
        <f>IF(OR(E388="",F388=""),"",E388*F388)</f>
        <v/>
      </c>
      <c r="H388" s="5" t="n"/>
    </row>
    <row r="389">
      <c r="A389" s="5" t="n"/>
      <c r="B389" s="5" t="n"/>
      <c r="C389" s="5" t="n"/>
      <c r="D389" s="5" t="n"/>
      <c r="E389" s="19">
        <f>IF(B389="","",SUMIFS('Metraj Mahal Listesi'!$F$5:$F$504,'Metraj Mahal Listesi'!$C$5:$C$504,B389,'Metraj Mahal Listesi'!$I$5:$I$504,"&lt;&gt;KAPSAM DIŞI*",'Metraj Mahal Listesi'!$I$5:$I$504,"&lt;&gt;DAHİL DEĞİL*"))</f>
        <v/>
      </c>
      <c r="F389" s="20" t="n"/>
      <c r="G389" s="21">
        <f>IF(OR(E389="",F389=""),"",E389*F389)</f>
        <v/>
      </c>
      <c r="H389" s="5" t="n"/>
    </row>
    <row r="390">
      <c r="A390" s="5" t="n"/>
      <c r="B390" s="5" t="n"/>
      <c r="C390" s="5" t="n"/>
      <c r="D390" s="5" t="n"/>
      <c r="E390" s="19">
        <f>IF(B390="","",SUMIFS('Metraj Mahal Listesi'!$F$5:$F$504,'Metraj Mahal Listesi'!$C$5:$C$504,B390,'Metraj Mahal Listesi'!$I$5:$I$504,"&lt;&gt;KAPSAM DIŞI*",'Metraj Mahal Listesi'!$I$5:$I$504,"&lt;&gt;DAHİL DEĞİL*"))</f>
        <v/>
      </c>
      <c r="F390" s="20" t="n"/>
      <c r="G390" s="21">
        <f>IF(OR(E390="",F390=""),"",E390*F390)</f>
        <v/>
      </c>
      <c r="H390" s="5" t="n"/>
    </row>
    <row r="391">
      <c r="A391" s="5" t="n"/>
      <c r="B391" s="5" t="n"/>
      <c r="C391" s="5" t="n"/>
      <c r="D391" s="5" t="n"/>
      <c r="E391" s="19">
        <f>IF(B391="","",SUMIFS('Metraj Mahal Listesi'!$F$5:$F$504,'Metraj Mahal Listesi'!$C$5:$C$504,B391,'Metraj Mahal Listesi'!$I$5:$I$504,"&lt;&gt;KAPSAM DIŞI*",'Metraj Mahal Listesi'!$I$5:$I$504,"&lt;&gt;DAHİL DEĞİL*"))</f>
        <v/>
      </c>
      <c r="F391" s="20" t="n"/>
      <c r="G391" s="21">
        <f>IF(OR(E391="",F391=""),"",E391*F391)</f>
        <v/>
      </c>
      <c r="H391" s="5" t="n"/>
    </row>
    <row r="392">
      <c r="A392" s="5" t="n"/>
      <c r="B392" s="5" t="n"/>
      <c r="C392" s="5" t="n"/>
      <c r="D392" s="5" t="n"/>
      <c r="E392" s="19">
        <f>IF(B392="","",SUMIFS('Metraj Mahal Listesi'!$F$5:$F$504,'Metraj Mahal Listesi'!$C$5:$C$504,B392,'Metraj Mahal Listesi'!$I$5:$I$504,"&lt;&gt;KAPSAM DIŞI*",'Metraj Mahal Listesi'!$I$5:$I$504,"&lt;&gt;DAHİL DEĞİL*"))</f>
        <v/>
      </c>
      <c r="F392" s="20" t="n"/>
      <c r="G392" s="21">
        <f>IF(OR(E392="",F392=""),"",E392*F392)</f>
        <v/>
      </c>
      <c r="H392" s="5" t="n"/>
    </row>
    <row r="393">
      <c r="A393" s="5" t="n"/>
      <c r="B393" s="5" t="n"/>
      <c r="C393" s="5" t="n"/>
      <c r="D393" s="5" t="n"/>
      <c r="E393" s="19">
        <f>IF(B393="","",SUMIFS('Metraj Mahal Listesi'!$F$5:$F$504,'Metraj Mahal Listesi'!$C$5:$C$504,B393,'Metraj Mahal Listesi'!$I$5:$I$504,"&lt;&gt;KAPSAM DIŞI*",'Metraj Mahal Listesi'!$I$5:$I$504,"&lt;&gt;DAHİL DEĞİL*"))</f>
        <v/>
      </c>
      <c r="F393" s="20" t="n"/>
      <c r="G393" s="21">
        <f>IF(OR(E393="",F393=""),"",E393*F393)</f>
        <v/>
      </c>
      <c r="H393" s="5" t="n"/>
    </row>
    <row r="394">
      <c r="A394" s="5" t="n"/>
      <c r="B394" s="5" t="n"/>
      <c r="C394" s="5" t="n"/>
      <c r="D394" s="5" t="n"/>
      <c r="E394" s="19">
        <f>IF(B394="","",SUMIFS('Metraj Mahal Listesi'!$F$5:$F$504,'Metraj Mahal Listesi'!$C$5:$C$504,B394,'Metraj Mahal Listesi'!$I$5:$I$504,"&lt;&gt;KAPSAM DIŞI*",'Metraj Mahal Listesi'!$I$5:$I$504,"&lt;&gt;DAHİL DEĞİL*"))</f>
        <v/>
      </c>
      <c r="F394" s="20" t="n"/>
      <c r="G394" s="21">
        <f>IF(OR(E394="",F394=""),"",E394*F394)</f>
        <v/>
      </c>
      <c r="H394" s="5" t="n"/>
    </row>
    <row r="395">
      <c r="A395" s="5" t="n"/>
      <c r="B395" s="5" t="n"/>
      <c r="C395" s="5" t="n"/>
      <c r="D395" s="5" t="n"/>
      <c r="E395" s="19">
        <f>IF(B395="","",SUMIFS('Metraj Mahal Listesi'!$F$5:$F$504,'Metraj Mahal Listesi'!$C$5:$C$504,B395,'Metraj Mahal Listesi'!$I$5:$I$504,"&lt;&gt;KAPSAM DIŞI*",'Metraj Mahal Listesi'!$I$5:$I$504,"&lt;&gt;DAHİL DEĞİL*"))</f>
        <v/>
      </c>
      <c r="F395" s="20" t="n"/>
      <c r="G395" s="21">
        <f>IF(OR(E395="",F395=""),"",E395*F395)</f>
        <v/>
      </c>
      <c r="H395" s="5" t="n"/>
    </row>
    <row r="396">
      <c r="A396" s="5" t="n"/>
      <c r="B396" s="5" t="n"/>
      <c r="C396" s="5" t="n"/>
      <c r="D396" s="5" t="n"/>
      <c r="E396" s="19">
        <f>IF(B396="","",SUMIFS('Metraj Mahal Listesi'!$F$5:$F$504,'Metraj Mahal Listesi'!$C$5:$C$504,B396,'Metraj Mahal Listesi'!$I$5:$I$504,"&lt;&gt;KAPSAM DIŞI*",'Metraj Mahal Listesi'!$I$5:$I$504,"&lt;&gt;DAHİL DEĞİL*"))</f>
        <v/>
      </c>
      <c r="F396" s="20" t="n"/>
      <c r="G396" s="21">
        <f>IF(OR(E396="",F396=""),"",E396*F396)</f>
        <v/>
      </c>
      <c r="H396" s="5" t="n"/>
    </row>
    <row r="397">
      <c r="A397" s="5" t="n"/>
      <c r="B397" s="5" t="n"/>
      <c r="C397" s="5" t="n"/>
      <c r="D397" s="5" t="n"/>
      <c r="E397" s="19">
        <f>IF(B397="","",SUMIFS('Metraj Mahal Listesi'!$F$5:$F$504,'Metraj Mahal Listesi'!$C$5:$C$504,B397,'Metraj Mahal Listesi'!$I$5:$I$504,"&lt;&gt;KAPSAM DIŞI*",'Metraj Mahal Listesi'!$I$5:$I$504,"&lt;&gt;DAHİL DEĞİL*"))</f>
        <v/>
      </c>
      <c r="F397" s="20" t="n"/>
      <c r="G397" s="21">
        <f>IF(OR(E397="",F397=""),"",E397*F397)</f>
        <v/>
      </c>
      <c r="H397" s="5" t="n"/>
    </row>
    <row r="398">
      <c r="A398" s="5" t="n"/>
      <c r="B398" s="5" t="n"/>
      <c r="C398" s="5" t="n"/>
      <c r="D398" s="5" t="n"/>
      <c r="E398" s="19">
        <f>IF(B398="","",SUMIFS('Metraj Mahal Listesi'!$F$5:$F$504,'Metraj Mahal Listesi'!$C$5:$C$504,B398,'Metraj Mahal Listesi'!$I$5:$I$504,"&lt;&gt;KAPSAM DIŞI*",'Metraj Mahal Listesi'!$I$5:$I$504,"&lt;&gt;DAHİL DEĞİL*"))</f>
        <v/>
      </c>
      <c r="F398" s="20" t="n"/>
      <c r="G398" s="21">
        <f>IF(OR(E398="",F398=""),"",E398*F398)</f>
        <v/>
      </c>
      <c r="H398" s="5" t="n"/>
    </row>
    <row r="399">
      <c r="A399" s="5" t="n"/>
      <c r="B399" s="5" t="n"/>
      <c r="C399" s="5" t="n"/>
      <c r="D399" s="5" t="n"/>
      <c r="E399" s="19">
        <f>IF(B399="","",SUMIFS('Metraj Mahal Listesi'!$F$5:$F$504,'Metraj Mahal Listesi'!$C$5:$C$504,B399,'Metraj Mahal Listesi'!$I$5:$I$504,"&lt;&gt;KAPSAM DIŞI*",'Metraj Mahal Listesi'!$I$5:$I$504,"&lt;&gt;DAHİL DEĞİL*"))</f>
        <v/>
      </c>
      <c r="F399" s="20" t="n"/>
      <c r="G399" s="21">
        <f>IF(OR(E399="",F399=""),"",E399*F399)</f>
        <v/>
      </c>
      <c r="H399" s="5" t="n"/>
    </row>
    <row r="400">
      <c r="A400" s="5" t="n"/>
      <c r="B400" s="5" t="n"/>
      <c r="C400" s="5" t="n"/>
      <c r="D400" s="5" t="n"/>
      <c r="E400" s="19">
        <f>IF(B400="","",SUMIFS('Metraj Mahal Listesi'!$F$5:$F$504,'Metraj Mahal Listesi'!$C$5:$C$504,B400,'Metraj Mahal Listesi'!$I$5:$I$504,"&lt;&gt;KAPSAM DIŞI*",'Metraj Mahal Listesi'!$I$5:$I$504,"&lt;&gt;DAHİL DEĞİL*"))</f>
        <v/>
      </c>
      <c r="F400" s="20" t="n"/>
      <c r="G400" s="21">
        <f>IF(OR(E400="",F400=""),"",E400*F400)</f>
        <v/>
      </c>
      <c r="H400" s="5" t="n"/>
    </row>
    <row r="401">
      <c r="A401" s="5" t="n"/>
      <c r="B401" s="5" t="n"/>
      <c r="C401" s="5" t="n"/>
      <c r="D401" s="5" t="n"/>
      <c r="E401" s="19">
        <f>IF(B401="","",SUMIFS('Metraj Mahal Listesi'!$F$5:$F$504,'Metraj Mahal Listesi'!$C$5:$C$504,B401,'Metraj Mahal Listesi'!$I$5:$I$504,"&lt;&gt;KAPSAM DIŞI*",'Metraj Mahal Listesi'!$I$5:$I$504,"&lt;&gt;DAHİL DEĞİL*"))</f>
        <v/>
      </c>
      <c r="F401" s="20" t="n"/>
      <c r="G401" s="21">
        <f>IF(OR(E401="",F401=""),"",E401*F401)</f>
        <v/>
      </c>
      <c r="H401" s="5" t="n"/>
    </row>
    <row r="402">
      <c r="A402" s="5" t="n"/>
      <c r="B402" s="5" t="n"/>
      <c r="C402" s="5" t="n"/>
      <c r="D402" s="5" t="n"/>
      <c r="E402" s="19">
        <f>IF(B402="","",SUMIFS('Metraj Mahal Listesi'!$F$5:$F$504,'Metraj Mahal Listesi'!$C$5:$C$504,B402,'Metraj Mahal Listesi'!$I$5:$I$504,"&lt;&gt;KAPSAM DIŞI*",'Metraj Mahal Listesi'!$I$5:$I$504,"&lt;&gt;DAHİL DEĞİL*"))</f>
        <v/>
      </c>
      <c r="F402" s="20" t="n"/>
      <c r="G402" s="21">
        <f>IF(OR(E402="",F402=""),"",E402*F402)</f>
        <v/>
      </c>
      <c r="H402" s="5" t="n"/>
    </row>
    <row r="403">
      <c r="A403" s="5" t="n"/>
      <c r="B403" s="5" t="n"/>
      <c r="C403" s="5" t="n"/>
      <c r="D403" s="5" t="n"/>
      <c r="E403" s="19">
        <f>IF(B403="","",SUMIFS('Metraj Mahal Listesi'!$F$5:$F$504,'Metraj Mahal Listesi'!$C$5:$C$504,B403,'Metraj Mahal Listesi'!$I$5:$I$504,"&lt;&gt;KAPSAM DIŞI*",'Metraj Mahal Listesi'!$I$5:$I$504,"&lt;&gt;DAHİL DEĞİL*"))</f>
        <v/>
      </c>
      <c r="F403" s="20" t="n"/>
      <c r="G403" s="21">
        <f>IF(OR(E403="",F403=""),"",E403*F403)</f>
        <v/>
      </c>
      <c r="H403" s="5" t="n"/>
    </row>
    <row r="404">
      <c r="A404" s="5" t="n"/>
      <c r="B404" s="5" t="n"/>
      <c r="C404" s="5" t="n"/>
      <c r="D404" s="5" t="n"/>
      <c r="E404" s="19">
        <f>IF(B404="","",SUMIFS('Metraj Mahal Listesi'!$F$5:$F$504,'Metraj Mahal Listesi'!$C$5:$C$504,B404,'Metraj Mahal Listesi'!$I$5:$I$504,"&lt;&gt;KAPSAM DIŞI*",'Metraj Mahal Listesi'!$I$5:$I$504,"&lt;&gt;DAHİL DEĞİL*"))</f>
        <v/>
      </c>
      <c r="F404" s="20" t="n"/>
      <c r="G404" s="21">
        <f>IF(OR(E404="",F404=""),"",E404*F404)</f>
        <v/>
      </c>
      <c r="H404" s="5" t="n"/>
    </row>
    <row r="405">
      <c r="A405" s="5" t="n"/>
      <c r="B405" s="5" t="n"/>
      <c r="C405" s="5" t="n"/>
      <c r="D405" s="5" t="n"/>
      <c r="E405" s="19">
        <f>IF(B405="","",SUMIFS('Metraj Mahal Listesi'!$F$5:$F$504,'Metraj Mahal Listesi'!$C$5:$C$504,B405,'Metraj Mahal Listesi'!$I$5:$I$504,"&lt;&gt;KAPSAM DIŞI*",'Metraj Mahal Listesi'!$I$5:$I$504,"&lt;&gt;DAHİL DEĞİL*"))</f>
        <v/>
      </c>
      <c r="F405" s="20" t="n"/>
      <c r="G405" s="21">
        <f>IF(OR(E405="",F405=""),"",E405*F405)</f>
        <v/>
      </c>
      <c r="H405" s="5" t="n"/>
    </row>
    <row r="406">
      <c r="A406" s="5" t="n"/>
      <c r="B406" s="5" t="n"/>
      <c r="C406" s="5" t="n"/>
      <c r="D406" s="5" t="n"/>
      <c r="E406" s="19">
        <f>IF(B406="","",SUMIFS('Metraj Mahal Listesi'!$F$5:$F$504,'Metraj Mahal Listesi'!$C$5:$C$504,B406,'Metraj Mahal Listesi'!$I$5:$I$504,"&lt;&gt;KAPSAM DIŞI*",'Metraj Mahal Listesi'!$I$5:$I$504,"&lt;&gt;DAHİL DEĞİL*"))</f>
        <v/>
      </c>
      <c r="F406" s="20" t="n"/>
      <c r="G406" s="21">
        <f>IF(OR(E406="",F406=""),"",E406*F406)</f>
        <v/>
      </c>
      <c r="H406" s="5" t="n"/>
    </row>
    <row r="407">
      <c r="A407" s="5" t="n"/>
      <c r="B407" s="5" t="n"/>
      <c r="C407" s="5" t="n"/>
      <c r="D407" s="5" t="n"/>
      <c r="E407" s="19">
        <f>IF(B407="","",SUMIFS('Metraj Mahal Listesi'!$F$5:$F$504,'Metraj Mahal Listesi'!$C$5:$C$504,B407,'Metraj Mahal Listesi'!$I$5:$I$504,"&lt;&gt;KAPSAM DIŞI*",'Metraj Mahal Listesi'!$I$5:$I$504,"&lt;&gt;DAHİL DEĞİL*"))</f>
        <v/>
      </c>
      <c r="F407" s="20" t="n"/>
      <c r="G407" s="21">
        <f>IF(OR(E407="",F407=""),"",E407*F407)</f>
        <v/>
      </c>
      <c r="H407" s="5" t="n"/>
    </row>
    <row r="408">
      <c r="A408" s="5" t="n"/>
      <c r="B408" s="5" t="n"/>
      <c r="C408" s="5" t="n"/>
      <c r="D408" s="5" t="n"/>
      <c r="E408" s="19">
        <f>IF(B408="","",SUMIFS('Metraj Mahal Listesi'!$F$5:$F$504,'Metraj Mahal Listesi'!$C$5:$C$504,B408,'Metraj Mahal Listesi'!$I$5:$I$504,"&lt;&gt;KAPSAM DIŞI*",'Metraj Mahal Listesi'!$I$5:$I$504,"&lt;&gt;DAHİL DEĞİL*"))</f>
        <v/>
      </c>
      <c r="F408" s="20" t="n"/>
      <c r="G408" s="21">
        <f>IF(OR(E408="",F408=""),"",E408*F408)</f>
        <v/>
      </c>
      <c r="H408" s="5" t="n"/>
    </row>
    <row r="409">
      <c r="A409" s="5" t="n"/>
      <c r="B409" s="5" t="n"/>
      <c r="C409" s="5" t="n"/>
      <c r="D409" s="5" t="n"/>
      <c r="E409" s="19">
        <f>IF(B409="","",SUMIFS('Metraj Mahal Listesi'!$F$5:$F$504,'Metraj Mahal Listesi'!$C$5:$C$504,B409,'Metraj Mahal Listesi'!$I$5:$I$504,"&lt;&gt;KAPSAM DIŞI*",'Metraj Mahal Listesi'!$I$5:$I$504,"&lt;&gt;DAHİL DEĞİL*"))</f>
        <v/>
      </c>
      <c r="F409" s="20" t="n"/>
      <c r="G409" s="21">
        <f>IF(OR(E409="",F409=""),"",E409*F409)</f>
        <v/>
      </c>
      <c r="H409" s="5" t="n"/>
    </row>
    <row r="410">
      <c r="A410" s="5" t="n"/>
      <c r="B410" s="5" t="n"/>
      <c r="C410" s="5" t="n"/>
      <c r="D410" s="5" t="n"/>
      <c r="E410" s="19">
        <f>IF(B410="","",SUMIFS('Metraj Mahal Listesi'!$F$5:$F$504,'Metraj Mahal Listesi'!$C$5:$C$504,B410,'Metraj Mahal Listesi'!$I$5:$I$504,"&lt;&gt;KAPSAM DIŞI*",'Metraj Mahal Listesi'!$I$5:$I$504,"&lt;&gt;DAHİL DEĞİL*"))</f>
        <v/>
      </c>
      <c r="F410" s="20" t="n"/>
      <c r="G410" s="21">
        <f>IF(OR(E410="",F410=""),"",E410*F410)</f>
        <v/>
      </c>
      <c r="H410" s="5" t="n"/>
    </row>
    <row r="411">
      <c r="A411" s="5" t="n"/>
      <c r="B411" s="5" t="n"/>
      <c r="C411" s="5" t="n"/>
      <c r="D411" s="5" t="n"/>
      <c r="E411" s="19">
        <f>IF(B411="","",SUMIFS('Metraj Mahal Listesi'!$F$5:$F$504,'Metraj Mahal Listesi'!$C$5:$C$504,B411,'Metraj Mahal Listesi'!$I$5:$I$504,"&lt;&gt;KAPSAM DIŞI*",'Metraj Mahal Listesi'!$I$5:$I$504,"&lt;&gt;DAHİL DEĞİL*"))</f>
        <v/>
      </c>
      <c r="F411" s="20" t="n"/>
      <c r="G411" s="21">
        <f>IF(OR(E411="",F411=""),"",E411*F411)</f>
        <v/>
      </c>
      <c r="H411" s="5" t="n"/>
    </row>
    <row r="412">
      <c r="A412" s="5" t="n"/>
      <c r="B412" s="5" t="n"/>
      <c r="C412" s="5" t="n"/>
      <c r="D412" s="5" t="n"/>
      <c r="E412" s="19">
        <f>IF(B412="","",SUMIFS('Metraj Mahal Listesi'!$F$5:$F$504,'Metraj Mahal Listesi'!$C$5:$C$504,B412,'Metraj Mahal Listesi'!$I$5:$I$504,"&lt;&gt;KAPSAM DIŞI*",'Metraj Mahal Listesi'!$I$5:$I$504,"&lt;&gt;DAHİL DEĞİL*"))</f>
        <v/>
      </c>
      <c r="F412" s="20" t="n"/>
      <c r="G412" s="21">
        <f>IF(OR(E412="",F412=""),"",E412*F412)</f>
        <v/>
      </c>
      <c r="H412" s="5" t="n"/>
    </row>
    <row r="413">
      <c r="A413" s="5" t="n"/>
      <c r="B413" s="5" t="n"/>
      <c r="C413" s="5" t="n"/>
      <c r="D413" s="5" t="n"/>
      <c r="E413" s="19">
        <f>IF(B413="","",SUMIFS('Metraj Mahal Listesi'!$F$5:$F$504,'Metraj Mahal Listesi'!$C$5:$C$504,B413,'Metraj Mahal Listesi'!$I$5:$I$504,"&lt;&gt;KAPSAM DIŞI*",'Metraj Mahal Listesi'!$I$5:$I$504,"&lt;&gt;DAHİL DEĞİL*"))</f>
        <v/>
      </c>
      <c r="F413" s="20" t="n"/>
      <c r="G413" s="21">
        <f>IF(OR(E413="",F413=""),"",E413*F413)</f>
        <v/>
      </c>
      <c r="H413" s="5" t="n"/>
    </row>
    <row r="414">
      <c r="A414" s="5" t="n"/>
      <c r="B414" s="5" t="n"/>
      <c r="C414" s="5" t="n"/>
      <c r="D414" s="5" t="n"/>
      <c r="E414" s="19">
        <f>IF(B414="","",SUMIFS('Metraj Mahal Listesi'!$F$5:$F$504,'Metraj Mahal Listesi'!$C$5:$C$504,B414,'Metraj Mahal Listesi'!$I$5:$I$504,"&lt;&gt;KAPSAM DIŞI*",'Metraj Mahal Listesi'!$I$5:$I$504,"&lt;&gt;DAHİL DEĞİL*"))</f>
        <v/>
      </c>
      <c r="F414" s="20" t="n"/>
      <c r="G414" s="21">
        <f>IF(OR(E414="",F414=""),"",E414*F414)</f>
        <v/>
      </c>
      <c r="H414" s="5" t="n"/>
    </row>
    <row r="415">
      <c r="A415" s="5" t="n"/>
      <c r="B415" s="5" t="n"/>
      <c r="C415" s="5" t="n"/>
      <c r="D415" s="5" t="n"/>
      <c r="E415" s="19">
        <f>IF(B415="","",SUMIFS('Metraj Mahal Listesi'!$F$5:$F$504,'Metraj Mahal Listesi'!$C$5:$C$504,B415,'Metraj Mahal Listesi'!$I$5:$I$504,"&lt;&gt;KAPSAM DIŞI*",'Metraj Mahal Listesi'!$I$5:$I$504,"&lt;&gt;DAHİL DEĞİL*"))</f>
        <v/>
      </c>
      <c r="F415" s="20" t="n"/>
      <c r="G415" s="21">
        <f>IF(OR(E415="",F415=""),"",E415*F415)</f>
        <v/>
      </c>
      <c r="H415" s="5" t="n"/>
    </row>
    <row r="416">
      <c r="A416" s="5" t="n"/>
      <c r="B416" s="5" t="n"/>
      <c r="C416" s="5" t="n"/>
      <c r="D416" s="5" t="n"/>
      <c r="E416" s="19">
        <f>IF(B416="","",SUMIFS('Metraj Mahal Listesi'!$F$5:$F$504,'Metraj Mahal Listesi'!$C$5:$C$504,B416,'Metraj Mahal Listesi'!$I$5:$I$504,"&lt;&gt;KAPSAM DIŞI*",'Metraj Mahal Listesi'!$I$5:$I$504,"&lt;&gt;DAHİL DEĞİL*"))</f>
        <v/>
      </c>
      <c r="F416" s="20" t="n"/>
      <c r="G416" s="21">
        <f>IF(OR(E416="",F416=""),"",E416*F416)</f>
        <v/>
      </c>
      <c r="H416" s="5" t="n"/>
    </row>
    <row r="417">
      <c r="A417" s="5" t="n"/>
      <c r="B417" s="5" t="n"/>
      <c r="C417" s="5" t="n"/>
      <c r="D417" s="5" t="n"/>
      <c r="E417" s="19">
        <f>IF(B417="","",SUMIFS('Metraj Mahal Listesi'!$F$5:$F$504,'Metraj Mahal Listesi'!$C$5:$C$504,B417,'Metraj Mahal Listesi'!$I$5:$I$504,"&lt;&gt;KAPSAM DIŞI*",'Metraj Mahal Listesi'!$I$5:$I$504,"&lt;&gt;DAHİL DEĞİL*"))</f>
        <v/>
      </c>
      <c r="F417" s="20" t="n"/>
      <c r="G417" s="21">
        <f>IF(OR(E417="",F417=""),"",E417*F417)</f>
        <v/>
      </c>
      <c r="H417" s="5" t="n"/>
    </row>
    <row r="418">
      <c r="A418" s="5" t="n"/>
      <c r="B418" s="5" t="n"/>
      <c r="C418" s="5" t="n"/>
      <c r="D418" s="5" t="n"/>
      <c r="E418" s="19">
        <f>IF(B418="","",SUMIFS('Metraj Mahal Listesi'!$F$5:$F$504,'Metraj Mahal Listesi'!$C$5:$C$504,B418,'Metraj Mahal Listesi'!$I$5:$I$504,"&lt;&gt;KAPSAM DIŞI*",'Metraj Mahal Listesi'!$I$5:$I$504,"&lt;&gt;DAHİL DEĞİL*"))</f>
        <v/>
      </c>
      <c r="F418" s="20" t="n"/>
      <c r="G418" s="21">
        <f>IF(OR(E418="",F418=""),"",E418*F418)</f>
        <v/>
      </c>
      <c r="H418" s="5" t="n"/>
    </row>
    <row r="419">
      <c r="A419" s="5" t="n"/>
      <c r="B419" s="5" t="n"/>
      <c r="C419" s="5" t="n"/>
      <c r="D419" s="5" t="n"/>
      <c r="E419" s="19">
        <f>IF(B419="","",SUMIFS('Metraj Mahal Listesi'!$F$5:$F$504,'Metraj Mahal Listesi'!$C$5:$C$504,B419,'Metraj Mahal Listesi'!$I$5:$I$504,"&lt;&gt;KAPSAM DIŞI*",'Metraj Mahal Listesi'!$I$5:$I$504,"&lt;&gt;DAHİL DEĞİL*"))</f>
        <v/>
      </c>
      <c r="F419" s="20" t="n"/>
      <c r="G419" s="21">
        <f>IF(OR(E419="",F419=""),"",E419*F419)</f>
        <v/>
      </c>
      <c r="H419" s="5" t="n"/>
    </row>
    <row r="420">
      <c r="A420" s="5" t="n"/>
      <c r="B420" s="5" t="n"/>
      <c r="C420" s="5" t="n"/>
      <c r="D420" s="5" t="n"/>
      <c r="E420" s="19">
        <f>IF(B420="","",SUMIFS('Metraj Mahal Listesi'!$F$5:$F$504,'Metraj Mahal Listesi'!$C$5:$C$504,B420,'Metraj Mahal Listesi'!$I$5:$I$504,"&lt;&gt;KAPSAM DIŞI*",'Metraj Mahal Listesi'!$I$5:$I$504,"&lt;&gt;DAHİL DEĞİL*"))</f>
        <v/>
      </c>
      <c r="F420" s="20" t="n"/>
      <c r="G420" s="21">
        <f>IF(OR(E420="",F420=""),"",E420*F420)</f>
        <v/>
      </c>
      <c r="H420" s="5" t="n"/>
    </row>
    <row r="421">
      <c r="A421" s="5" t="n"/>
      <c r="B421" s="5" t="n"/>
      <c r="C421" s="5" t="n"/>
      <c r="D421" s="5" t="n"/>
      <c r="E421" s="19">
        <f>IF(B421="","",SUMIFS('Metraj Mahal Listesi'!$F$5:$F$504,'Metraj Mahal Listesi'!$C$5:$C$504,B421,'Metraj Mahal Listesi'!$I$5:$I$504,"&lt;&gt;KAPSAM DIŞI*",'Metraj Mahal Listesi'!$I$5:$I$504,"&lt;&gt;DAHİL DEĞİL*"))</f>
        <v/>
      </c>
      <c r="F421" s="20" t="n"/>
      <c r="G421" s="21">
        <f>IF(OR(E421="",F421=""),"",E421*F421)</f>
        <v/>
      </c>
      <c r="H421" s="5" t="n"/>
    </row>
    <row r="422">
      <c r="A422" s="5" t="n"/>
      <c r="B422" s="5" t="n"/>
      <c r="C422" s="5" t="n"/>
      <c r="D422" s="5" t="n"/>
      <c r="E422" s="19">
        <f>IF(B422="","",SUMIFS('Metraj Mahal Listesi'!$F$5:$F$504,'Metraj Mahal Listesi'!$C$5:$C$504,B422,'Metraj Mahal Listesi'!$I$5:$I$504,"&lt;&gt;KAPSAM DIŞI*",'Metraj Mahal Listesi'!$I$5:$I$504,"&lt;&gt;DAHİL DEĞİL*"))</f>
        <v/>
      </c>
      <c r="F422" s="20" t="n"/>
      <c r="G422" s="21">
        <f>IF(OR(E422="",F422=""),"",E422*F422)</f>
        <v/>
      </c>
      <c r="H422" s="5" t="n"/>
    </row>
    <row r="423">
      <c r="A423" s="5" t="n"/>
      <c r="B423" s="5" t="n"/>
      <c r="C423" s="5" t="n"/>
      <c r="D423" s="5" t="n"/>
      <c r="E423" s="19">
        <f>IF(B423="","",SUMIFS('Metraj Mahal Listesi'!$F$5:$F$504,'Metraj Mahal Listesi'!$C$5:$C$504,B423,'Metraj Mahal Listesi'!$I$5:$I$504,"&lt;&gt;KAPSAM DIŞI*",'Metraj Mahal Listesi'!$I$5:$I$504,"&lt;&gt;DAHİL DEĞİL*"))</f>
        <v/>
      </c>
      <c r="F423" s="20" t="n"/>
      <c r="G423" s="21">
        <f>IF(OR(E423="",F423=""),"",E423*F423)</f>
        <v/>
      </c>
      <c r="H423" s="5" t="n"/>
    </row>
    <row r="424">
      <c r="A424" s="5" t="n"/>
      <c r="B424" s="5" t="n"/>
      <c r="C424" s="5" t="n"/>
      <c r="D424" s="5" t="n"/>
      <c r="E424" s="19">
        <f>IF(B424="","",SUMIFS('Metraj Mahal Listesi'!$F$5:$F$504,'Metraj Mahal Listesi'!$C$5:$C$504,B424,'Metraj Mahal Listesi'!$I$5:$I$504,"&lt;&gt;KAPSAM DIŞI*",'Metraj Mahal Listesi'!$I$5:$I$504,"&lt;&gt;DAHİL DEĞİL*"))</f>
        <v/>
      </c>
      <c r="F424" s="20" t="n"/>
      <c r="G424" s="21">
        <f>IF(OR(E424="",F424=""),"",E424*F424)</f>
        <v/>
      </c>
      <c r="H424" s="5" t="n"/>
    </row>
    <row r="425">
      <c r="A425" s="5" t="n"/>
      <c r="B425" s="5" t="n"/>
      <c r="C425" s="5" t="n"/>
      <c r="D425" s="5" t="n"/>
      <c r="E425" s="19">
        <f>IF(B425="","",SUMIFS('Metraj Mahal Listesi'!$F$5:$F$504,'Metraj Mahal Listesi'!$C$5:$C$504,B425,'Metraj Mahal Listesi'!$I$5:$I$504,"&lt;&gt;KAPSAM DIŞI*",'Metraj Mahal Listesi'!$I$5:$I$504,"&lt;&gt;DAHİL DEĞİL*"))</f>
        <v/>
      </c>
      <c r="F425" s="20" t="n"/>
      <c r="G425" s="21">
        <f>IF(OR(E425="",F425=""),"",E425*F425)</f>
        <v/>
      </c>
      <c r="H425" s="5" t="n"/>
    </row>
    <row r="426">
      <c r="A426" s="5" t="n"/>
      <c r="B426" s="5" t="n"/>
      <c r="C426" s="5" t="n"/>
      <c r="D426" s="5" t="n"/>
      <c r="E426" s="19">
        <f>IF(B426="","",SUMIFS('Metraj Mahal Listesi'!$F$5:$F$504,'Metraj Mahal Listesi'!$C$5:$C$504,B426,'Metraj Mahal Listesi'!$I$5:$I$504,"&lt;&gt;KAPSAM DIŞI*",'Metraj Mahal Listesi'!$I$5:$I$504,"&lt;&gt;DAHİL DEĞİL*"))</f>
        <v/>
      </c>
      <c r="F426" s="20" t="n"/>
      <c r="G426" s="21">
        <f>IF(OR(E426="",F426=""),"",E426*F426)</f>
        <v/>
      </c>
      <c r="H426" s="5" t="n"/>
    </row>
    <row r="427">
      <c r="A427" s="5" t="n"/>
      <c r="B427" s="5" t="n"/>
      <c r="C427" s="5" t="n"/>
      <c r="D427" s="5" t="n"/>
      <c r="E427" s="19">
        <f>IF(B427="","",SUMIFS('Metraj Mahal Listesi'!$F$5:$F$504,'Metraj Mahal Listesi'!$C$5:$C$504,B427,'Metraj Mahal Listesi'!$I$5:$I$504,"&lt;&gt;KAPSAM DIŞI*",'Metraj Mahal Listesi'!$I$5:$I$504,"&lt;&gt;DAHİL DEĞİL*"))</f>
        <v/>
      </c>
      <c r="F427" s="20" t="n"/>
      <c r="G427" s="21">
        <f>IF(OR(E427="",F427=""),"",E427*F427)</f>
        <v/>
      </c>
      <c r="H427" s="5" t="n"/>
    </row>
    <row r="428">
      <c r="A428" s="5" t="n"/>
      <c r="B428" s="5" t="n"/>
      <c r="C428" s="5" t="n"/>
      <c r="D428" s="5" t="n"/>
      <c r="E428" s="19">
        <f>IF(B428="","",SUMIFS('Metraj Mahal Listesi'!$F$5:$F$504,'Metraj Mahal Listesi'!$C$5:$C$504,B428,'Metraj Mahal Listesi'!$I$5:$I$504,"&lt;&gt;KAPSAM DIŞI*",'Metraj Mahal Listesi'!$I$5:$I$504,"&lt;&gt;DAHİL DEĞİL*"))</f>
        <v/>
      </c>
      <c r="F428" s="20" t="n"/>
      <c r="G428" s="21">
        <f>IF(OR(E428="",F428=""),"",E428*F428)</f>
        <v/>
      </c>
      <c r="H428" s="5" t="n"/>
    </row>
    <row r="429">
      <c r="A429" s="5" t="n"/>
      <c r="B429" s="5" t="n"/>
      <c r="C429" s="5" t="n"/>
      <c r="D429" s="5" t="n"/>
      <c r="E429" s="19">
        <f>IF(B429="","",SUMIFS('Metraj Mahal Listesi'!$F$5:$F$504,'Metraj Mahal Listesi'!$C$5:$C$504,B429,'Metraj Mahal Listesi'!$I$5:$I$504,"&lt;&gt;KAPSAM DIŞI*",'Metraj Mahal Listesi'!$I$5:$I$504,"&lt;&gt;DAHİL DEĞİL*"))</f>
        <v/>
      </c>
      <c r="F429" s="20" t="n"/>
      <c r="G429" s="21">
        <f>IF(OR(E429="",F429=""),"",E429*F429)</f>
        <v/>
      </c>
      <c r="H429" s="5" t="n"/>
    </row>
    <row r="430">
      <c r="A430" s="5" t="n"/>
      <c r="B430" s="5" t="n"/>
      <c r="C430" s="5" t="n"/>
      <c r="D430" s="5" t="n"/>
      <c r="E430" s="19">
        <f>IF(B430="","",SUMIFS('Metraj Mahal Listesi'!$F$5:$F$504,'Metraj Mahal Listesi'!$C$5:$C$504,B430,'Metraj Mahal Listesi'!$I$5:$I$504,"&lt;&gt;KAPSAM DIŞI*",'Metraj Mahal Listesi'!$I$5:$I$504,"&lt;&gt;DAHİL DEĞİL*"))</f>
        <v/>
      </c>
      <c r="F430" s="20" t="n"/>
      <c r="G430" s="21">
        <f>IF(OR(E430="",F430=""),"",E430*F430)</f>
        <v/>
      </c>
      <c r="H430" s="5" t="n"/>
    </row>
    <row r="431">
      <c r="A431" s="5" t="n"/>
      <c r="B431" s="5" t="n"/>
      <c r="C431" s="5" t="n"/>
      <c r="D431" s="5" t="n"/>
      <c r="E431" s="19">
        <f>IF(B431="","",SUMIFS('Metraj Mahal Listesi'!$F$5:$F$504,'Metraj Mahal Listesi'!$C$5:$C$504,B431,'Metraj Mahal Listesi'!$I$5:$I$504,"&lt;&gt;KAPSAM DIŞI*",'Metraj Mahal Listesi'!$I$5:$I$504,"&lt;&gt;DAHİL DEĞİL*"))</f>
        <v/>
      </c>
      <c r="F431" s="20" t="n"/>
      <c r="G431" s="21">
        <f>IF(OR(E431="",F431=""),"",E431*F431)</f>
        <v/>
      </c>
      <c r="H431" s="5" t="n"/>
    </row>
    <row r="432">
      <c r="A432" s="5" t="n"/>
      <c r="B432" s="5" t="n"/>
      <c r="C432" s="5" t="n"/>
      <c r="D432" s="5" t="n"/>
      <c r="E432" s="19">
        <f>IF(B432="","",SUMIFS('Metraj Mahal Listesi'!$F$5:$F$504,'Metraj Mahal Listesi'!$C$5:$C$504,B432,'Metraj Mahal Listesi'!$I$5:$I$504,"&lt;&gt;KAPSAM DIŞI*",'Metraj Mahal Listesi'!$I$5:$I$504,"&lt;&gt;DAHİL DEĞİL*"))</f>
        <v/>
      </c>
      <c r="F432" s="20" t="n"/>
      <c r="G432" s="21">
        <f>IF(OR(E432="",F432=""),"",E432*F432)</f>
        <v/>
      </c>
      <c r="H432" s="5" t="n"/>
    </row>
    <row r="433">
      <c r="A433" s="5" t="n"/>
      <c r="B433" s="5" t="n"/>
      <c r="C433" s="5" t="n"/>
      <c r="D433" s="5" t="n"/>
      <c r="E433" s="19">
        <f>IF(B433="","",SUMIFS('Metraj Mahal Listesi'!$F$5:$F$504,'Metraj Mahal Listesi'!$C$5:$C$504,B433,'Metraj Mahal Listesi'!$I$5:$I$504,"&lt;&gt;KAPSAM DIŞI*",'Metraj Mahal Listesi'!$I$5:$I$504,"&lt;&gt;DAHİL DEĞİL*"))</f>
        <v/>
      </c>
      <c r="F433" s="20" t="n"/>
      <c r="G433" s="21">
        <f>IF(OR(E433="",F433=""),"",E433*F433)</f>
        <v/>
      </c>
      <c r="H433" s="5" t="n"/>
    </row>
    <row r="434">
      <c r="A434" s="5" t="n"/>
      <c r="B434" s="5" t="n"/>
      <c r="C434" s="5" t="n"/>
      <c r="D434" s="5" t="n"/>
      <c r="E434" s="19">
        <f>IF(B434="","",SUMIFS('Metraj Mahal Listesi'!$F$5:$F$504,'Metraj Mahal Listesi'!$C$5:$C$504,B434,'Metraj Mahal Listesi'!$I$5:$I$504,"&lt;&gt;KAPSAM DIŞI*",'Metraj Mahal Listesi'!$I$5:$I$504,"&lt;&gt;DAHİL DEĞİL*"))</f>
        <v/>
      </c>
      <c r="F434" s="20" t="n"/>
      <c r="G434" s="21">
        <f>IF(OR(E434="",F434=""),"",E434*F434)</f>
        <v/>
      </c>
      <c r="H434" s="5" t="n"/>
    </row>
    <row r="435">
      <c r="A435" s="5" t="n"/>
      <c r="B435" s="5" t="n"/>
      <c r="C435" s="5" t="n"/>
      <c r="D435" s="5" t="n"/>
      <c r="E435" s="19">
        <f>IF(B435="","",SUMIFS('Metraj Mahal Listesi'!$F$5:$F$504,'Metraj Mahal Listesi'!$C$5:$C$504,B435,'Metraj Mahal Listesi'!$I$5:$I$504,"&lt;&gt;KAPSAM DIŞI*",'Metraj Mahal Listesi'!$I$5:$I$504,"&lt;&gt;DAHİL DEĞİL*"))</f>
        <v/>
      </c>
      <c r="F435" s="20" t="n"/>
      <c r="G435" s="21">
        <f>IF(OR(E435="",F435=""),"",E435*F435)</f>
        <v/>
      </c>
      <c r="H435" s="5" t="n"/>
    </row>
    <row r="436">
      <c r="A436" s="5" t="n"/>
      <c r="B436" s="5" t="n"/>
      <c r="C436" s="5" t="n"/>
      <c r="D436" s="5" t="n"/>
      <c r="E436" s="19">
        <f>IF(B436="","",SUMIFS('Metraj Mahal Listesi'!$F$5:$F$504,'Metraj Mahal Listesi'!$C$5:$C$504,B436,'Metraj Mahal Listesi'!$I$5:$I$504,"&lt;&gt;KAPSAM DIŞI*",'Metraj Mahal Listesi'!$I$5:$I$504,"&lt;&gt;DAHİL DEĞİL*"))</f>
        <v/>
      </c>
      <c r="F436" s="20" t="n"/>
      <c r="G436" s="21">
        <f>IF(OR(E436="",F436=""),"",E436*F436)</f>
        <v/>
      </c>
      <c r="H436" s="5" t="n"/>
    </row>
    <row r="437">
      <c r="A437" s="5" t="n"/>
      <c r="B437" s="5" t="n"/>
      <c r="C437" s="5" t="n"/>
      <c r="D437" s="5" t="n"/>
      <c r="E437" s="19">
        <f>IF(B437="","",SUMIFS('Metraj Mahal Listesi'!$F$5:$F$504,'Metraj Mahal Listesi'!$C$5:$C$504,B437,'Metraj Mahal Listesi'!$I$5:$I$504,"&lt;&gt;KAPSAM DIŞI*",'Metraj Mahal Listesi'!$I$5:$I$504,"&lt;&gt;DAHİL DEĞİL*"))</f>
        <v/>
      </c>
      <c r="F437" s="20" t="n"/>
      <c r="G437" s="21">
        <f>IF(OR(E437="",F437=""),"",E437*F437)</f>
        <v/>
      </c>
      <c r="H437" s="5" t="n"/>
    </row>
    <row r="438">
      <c r="A438" s="5" t="n"/>
      <c r="B438" s="5" t="n"/>
      <c r="C438" s="5" t="n"/>
      <c r="D438" s="5" t="n"/>
      <c r="E438" s="19">
        <f>IF(B438="","",SUMIFS('Metraj Mahal Listesi'!$F$5:$F$504,'Metraj Mahal Listesi'!$C$5:$C$504,B438,'Metraj Mahal Listesi'!$I$5:$I$504,"&lt;&gt;KAPSAM DIŞI*",'Metraj Mahal Listesi'!$I$5:$I$504,"&lt;&gt;DAHİL DEĞİL*"))</f>
        <v/>
      </c>
      <c r="F438" s="20" t="n"/>
      <c r="G438" s="21">
        <f>IF(OR(E438="",F438=""),"",E438*F438)</f>
        <v/>
      </c>
      <c r="H438" s="5" t="n"/>
    </row>
    <row r="439">
      <c r="A439" s="5" t="n"/>
      <c r="B439" s="5" t="n"/>
      <c r="C439" s="5" t="n"/>
      <c r="D439" s="5" t="n"/>
      <c r="E439" s="19">
        <f>IF(B439="","",SUMIFS('Metraj Mahal Listesi'!$F$5:$F$504,'Metraj Mahal Listesi'!$C$5:$C$504,B439,'Metraj Mahal Listesi'!$I$5:$I$504,"&lt;&gt;KAPSAM DIŞI*",'Metraj Mahal Listesi'!$I$5:$I$504,"&lt;&gt;DAHİL DEĞİL*"))</f>
        <v/>
      </c>
      <c r="F439" s="20" t="n"/>
      <c r="G439" s="21">
        <f>IF(OR(E439="",F439=""),"",E439*F439)</f>
        <v/>
      </c>
      <c r="H439" s="5" t="n"/>
    </row>
    <row r="440">
      <c r="A440" s="5" t="n"/>
      <c r="B440" s="5" t="n"/>
      <c r="C440" s="5" t="n"/>
      <c r="D440" s="5" t="n"/>
      <c r="E440" s="19">
        <f>IF(B440="","",SUMIFS('Metraj Mahal Listesi'!$F$5:$F$504,'Metraj Mahal Listesi'!$C$5:$C$504,B440,'Metraj Mahal Listesi'!$I$5:$I$504,"&lt;&gt;KAPSAM DIŞI*",'Metraj Mahal Listesi'!$I$5:$I$504,"&lt;&gt;DAHİL DEĞİL*"))</f>
        <v/>
      </c>
      <c r="F440" s="20" t="n"/>
      <c r="G440" s="21">
        <f>IF(OR(E440="",F440=""),"",E440*F440)</f>
        <v/>
      </c>
      <c r="H440" s="5" t="n"/>
    </row>
    <row r="441">
      <c r="A441" s="5" t="n"/>
      <c r="B441" s="5" t="n"/>
      <c r="C441" s="5" t="n"/>
      <c r="D441" s="5" t="n"/>
      <c r="E441" s="19">
        <f>IF(B441="","",SUMIFS('Metraj Mahal Listesi'!$F$5:$F$504,'Metraj Mahal Listesi'!$C$5:$C$504,B441,'Metraj Mahal Listesi'!$I$5:$I$504,"&lt;&gt;KAPSAM DIŞI*",'Metraj Mahal Listesi'!$I$5:$I$504,"&lt;&gt;DAHİL DEĞİL*"))</f>
        <v/>
      </c>
      <c r="F441" s="20" t="n"/>
      <c r="G441" s="21">
        <f>IF(OR(E441="",F441=""),"",E441*F441)</f>
        <v/>
      </c>
      <c r="H441" s="5" t="n"/>
    </row>
    <row r="442">
      <c r="A442" s="5" t="n"/>
      <c r="B442" s="5" t="n"/>
      <c r="C442" s="5" t="n"/>
      <c r="D442" s="5" t="n"/>
      <c r="E442" s="19">
        <f>IF(B442="","",SUMIFS('Metraj Mahal Listesi'!$F$5:$F$504,'Metraj Mahal Listesi'!$C$5:$C$504,B442,'Metraj Mahal Listesi'!$I$5:$I$504,"&lt;&gt;KAPSAM DIŞI*",'Metraj Mahal Listesi'!$I$5:$I$504,"&lt;&gt;DAHİL DEĞİL*"))</f>
        <v/>
      </c>
      <c r="F442" s="20" t="n"/>
      <c r="G442" s="21">
        <f>IF(OR(E442="",F442=""),"",E442*F442)</f>
        <v/>
      </c>
      <c r="H442" s="5" t="n"/>
    </row>
    <row r="443">
      <c r="A443" s="5" t="n"/>
      <c r="B443" s="5" t="n"/>
      <c r="C443" s="5" t="n"/>
      <c r="D443" s="5" t="n"/>
      <c r="E443" s="19">
        <f>IF(B443="","",SUMIFS('Metraj Mahal Listesi'!$F$5:$F$504,'Metraj Mahal Listesi'!$C$5:$C$504,B443,'Metraj Mahal Listesi'!$I$5:$I$504,"&lt;&gt;KAPSAM DIŞI*",'Metraj Mahal Listesi'!$I$5:$I$504,"&lt;&gt;DAHİL DEĞİL*"))</f>
        <v/>
      </c>
      <c r="F443" s="20" t="n"/>
      <c r="G443" s="21">
        <f>IF(OR(E443="",F443=""),"",E443*F443)</f>
        <v/>
      </c>
      <c r="H443" s="5" t="n"/>
    </row>
    <row r="444">
      <c r="A444" s="5" t="n"/>
      <c r="B444" s="5" t="n"/>
      <c r="C444" s="5" t="n"/>
      <c r="D444" s="5" t="n"/>
      <c r="E444" s="19">
        <f>IF(B444="","",SUMIFS('Metraj Mahal Listesi'!$F$5:$F$504,'Metraj Mahal Listesi'!$C$5:$C$504,B444,'Metraj Mahal Listesi'!$I$5:$I$504,"&lt;&gt;KAPSAM DIŞI*",'Metraj Mahal Listesi'!$I$5:$I$504,"&lt;&gt;DAHİL DEĞİL*"))</f>
        <v/>
      </c>
      <c r="F444" s="20" t="n"/>
      <c r="G444" s="21">
        <f>IF(OR(E444="",F444=""),"",E444*F444)</f>
        <v/>
      </c>
      <c r="H444" s="5" t="n"/>
    </row>
    <row r="445">
      <c r="A445" s="5" t="n"/>
      <c r="B445" s="5" t="n"/>
      <c r="C445" s="5" t="n"/>
      <c r="D445" s="5" t="n"/>
      <c r="E445" s="19">
        <f>IF(B445="","",SUMIFS('Metraj Mahal Listesi'!$F$5:$F$504,'Metraj Mahal Listesi'!$C$5:$C$504,B445,'Metraj Mahal Listesi'!$I$5:$I$504,"&lt;&gt;KAPSAM DIŞI*",'Metraj Mahal Listesi'!$I$5:$I$504,"&lt;&gt;DAHİL DEĞİL*"))</f>
        <v/>
      </c>
      <c r="F445" s="20" t="n"/>
      <c r="G445" s="21">
        <f>IF(OR(E445="",F445=""),"",E445*F445)</f>
        <v/>
      </c>
      <c r="H445" s="5" t="n"/>
    </row>
    <row r="446">
      <c r="A446" s="5" t="n"/>
      <c r="B446" s="5" t="n"/>
      <c r="C446" s="5" t="n"/>
      <c r="D446" s="5" t="n"/>
      <c r="E446" s="19">
        <f>IF(B446="","",SUMIFS('Metraj Mahal Listesi'!$F$5:$F$504,'Metraj Mahal Listesi'!$C$5:$C$504,B446,'Metraj Mahal Listesi'!$I$5:$I$504,"&lt;&gt;KAPSAM DIŞI*",'Metraj Mahal Listesi'!$I$5:$I$504,"&lt;&gt;DAHİL DEĞİL*"))</f>
        <v/>
      </c>
      <c r="F446" s="20" t="n"/>
      <c r="G446" s="21">
        <f>IF(OR(E446="",F446=""),"",E446*F446)</f>
        <v/>
      </c>
      <c r="H446" s="5" t="n"/>
    </row>
    <row r="447">
      <c r="A447" s="5" t="n"/>
      <c r="B447" s="5" t="n"/>
      <c r="C447" s="5" t="n"/>
      <c r="D447" s="5" t="n"/>
      <c r="E447" s="19">
        <f>IF(B447="","",SUMIFS('Metraj Mahal Listesi'!$F$5:$F$504,'Metraj Mahal Listesi'!$C$5:$C$504,B447,'Metraj Mahal Listesi'!$I$5:$I$504,"&lt;&gt;KAPSAM DIŞI*",'Metraj Mahal Listesi'!$I$5:$I$504,"&lt;&gt;DAHİL DEĞİL*"))</f>
        <v/>
      </c>
      <c r="F447" s="20" t="n"/>
      <c r="G447" s="21">
        <f>IF(OR(E447="",F447=""),"",E447*F447)</f>
        <v/>
      </c>
      <c r="H447" s="5" t="n"/>
    </row>
    <row r="448">
      <c r="A448" s="5" t="n"/>
      <c r="B448" s="5" t="n"/>
      <c r="C448" s="5" t="n"/>
      <c r="D448" s="5" t="n"/>
      <c r="E448" s="19">
        <f>IF(B448="","",SUMIFS('Metraj Mahal Listesi'!$F$5:$F$504,'Metraj Mahal Listesi'!$C$5:$C$504,B448,'Metraj Mahal Listesi'!$I$5:$I$504,"&lt;&gt;KAPSAM DIŞI*",'Metraj Mahal Listesi'!$I$5:$I$504,"&lt;&gt;DAHİL DEĞİL*"))</f>
        <v/>
      </c>
      <c r="F448" s="20" t="n"/>
      <c r="G448" s="21">
        <f>IF(OR(E448="",F448=""),"",E448*F448)</f>
        <v/>
      </c>
      <c r="H448" s="5" t="n"/>
    </row>
    <row r="449">
      <c r="A449" s="5" t="n"/>
      <c r="B449" s="5" t="n"/>
      <c r="C449" s="5" t="n"/>
      <c r="D449" s="5" t="n"/>
      <c r="E449" s="19">
        <f>IF(B449="","",SUMIFS('Metraj Mahal Listesi'!$F$5:$F$504,'Metraj Mahal Listesi'!$C$5:$C$504,B449,'Metraj Mahal Listesi'!$I$5:$I$504,"&lt;&gt;KAPSAM DIŞI*",'Metraj Mahal Listesi'!$I$5:$I$504,"&lt;&gt;DAHİL DEĞİL*"))</f>
        <v/>
      </c>
      <c r="F449" s="20" t="n"/>
      <c r="G449" s="21">
        <f>IF(OR(E449="",F449=""),"",E449*F449)</f>
        <v/>
      </c>
      <c r="H449" s="5" t="n"/>
    </row>
    <row r="450">
      <c r="A450" s="5" t="n"/>
      <c r="B450" s="5" t="n"/>
      <c r="C450" s="5" t="n"/>
      <c r="D450" s="5" t="n"/>
      <c r="E450" s="19">
        <f>IF(B450="","",SUMIFS('Metraj Mahal Listesi'!$F$5:$F$504,'Metraj Mahal Listesi'!$C$5:$C$504,B450,'Metraj Mahal Listesi'!$I$5:$I$504,"&lt;&gt;KAPSAM DIŞI*",'Metraj Mahal Listesi'!$I$5:$I$504,"&lt;&gt;DAHİL DEĞİL*"))</f>
        <v/>
      </c>
      <c r="F450" s="20" t="n"/>
      <c r="G450" s="21">
        <f>IF(OR(E450="",F450=""),"",E450*F450)</f>
        <v/>
      </c>
      <c r="H450" s="5" t="n"/>
    </row>
    <row r="451">
      <c r="A451" s="5" t="n"/>
      <c r="B451" s="5" t="n"/>
      <c r="C451" s="5" t="n"/>
      <c r="D451" s="5" t="n"/>
      <c r="E451" s="19">
        <f>IF(B451="","",SUMIFS('Metraj Mahal Listesi'!$F$5:$F$504,'Metraj Mahal Listesi'!$C$5:$C$504,B451,'Metraj Mahal Listesi'!$I$5:$I$504,"&lt;&gt;KAPSAM DIŞI*",'Metraj Mahal Listesi'!$I$5:$I$504,"&lt;&gt;DAHİL DEĞİL*"))</f>
        <v/>
      </c>
      <c r="F451" s="20" t="n"/>
      <c r="G451" s="21">
        <f>IF(OR(E451="",F451=""),"",E451*F451)</f>
        <v/>
      </c>
      <c r="H451" s="5" t="n"/>
    </row>
    <row r="452">
      <c r="A452" s="5" t="n"/>
      <c r="B452" s="5" t="n"/>
      <c r="C452" s="5" t="n"/>
      <c r="D452" s="5" t="n"/>
      <c r="E452" s="19">
        <f>IF(B452="","",SUMIFS('Metraj Mahal Listesi'!$F$5:$F$504,'Metraj Mahal Listesi'!$C$5:$C$504,B452,'Metraj Mahal Listesi'!$I$5:$I$504,"&lt;&gt;KAPSAM DIŞI*",'Metraj Mahal Listesi'!$I$5:$I$504,"&lt;&gt;DAHİL DEĞİL*"))</f>
        <v/>
      </c>
      <c r="F452" s="20" t="n"/>
      <c r="G452" s="21">
        <f>IF(OR(E452="",F452=""),"",E452*F452)</f>
        <v/>
      </c>
      <c r="H452" s="5" t="n"/>
    </row>
    <row r="453">
      <c r="A453" s="5" t="n"/>
      <c r="B453" s="5" t="n"/>
      <c r="C453" s="5" t="n"/>
      <c r="D453" s="5" t="n"/>
      <c r="E453" s="19">
        <f>IF(B453="","",SUMIFS('Metraj Mahal Listesi'!$F$5:$F$504,'Metraj Mahal Listesi'!$C$5:$C$504,B453,'Metraj Mahal Listesi'!$I$5:$I$504,"&lt;&gt;KAPSAM DIŞI*",'Metraj Mahal Listesi'!$I$5:$I$504,"&lt;&gt;DAHİL DEĞİL*"))</f>
        <v/>
      </c>
      <c r="F453" s="20" t="n"/>
      <c r="G453" s="21">
        <f>IF(OR(E453="",F453=""),"",E453*F453)</f>
        <v/>
      </c>
      <c r="H453" s="5" t="n"/>
    </row>
    <row r="454">
      <c r="A454" s="5" t="n"/>
      <c r="B454" s="5" t="n"/>
      <c r="C454" s="5" t="n"/>
      <c r="D454" s="5" t="n"/>
      <c r="E454" s="19">
        <f>IF(B454="","",SUMIFS('Metraj Mahal Listesi'!$F$5:$F$504,'Metraj Mahal Listesi'!$C$5:$C$504,B454,'Metraj Mahal Listesi'!$I$5:$I$504,"&lt;&gt;KAPSAM DIŞI*",'Metraj Mahal Listesi'!$I$5:$I$504,"&lt;&gt;DAHİL DEĞİL*"))</f>
        <v/>
      </c>
      <c r="F454" s="20" t="n"/>
      <c r="G454" s="21">
        <f>IF(OR(E454="",F454=""),"",E454*F454)</f>
        <v/>
      </c>
      <c r="H454" s="5" t="n"/>
    </row>
    <row r="455">
      <c r="A455" s="5" t="n"/>
      <c r="B455" s="5" t="n"/>
      <c r="C455" s="5" t="n"/>
      <c r="D455" s="5" t="n"/>
      <c r="E455" s="19">
        <f>IF(B455="","",SUMIFS('Metraj Mahal Listesi'!$F$5:$F$504,'Metraj Mahal Listesi'!$C$5:$C$504,B455,'Metraj Mahal Listesi'!$I$5:$I$504,"&lt;&gt;KAPSAM DIŞI*",'Metraj Mahal Listesi'!$I$5:$I$504,"&lt;&gt;DAHİL DEĞİL*"))</f>
        <v/>
      </c>
      <c r="F455" s="20" t="n"/>
      <c r="G455" s="21">
        <f>IF(OR(E455="",F455=""),"",E455*F455)</f>
        <v/>
      </c>
      <c r="H455" s="5" t="n"/>
    </row>
    <row r="456">
      <c r="A456" s="5" t="n"/>
      <c r="B456" s="5" t="n"/>
      <c r="C456" s="5" t="n"/>
      <c r="D456" s="5" t="n"/>
      <c r="E456" s="19">
        <f>IF(B456="","",SUMIFS('Metraj Mahal Listesi'!$F$5:$F$504,'Metraj Mahal Listesi'!$C$5:$C$504,B456,'Metraj Mahal Listesi'!$I$5:$I$504,"&lt;&gt;KAPSAM DIŞI*",'Metraj Mahal Listesi'!$I$5:$I$504,"&lt;&gt;DAHİL DEĞİL*"))</f>
        <v/>
      </c>
      <c r="F456" s="20" t="n"/>
      <c r="G456" s="21">
        <f>IF(OR(E456="",F456=""),"",E456*F456)</f>
        <v/>
      </c>
      <c r="H456" s="5" t="n"/>
    </row>
    <row r="457">
      <c r="A457" s="5" t="n"/>
      <c r="B457" s="5" t="n"/>
      <c r="C457" s="5" t="n"/>
      <c r="D457" s="5" t="n"/>
      <c r="E457" s="19">
        <f>IF(B457="","",SUMIFS('Metraj Mahal Listesi'!$F$5:$F$504,'Metraj Mahal Listesi'!$C$5:$C$504,B457,'Metraj Mahal Listesi'!$I$5:$I$504,"&lt;&gt;KAPSAM DIŞI*",'Metraj Mahal Listesi'!$I$5:$I$504,"&lt;&gt;DAHİL DEĞİL*"))</f>
        <v/>
      </c>
      <c r="F457" s="20" t="n"/>
      <c r="G457" s="21">
        <f>IF(OR(E457="",F457=""),"",E457*F457)</f>
        <v/>
      </c>
      <c r="H457" s="5" t="n"/>
    </row>
    <row r="458">
      <c r="A458" s="5" t="n"/>
      <c r="B458" s="5" t="n"/>
      <c r="C458" s="5" t="n"/>
      <c r="D458" s="5" t="n"/>
      <c r="E458" s="19">
        <f>IF(B458="","",SUMIFS('Metraj Mahal Listesi'!$F$5:$F$504,'Metraj Mahal Listesi'!$C$5:$C$504,B458,'Metraj Mahal Listesi'!$I$5:$I$504,"&lt;&gt;KAPSAM DIŞI*",'Metraj Mahal Listesi'!$I$5:$I$504,"&lt;&gt;DAHİL DEĞİL*"))</f>
        <v/>
      </c>
      <c r="F458" s="20" t="n"/>
      <c r="G458" s="21">
        <f>IF(OR(E458="",F458=""),"",E458*F458)</f>
        <v/>
      </c>
      <c r="H458" s="5" t="n"/>
    </row>
    <row r="459">
      <c r="A459" s="5" t="n"/>
      <c r="B459" s="5" t="n"/>
      <c r="C459" s="5" t="n"/>
      <c r="D459" s="5" t="n"/>
      <c r="E459" s="19">
        <f>IF(B459="","",SUMIFS('Metraj Mahal Listesi'!$F$5:$F$504,'Metraj Mahal Listesi'!$C$5:$C$504,B459,'Metraj Mahal Listesi'!$I$5:$I$504,"&lt;&gt;KAPSAM DIŞI*",'Metraj Mahal Listesi'!$I$5:$I$504,"&lt;&gt;DAHİL DEĞİL*"))</f>
        <v/>
      </c>
      <c r="F459" s="20" t="n"/>
      <c r="G459" s="21">
        <f>IF(OR(E459="",F459=""),"",E459*F459)</f>
        <v/>
      </c>
      <c r="H459" s="5" t="n"/>
    </row>
    <row r="460">
      <c r="A460" s="5" t="n"/>
      <c r="B460" s="5" t="n"/>
      <c r="C460" s="5" t="n"/>
      <c r="D460" s="5" t="n"/>
      <c r="E460" s="19">
        <f>IF(B460="","",SUMIFS('Metraj Mahal Listesi'!$F$5:$F$504,'Metraj Mahal Listesi'!$C$5:$C$504,B460,'Metraj Mahal Listesi'!$I$5:$I$504,"&lt;&gt;KAPSAM DIŞI*",'Metraj Mahal Listesi'!$I$5:$I$504,"&lt;&gt;DAHİL DEĞİL*"))</f>
        <v/>
      </c>
      <c r="F460" s="20" t="n"/>
      <c r="G460" s="21">
        <f>IF(OR(E460="",F460=""),"",E460*F460)</f>
        <v/>
      </c>
      <c r="H460" s="5" t="n"/>
    </row>
    <row r="461">
      <c r="A461" s="5" t="n"/>
      <c r="B461" s="5" t="n"/>
      <c r="C461" s="5" t="n"/>
      <c r="D461" s="5" t="n"/>
      <c r="E461" s="19">
        <f>IF(B461="","",SUMIFS('Metraj Mahal Listesi'!$F$5:$F$504,'Metraj Mahal Listesi'!$C$5:$C$504,B461,'Metraj Mahal Listesi'!$I$5:$I$504,"&lt;&gt;KAPSAM DIŞI*",'Metraj Mahal Listesi'!$I$5:$I$504,"&lt;&gt;DAHİL DEĞİL*"))</f>
        <v/>
      </c>
      <c r="F461" s="20" t="n"/>
      <c r="G461" s="21">
        <f>IF(OR(E461="",F461=""),"",E461*F461)</f>
        <v/>
      </c>
      <c r="H461" s="5" t="n"/>
    </row>
    <row r="462">
      <c r="A462" s="5" t="n"/>
      <c r="B462" s="5" t="n"/>
      <c r="C462" s="5" t="n"/>
      <c r="D462" s="5" t="n"/>
      <c r="E462" s="19">
        <f>IF(B462="","",SUMIFS('Metraj Mahal Listesi'!$F$5:$F$504,'Metraj Mahal Listesi'!$C$5:$C$504,B462,'Metraj Mahal Listesi'!$I$5:$I$504,"&lt;&gt;KAPSAM DIŞI*",'Metraj Mahal Listesi'!$I$5:$I$504,"&lt;&gt;DAHİL DEĞİL*"))</f>
        <v/>
      </c>
      <c r="F462" s="20" t="n"/>
      <c r="G462" s="21">
        <f>IF(OR(E462="",F462=""),"",E462*F462)</f>
        <v/>
      </c>
      <c r="H462" s="5" t="n"/>
    </row>
    <row r="463">
      <c r="A463" s="5" t="n"/>
      <c r="B463" s="5" t="n"/>
      <c r="C463" s="5" t="n"/>
      <c r="D463" s="5" t="n"/>
      <c r="E463" s="19">
        <f>IF(B463="","",SUMIFS('Metraj Mahal Listesi'!$F$5:$F$504,'Metraj Mahal Listesi'!$C$5:$C$504,B463,'Metraj Mahal Listesi'!$I$5:$I$504,"&lt;&gt;KAPSAM DIŞI*",'Metraj Mahal Listesi'!$I$5:$I$504,"&lt;&gt;DAHİL DEĞİL*"))</f>
        <v/>
      </c>
      <c r="F463" s="20" t="n"/>
      <c r="G463" s="21">
        <f>IF(OR(E463="",F463=""),"",E463*F463)</f>
        <v/>
      </c>
      <c r="H463" s="5" t="n"/>
    </row>
    <row r="464">
      <c r="A464" s="5" t="n"/>
      <c r="B464" s="5" t="n"/>
      <c r="C464" s="5" t="n"/>
      <c r="D464" s="5" t="n"/>
      <c r="E464" s="19">
        <f>IF(B464="","",SUMIFS('Metraj Mahal Listesi'!$F$5:$F$504,'Metraj Mahal Listesi'!$C$5:$C$504,B464,'Metraj Mahal Listesi'!$I$5:$I$504,"&lt;&gt;KAPSAM DIŞI*",'Metraj Mahal Listesi'!$I$5:$I$504,"&lt;&gt;DAHİL DEĞİL*"))</f>
        <v/>
      </c>
      <c r="F464" s="20" t="n"/>
      <c r="G464" s="21">
        <f>IF(OR(E464="",F464=""),"",E464*F464)</f>
        <v/>
      </c>
      <c r="H464" s="5" t="n"/>
    </row>
    <row r="465">
      <c r="A465" s="5" t="n"/>
      <c r="B465" s="5" t="n"/>
      <c r="C465" s="5" t="n"/>
      <c r="D465" s="5" t="n"/>
      <c r="E465" s="19">
        <f>IF(B465="","",SUMIFS('Metraj Mahal Listesi'!$F$5:$F$504,'Metraj Mahal Listesi'!$C$5:$C$504,B465,'Metraj Mahal Listesi'!$I$5:$I$504,"&lt;&gt;KAPSAM DIŞI*",'Metraj Mahal Listesi'!$I$5:$I$504,"&lt;&gt;DAHİL DEĞİL*"))</f>
        <v/>
      </c>
      <c r="F465" s="20" t="n"/>
      <c r="G465" s="21">
        <f>IF(OR(E465="",F465=""),"",E465*F465)</f>
        <v/>
      </c>
      <c r="H465" s="5" t="n"/>
    </row>
    <row r="466">
      <c r="A466" s="5" t="n"/>
      <c r="B466" s="5" t="n"/>
      <c r="C466" s="5" t="n"/>
      <c r="D466" s="5" t="n"/>
      <c r="E466" s="19">
        <f>IF(B466="","",SUMIFS('Metraj Mahal Listesi'!$F$5:$F$504,'Metraj Mahal Listesi'!$C$5:$C$504,B466,'Metraj Mahal Listesi'!$I$5:$I$504,"&lt;&gt;KAPSAM DIŞI*",'Metraj Mahal Listesi'!$I$5:$I$504,"&lt;&gt;DAHİL DEĞİL*"))</f>
        <v/>
      </c>
      <c r="F466" s="20" t="n"/>
      <c r="G466" s="21">
        <f>IF(OR(E466="",F466=""),"",E466*F466)</f>
        <v/>
      </c>
      <c r="H466" s="5" t="n"/>
    </row>
    <row r="467">
      <c r="A467" s="5" t="n"/>
      <c r="B467" s="5" t="n"/>
      <c r="C467" s="5" t="n"/>
      <c r="D467" s="5" t="n"/>
      <c r="E467" s="19">
        <f>IF(B467="","",SUMIFS('Metraj Mahal Listesi'!$F$5:$F$504,'Metraj Mahal Listesi'!$C$5:$C$504,B467,'Metraj Mahal Listesi'!$I$5:$I$504,"&lt;&gt;KAPSAM DIŞI*",'Metraj Mahal Listesi'!$I$5:$I$504,"&lt;&gt;DAHİL DEĞİL*"))</f>
        <v/>
      </c>
      <c r="F467" s="20" t="n"/>
      <c r="G467" s="21">
        <f>IF(OR(E467="",F467=""),"",E467*F467)</f>
        <v/>
      </c>
      <c r="H467" s="5" t="n"/>
    </row>
    <row r="468">
      <c r="A468" s="5" t="n"/>
      <c r="B468" s="5" t="n"/>
      <c r="C468" s="5" t="n"/>
      <c r="D468" s="5" t="n"/>
      <c r="E468" s="19">
        <f>IF(B468="","",SUMIFS('Metraj Mahal Listesi'!$F$5:$F$504,'Metraj Mahal Listesi'!$C$5:$C$504,B468,'Metraj Mahal Listesi'!$I$5:$I$504,"&lt;&gt;KAPSAM DIŞI*",'Metraj Mahal Listesi'!$I$5:$I$504,"&lt;&gt;DAHİL DEĞİL*"))</f>
        <v/>
      </c>
      <c r="F468" s="20" t="n"/>
      <c r="G468" s="21">
        <f>IF(OR(E468="",F468=""),"",E468*F468)</f>
        <v/>
      </c>
      <c r="H468" s="5" t="n"/>
    </row>
    <row r="469">
      <c r="A469" s="5" t="n"/>
      <c r="B469" s="5" t="n"/>
      <c r="C469" s="5" t="n"/>
      <c r="D469" s="5" t="n"/>
      <c r="E469" s="19">
        <f>IF(B469="","",SUMIFS('Metraj Mahal Listesi'!$F$5:$F$504,'Metraj Mahal Listesi'!$C$5:$C$504,B469,'Metraj Mahal Listesi'!$I$5:$I$504,"&lt;&gt;KAPSAM DIŞI*",'Metraj Mahal Listesi'!$I$5:$I$504,"&lt;&gt;DAHİL DEĞİL*"))</f>
        <v/>
      </c>
      <c r="F469" s="20" t="n"/>
      <c r="G469" s="21">
        <f>IF(OR(E469="",F469=""),"",E469*F469)</f>
        <v/>
      </c>
      <c r="H469" s="5" t="n"/>
    </row>
    <row r="470">
      <c r="A470" s="5" t="n"/>
      <c r="B470" s="5" t="n"/>
      <c r="C470" s="5" t="n"/>
      <c r="D470" s="5" t="n"/>
      <c r="E470" s="19">
        <f>IF(B470="","",SUMIFS('Metraj Mahal Listesi'!$F$5:$F$504,'Metraj Mahal Listesi'!$C$5:$C$504,B470,'Metraj Mahal Listesi'!$I$5:$I$504,"&lt;&gt;KAPSAM DIŞI*",'Metraj Mahal Listesi'!$I$5:$I$504,"&lt;&gt;DAHİL DEĞİL*"))</f>
        <v/>
      </c>
      <c r="F470" s="20" t="n"/>
      <c r="G470" s="21">
        <f>IF(OR(E470="",F470=""),"",E470*F470)</f>
        <v/>
      </c>
      <c r="H470" s="5" t="n"/>
    </row>
    <row r="471">
      <c r="A471" s="5" t="n"/>
      <c r="B471" s="5" t="n"/>
      <c r="C471" s="5" t="n"/>
      <c r="D471" s="5" t="n"/>
      <c r="E471" s="19">
        <f>IF(B471="","",SUMIFS('Metraj Mahal Listesi'!$F$5:$F$504,'Metraj Mahal Listesi'!$C$5:$C$504,B471,'Metraj Mahal Listesi'!$I$5:$I$504,"&lt;&gt;KAPSAM DIŞI*",'Metraj Mahal Listesi'!$I$5:$I$504,"&lt;&gt;DAHİL DEĞİL*"))</f>
        <v/>
      </c>
      <c r="F471" s="20" t="n"/>
      <c r="G471" s="21">
        <f>IF(OR(E471="",F471=""),"",E471*F471)</f>
        <v/>
      </c>
      <c r="H471" s="5" t="n"/>
    </row>
    <row r="472">
      <c r="A472" s="5" t="n"/>
      <c r="B472" s="5" t="n"/>
      <c r="C472" s="5" t="n"/>
      <c r="D472" s="5" t="n"/>
      <c r="E472" s="19">
        <f>IF(B472="","",SUMIFS('Metraj Mahal Listesi'!$F$5:$F$504,'Metraj Mahal Listesi'!$C$5:$C$504,B472,'Metraj Mahal Listesi'!$I$5:$I$504,"&lt;&gt;KAPSAM DIŞI*",'Metraj Mahal Listesi'!$I$5:$I$504,"&lt;&gt;DAHİL DEĞİL*"))</f>
        <v/>
      </c>
      <c r="F472" s="20" t="n"/>
      <c r="G472" s="21">
        <f>IF(OR(E472="",F472=""),"",E472*F472)</f>
        <v/>
      </c>
      <c r="H472" s="5" t="n"/>
    </row>
    <row r="473">
      <c r="A473" s="5" t="n"/>
      <c r="B473" s="5" t="n"/>
      <c r="C473" s="5" t="n"/>
      <c r="D473" s="5" t="n"/>
      <c r="E473" s="19">
        <f>IF(B473="","",SUMIFS('Metraj Mahal Listesi'!$F$5:$F$504,'Metraj Mahal Listesi'!$C$5:$C$504,B473,'Metraj Mahal Listesi'!$I$5:$I$504,"&lt;&gt;KAPSAM DIŞI*",'Metraj Mahal Listesi'!$I$5:$I$504,"&lt;&gt;DAHİL DEĞİL*"))</f>
        <v/>
      </c>
      <c r="F473" s="20" t="n"/>
      <c r="G473" s="21">
        <f>IF(OR(E473="",F473=""),"",E473*F473)</f>
        <v/>
      </c>
      <c r="H473" s="5" t="n"/>
    </row>
    <row r="474">
      <c r="A474" s="5" t="n"/>
      <c r="B474" s="5" t="n"/>
      <c r="C474" s="5" t="n"/>
      <c r="D474" s="5" t="n"/>
      <c r="E474" s="19">
        <f>IF(B474="","",SUMIFS('Metraj Mahal Listesi'!$F$5:$F$504,'Metraj Mahal Listesi'!$C$5:$C$504,B474,'Metraj Mahal Listesi'!$I$5:$I$504,"&lt;&gt;KAPSAM DIŞI*",'Metraj Mahal Listesi'!$I$5:$I$504,"&lt;&gt;DAHİL DEĞİL*"))</f>
        <v/>
      </c>
      <c r="F474" s="20" t="n"/>
      <c r="G474" s="21">
        <f>IF(OR(E474="",F474=""),"",E474*F474)</f>
        <v/>
      </c>
      <c r="H474" s="5" t="n"/>
    </row>
    <row r="475">
      <c r="A475" s="5" t="n"/>
      <c r="B475" s="5" t="n"/>
      <c r="C475" s="5" t="n"/>
      <c r="D475" s="5" t="n"/>
      <c r="E475" s="19">
        <f>IF(B475="","",SUMIFS('Metraj Mahal Listesi'!$F$5:$F$504,'Metraj Mahal Listesi'!$C$5:$C$504,B475,'Metraj Mahal Listesi'!$I$5:$I$504,"&lt;&gt;KAPSAM DIŞI*",'Metraj Mahal Listesi'!$I$5:$I$504,"&lt;&gt;DAHİL DEĞİL*"))</f>
        <v/>
      </c>
      <c r="F475" s="20" t="n"/>
      <c r="G475" s="21">
        <f>IF(OR(E475="",F475=""),"",E475*F475)</f>
        <v/>
      </c>
      <c r="H475" s="5" t="n"/>
    </row>
    <row r="476">
      <c r="A476" s="5" t="n"/>
      <c r="B476" s="5" t="n"/>
      <c r="C476" s="5" t="n"/>
      <c r="D476" s="5" t="n"/>
      <c r="E476" s="19">
        <f>IF(B476="","",SUMIFS('Metraj Mahal Listesi'!$F$5:$F$504,'Metraj Mahal Listesi'!$C$5:$C$504,B476,'Metraj Mahal Listesi'!$I$5:$I$504,"&lt;&gt;KAPSAM DIŞI*",'Metraj Mahal Listesi'!$I$5:$I$504,"&lt;&gt;DAHİL DEĞİL*"))</f>
        <v/>
      </c>
      <c r="F476" s="20" t="n"/>
      <c r="G476" s="21">
        <f>IF(OR(E476="",F476=""),"",E476*F476)</f>
        <v/>
      </c>
      <c r="H476" s="5" t="n"/>
    </row>
    <row r="477">
      <c r="A477" s="5" t="n"/>
      <c r="B477" s="5" t="n"/>
      <c r="C477" s="5" t="n"/>
      <c r="D477" s="5" t="n"/>
      <c r="E477" s="19">
        <f>IF(B477="","",SUMIFS('Metraj Mahal Listesi'!$F$5:$F$504,'Metraj Mahal Listesi'!$C$5:$C$504,B477,'Metraj Mahal Listesi'!$I$5:$I$504,"&lt;&gt;KAPSAM DIŞI*",'Metraj Mahal Listesi'!$I$5:$I$504,"&lt;&gt;DAHİL DEĞİL*"))</f>
        <v/>
      </c>
      <c r="F477" s="20" t="n"/>
      <c r="G477" s="21">
        <f>IF(OR(E477="",F477=""),"",E477*F477)</f>
        <v/>
      </c>
      <c r="H477" s="5" t="n"/>
    </row>
    <row r="478">
      <c r="A478" s="5" t="n"/>
      <c r="B478" s="5" t="n"/>
      <c r="C478" s="5" t="n"/>
      <c r="D478" s="5" t="n"/>
      <c r="E478" s="19">
        <f>IF(B478="","",SUMIFS('Metraj Mahal Listesi'!$F$5:$F$504,'Metraj Mahal Listesi'!$C$5:$C$504,B478,'Metraj Mahal Listesi'!$I$5:$I$504,"&lt;&gt;KAPSAM DIŞI*",'Metraj Mahal Listesi'!$I$5:$I$504,"&lt;&gt;DAHİL DEĞİL*"))</f>
        <v/>
      </c>
      <c r="F478" s="20" t="n"/>
      <c r="G478" s="21">
        <f>IF(OR(E478="",F478=""),"",E478*F478)</f>
        <v/>
      </c>
      <c r="H478" s="5" t="n"/>
    </row>
    <row r="479">
      <c r="A479" s="5" t="n"/>
      <c r="B479" s="5" t="n"/>
      <c r="C479" s="5" t="n"/>
      <c r="D479" s="5" t="n"/>
      <c r="E479" s="19">
        <f>IF(B479="","",SUMIFS('Metraj Mahal Listesi'!$F$5:$F$504,'Metraj Mahal Listesi'!$C$5:$C$504,B479,'Metraj Mahal Listesi'!$I$5:$I$504,"&lt;&gt;KAPSAM DIŞI*",'Metraj Mahal Listesi'!$I$5:$I$504,"&lt;&gt;DAHİL DEĞİL*"))</f>
        <v/>
      </c>
      <c r="F479" s="20" t="n"/>
      <c r="G479" s="21">
        <f>IF(OR(E479="",F479=""),"",E479*F479)</f>
        <v/>
      </c>
      <c r="H479" s="5" t="n"/>
    </row>
    <row r="480">
      <c r="A480" s="5" t="n"/>
      <c r="B480" s="5" t="n"/>
      <c r="C480" s="5" t="n"/>
      <c r="D480" s="5" t="n"/>
      <c r="E480" s="19">
        <f>IF(B480="","",SUMIFS('Metraj Mahal Listesi'!$F$5:$F$504,'Metraj Mahal Listesi'!$C$5:$C$504,B480,'Metraj Mahal Listesi'!$I$5:$I$504,"&lt;&gt;KAPSAM DIŞI*",'Metraj Mahal Listesi'!$I$5:$I$504,"&lt;&gt;DAHİL DEĞİL*"))</f>
        <v/>
      </c>
      <c r="F480" s="20" t="n"/>
      <c r="G480" s="21">
        <f>IF(OR(E480="",F480=""),"",E480*F480)</f>
        <v/>
      </c>
      <c r="H480" s="5" t="n"/>
    </row>
    <row r="481">
      <c r="A481" s="5" t="n"/>
      <c r="B481" s="5" t="n"/>
      <c r="C481" s="5" t="n"/>
      <c r="D481" s="5" t="n"/>
      <c r="E481" s="19">
        <f>IF(B481="","",SUMIFS('Metraj Mahal Listesi'!$F$5:$F$504,'Metraj Mahal Listesi'!$C$5:$C$504,B481,'Metraj Mahal Listesi'!$I$5:$I$504,"&lt;&gt;KAPSAM DIŞI*",'Metraj Mahal Listesi'!$I$5:$I$504,"&lt;&gt;DAHİL DEĞİL*"))</f>
        <v/>
      </c>
      <c r="F481" s="20" t="n"/>
      <c r="G481" s="21">
        <f>IF(OR(E481="",F481=""),"",E481*F481)</f>
        <v/>
      </c>
      <c r="H481" s="5" t="n"/>
    </row>
    <row r="482">
      <c r="A482" s="5" t="n"/>
      <c r="B482" s="5" t="n"/>
      <c r="C482" s="5" t="n"/>
      <c r="D482" s="5" t="n"/>
      <c r="E482" s="19">
        <f>IF(B482="","",SUMIFS('Metraj Mahal Listesi'!$F$5:$F$504,'Metraj Mahal Listesi'!$C$5:$C$504,B482,'Metraj Mahal Listesi'!$I$5:$I$504,"&lt;&gt;KAPSAM DIŞI*",'Metraj Mahal Listesi'!$I$5:$I$504,"&lt;&gt;DAHİL DEĞİL*"))</f>
        <v/>
      </c>
      <c r="F482" s="20" t="n"/>
      <c r="G482" s="21">
        <f>IF(OR(E482="",F482=""),"",E482*F482)</f>
        <v/>
      </c>
      <c r="H482" s="5" t="n"/>
    </row>
    <row r="483">
      <c r="A483" s="5" t="n"/>
      <c r="B483" s="5" t="n"/>
      <c r="C483" s="5" t="n"/>
      <c r="D483" s="5" t="n"/>
      <c r="E483" s="19">
        <f>IF(B483="","",SUMIFS('Metraj Mahal Listesi'!$F$5:$F$504,'Metraj Mahal Listesi'!$C$5:$C$504,B483,'Metraj Mahal Listesi'!$I$5:$I$504,"&lt;&gt;KAPSAM DIŞI*",'Metraj Mahal Listesi'!$I$5:$I$504,"&lt;&gt;DAHİL DEĞİL*"))</f>
        <v/>
      </c>
      <c r="F483" s="20" t="n"/>
      <c r="G483" s="21">
        <f>IF(OR(E483="",F483=""),"",E483*F483)</f>
        <v/>
      </c>
      <c r="H483" s="5" t="n"/>
    </row>
    <row r="484">
      <c r="A484" s="5" t="n"/>
      <c r="B484" s="5" t="n"/>
      <c r="C484" s="5" t="n"/>
      <c r="D484" s="5" t="n"/>
      <c r="E484" s="19">
        <f>IF(B484="","",SUMIFS('Metraj Mahal Listesi'!$F$5:$F$504,'Metraj Mahal Listesi'!$C$5:$C$504,B484,'Metraj Mahal Listesi'!$I$5:$I$504,"&lt;&gt;KAPSAM DIŞI*",'Metraj Mahal Listesi'!$I$5:$I$504,"&lt;&gt;DAHİL DEĞİL*"))</f>
        <v/>
      </c>
      <c r="F484" s="20" t="n"/>
      <c r="G484" s="21">
        <f>IF(OR(E484="",F484=""),"",E484*F484)</f>
        <v/>
      </c>
      <c r="H484" s="5" t="n"/>
    </row>
    <row r="485">
      <c r="A485" s="5" t="n"/>
      <c r="B485" s="5" t="n"/>
      <c r="C485" s="5" t="n"/>
      <c r="D485" s="5" t="n"/>
      <c r="E485" s="19">
        <f>IF(B485="","",SUMIFS('Metraj Mahal Listesi'!$F$5:$F$504,'Metraj Mahal Listesi'!$C$5:$C$504,B485,'Metraj Mahal Listesi'!$I$5:$I$504,"&lt;&gt;KAPSAM DIŞI*",'Metraj Mahal Listesi'!$I$5:$I$504,"&lt;&gt;DAHİL DEĞİL*"))</f>
        <v/>
      </c>
      <c r="F485" s="20" t="n"/>
      <c r="G485" s="21">
        <f>IF(OR(E485="",F485=""),"",E485*F485)</f>
        <v/>
      </c>
      <c r="H485" s="5" t="n"/>
    </row>
    <row r="486">
      <c r="A486" s="5" t="n"/>
      <c r="B486" s="5" t="n"/>
      <c r="C486" s="5" t="n"/>
      <c r="D486" s="5" t="n"/>
      <c r="E486" s="19">
        <f>IF(B486="","",SUMIFS('Metraj Mahal Listesi'!$F$5:$F$504,'Metraj Mahal Listesi'!$C$5:$C$504,B486,'Metraj Mahal Listesi'!$I$5:$I$504,"&lt;&gt;KAPSAM DIŞI*",'Metraj Mahal Listesi'!$I$5:$I$504,"&lt;&gt;DAHİL DEĞİL*"))</f>
        <v/>
      </c>
      <c r="F486" s="20" t="n"/>
      <c r="G486" s="21">
        <f>IF(OR(E486="",F486=""),"",E486*F486)</f>
        <v/>
      </c>
      <c r="H486" s="5" t="n"/>
    </row>
    <row r="487">
      <c r="A487" s="5" t="n"/>
      <c r="B487" s="5" t="n"/>
      <c r="C487" s="5" t="n"/>
      <c r="D487" s="5" t="n"/>
      <c r="E487" s="19">
        <f>IF(B487="","",SUMIFS('Metraj Mahal Listesi'!$F$5:$F$504,'Metraj Mahal Listesi'!$C$5:$C$504,B487,'Metraj Mahal Listesi'!$I$5:$I$504,"&lt;&gt;KAPSAM DIŞI*",'Metraj Mahal Listesi'!$I$5:$I$504,"&lt;&gt;DAHİL DEĞİL*"))</f>
        <v/>
      </c>
      <c r="F487" s="20" t="n"/>
      <c r="G487" s="21">
        <f>IF(OR(E487="",F487=""),"",E487*F487)</f>
        <v/>
      </c>
      <c r="H487" s="5" t="n"/>
    </row>
    <row r="488">
      <c r="A488" s="5" t="n"/>
      <c r="B488" s="5" t="n"/>
      <c r="C488" s="5" t="n"/>
      <c r="D488" s="5" t="n"/>
      <c r="E488" s="19">
        <f>IF(B488="","",SUMIFS('Metraj Mahal Listesi'!$F$5:$F$504,'Metraj Mahal Listesi'!$C$5:$C$504,B488,'Metraj Mahal Listesi'!$I$5:$I$504,"&lt;&gt;KAPSAM DIŞI*",'Metraj Mahal Listesi'!$I$5:$I$504,"&lt;&gt;DAHİL DEĞİL*"))</f>
        <v/>
      </c>
      <c r="F488" s="20" t="n"/>
      <c r="G488" s="21">
        <f>IF(OR(E488="",F488=""),"",E488*F488)</f>
        <v/>
      </c>
      <c r="H488" s="5" t="n"/>
    </row>
    <row r="489">
      <c r="A489" s="5" t="n"/>
      <c r="B489" s="5" t="n"/>
      <c r="C489" s="5" t="n"/>
      <c r="D489" s="5" t="n"/>
      <c r="E489" s="19">
        <f>IF(B489="","",SUMIFS('Metraj Mahal Listesi'!$F$5:$F$504,'Metraj Mahal Listesi'!$C$5:$C$504,B489,'Metraj Mahal Listesi'!$I$5:$I$504,"&lt;&gt;KAPSAM DIŞI*",'Metraj Mahal Listesi'!$I$5:$I$504,"&lt;&gt;DAHİL DEĞİL*"))</f>
        <v/>
      </c>
      <c r="F489" s="20" t="n"/>
      <c r="G489" s="21">
        <f>IF(OR(E489="",F489=""),"",E489*F489)</f>
        <v/>
      </c>
      <c r="H489" s="5" t="n"/>
    </row>
    <row r="490">
      <c r="A490" s="5" t="n"/>
      <c r="B490" s="5" t="n"/>
      <c r="C490" s="5" t="n"/>
      <c r="D490" s="5" t="n"/>
      <c r="E490" s="19">
        <f>IF(B490="","",SUMIFS('Metraj Mahal Listesi'!$F$5:$F$504,'Metraj Mahal Listesi'!$C$5:$C$504,B490,'Metraj Mahal Listesi'!$I$5:$I$504,"&lt;&gt;KAPSAM DIŞI*",'Metraj Mahal Listesi'!$I$5:$I$504,"&lt;&gt;DAHİL DEĞİL*"))</f>
        <v/>
      </c>
      <c r="F490" s="20" t="n"/>
      <c r="G490" s="21">
        <f>IF(OR(E490="",F490=""),"",E490*F490)</f>
        <v/>
      </c>
      <c r="H490" s="5" t="n"/>
    </row>
    <row r="491">
      <c r="A491" s="5" t="n"/>
      <c r="B491" s="5" t="n"/>
      <c r="C491" s="5" t="n"/>
      <c r="D491" s="5" t="n"/>
      <c r="E491" s="19">
        <f>IF(B491="","",SUMIFS('Metraj Mahal Listesi'!$F$5:$F$504,'Metraj Mahal Listesi'!$C$5:$C$504,B491,'Metraj Mahal Listesi'!$I$5:$I$504,"&lt;&gt;KAPSAM DIŞI*",'Metraj Mahal Listesi'!$I$5:$I$504,"&lt;&gt;DAHİL DEĞİL*"))</f>
        <v/>
      </c>
      <c r="F491" s="20" t="n"/>
      <c r="G491" s="21">
        <f>IF(OR(E491="",F491=""),"",E491*F491)</f>
        <v/>
      </c>
      <c r="H491" s="5" t="n"/>
    </row>
    <row r="492">
      <c r="A492" s="5" t="n"/>
      <c r="B492" s="5" t="n"/>
      <c r="C492" s="5" t="n"/>
      <c r="D492" s="5" t="n"/>
      <c r="E492" s="19">
        <f>IF(B492="","",SUMIFS('Metraj Mahal Listesi'!$F$5:$F$504,'Metraj Mahal Listesi'!$C$5:$C$504,B492,'Metraj Mahal Listesi'!$I$5:$I$504,"&lt;&gt;KAPSAM DIŞI*",'Metraj Mahal Listesi'!$I$5:$I$504,"&lt;&gt;DAHİL DEĞİL*"))</f>
        <v/>
      </c>
      <c r="F492" s="20" t="n"/>
      <c r="G492" s="21">
        <f>IF(OR(E492="",F492=""),"",E492*F492)</f>
        <v/>
      </c>
      <c r="H492" s="5" t="n"/>
    </row>
    <row r="493">
      <c r="A493" s="5" t="n"/>
      <c r="B493" s="5" t="n"/>
      <c r="C493" s="5" t="n"/>
      <c r="D493" s="5" t="n"/>
      <c r="E493" s="19">
        <f>IF(B493="","",SUMIFS('Metraj Mahal Listesi'!$F$5:$F$504,'Metraj Mahal Listesi'!$C$5:$C$504,B493,'Metraj Mahal Listesi'!$I$5:$I$504,"&lt;&gt;KAPSAM DIŞI*",'Metraj Mahal Listesi'!$I$5:$I$504,"&lt;&gt;DAHİL DEĞİL*"))</f>
        <v/>
      </c>
      <c r="F493" s="20" t="n"/>
      <c r="G493" s="21">
        <f>IF(OR(E493="",F493=""),"",E493*F493)</f>
        <v/>
      </c>
      <c r="H493" s="5" t="n"/>
    </row>
    <row r="494">
      <c r="A494" s="5" t="n"/>
      <c r="B494" s="5" t="n"/>
      <c r="C494" s="5" t="n"/>
      <c r="D494" s="5" t="n"/>
      <c r="E494" s="19">
        <f>IF(B494="","",SUMIFS('Metraj Mahal Listesi'!$F$5:$F$504,'Metraj Mahal Listesi'!$C$5:$C$504,B494,'Metraj Mahal Listesi'!$I$5:$I$504,"&lt;&gt;KAPSAM DIŞI*",'Metraj Mahal Listesi'!$I$5:$I$504,"&lt;&gt;DAHİL DEĞİL*"))</f>
        <v/>
      </c>
      <c r="F494" s="20" t="n"/>
      <c r="G494" s="21">
        <f>IF(OR(E494="",F494=""),"",E494*F494)</f>
        <v/>
      </c>
      <c r="H494" s="5" t="n"/>
    </row>
    <row r="495">
      <c r="A495" s="5" t="n"/>
      <c r="B495" s="5" t="n"/>
      <c r="C495" s="5" t="n"/>
      <c r="D495" s="5" t="n"/>
      <c r="E495" s="19">
        <f>IF(B495="","",SUMIFS('Metraj Mahal Listesi'!$F$5:$F$504,'Metraj Mahal Listesi'!$C$5:$C$504,B495,'Metraj Mahal Listesi'!$I$5:$I$504,"&lt;&gt;KAPSAM DIŞI*",'Metraj Mahal Listesi'!$I$5:$I$504,"&lt;&gt;DAHİL DEĞİL*"))</f>
        <v/>
      </c>
      <c r="F495" s="20" t="n"/>
      <c r="G495" s="21">
        <f>IF(OR(E495="",F495=""),"",E495*F495)</f>
        <v/>
      </c>
      <c r="H495" s="5" t="n"/>
    </row>
    <row r="496">
      <c r="A496" s="5" t="n"/>
      <c r="B496" s="5" t="n"/>
      <c r="C496" s="5" t="n"/>
      <c r="D496" s="5" t="n"/>
      <c r="E496" s="19">
        <f>IF(B496="","",SUMIFS('Metraj Mahal Listesi'!$F$5:$F$504,'Metraj Mahal Listesi'!$C$5:$C$504,B496,'Metraj Mahal Listesi'!$I$5:$I$504,"&lt;&gt;KAPSAM DIŞI*",'Metraj Mahal Listesi'!$I$5:$I$504,"&lt;&gt;DAHİL DEĞİL*"))</f>
        <v/>
      </c>
      <c r="F496" s="20" t="n"/>
      <c r="G496" s="21">
        <f>IF(OR(E496="",F496=""),"",E496*F496)</f>
        <v/>
      </c>
      <c r="H496" s="5" t="n"/>
    </row>
    <row r="497">
      <c r="A497" s="5" t="n"/>
      <c r="B497" s="5" t="n"/>
      <c r="C497" s="5" t="n"/>
      <c r="D497" s="5" t="n"/>
      <c r="E497" s="19">
        <f>IF(B497="","",SUMIFS('Metraj Mahal Listesi'!$F$5:$F$504,'Metraj Mahal Listesi'!$C$5:$C$504,B497,'Metraj Mahal Listesi'!$I$5:$I$504,"&lt;&gt;KAPSAM DIŞI*",'Metraj Mahal Listesi'!$I$5:$I$504,"&lt;&gt;DAHİL DEĞİL*"))</f>
        <v/>
      </c>
      <c r="F497" s="20" t="n"/>
      <c r="G497" s="21">
        <f>IF(OR(E497="",F497=""),"",E497*F497)</f>
        <v/>
      </c>
      <c r="H497" s="5" t="n"/>
    </row>
    <row r="498">
      <c r="A498" s="5" t="n"/>
      <c r="B498" s="5" t="n"/>
      <c r="C498" s="5" t="n"/>
      <c r="D498" s="5" t="n"/>
      <c r="E498" s="19">
        <f>IF(B498="","",SUMIFS('Metraj Mahal Listesi'!$F$5:$F$504,'Metraj Mahal Listesi'!$C$5:$C$504,B498,'Metraj Mahal Listesi'!$I$5:$I$504,"&lt;&gt;KAPSAM DIŞI*",'Metraj Mahal Listesi'!$I$5:$I$504,"&lt;&gt;DAHİL DEĞİL*"))</f>
        <v/>
      </c>
      <c r="F498" s="20" t="n"/>
      <c r="G498" s="21">
        <f>IF(OR(E498="",F498=""),"",E498*F498)</f>
        <v/>
      </c>
      <c r="H498" s="5" t="n"/>
    </row>
    <row r="499">
      <c r="A499" s="5" t="n"/>
      <c r="B499" s="5" t="n"/>
      <c r="C499" s="5" t="n"/>
      <c r="D499" s="5" t="n"/>
      <c r="E499" s="19">
        <f>IF(B499="","",SUMIFS('Metraj Mahal Listesi'!$F$5:$F$504,'Metraj Mahal Listesi'!$C$5:$C$504,B499,'Metraj Mahal Listesi'!$I$5:$I$504,"&lt;&gt;KAPSAM DIŞI*",'Metraj Mahal Listesi'!$I$5:$I$504,"&lt;&gt;DAHİL DEĞİL*"))</f>
        <v/>
      </c>
      <c r="F499" s="20" t="n"/>
      <c r="G499" s="21">
        <f>IF(OR(E499="",F499=""),"",E499*F499)</f>
        <v/>
      </c>
      <c r="H499" s="5" t="n"/>
    </row>
    <row r="500">
      <c r="A500" s="5" t="n"/>
      <c r="B500" s="5" t="n"/>
      <c r="C500" s="5" t="n"/>
      <c r="D500" s="5" t="n"/>
      <c r="E500" s="19">
        <f>IF(B500="","",SUMIFS('Metraj Mahal Listesi'!$F$5:$F$504,'Metraj Mahal Listesi'!$C$5:$C$504,B500,'Metraj Mahal Listesi'!$I$5:$I$504,"&lt;&gt;KAPSAM DIŞI*",'Metraj Mahal Listesi'!$I$5:$I$504,"&lt;&gt;DAHİL DEĞİL*"))</f>
        <v/>
      </c>
      <c r="F500" s="20" t="n"/>
      <c r="G500" s="21">
        <f>IF(OR(E500="",F500=""),"",E500*F500)</f>
        <v/>
      </c>
      <c r="H500" s="5" t="n"/>
    </row>
    <row r="501">
      <c r="A501" s="5" t="n"/>
      <c r="B501" s="5" t="n"/>
      <c r="C501" s="5" t="n"/>
      <c r="D501" s="5" t="n"/>
      <c r="E501" s="19">
        <f>IF(B501="","",SUMIFS('Metraj Mahal Listesi'!$F$5:$F$504,'Metraj Mahal Listesi'!$C$5:$C$504,B501,'Metraj Mahal Listesi'!$I$5:$I$504,"&lt;&gt;KAPSAM DIŞI*",'Metraj Mahal Listesi'!$I$5:$I$504,"&lt;&gt;DAHİL DEĞİL*"))</f>
        <v/>
      </c>
      <c r="F501" s="20" t="n"/>
      <c r="G501" s="21">
        <f>IF(OR(E501="",F501=""),"",E501*F501)</f>
        <v/>
      </c>
      <c r="H501" s="5" t="n"/>
    </row>
    <row r="502">
      <c r="A502" s="5" t="n"/>
      <c r="B502" s="5" t="n"/>
      <c r="C502" s="5" t="n"/>
      <c r="D502" s="5" t="n"/>
      <c r="E502" s="19">
        <f>IF(B502="","",SUMIFS('Metraj Mahal Listesi'!$F$5:$F$504,'Metraj Mahal Listesi'!$C$5:$C$504,B502,'Metraj Mahal Listesi'!$I$5:$I$504,"&lt;&gt;KAPSAM DIŞI*",'Metraj Mahal Listesi'!$I$5:$I$504,"&lt;&gt;DAHİL DEĞİL*"))</f>
        <v/>
      </c>
      <c r="F502" s="20" t="n"/>
      <c r="G502" s="21">
        <f>IF(OR(E502="",F502=""),"",E502*F502)</f>
        <v/>
      </c>
      <c r="H502" s="5" t="n"/>
    </row>
    <row r="503">
      <c r="A503" s="5" t="n"/>
      <c r="B503" s="5" t="n"/>
      <c r="C503" s="5" t="n"/>
      <c r="D503" s="5" t="n"/>
      <c r="E503" s="19">
        <f>IF(B503="","",SUMIFS('Metraj Mahal Listesi'!$F$5:$F$504,'Metraj Mahal Listesi'!$C$5:$C$504,B503,'Metraj Mahal Listesi'!$I$5:$I$504,"&lt;&gt;KAPSAM DIŞI*",'Metraj Mahal Listesi'!$I$5:$I$504,"&lt;&gt;DAHİL DEĞİL*"))</f>
        <v/>
      </c>
      <c r="F503" s="20" t="n"/>
      <c r="G503" s="21">
        <f>IF(OR(E503="",F503=""),"",E503*F503)</f>
        <v/>
      </c>
      <c r="H503" s="5" t="n"/>
    </row>
    <row r="504">
      <c r="A504" s="5" t="n"/>
      <c r="B504" s="5" t="n"/>
      <c r="C504" s="5" t="n"/>
      <c r="D504" s="5" t="n"/>
      <c r="E504" s="19">
        <f>IF(B504="","",SUMIFS('Metraj Mahal Listesi'!$F$5:$F$504,'Metraj Mahal Listesi'!$C$5:$C$504,B504,'Metraj Mahal Listesi'!$I$5:$I$504,"&lt;&gt;KAPSAM DIŞI*",'Metraj Mahal Listesi'!$I$5:$I$504,"&lt;&gt;DAHİL DEĞİL*"))</f>
        <v/>
      </c>
      <c r="F504" s="20" t="n"/>
      <c r="G504" s="21">
        <f>IF(OR(E504="",F504=""),"",E504*F504)</f>
        <v/>
      </c>
      <c r="H504" s="5" t="n"/>
    </row>
  </sheetData>
  <autoFilter ref="A4:H504"/>
  <mergeCells count="2">
    <mergeCell ref="A2:H2"/>
    <mergeCell ref="A1:H1"/>
  </mergeCells>
  <conditionalFormatting sqref="F5:F504">
    <cfRule type="expression" priority="1" dxfId="1">
      <formula>AND(B5&lt;&gt;"",F5="")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W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40" customWidth="1" min="3" max="3"/>
    <col width="8" customWidth="1" min="4" max="4"/>
    <col width="13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3" customWidth="1" min="20" max="20"/>
    <col width="13" customWidth="1" min="21" max="21"/>
    <col width="16" customWidth="1" min="22" max="22"/>
    <col width="30" customWidth="1" min="23" max="23"/>
  </cols>
  <sheetData>
    <row r="1" ht="28" customHeight="1">
      <c r="A1" s="1" t="inlineStr">
        <is>
          <t>DÖNEMSEL BFTC</t>
        </is>
      </c>
    </row>
    <row r="2" ht="30" customHeight="1">
      <c r="A2" s="2" t="inlineStr">
        <is>
          <t>Aynı pozun aylık ve yıllık liste fiyatları. Kullanılan Dönem seçilir, tutar o dönemin fiyatıyla hesaplanır.</t>
        </is>
      </c>
    </row>
    <row r="3">
      <c r="A3" s="15" t="inlineStr">
        <is>
          <t>TOPLAM</t>
        </is>
      </c>
      <c r="B3" s="16" t="n"/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7">
        <f>SUM(V5:V504)</f>
        <v/>
      </c>
      <c r="W3" s="16" t="n"/>
    </row>
    <row r="4" ht="32" customHeight="1">
      <c r="A4" s="18" t="inlineStr">
        <is>
          <t>Sıra No</t>
        </is>
      </c>
      <c r="B4" s="18" t="inlineStr">
        <is>
          <t>Poz No</t>
        </is>
      </c>
      <c r="C4" s="18" t="inlineStr">
        <is>
          <t>İmalatın Cinsi</t>
        </is>
      </c>
      <c r="D4" s="18" t="inlineStr">
        <is>
          <t>Birim</t>
        </is>
      </c>
      <c r="E4" s="18" t="inlineStr">
        <is>
          <t>Miktar</t>
        </is>
      </c>
      <c r="F4" s="18" t="inlineStr">
        <is>
          <t>Ocak</t>
        </is>
      </c>
      <c r="G4" s="18" t="inlineStr">
        <is>
          <t>Şubat</t>
        </is>
      </c>
      <c r="H4" s="18" t="inlineStr">
        <is>
          <t>Mart</t>
        </is>
      </c>
      <c r="I4" s="18" t="inlineStr">
        <is>
          <t>Nisan</t>
        </is>
      </c>
      <c r="J4" s="18" t="inlineStr">
        <is>
          <t>Mayıs</t>
        </is>
      </c>
      <c r="K4" s="18" t="inlineStr">
        <is>
          <t>Haziran</t>
        </is>
      </c>
      <c r="L4" s="18" t="inlineStr">
        <is>
          <t>Temmuz</t>
        </is>
      </c>
      <c r="M4" s="18" t="inlineStr">
        <is>
          <t>Ağustos</t>
        </is>
      </c>
      <c r="N4" s="18" t="inlineStr">
        <is>
          <t>Eylül</t>
        </is>
      </c>
      <c r="O4" s="18" t="inlineStr">
        <is>
          <t>Ekim</t>
        </is>
      </c>
      <c r="P4" s="18" t="inlineStr">
        <is>
          <t>Kasım</t>
        </is>
      </c>
      <c r="Q4" s="18" t="inlineStr">
        <is>
          <t>Aralık</t>
        </is>
      </c>
      <c r="R4" s="18" t="inlineStr">
        <is>
          <t>Yıllık Liste</t>
        </is>
      </c>
      <c r="S4" s="18" t="inlineStr">
        <is>
          <t>Yıllık Kitap</t>
        </is>
      </c>
      <c r="T4" s="18" t="inlineStr">
        <is>
          <t>Kullanılan Dönem</t>
        </is>
      </c>
      <c r="U4" s="18" t="inlineStr">
        <is>
          <t>Birim Fiyat</t>
        </is>
      </c>
      <c r="V4" s="18" t="inlineStr">
        <is>
          <t>Tutar</t>
        </is>
      </c>
      <c r="W4" s="18" t="inlineStr">
        <is>
          <t>Not / Dönem Kaynağı</t>
        </is>
      </c>
    </row>
    <row r="5">
      <c r="A5" s="5" t="n"/>
      <c r="B5" s="5" t="n"/>
      <c r="C5" s="5" t="n"/>
      <c r="D5" s="5" t="n"/>
      <c r="E5" s="19">
        <f>IF(B5="","",SUMIF(BFTC!$B$5:$B$504,B5,BFTC!$E$5:$E$504))</f>
        <v/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5" t="n"/>
      <c r="U5" s="21">
        <f>IF(OR(B5="",T5=""),"",IFERROR(1/(1/INDEX(F5:S5,MATCH(T5,$F$4:$S$4,0))),""))</f>
        <v/>
      </c>
      <c r="V5" s="21">
        <f>IF(OR(E5="",U5=""),"",E5*U5)</f>
        <v/>
      </c>
      <c r="W5" s="5" t="n"/>
    </row>
    <row r="6">
      <c r="A6" s="5" t="n"/>
      <c r="B6" s="5" t="n"/>
      <c r="C6" s="5" t="n"/>
      <c r="D6" s="5" t="n"/>
      <c r="E6" s="19">
        <f>IF(B6="","",SUMIF(BFTC!$B$5:$B$504,B6,BFTC!$E$5:$E$504))</f>
        <v/>
      </c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5" t="n"/>
      <c r="U6" s="21">
        <f>IF(OR(B6="",T6=""),"",IFERROR(1/(1/INDEX(F6:S6,MATCH(T6,$F$4:$S$4,0))),""))</f>
        <v/>
      </c>
      <c r="V6" s="21">
        <f>IF(OR(E6="",U6=""),"",E6*U6)</f>
        <v/>
      </c>
      <c r="W6" s="5" t="n"/>
    </row>
    <row r="7">
      <c r="A7" s="5" t="n"/>
      <c r="B7" s="5" t="n"/>
      <c r="C7" s="5" t="n"/>
      <c r="D7" s="5" t="n"/>
      <c r="E7" s="19">
        <f>IF(B7="","",SUMIF(BFTC!$B$5:$B$504,B7,BFTC!$E$5:$E$504))</f>
        <v/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5" t="n"/>
      <c r="U7" s="21">
        <f>IF(OR(B7="",T7=""),"",IFERROR(1/(1/INDEX(F7:S7,MATCH(T7,$F$4:$S$4,0))),""))</f>
        <v/>
      </c>
      <c r="V7" s="21">
        <f>IF(OR(E7="",U7=""),"",E7*U7)</f>
        <v/>
      </c>
      <c r="W7" s="5" t="n"/>
    </row>
    <row r="8">
      <c r="A8" s="5" t="n"/>
      <c r="B8" s="5" t="n"/>
      <c r="C8" s="5" t="n"/>
      <c r="D8" s="5" t="n"/>
      <c r="E8" s="19">
        <f>IF(B8="","",SUMIF(BFTC!$B$5:$B$504,B8,BFTC!$E$5:$E$504))</f>
        <v/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5" t="n"/>
      <c r="U8" s="21">
        <f>IF(OR(B8="",T8=""),"",IFERROR(1/(1/INDEX(F8:S8,MATCH(T8,$F$4:$S$4,0))),""))</f>
        <v/>
      </c>
      <c r="V8" s="21">
        <f>IF(OR(E8="",U8=""),"",E8*U8)</f>
        <v/>
      </c>
      <c r="W8" s="5" t="n"/>
    </row>
    <row r="9">
      <c r="A9" s="5" t="n"/>
      <c r="B9" s="5" t="n"/>
      <c r="C9" s="5" t="n"/>
      <c r="D9" s="5" t="n"/>
      <c r="E9" s="19">
        <f>IF(B9="","",SUMIF(BFTC!$B$5:$B$504,B9,BFTC!$E$5:$E$504))</f>
        <v/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5" t="n"/>
      <c r="U9" s="21">
        <f>IF(OR(B9="",T9=""),"",IFERROR(1/(1/INDEX(F9:S9,MATCH(T9,$F$4:$S$4,0))),""))</f>
        <v/>
      </c>
      <c r="V9" s="21">
        <f>IF(OR(E9="",U9=""),"",E9*U9)</f>
        <v/>
      </c>
      <c r="W9" s="5" t="n"/>
    </row>
    <row r="10">
      <c r="A10" s="5" t="n"/>
      <c r="B10" s="5" t="n"/>
      <c r="C10" s="5" t="n"/>
      <c r="D10" s="5" t="n"/>
      <c r="E10" s="19">
        <f>IF(B10="","",SUMIF(BFTC!$B$5:$B$504,B10,BFTC!$E$5:$E$504))</f>
        <v/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5" t="n"/>
      <c r="U10" s="21">
        <f>IF(OR(B10="",T10=""),"",IFERROR(1/(1/INDEX(F10:S10,MATCH(T10,$F$4:$S$4,0))),""))</f>
        <v/>
      </c>
      <c r="V10" s="21">
        <f>IF(OR(E10="",U10=""),"",E10*U10)</f>
        <v/>
      </c>
      <c r="W10" s="5" t="n"/>
    </row>
    <row r="11">
      <c r="A11" s="5" t="n"/>
      <c r="B11" s="5" t="n"/>
      <c r="C11" s="5" t="n"/>
      <c r="D11" s="5" t="n"/>
      <c r="E11" s="19">
        <f>IF(B11="","",SUMIF(BFTC!$B$5:$B$504,B11,BFTC!$E$5:$E$504))</f>
        <v/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5" t="n"/>
      <c r="U11" s="21">
        <f>IF(OR(B11="",T11=""),"",IFERROR(1/(1/INDEX(F11:S11,MATCH(T11,$F$4:$S$4,0))),""))</f>
        <v/>
      </c>
      <c r="V11" s="21">
        <f>IF(OR(E11="",U11=""),"",E11*U11)</f>
        <v/>
      </c>
      <c r="W11" s="5" t="n"/>
    </row>
    <row r="12">
      <c r="A12" s="5" t="n"/>
      <c r="B12" s="5" t="n"/>
      <c r="C12" s="5" t="n"/>
      <c r="D12" s="5" t="n"/>
      <c r="E12" s="19">
        <f>IF(B12="","",SUMIF(BFTC!$B$5:$B$504,B12,BFTC!$E$5:$E$504))</f>
        <v/>
      </c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5" t="n"/>
      <c r="U12" s="21">
        <f>IF(OR(B12="",T12=""),"",IFERROR(1/(1/INDEX(F12:S12,MATCH(T12,$F$4:$S$4,0))),""))</f>
        <v/>
      </c>
      <c r="V12" s="21">
        <f>IF(OR(E12="",U12=""),"",E12*U12)</f>
        <v/>
      </c>
      <c r="W12" s="5" t="n"/>
    </row>
    <row r="13">
      <c r="A13" s="5" t="n"/>
      <c r="B13" s="5" t="n"/>
      <c r="C13" s="5" t="n"/>
      <c r="D13" s="5" t="n"/>
      <c r="E13" s="19">
        <f>IF(B13="","",SUMIF(BFTC!$B$5:$B$504,B13,BFTC!$E$5:$E$504))</f>
        <v/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5" t="n"/>
      <c r="U13" s="21">
        <f>IF(OR(B13="",T13=""),"",IFERROR(1/(1/INDEX(F13:S13,MATCH(T13,$F$4:$S$4,0))),""))</f>
        <v/>
      </c>
      <c r="V13" s="21">
        <f>IF(OR(E13="",U13=""),"",E13*U13)</f>
        <v/>
      </c>
      <c r="W13" s="5" t="n"/>
    </row>
    <row r="14">
      <c r="A14" s="5" t="n"/>
      <c r="B14" s="5" t="n"/>
      <c r="C14" s="5" t="n"/>
      <c r="D14" s="5" t="n"/>
      <c r="E14" s="19">
        <f>IF(B14="","",SUMIF(BFTC!$B$5:$B$504,B14,BFTC!$E$5:$E$504))</f>
        <v/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5" t="n"/>
      <c r="U14" s="21">
        <f>IF(OR(B14="",T14=""),"",IFERROR(1/(1/INDEX(F14:S14,MATCH(T14,$F$4:$S$4,0))),""))</f>
        <v/>
      </c>
      <c r="V14" s="21">
        <f>IF(OR(E14="",U14=""),"",E14*U14)</f>
        <v/>
      </c>
      <c r="W14" s="5" t="n"/>
    </row>
    <row r="15">
      <c r="A15" s="5" t="n"/>
      <c r="B15" s="5" t="n"/>
      <c r="C15" s="5" t="n"/>
      <c r="D15" s="5" t="n"/>
      <c r="E15" s="19">
        <f>IF(B15="","",SUMIF(BFTC!$B$5:$B$504,B15,BFTC!$E$5:$E$504))</f>
        <v/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5" t="n"/>
      <c r="U15" s="21">
        <f>IF(OR(B15="",T15=""),"",IFERROR(1/(1/INDEX(F15:S15,MATCH(T15,$F$4:$S$4,0))),""))</f>
        <v/>
      </c>
      <c r="V15" s="21">
        <f>IF(OR(E15="",U15=""),"",E15*U15)</f>
        <v/>
      </c>
      <c r="W15" s="5" t="n"/>
    </row>
    <row r="16">
      <c r="A16" s="5" t="n"/>
      <c r="B16" s="5" t="n"/>
      <c r="C16" s="5" t="n"/>
      <c r="D16" s="5" t="n"/>
      <c r="E16" s="19">
        <f>IF(B16="","",SUMIF(BFTC!$B$5:$B$504,B16,BFTC!$E$5:$E$504))</f>
        <v/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5" t="n"/>
      <c r="U16" s="21">
        <f>IF(OR(B16="",T16=""),"",IFERROR(1/(1/INDEX(F16:S16,MATCH(T16,$F$4:$S$4,0))),""))</f>
        <v/>
      </c>
      <c r="V16" s="21">
        <f>IF(OR(E16="",U16=""),"",E16*U16)</f>
        <v/>
      </c>
      <c r="W16" s="5" t="n"/>
    </row>
    <row r="17">
      <c r="A17" s="5" t="n"/>
      <c r="B17" s="5" t="n"/>
      <c r="C17" s="5" t="n"/>
      <c r="D17" s="5" t="n"/>
      <c r="E17" s="19">
        <f>IF(B17="","",SUMIF(BFTC!$B$5:$B$504,B17,BFTC!$E$5:$E$504))</f>
        <v/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5" t="n"/>
      <c r="U17" s="21">
        <f>IF(OR(B17="",T17=""),"",IFERROR(1/(1/INDEX(F17:S17,MATCH(T17,$F$4:$S$4,0))),""))</f>
        <v/>
      </c>
      <c r="V17" s="21">
        <f>IF(OR(E17="",U17=""),"",E17*U17)</f>
        <v/>
      </c>
      <c r="W17" s="5" t="n"/>
    </row>
    <row r="18">
      <c r="A18" s="5" t="n"/>
      <c r="B18" s="5" t="n"/>
      <c r="C18" s="5" t="n"/>
      <c r="D18" s="5" t="n"/>
      <c r="E18" s="19">
        <f>IF(B18="","",SUMIF(BFTC!$B$5:$B$504,B18,BFTC!$E$5:$E$504))</f>
        <v/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5" t="n"/>
      <c r="U18" s="21">
        <f>IF(OR(B18="",T18=""),"",IFERROR(1/(1/INDEX(F18:S18,MATCH(T18,$F$4:$S$4,0))),""))</f>
        <v/>
      </c>
      <c r="V18" s="21">
        <f>IF(OR(E18="",U18=""),"",E18*U18)</f>
        <v/>
      </c>
      <c r="W18" s="5" t="n"/>
    </row>
    <row r="19">
      <c r="A19" s="5" t="n"/>
      <c r="B19" s="5" t="n"/>
      <c r="C19" s="5" t="n"/>
      <c r="D19" s="5" t="n"/>
      <c r="E19" s="19">
        <f>IF(B19="","",SUMIF(BFTC!$B$5:$B$504,B19,BFTC!$E$5:$E$504))</f>
        <v/>
      </c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5" t="n"/>
      <c r="U19" s="21">
        <f>IF(OR(B19="",T19=""),"",IFERROR(1/(1/INDEX(F19:S19,MATCH(T19,$F$4:$S$4,0))),""))</f>
        <v/>
      </c>
      <c r="V19" s="21">
        <f>IF(OR(E19="",U19=""),"",E19*U19)</f>
        <v/>
      </c>
      <c r="W19" s="5" t="n"/>
    </row>
    <row r="20">
      <c r="A20" s="5" t="n"/>
      <c r="B20" s="5" t="n"/>
      <c r="C20" s="5" t="n"/>
      <c r="D20" s="5" t="n"/>
      <c r="E20" s="19">
        <f>IF(B20="","",SUMIF(BFTC!$B$5:$B$504,B20,BFTC!$E$5:$E$504))</f>
        <v/>
      </c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5" t="n"/>
      <c r="U20" s="21">
        <f>IF(OR(B20="",T20=""),"",IFERROR(1/(1/INDEX(F20:S20,MATCH(T20,$F$4:$S$4,0))),""))</f>
        <v/>
      </c>
      <c r="V20" s="21">
        <f>IF(OR(E20="",U20=""),"",E20*U20)</f>
        <v/>
      </c>
      <c r="W20" s="5" t="n"/>
    </row>
    <row r="21">
      <c r="A21" s="5" t="n"/>
      <c r="B21" s="5" t="n"/>
      <c r="C21" s="5" t="n"/>
      <c r="D21" s="5" t="n"/>
      <c r="E21" s="19">
        <f>IF(B21="","",SUMIF(BFTC!$B$5:$B$504,B21,BFTC!$E$5:$E$504))</f>
        <v/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5" t="n"/>
      <c r="U21" s="21">
        <f>IF(OR(B21="",T21=""),"",IFERROR(1/(1/INDEX(F21:S21,MATCH(T21,$F$4:$S$4,0))),""))</f>
        <v/>
      </c>
      <c r="V21" s="21">
        <f>IF(OR(E21="",U21=""),"",E21*U21)</f>
        <v/>
      </c>
      <c r="W21" s="5" t="n"/>
    </row>
    <row r="22">
      <c r="A22" s="5" t="n"/>
      <c r="B22" s="5" t="n"/>
      <c r="C22" s="5" t="n"/>
      <c r="D22" s="5" t="n"/>
      <c r="E22" s="19">
        <f>IF(B22="","",SUMIF(BFTC!$B$5:$B$504,B22,BFTC!$E$5:$E$504))</f>
        <v/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5" t="n"/>
      <c r="U22" s="21">
        <f>IF(OR(B22="",T22=""),"",IFERROR(1/(1/INDEX(F22:S22,MATCH(T22,$F$4:$S$4,0))),""))</f>
        <v/>
      </c>
      <c r="V22" s="21">
        <f>IF(OR(E22="",U22=""),"",E22*U22)</f>
        <v/>
      </c>
      <c r="W22" s="5" t="n"/>
    </row>
    <row r="23">
      <c r="A23" s="5" t="n"/>
      <c r="B23" s="5" t="n"/>
      <c r="C23" s="5" t="n"/>
      <c r="D23" s="5" t="n"/>
      <c r="E23" s="19">
        <f>IF(B23="","",SUMIF(BFTC!$B$5:$B$504,B23,BFTC!$E$5:$E$504))</f>
        <v/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5" t="n"/>
      <c r="U23" s="21">
        <f>IF(OR(B23="",T23=""),"",IFERROR(1/(1/INDEX(F23:S23,MATCH(T23,$F$4:$S$4,0))),""))</f>
        <v/>
      </c>
      <c r="V23" s="21">
        <f>IF(OR(E23="",U23=""),"",E23*U23)</f>
        <v/>
      </c>
      <c r="W23" s="5" t="n"/>
    </row>
    <row r="24">
      <c r="A24" s="5" t="n"/>
      <c r="B24" s="5" t="n"/>
      <c r="C24" s="5" t="n"/>
      <c r="D24" s="5" t="n"/>
      <c r="E24" s="19">
        <f>IF(B24="","",SUMIF(BFTC!$B$5:$B$504,B24,BFTC!$E$5:$E$504))</f>
        <v/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5" t="n"/>
      <c r="U24" s="21">
        <f>IF(OR(B24="",T24=""),"",IFERROR(1/(1/INDEX(F24:S24,MATCH(T24,$F$4:$S$4,0))),""))</f>
        <v/>
      </c>
      <c r="V24" s="21">
        <f>IF(OR(E24="",U24=""),"",E24*U24)</f>
        <v/>
      </c>
      <c r="W24" s="5" t="n"/>
    </row>
    <row r="25">
      <c r="A25" s="5" t="n"/>
      <c r="B25" s="5" t="n"/>
      <c r="C25" s="5" t="n"/>
      <c r="D25" s="5" t="n"/>
      <c r="E25" s="19">
        <f>IF(B25="","",SUMIF(BFTC!$B$5:$B$504,B25,BFTC!$E$5:$E$504))</f>
        <v/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5" t="n"/>
      <c r="U25" s="21">
        <f>IF(OR(B25="",T25=""),"",IFERROR(1/(1/INDEX(F25:S25,MATCH(T25,$F$4:$S$4,0))),""))</f>
        <v/>
      </c>
      <c r="V25" s="21">
        <f>IF(OR(E25="",U25=""),"",E25*U25)</f>
        <v/>
      </c>
      <c r="W25" s="5" t="n"/>
    </row>
    <row r="26">
      <c r="A26" s="5" t="n"/>
      <c r="B26" s="5" t="n"/>
      <c r="C26" s="5" t="n"/>
      <c r="D26" s="5" t="n"/>
      <c r="E26" s="19">
        <f>IF(B26="","",SUMIF(BFTC!$B$5:$B$504,B26,BFTC!$E$5:$E$504))</f>
        <v/>
      </c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5" t="n"/>
      <c r="U26" s="21">
        <f>IF(OR(B26="",T26=""),"",IFERROR(1/(1/INDEX(F26:S26,MATCH(T26,$F$4:$S$4,0))),""))</f>
        <v/>
      </c>
      <c r="V26" s="21">
        <f>IF(OR(E26="",U26=""),"",E26*U26)</f>
        <v/>
      </c>
      <c r="W26" s="5" t="n"/>
    </row>
    <row r="27">
      <c r="A27" s="5" t="n"/>
      <c r="B27" s="5" t="n"/>
      <c r="C27" s="5" t="n"/>
      <c r="D27" s="5" t="n"/>
      <c r="E27" s="19">
        <f>IF(B27="","",SUMIF(BFTC!$B$5:$B$504,B27,BFTC!$E$5:$E$504))</f>
        <v/>
      </c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5" t="n"/>
      <c r="U27" s="21">
        <f>IF(OR(B27="",T27=""),"",IFERROR(1/(1/INDEX(F27:S27,MATCH(T27,$F$4:$S$4,0))),""))</f>
        <v/>
      </c>
      <c r="V27" s="21">
        <f>IF(OR(E27="",U27=""),"",E27*U27)</f>
        <v/>
      </c>
      <c r="W27" s="5" t="n"/>
    </row>
    <row r="28">
      <c r="A28" s="5" t="n"/>
      <c r="B28" s="5" t="n"/>
      <c r="C28" s="5" t="n"/>
      <c r="D28" s="5" t="n"/>
      <c r="E28" s="19">
        <f>IF(B28="","",SUMIF(BFTC!$B$5:$B$504,B28,BFTC!$E$5:$E$504))</f>
        <v/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5" t="n"/>
      <c r="U28" s="21">
        <f>IF(OR(B28="",T28=""),"",IFERROR(1/(1/INDEX(F28:S28,MATCH(T28,$F$4:$S$4,0))),""))</f>
        <v/>
      </c>
      <c r="V28" s="21">
        <f>IF(OR(E28="",U28=""),"",E28*U28)</f>
        <v/>
      </c>
      <c r="W28" s="5" t="n"/>
    </row>
    <row r="29">
      <c r="A29" s="5" t="n"/>
      <c r="B29" s="5" t="n"/>
      <c r="C29" s="5" t="n"/>
      <c r="D29" s="5" t="n"/>
      <c r="E29" s="19">
        <f>IF(B29="","",SUMIF(BFTC!$B$5:$B$504,B29,BFTC!$E$5:$E$504))</f>
        <v/>
      </c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5" t="n"/>
      <c r="U29" s="21">
        <f>IF(OR(B29="",T29=""),"",IFERROR(1/(1/INDEX(F29:S29,MATCH(T29,$F$4:$S$4,0))),""))</f>
        <v/>
      </c>
      <c r="V29" s="21">
        <f>IF(OR(E29="",U29=""),"",E29*U29)</f>
        <v/>
      </c>
      <c r="W29" s="5" t="n"/>
    </row>
    <row r="30">
      <c r="A30" s="5" t="n"/>
      <c r="B30" s="5" t="n"/>
      <c r="C30" s="5" t="n"/>
      <c r="D30" s="5" t="n"/>
      <c r="E30" s="19">
        <f>IF(B30="","",SUMIF(BFTC!$B$5:$B$504,B30,BFTC!$E$5:$E$504))</f>
        <v/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5" t="n"/>
      <c r="U30" s="21">
        <f>IF(OR(B30="",T30=""),"",IFERROR(1/(1/INDEX(F30:S30,MATCH(T30,$F$4:$S$4,0))),""))</f>
        <v/>
      </c>
      <c r="V30" s="21">
        <f>IF(OR(E30="",U30=""),"",E30*U30)</f>
        <v/>
      </c>
      <c r="W30" s="5" t="n"/>
    </row>
    <row r="31">
      <c r="A31" s="5" t="n"/>
      <c r="B31" s="5" t="n"/>
      <c r="C31" s="5" t="n"/>
      <c r="D31" s="5" t="n"/>
      <c r="E31" s="19">
        <f>IF(B31="","",SUMIF(BFTC!$B$5:$B$504,B31,BFTC!$E$5:$E$504))</f>
        <v/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5" t="n"/>
      <c r="U31" s="21">
        <f>IF(OR(B31="",T31=""),"",IFERROR(1/(1/INDEX(F31:S31,MATCH(T31,$F$4:$S$4,0))),""))</f>
        <v/>
      </c>
      <c r="V31" s="21">
        <f>IF(OR(E31="",U31=""),"",E31*U31)</f>
        <v/>
      </c>
      <c r="W31" s="5" t="n"/>
    </row>
    <row r="32">
      <c r="A32" s="5" t="n"/>
      <c r="B32" s="5" t="n"/>
      <c r="C32" s="5" t="n"/>
      <c r="D32" s="5" t="n"/>
      <c r="E32" s="19">
        <f>IF(B32="","",SUMIF(BFTC!$B$5:$B$504,B32,BFTC!$E$5:$E$504))</f>
        <v/>
      </c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5" t="n"/>
      <c r="U32" s="21">
        <f>IF(OR(B32="",T32=""),"",IFERROR(1/(1/INDEX(F32:S32,MATCH(T32,$F$4:$S$4,0))),""))</f>
        <v/>
      </c>
      <c r="V32" s="21">
        <f>IF(OR(E32="",U32=""),"",E32*U32)</f>
        <v/>
      </c>
      <c r="W32" s="5" t="n"/>
    </row>
    <row r="33">
      <c r="A33" s="5" t="n"/>
      <c r="B33" s="5" t="n"/>
      <c r="C33" s="5" t="n"/>
      <c r="D33" s="5" t="n"/>
      <c r="E33" s="19">
        <f>IF(B33="","",SUMIF(BFTC!$B$5:$B$504,B33,BFTC!$E$5:$E$504))</f>
        <v/>
      </c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5" t="n"/>
      <c r="U33" s="21">
        <f>IF(OR(B33="",T33=""),"",IFERROR(1/(1/INDEX(F33:S33,MATCH(T33,$F$4:$S$4,0))),""))</f>
        <v/>
      </c>
      <c r="V33" s="21">
        <f>IF(OR(E33="",U33=""),"",E33*U33)</f>
        <v/>
      </c>
      <c r="W33" s="5" t="n"/>
    </row>
    <row r="34">
      <c r="A34" s="5" t="n"/>
      <c r="B34" s="5" t="n"/>
      <c r="C34" s="5" t="n"/>
      <c r="D34" s="5" t="n"/>
      <c r="E34" s="19">
        <f>IF(B34="","",SUMIF(BFTC!$B$5:$B$504,B34,BFTC!$E$5:$E$504))</f>
        <v/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5" t="n"/>
      <c r="U34" s="21">
        <f>IF(OR(B34="",T34=""),"",IFERROR(1/(1/INDEX(F34:S34,MATCH(T34,$F$4:$S$4,0))),""))</f>
        <v/>
      </c>
      <c r="V34" s="21">
        <f>IF(OR(E34="",U34=""),"",E34*U34)</f>
        <v/>
      </c>
      <c r="W34" s="5" t="n"/>
    </row>
    <row r="35">
      <c r="A35" s="5" t="n"/>
      <c r="B35" s="5" t="n"/>
      <c r="C35" s="5" t="n"/>
      <c r="D35" s="5" t="n"/>
      <c r="E35" s="19">
        <f>IF(B35="","",SUMIF(BFTC!$B$5:$B$504,B35,BFTC!$E$5:$E$504))</f>
        <v/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5" t="n"/>
      <c r="U35" s="21">
        <f>IF(OR(B35="",T35=""),"",IFERROR(1/(1/INDEX(F35:S35,MATCH(T35,$F$4:$S$4,0))),""))</f>
        <v/>
      </c>
      <c r="V35" s="21">
        <f>IF(OR(E35="",U35=""),"",E35*U35)</f>
        <v/>
      </c>
      <c r="W35" s="5" t="n"/>
    </row>
    <row r="36">
      <c r="A36" s="5" t="n"/>
      <c r="B36" s="5" t="n"/>
      <c r="C36" s="5" t="n"/>
      <c r="D36" s="5" t="n"/>
      <c r="E36" s="19">
        <f>IF(B36="","",SUMIF(BFTC!$B$5:$B$504,B36,BFTC!$E$5:$E$504))</f>
        <v/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5" t="n"/>
      <c r="U36" s="21">
        <f>IF(OR(B36="",T36=""),"",IFERROR(1/(1/INDEX(F36:S36,MATCH(T36,$F$4:$S$4,0))),""))</f>
        <v/>
      </c>
      <c r="V36" s="21">
        <f>IF(OR(E36="",U36=""),"",E36*U36)</f>
        <v/>
      </c>
      <c r="W36" s="5" t="n"/>
    </row>
    <row r="37">
      <c r="A37" s="5" t="n"/>
      <c r="B37" s="5" t="n"/>
      <c r="C37" s="5" t="n"/>
      <c r="D37" s="5" t="n"/>
      <c r="E37" s="19">
        <f>IF(B37="","",SUMIF(BFTC!$B$5:$B$504,B37,BFTC!$E$5:$E$504))</f>
        <v/>
      </c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5" t="n"/>
      <c r="U37" s="21">
        <f>IF(OR(B37="",T37=""),"",IFERROR(1/(1/INDEX(F37:S37,MATCH(T37,$F$4:$S$4,0))),""))</f>
        <v/>
      </c>
      <c r="V37" s="21">
        <f>IF(OR(E37="",U37=""),"",E37*U37)</f>
        <v/>
      </c>
      <c r="W37" s="5" t="n"/>
    </row>
    <row r="38">
      <c r="A38" s="5" t="n"/>
      <c r="B38" s="5" t="n"/>
      <c r="C38" s="5" t="n"/>
      <c r="D38" s="5" t="n"/>
      <c r="E38" s="19">
        <f>IF(B38="","",SUMIF(BFTC!$B$5:$B$504,B38,BFTC!$E$5:$E$504))</f>
        <v/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5" t="n"/>
      <c r="U38" s="21">
        <f>IF(OR(B38="",T38=""),"",IFERROR(1/(1/INDEX(F38:S38,MATCH(T38,$F$4:$S$4,0))),""))</f>
        <v/>
      </c>
      <c r="V38" s="21">
        <f>IF(OR(E38="",U38=""),"",E38*U38)</f>
        <v/>
      </c>
      <c r="W38" s="5" t="n"/>
    </row>
    <row r="39">
      <c r="A39" s="5" t="n"/>
      <c r="B39" s="5" t="n"/>
      <c r="C39" s="5" t="n"/>
      <c r="D39" s="5" t="n"/>
      <c r="E39" s="19">
        <f>IF(B39="","",SUMIF(BFTC!$B$5:$B$504,B39,BFTC!$E$5:$E$504))</f>
        <v/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5" t="n"/>
      <c r="U39" s="21">
        <f>IF(OR(B39="",T39=""),"",IFERROR(1/(1/INDEX(F39:S39,MATCH(T39,$F$4:$S$4,0))),""))</f>
        <v/>
      </c>
      <c r="V39" s="21">
        <f>IF(OR(E39="",U39=""),"",E39*U39)</f>
        <v/>
      </c>
      <c r="W39" s="5" t="n"/>
    </row>
    <row r="40">
      <c r="A40" s="5" t="n"/>
      <c r="B40" s="5" t="n"/>
      <c r="C40" s="5" t="n"/>
      <c r="D40" s="5" t="n"/>
      <c r="E40" s="19">
        <f>IF(B40="","",SUMIF(BFTC!$B$5:$B$504,B40,BFTC!$E$5:$E$504))</f>
        <v/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5" t="n"/>
      <c r="U40" s="21">
        <f>IF(OR(B40="",T40=""),"",IFERROR(1/(1/INDEX(F40:S40,MATCH(T40,$F$4:$S$4,0))),""))</f>
        <v/>
      </c>
      <c r="V40" s="21">
        <f>IF(OR(E40="",U40=""),"",E40*U40)</f>
        <v/>
      </c>
      <c r="W40" s="5" t="n"/>
    </row>
    <row r="41">
      <c r="A41" s="5" t="n"/>
      <c r="B41" s="5" t="n"/>
      <c r="C41" s="5" t="n"/>
      <c r="D41" s="5" t="n"/>
      <c r="E41" s="19">
        <f>IF(B41="","",SUMIF(BFTC!$B$5:$B$504,B41,BFTC!$E$5:$E$504))</f>
        <v/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5" t="n"/>
      <c r="U41" s="21">
        <f>IF(OR(B41="",T41=""),"",IFERROR(1/(1/INDEX(F41:S41,MATCH(T41,$F$4:$S$4,0))),""))</f>
        <v/>
      </c>
      <c r="V41" s="21">
        <f>IF(OR(E41="",U41=""),"",E41*U41)</f>
        <v/>
      </c>
      <c r="W41" s="5" t="n"/>
    </row>
    <row r="42">
      <c r="A42" s="5" t="n"/>
      <c r="B42" s="5" t="n"/>
      <c r="C42" s="5" t="n"/>
      <c r="D42" s="5" t="n"/>
      <c r="E42" s="19">
        <f>IF(B42="","",SUMIF(BFTC!$B$5:$B$504,B42,BFTC!$E$5:$E$504))</f>
        <v/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5" t="n"/>
      <c r="U42" s="21">
        <f>IF(OR(B42="",T42=""),"",IFERROR(1/(1/INDEX(F42:S42,MATCH(T42,$F$4:$S$4,0))),""))</f>
        <v/>
      </c>
      <c r="V42" s="21">
        <f>IF(OR(E42="",U42=""),"",E42*U42)</f>
        <v/>
      </c>
      <c r="W42" s="5" t="n"/>
    </row>
    <row r="43">
      <c r="A43" s="5" t="n"/>
      <c r="B43" s="5" t="n"/>
      <c r="C43" s="5" t="n"/>
      <c r="D43" s="5" t="n"/>
      <c r="E43" s="19">
        <f>IF(B43="","",SUMIF(BFTC!$B$5:$B$504,B43,BFTC!$E$5:$E$504))</f>
        <v/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5" t="n"/>
      <c r="U43" s="21">
        <f>IF(OR(B43="",T43=""),"",IFERROR(1/(1/INDEX(F43:S43,MATCH(T43,$F$4:$S$4,0))),""))</f>
        <v/>
      </c>
      <c r="V43" s="21">
        <f>IF(OR(E43="",U43=""),"",E43*U43)</f>
        <v/>
      </c>
      <c r="W43" s="5" t="n"/>
    </row>
    <row r="44">
      <c r="A44" s="5" t="n"/>
      <c r="B44" s="5" t="n"/>
      <c r="C44" s="5" t="n"/>
      <c r="D44" s="5" t="n"/>
      <c r="E44" s="19">
        <f>IF(B44="","",SUMIF(BFTC!$B$5:$B$504,B44,BFTC!$E$5:$E$504))</f>
        <v/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5" t="n"/>
      <c r="U44" s="21">
        <f>IF(OR(B44="",T44=""),"",IFERROR(1/(1/INDEX(F44:S44,MATCH(T44,$F$4:$S$4,0))),""))</f>
        <v/>
      </c>
      <c r="V44" s="21">
        <f>IF(OR(E44="",U44=""),"",E44*U44)</f>
        <v/>
      </c>
      <c r="W44" s="5" t="n"/>
    </row>
    <row r="45">
      <c r="A45" s="5" t="n"/>
      <c r="B45" s="5" t="n"/>
      <c r="C45" s="5" t="n"/>
      <c r="D45" s="5" t="n"/>
      <c r="E45" s="19">
        <f>IF(B45="","",SUMIF(BFTC!$B$5:$B$504,B45,BFTC!$E$5:$E$504))</f>
        <v/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5" t="n"/>
      <c r="U45" s="21">
        <f>IF(OR(B45="",T45=""),"",IFERROR(1/(1/INDEX(F45:S45,MATCH(T45,$F$4:$S$4,0))),""))</f>
        <v/>
      </c>
      <c r="V45" s="21">
        <f>IF(OR(E45="",U45=""),"",E45*U45)</f>
        <v/>
      </c>
      <c r="W45" s="5" t="n"/>
    </row>
    <row r="46">
      <c r="A46" s="5" t="n"/>
      <c r="B46" s="5" t="n"/>
      <c r="C46" s="5" t="n"/>
      <c r="D46" s="5" t="n"/>
      <c r="E46" s="19">
        <f>IF(B46="","",SUMIF(BFTC!$B$5:$B$504,B46,BFTC!$E$5:$E$504))</f>
        <v/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5" t="n"/>
      <c r="U46" s="21">
        <f>IF(OR(B46="",T46=""),"",IFERROR(1/(1/INDEX(F46:S46,MATCH(T46,$F$4:$S$4,0))),""))</f>
        <v/>
      </c>
      <c r="V46" s="21">
        <f>IF(OR(E46="",U46=""),"",E46*U46)</f>
        <v/>
      </c>
      <c r="W46" s="5" t="n"/>
    </row>
    <row r="47">
      <c r="A47" s="5" t="n"/>
      <c r="B47" s="5" t="n"/>
      <c r="C47" s="5" t="n"/>
      <c r="D47" s="5" t="n"/>
      <c r="E47" s="19">
        <f>IF(B47="","",SUMIF(BFTC!$B$5:$B$504,B47,BFTC!$E$5:$E$504))</f>
        <v/>
      </c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5" t="n"/>
      <c r="U47" s="21">
        <f>IF(OR(B47="",T47=""),"",IFERROR(1/(1/INDEX(F47:S47,MATCH(T47,$F$4:$S$4,0))),""))</f>
        <v/>
      </c>
      <c r="V47" s="21">
        <f>IF(OR(E47="",U47=""),"",E47*U47)</f>
        <v/>
      </c>
      <c r="W47" s="5" t="n"/>
    </row>
    <row r="48">
      <c r="A48" s="5" t="n"/>
      <c r="B48" s="5" t="n"/>
      <c r="C48" s="5" t="n"/>
      <c r="D48" s="5" t="n"/>
      <c r="E48" s="19">
        <f>IF(B48="","",SUMIF(BFTC!$B$5:$B$504,B48,BFTC!$E$5:$E$504))</f>
        <v/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5" t="n"/>
      <c r="U48" s="21">
        <f>IF(OR(B48="",T48=""),"",IFERROR(1/(1/INDEX(F48:S48,MATCH(T48,$F$4:$S$4,0))),""))</f>
        <v/>
      </c>
      <c r="V48" s="21">
        <f>IF(OR(E48="",U48=""),"",E48*U48)</f>
        <v/>
      </c>
      <c r="W48" s="5" t="n"/>
    </row>
    <row r="49">
      <c r="A49" s="5" t="n"/>
      <c r="B49" s="5" t="n"/>
      <c r="C49" s="5" t="n"/>
      <c r="D49" s="5" t="n"/>
      <c r="E49" s="19">
        <f>IF(B49="","",SUMIF(BFTC!$B$5:$B$504,B49,BFTC!$E$5:$E$504))</f>
        <v/>
      </c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5" t="n"/>
      <c r="U49" s="21">
        <f>IF(OR(B49="",T49=""),"",IFERROR(1/(1/INDEX(F49:S49,MATCH(T49,$F$4:$S$4,0))),""))</f>
        <v/>
      </c>
      <c r="V49" s="21">
        <f>IF(OR(E49="",U49=""),"",E49*U49)</f>
        <v/>
      </c>
      <c r="W49" s="5" t="n"/>
    </row>
    <row r="50">
      <c r="A50" s="5" t="n"/>
      <c r="B50" s="5" t="n"/>
      <c r="C50" s="5" t="n"/>
      <c r="D50" s="5" t="n"/>
      <c r="E50" s="19">
        <f>IF(B50="","",SUMIF(BFTC!$B$5:$B$504,B50,BFTC!$E$5:$E$504))</f>
        <v/>
      </c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5" t="n"/>
      <c r="U50" s="21">
        <f>IF(OR(B50="",T50=""),"",IFERROR(1/(1/INDEX(F50:S50,MATCH(T50,$F$4:$S$4,0))),""))</f>
        <v/>
      </c>
      <c r="V50" s="21">
        <f>IF(OR(E50="",U50=""),"",E50*U50)</f>
        <v/>
      </c>
      <c r="W50" s="5" t="n"/>
    </row>
    <row r="51">
      <c r="A51" s="5" t="n"/>
      <c r="B51" s="5" t="n"/>
      <c r="C51" s="5" t="n"/>
      <c r="D51" s="5" t="n"/>
      <c r="E51" s="19">
        <f>IF(B51="","",SUMIF(BFTC!$B$5:$B$504,B51,BFTC!$E$5:$E$504))</f>
        <v/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5" t="n"/>
      <c r="U51" s="21">
        <f>IF(OR(B51="",T51=""),"",IFERROR(1/(1/INDEX(F51:S51,MATCH(T51,$F$4:$S$4,0))),""))</f>
        <v/>
      </c>
      <c r="V51" s="21">
        <f>IF(OR(E51="",U51=""),"",E51*U51)</f>
        <v/>
      </c>
      <c r="W51" s="5" t="n"/>
    </row>
    <row r="52">
      <c r="A52" s="5" t="n"/>
      <c r="B52" s="5" t="n"/>
      <c r="C52" s="5" t="n"/>
      <c r="D52" s="5" t="n"/>
      <c r="E52" s="19">
        <f>IF(B52="","",SUMIF(BFTC!$B$5:$B$504,B52,BFTC!$E$5:$E$504))</f>
        <v/>
      </c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5" t="n"/>
      <c r="U52" s="21">
        <f>IF(OR(B52="",T52=""),"",IFERROR(1/(1/INDEX(F52:S52,MATCH(T52,$F$4:$S$4,0))),""))</f>
        <v/>
      </c>
      <c r="V52" s="21">
        <f>IF(OR(E52="",U52=""),"",E52*U52)</f>
        <v/>
      </c>
      <c r="W52" s="5" t="n"/>
    </row>
    <row r="53">
      <c r="A53" s="5" t="n"/>
      <c r="B53" s="5" t="n"/>
      <c r="C53" s="5" t="n"/>
      <c r="D53" s="5" t="n"/>
      <c r="E53" s="19">
        <f>IF(B53="","",SUMIF(BFTC!$B$5:$B$504,B53,BFTC!$E$5:$E$504))</f>
        <v/>
      </c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5" t="n"/>
      <c r="U53" s="21">
        <f>IF(OR(B53="",T53=""),"",IFERROR(1/(1/INDEX(F53:S53,MATCH(T53,$F$4:$S$4,0))),""))</f>
        <v/>
      </c>
      <c r="V53" s="21">
        <f>IF(OR(E53="",U53=""),"",E53*U53)</f>
        <v/>
      </c>
      <c r="W53" s="5" t="n"/>
    </row>
    <row r="54">
      <c r="A54" s="5" t="n"/>
      <c r="B54" s="5" t="n"/>
      <c r="C54" s="5" t="n"/>
      <c r="D54" s="5" t="n"/>
      <c r="E54" s="19">
        <f>IF(B54="","",SUMIF(BFTC!$B$5:$B$504,B54,BFTC!$E$5:$E$504))</f>
        <v/>
      </c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5" t="n"/>
      <c r="U54" s="21">
        <f>IF(OR(B54="",T54=""),"",IFERROR(1/(1/INDEX(F54:S54,MATCH(T54,$F$4:$S$4,0))),""))</f>
        <v/>
      </c>
      <c r="V54" s="21">
        <f>IF(OR(E54="",U54=""),"",E54*U54)</f>
        <v/>
      </c>
      <c r="W54" s="5" t="n"/>
    </row>
    <row r="55">
      <c r="A55" s="5" t="n"/>
      <c r="B55" s="5" t="n"/>
      <c r="C55" s="5" t="n"/>
      <c r="D55" s="5" t="n"/>
      <c r="E55" s="19">
        <f>IF(B55="","",SUMIF(BFTC!$B$5:$B$504,B55,BFTC!$E$5:$E$504))</f>
        <v/>
      </c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5" t="n"/>
      <c r="U55" s="21">
        <f>IF(OR(B55="",T55=""),"",IFERROR(1/(1/INDEX(F55:S55,MATCH(T55,$F$4:$S$4,0))),""))</f>
        <v/>
      </c>
      <c r="V55" s="21">
        <f>IF(OR(E55="",U55=""),"",E55*U55)</f>
        <v/>
      </c>
      <c r="W55" s="5" t="n"/>
    </row>
    <row r="56">
      <c r="A56" s="5" t="n"/>
      <c r="B56" s="5" t="n"/>
      <c r="C56" s="5" t="n"/>
      <c r="D56" s="5" t="n"/>
      <c r="E56" s="19">
        <f>IF(B56="","",SUMIF(BFTC!$B$5:$B$504,B56,BFTC!$E$5:$E$504))</f>
        <v/>
      </c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5" t="n"/>
      <c r="U56" s="21">
        <f>IF(OR(B56="",T56=""),"",IFERROR(1/(1/INDEX(F56:S56,MATCH(T56,$F$4:$S$4,0))),""))</f>
        <v/>
      </c>
      <c r="V56" s="21">
        <f>IF(OR(E56="",U56=""),"",E56*U56)</f>
        <v/>
      </c>
      <c r="W56" s="5" t="n"/>
    </row>
    <row r="57">
      <c r="A57" s="5" t="n"/>
      <c r="B57" s="5" t="n"/>
      <c r="C57" s="5" t="n"/>
      <c r="D57" s="5" t="n"/>
      <c r="E57" s="19">
        <f>IF(B57="","",SUMIF(BFTC!$B$5:$B$504,B57,BFTC!$E$5:$E$504))</f>
        <v/>
      </c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5" t="n"/>
      <c r="U57" s="21">
        <f>IF(OR(B57="",T57=""),"",IFERROR(1/(1/INDEX(F57:S57,MATCH(T57,$F$4:$S$4,0))),""))</f>
        <v/>
      </c>
      <c r="V57" s="21">
        <f>IF(OR(E57="",U57=""),"",E57*U57)</f>
        <v/>
      </c>
      <c r="W57" s="5" t="n"/>
    </row>
    <row r="58">
      <c r="A58" s="5" t="n"/>
      <c r="B58" s="5" t="n"/>
      <c r="C58" s="5" t="n"/>
      <c r="D58" s="5" t="n"/>
      <c r="E58" s="19">
        <f>IF(B58="","",SUMIF(BFTC!$B$5:$B$504,B58,BFTC!$E$5:$E$504))</f>
        <v/>
      </c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5" t="n"/>
      <c r="U58" s="21">
        <f>IF(OR(B58="",T58=""),"",IFERROR(1/(1/INDEX(F58:S58,MATCH(T58,$F$4:$S$4,0))),""))</f>
        <v/>
      </c>
      <c r="V58" s="21">
        <f>IF(OR(E58="",U58=""),"",E58*U58)</f>
        <v/>
      </c>
      <c r="W58" s="5" t="n"/>
    </row>
    <row r="59">
      <c r="A59" s="5" t="n"/>
      <c r="B59" s="5" t="n"/>
      <c r="C59" s="5" t="n"/>
      <c r="D59" s="5" t="n"/>
      <c r="E59" s="19">
        <f>IF(B59="","",SUMIF(BFTC!$B$5:$B$504,B59,BFTC!$E$5:$E$504))</f>
        <v/>
      </c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5" t="n"/>
      <c r="U59" s="21">
        <f>IF(OR(B59="",T59=""),"",IFERROR(1/(1/INDEX(F59:S59,MATCH(T59,$F$4:$S$4,0))),""))</f>
        <v/>
      </c>
      <c r="V59" s="21">
        <f>IF(OR(E59="",U59=""),"",E59*U59)</f>
        <v/>
      </c>
      <c r="W59" s="5" t="n"/>
    </row>
    <row r="60">
      <c r="A60" s="5" t="n"/>
      <c r="B60" s="5" t="n"/>
      <c r="C60" s="5" t="n"/>
      <c r="D60" s="5" t="n"/>
      <c r="E60" s="19">
        <f>IF(B60="","",SUMIF(BFTC!$B$5:$B$504,B60,BFTC!$E$5:$E$504))</f>
        <v/>
      </c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5" t="n"/>
      <c r="U60" s="21">
        <f>IF(OR(B60="",T60=""),"",IFERROR(1/(1/INDEX(F60:S60,MATCH(T60,$F$4:$S$4,0))),""))</f>
        <v/>
      </c>
      <c r="V60" s="21">
        <f>IF(OR(E60="",U60=""),"",E60*U60)</f>
        <v/>
      </c>
      <c r="W60" s="5" t="n"/>
    </row>
    <row r="61">
      <c r="A61" s="5" t="n"/>
      <c r="B61" s="5" t="n"/>
      <c r="C61" s="5" t="n"/>
      <c r="D61" s="5" t="n"/>
      <c r="E61" s="19">
        <f>IF(B61="","",SUMIF(BFTC!$B$5:$B$504,B61,BFTC!$E$5:$E$504))</f>
        <v/>
      </c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5" t="n"/>
      <c r="U61" s="21">
        <f>IF(OR(B61="",T61=""),"",IFERROR(1/(1/INDEX(F61:S61,MATCH(T61,$F$4:$S$4,0))),""))</f>
        <v/>
      </c>
      <c r="V61" s="21">
        <f>IF(OR(E61="",U61=""),"",E61*U61)</f>
        <v/>
      </c>
      <c r="W61" s="5" t="n"/>
    </row>
    <row r="62">
      <c r="A62" s="5" t="n"/>
      <c r="B62" s="5" t="n"/>
      <c r="C62" s="5" t="n"/>
      <c r="D62" s="5" t="n"/>
      <c r="E62" s="19">
        <f>IF(B62="","",SUMIF(BFTC!$B$5:$B$504,B62,BFTC!$E$5:$E$504))</f>
        <v/>
      </c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5" t="n"/>
      <c r="U62" s="21">
        <f>IF(OR(B62="",T62=""),"",IFERROR(1/(1/INDEX(F62:S62,MATCH(T62,$F$4:$S$4,0))),""))</f>
        <v/>
      </c>
      <c r="V62" s="21">
        <f>IF(OR(E62="",U62=""),"",E62*U62)</f>
        <v/>
      </c>
      <c r="W62" s="5" t="n"/>
    </row>
    <row r="63">
      <c r="A63" s="5" t="n"/>
      <c r="B63" s="5" t="n"/>
      <c r="C63" s="5" t="n"/>
      <c r="D63" s="5" t="n"/>
      <c r="E63" s="19">
        <f>IF(B63="","",SUMIF(BFTC!$B$5:$B$504,B63,BFTC!$E$5:$E$504))</f>
        <v/>
      </c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5" t="n"/>
      <c r="U63" s="21">
        <f>IF(OR(B63="",T63=""),"",IFERROR(1/(1/INDEX(F63:S63,MATCH(T63,$F$4:$S$4,0))),""))</f>
        <v/>
      </c>
      <c r="V63" s="21">
        <f>IF(OR(E63="",U63=""),"",E63*U63)</f>
        <v/>
      </c>
      <c r="W63" s="5" t="n"/>
    </row>
    <row r="64">
      <c r="A64" s="5" t="n"/>
      <c r="B64" s="5" t="n"/>
      <c r="C64" s="5" t="n"/>
      <c r="D64" s="5" t="n"/>
      <c r="E64" s="19">
        <f>IF(B64="","",SUMIF(BFTC!$B$5:$B$504,B64,BFTC!$E$5:$E$504))</f>
        <v/>
      </c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5" t="n"/>
      <c r="U64" s="21">
        <f>IF(OR(B64="",T64=""),"",IFERROR(1/(1/INDEX(F64:S64,MATCH(T64,$F$4:$S$4,0))),""))</f>
        <v/>
      </c>
      <c r="V64" s="21">
        <f>IF(OR(E64="",U64=""),"",E64*U64)</f>
        <v/>
      </c>
      <c r="W64" s="5" t="n"/>
    </row>
    <row r="65">
      <c r="A65" s="5" t="n"/>
      <c r="B65" s="5" t="n"/>
      <c r="C65" s="5" t="n"/>
      <c r="D65" s="5" t="n"/>
      <c r="E65" s="19">
        <f>IF(B65="","",SUMIF(BFTC!$B$5:$B$504,B65,BFTC!$E$5:$E$504))</f>
        <v/>
      </c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5" t="n"/>
      <c r="U65" s="21">
        <f>IF(OR(B65="",T65=""),"",IFERROR(1/(1/INDEX(F65:S65,MATCH(T65,$F$4:$S$4,0))),""))</f>
        <v/>
      </c>
      <c r="V65" s="21">
        <f>IF(OR(E65="",U65=""),"",E65*U65)</f>
        <v/>
      </c>
      <c r="W65" s="5" t="n"/>
    </row>
    <row r="66">
      <c r="A66" s="5" t="n"/>
      <c r="B66" s="5" t="n"/>
      <c r="C66" s="5" t="n"/>
      <c r="D66" s="5" t="n"/>
      <c r="E66" s="19">
        <f>IF(B66="","",SUMIF(BFTC!$B$5:$B$504,B66,BFTC!$E$5:$E$504))</f>
        <v/>
      </c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5" t="n"/>
      <c r="U66" s="21">
        <f>IF(OR(B66="",T66=""),"",IFERROR(1/(1/INDEX(F66:S66,MATCH(T66,$F$4:$S$4,0))),""))</f>
        <v/>
      </c>
      <c r="V66" s="21">
        <f>IF(OR(E66="",U66=""),"",E66*U66)</f>
        <v/>
      </c>
      <c r="W66" s="5" t="n"/>
    </row>
    <row r="67">
      <c r="A67" s="5" t="n"/>
      <c r="B67" s="5" t="n"/>
      <c r="C67" s="5" t="n"/>
      <c r="D67" s="5" t="n"/>
      <c r="E67" s="19">
        <f>IF(B67="","",SUMIF(BFTC!$B$5:$B$504,B67,BFTC!$E$5:$E$504))</f>
        <v/>
      </c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5" t="n"/>
      <c r="U67" s="21">
        <f>IF(OR(B67="",T67=""),"",IFERROR(1/(1/INDEX(F67:S67,MATCH(T67,$F$4:$S$4,0))),""))</f>
        <v/>
      </c>
      <c r="V67" s="21">
        <f>IF(OR(E67="",U67=""),"",E67*U67)</f>
        <v/>
      </c>
      <c r="W67" s="5" t="n"/>
    </row>
    <row r="68">
      <c r="A68" s="5" t="n"/>
      <c r="B68" s="5" t="n"/>
      <c r="C68" s="5" t="n"/>
      <c r="D68" s="5" t="n"/>
      <c r="E68" s="19">
        <f>IF(B68="","",SUMIF(BFTC!$B$5:$B$504,B68,BFTC!$E$5:$E$504))</f>
        <v/>
      </c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5" t="n"/>
      <c r="U68" s="21">
        <f>IF(OR(B68="",T68=""),"",IFERROR(1/(1/INDEX(F68:S68,MATCH(T68,$F$4:$S$4,0))),""))</f>
        <v/>
      </c>
      <c r="V68" s="21">
        <f>IF(OR(E68="",U68=""),"",E68*U68)</f>
        <v/>
      </c>
      <c r="W68" s="5" t="n"/>
    </row>
    <row r="69">
      <c r="A69" s="5" t="n"/>
      <c r="B69" s="5" t="n"/>
      <c r="C69" s="5" t="n"/>
      <c r="D69" s="5" t="n"/>
      <c r="E69" s="19">
        <f>IF(B69="","",SUMIF(BFTC!$B$5:$B$504,B69,BFTC!$E$5:$E$504))</f>
        <v/>
      </c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5" t="n"/>
      <c r="U69" s="21">
        <f>IF(OR(B69="",T69=""),"",IFERROR(1/(1/INDEX(F69:S69,MATCH(T69,$F$4:$S$4,0))),""))</f>
        <v/>
      </c>
      <c r="V69" s="21">
        <f>IF(OR(E69="",U69=""),"",E69*U69)</f>
        <v/>
      </c>
      <c r="W69" s="5" t="n"/>
    </row>
    <row r="70">
      <c r="A70" s="5" t="n"/>
      <c r="B70" s="5" t="n"/>
      <c r="C70" s="5" t="n"/>
      <c r="D70" s="5" t="n"/>
      <c r="E70" s="19">
        <f>IF(B70="","",SUMIF(BFTC!$B$5:$B$504,B70,BFTC!$E$5:$E$504))</f>
        <v/>
      </c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5" t="n"/>
      <c r="U70" s="21">
        <f>IF(OR(B70="",T70=""),"",IFERROR(1/(1/INDEX(F70:S70,MATCH(T70,$F$4:$S$4,0))),""))</f>
        <v/>
      </c>
      <c r="V70" s="21">
        <f>IF(OR(E70="",U70=""),"",E70*U70)</f>
        <v/>
      </c>
      <c r="W70" s="5" t="n"/>
    </row>
    <row r="71">
      <c r="A71" s="5" t="n"/>
      <c r="B71" s="5" t="n"/>
      <c r="C71" s="5" t="n"/>
      <c r="D71" s="5" t="n"/>
      <c r="E71" s="19">
        <f>IF(B71="","",SUMIF(BFTC!$B$5:$B$504,B71,BFTC!$E$5:$E$504))</f>
        <v/>
      </c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5" t="n"/>
      <c r="U71" s="21">
        <f>IF(OR(B71="",T71=""),"",IFERROR(1/(1/INDEX(F71:S71,MATCH(T71,$F$4:$S$4,0))),""))</f>
        <v/>
      </c>
      <c r="V71" s="21">
        <f>IF(OR(E71="",U71=""),"",E71*U71)</f>
        <v/>
      </c>
      <c r="W71" s="5" t="n"/>
    </row>
    <row r="72">
      <c r="A72" s="5" t="n"/>
      <c r="B72" s="5" t="n"/>
      <c r="C72" s="5" t="n"/>
      <c r="D72" s="5" t="n"/>
      <c r="E72" s="19">
        <f>IF(B72="","",SUMIF(BFTC!$B$5:$B$504,B72,BFTC!$E$5:$E$504))</f>
        <v/>
      </c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5" t="n"/>
      <c r="U72" s="21">
        <f>IF(OR(B72="",T72=""),"",IFERROR(1/(1/INDEX(F72:S72,MATCH(T72,$F$4:$S$4,0))),""))</f>
        <v/>
      </c>
      <c r="V72" s="21">
        <f>IF(OR(E72="",U72=""),"",E72*U72)</f>
        <v/>
      </c>
      <c r="W72" s="5" t="n"/>
    </row>
    <row r="73">
      <c r="A73" s="5" t="n"/>
      <c r="B73" s="5" t="n"/>
      <c r="C73" s="5" t="n"/>
      <c r="D73" s="5" t="n"/>
      <c r="E73" s="19">
        <f>IF(B73="","",SUMIF(BFTC!$B$5:$B$504,B73,BFTC!$E$5:$E$504))</f>
        <v/>
      </c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5" t="n"/>
      <c r="U73" s="21">
        <f>IF(OR(B73="",T73=""),"",IFERROR(1/(1/INDEX(F73:S73,MATCH(T73,$F$4:$S$4,0))),""))</f>
        <v/>
      </c>
      <c r="V73" s="21">
        <f>IF(OR(E73="",U73=""),"",E73*U73)</f>
        <v/>
      </c>
      <c r="W73" s="5" t="n"/>
    </row>
    <row r="74">
      <c r="A74" s="5" t="n"/>
      <c r="B74" s="5" t="n"/>
      <c r="C74" s="5" t="n"/>
      <c r="D74" s="5" t="n"/>
      <c r="E74" s="19">
        <f>IF(B74="","",SUMIF(BFTC!$B$5:$B$504,B74,BFTC!$E$5:$E$504))</f>
        <v/>
      </c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5" t="n"/>
      <c r="U74" s="21">
        <f>IF(OR(B74="",T74=""),"",IFERROR(1/(1/INDEX(F74:S74,MATCH(T74,$F$4:$S$4,0))),""))</f>
        <v/>
      </c>
      <c r="V74" s="21">
        <f>IF(OR(E74="",U74=""),"",E74*U74)</f>
        <v/>
      </c>
      <c r="W74" s="5" t="n"/>
    </row>
    <row r="75">
      <c r="A75" s="5" t="n"/>
      <c r="B75" s="5" t="n"/>
      <c r="C75" s="5" t="n"/>
      <c r="D75" s="5" t="n"/>
      <c r="E75" s="19">
        <f>IF(B75="","",SUMIF(BFTC!$B$5:$B$504,B75,BFTC!$E$5:$E$504))</f>
        <v/>
      </c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5" t="n"/>
      <c r="U75" s="21">
        <f>IF(OR(B75="",T75=""),"",IFERROR(1/(1/INDEX(F75:S75,MATCH(T75,$F$4:$S$4,0))),""))</f>
        <v/>
      </c>
      <c r="V75" s="21">
        <f>IF(OR(E75="",U75=""),"",E75*U75)</f>
        <v/>
      </c>
      <c r="W75" s="5" t="n"/>
    </row>
    <row r="76">
      <c r="A76" s="5" t="n"/>
      <c r="B76" s="5" t="n"/>
      <c r="C76" s="5" t="n"/>
      <c r="D76" s="5" t="n"/>
      <c r="E76" s="19">
        <f>IF(B76="","",SUMIF(BFTC!$B$5:$B$504,B76,BFTC!$E$5:$E$504))</f>
        <v/>
      </c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5" t="n"/>
      <c r="U76" s="21">
        <f>IF(OR(B76="",T76=""),"",IFERROR(1/(1/INDEX(F76:S76,MATCH(T76,$F$4:$S$4,0))),""))</f>
        <v/>
      </c>
      <c r="V76" s="21">
        <f>IF(OR(E76="",U76=""),"",E76*U76)</f>
        <v/>
      </c>
      <c r="W76" s="5" t="n"/>
    </row>
    <row r="77">
      <c r="A77" s="5" t="n"/>
      <c r="B77" s="5" t="n"/>
      <c r="C77" s="5" t="n"/>
      <c r="D77" s="5" t="n"/>
      <c r="E77" s="19">
        <f>IF(B77="","",SUMIF(BFTC!$B$5:$B$504,B77,BFTC!$E$5:$E$504))</f>
        <v/>
      </c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5" t="n"/>
      <c r="U77" s="21">
        <f>IF(OR(B77="",T77=""),"",IFERROR(1/(1/INDEX(F77:S77,MATCH(T77,$F$4:$S$4,0))),""))</f>
        <v/>
      </c>
      <c r="V77" s="21">
        <f>IF(OR(E77="",U77=""),"",E77*U77)</f>
        <v/>
      </c>
      <c r="W77" s="5" t="n"/>
    </row>
    <row r="78">
      <c r="A78" s="5" t="n"/>
      <c r="B78" s="5" t="n"/>
      <c r="C78" s="5" t="n"/>
      <c r="D78" s="5" t="n"/>
      <c r="E78" s="19">
        <f>IF(B78="","",SUMIF(BFTC!$B$5:$B$504,B78,BFTC!$E$5:$E$504))</f>
        <v/>
      </c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5" t="n"/>
      <c r="U78" s="21">
        <f>IF(OR(B78="",T78=""),"",IFERROR(1/(1/INDEX(F78:S78,MATCH(T78,$F$4:$S$4,0))),""))</f>
        <v/>
      </c>
      <c r="V78" s="21">
        <f>IF(OR(E78="",U78=""),"",E78*U78)</f>
        <v/>
      </c>
      <c r="W78" s="5" t="n"/>
    </row>
    <row r="79">
      <c r="A79" s="5" t="n"/>
      <c r="B79" s="5" t="n"/>
      <c r="C79" s="5" t="n"/>
      <c r="D79" s="5" t="n"/>
      <c r="E79" s="19">
        <f>IF(B79="","",SUMIF(BFTC!$B$5:$B$504,B79,BFTC!$E$5:$E$504))</f>
        <v/>
      </c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5" t="n"/>
      <c r="U79" s="21">
        <f>IF(OR(B79="",T79=""),"",IFERROR(1/(1/INDEX(F79:S79,MATCH(T79,$F$4:$S$4,0))),""))</f>
        <v/>
      </c>
      <c r="V79" s="21">
        <f>IF(OR(E79="",U79=""),"",E79*U79)</f>
        <v/>
      </c>
      <c r="W79" s="5" t="n"/>
    </row>
    <row r="80">
      <c r="A80" s="5" t="n"/>
      <c r="B80" s="5" t="n"/>
      <c r="C80" s="5" t="n"/>
      <c r="D80" s="5" t="n"/>
      <c r="E80" s="19">
        <f>IF(B80="","",SUMIF(BFTC!$B$5:$B$504,B80,BFTC!$E$5:$E$504))</f>
        <v/>
      </c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5" t="n"/>
      <c r="U80" s="21">
        <f>IF(OR(B80="",T80=""),"",IFERROR(1/(1/INDEX(F80:S80,MATCH(T80,$F$4:$S$4,0))),""))</f>
        <v/>
      </c>
      <c r="V80" s="21">
        <f>IF(OR(E80="",U80=""),"",E80*U80)</f>
        <v/>
      </c>
      <c r="W80" s="5" t="n"/>
    </row>
    <row r="81">
      <c r="A81" s="5" t="n"/>
      <c r="B81" s="5" t="n"/>
      <c r="C81" s="5" t="n"/>
      <c r="D81" s="5" t="n"/>
      <c r="E81" s="19">
        <f>IF(B81="","",SUMIF(BFTC!$B$5:$B$504,B81,BFTC!$E$5:$E$504))</f>
        <v/>
      </c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5" t="n"/>
      <c r="U81" s="21">
        <f>IF(OR(B81="",T81=""),"",IFERROR(1/(1/INDEX(F81:S81,MATCH(T81,$F$4:$S$4,0))),""))</f>
        <v/>
      </c>
      <c r="V81" s="21">
        <f>IF(OR(E81="",U81=""),"",E81*U81)</f>
        <v/>
      </c>
      <c r="W81" s="5" t="n"/>
    </row>
    <row r="82">
      <c r="A82" s="5" t="n"/>
      <c r="B82" s="5" t="n"/>
      <c r="C82" s="5" t="n"/>
      <c r="D82" s="5" t="n"/>
      <c r="E82" s="19">
        <f>IF(B82="","",SUMIF(BFTC!$B$5:$B$504,B82,BFTC!$E$5:$E$504))</f>
        <v/>
      </c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5" t="n"/>
      <c r="U82" s="21">
        <f>IF(OR(B82="",T82=""),"",IFERROR(1/(1/INDEX(F82:S82,MATCH(T82,$F$4:$S$4,0))),""))</f>
        <v/>
      </c>
      <c r="V82" s="21">
        <f>IF(OR(E82="",U82=""),"",E82*U82)</f>
        <v/>
      </c>
      <c r="W82" s="5" t="n"/>
    </row>
    <row r="83">
      <c r="A83" s="5" t="n"/>
      <c r="B83" s="5" t="n"/>
      <c r="C83" s="5" t="n"/>
      <c r="D83" s="5" t="n"/>
      <c r="E83" s="19">
        <f>IF(B83="","",SUMIF(BFTC!$B$5:$B$504,B83,BFTC!$E$5:$E$504))</f>
        <v/>
      </c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5" t="n"/>
      <c r="U83" s="21">
        <f>IF(OR(B83="",T83=""),"",IFERROR(1/(1/INDEX(F83:S83,MATCH(T83,$F$4:$S$4,0))),""))</f>
        <v/>
      </c>
      <c r="V83" s="21">
        <f>IF(OR(E83="",U83=""),"",E83*U83)</f>
        <v/>
      </c>
      <c r="W83" s="5" t="n"/>
    </row>
    <row r="84">
      <c r="A84" s="5" t="n"/>
      <c r="B84" s="5" t="n"/>
      <c r="C84" s="5" t="n"/>
      <c r="D84" s="5" t="n"/>
      <c r="E84" s="19">
        <f>IF(B84="","",SUMIF(BFTC!$B$5:$B$504,B84,BFTC!$E$5:$E$504))</f>
        <v/>
      </c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5" t="n"/>
      <c r="U84" s="21">
        <f>IF(OR(B84="",T84=""),"",IFERROR(1/(1/INDEX(F84:S84,MATCH(T84,$F$4:$S$4,0))),""))</f>
        <v/>
      </c>
      <c r="V84" s="21">
        <f>IF(OR(E84="",U84=""),"",E84*U84)</f>
        <v/>
      </c>
      <c r="W84" s="5" t="n"/>
    </row>
    <row r="85">
      <c r="A85" s="5" t="n"/>
      <c r="B85" s="5" t="n"/>
      <c r="C85" s="5" t="n"/>
      <c r="D85" s="5" t="n"/>
      <c r="E85" s="19">
        <f>IF(B85="","",SUMIF(BFTC!$B$5:$B$504,B85,BFTC!$E$5:$E$504))</f>
        <v/>
      </c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5" t="n"/>
      <c r="U85" s="21">
        <f>IF(OR(B85="",T85=""),"",IFERROR(1/(1/INDEX(F85:S85,MATCH(T85,$F$4:$S$4,0))),""))</f>
        <v/>
      </c>
      <c r="V85" s="21">
        <f>IF(OR(E85="",U85=""),"",E85*U85)</f>
        <v/>
      </c>
      <c r="W85" s="5" t="n"/>
    </row>
    <row r="86">
      <c r="A86" s="5" t="n"/>
      <c r="B86" s="5" t="n"/>
      <c r="C86" s="5" t="n"/>
      <c r="D86" s="5" t="n"/>
      <c r="E86" s="19">
        <f>IF(B86="","",SUMIF(BFTC!$B$5:$B$504,B86,BFTC!$E$5:$E$504))</f>
        <v/>
      </c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5" t="n"/>
      <c r="U86" s="21">
        <f>IF(OR(B86="",T86=""),"",IFERROR(1/(1/INDEX(F86:S86,MATCH(T86,$F$4:$S$4,0))),""))</f>
        <v/>
      </c>
      <c r="V86" s="21">
        <f>IF(OR(E86="",U86=""),"",E86*U86)</f>
        <v/>
      </c>
      <c r="W86" s="5" t="n"/>
    </row>
    <row r="87">
      <c r="A87" s="5" t="n"/>
      <c r="B87" s="5" t="n"/>
      <c r="C87" s="5" t="n"/>
      <c r="D87" s="5" t="n"/>
      <c r="E87" s="19">
        <f>IF(B87="","",SUMIF(BFTC!$B$5:$B$504,B87,BFTC!$E$5:$E$504))</f>
        <v/>
      </c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5" t="n"/>
      <c r="U87" s="21">
        <f>IF(OR(B87="",T87=""),"",IFERROR(1/(1/INDEX(F87:S87,MATCH(T87,$F$4:$S$4,0))),""))</f>
        <v/>
      </c>
      <c r="V87" s="21">
        <f>IF(OR(E87="",U87=""),"",E87*U87)</f>
        <v/>
      </c>
      <c r="W87" s="5" t="n"/>
    </row>
    <row r="88">
      <c r="A88" s="5" t="n"/>
      <c r="B88" s="5" t="n"/>
      <c r="C88" s="5" t="n"/>
      <c r="D88" s="5" t="n"/>
      <c r="E88" s="19">
        <f>IF(B88="","",SUMIF(BFTC!$B$5:$B$504,B88,BFTC!$E$5:$E$504))</f>
        <v/>
      </c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5" t="n"/>
      <c r="U88" s="21">
        <f>IF(OR(B88="",T88=""),"",IFERROR(1/(1/INDEX(F88:S88,MATCH(T88,$F$4:$S$4,0))),""))</f>
        <v/>
      </c>
      <c r="V88" s="21">
        <f>IF(OR(E88="",U88=""),"",E88*U88)</f>
        <v/>
      </c>
      <c r="W88" s="5" t="n"/>
    </row>
    <row r="89">
      <c r="A89" s="5" t="n"/>
      <c r="B89" s="5" t="n"/>
      <c r="C89" s="5" t="n"/>
      <c r="D89" s="5" t="n"/>
      <c r="E89" s="19">
        <f>IF(B89="","",SUMIF(BFTC!$B$5:$B$504,B89,BFTC!$E$5:$E$504))</f>
        <v/>
      </c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5" t="n"/>
      <c r="U89" s="21">
        <f>IF(OR(B89="",T89=""),"",IFERROR(1/(1/INDEX(F89:S89,MATCH(T89,$F$4:$S$4,0))),""))</f>
        <v/>
      </c>
      <c r="V89" s="21">
        <f>IF(OR(E89="",U89=""),"",E89*U89)</f>
        <v/>
      </c>
      <c r="W89" s="5" t="n"/>
    </row>
    <row r="90">
      <c r="A90" s="5" t="n"/>
      <c r="B90" s="5" t="n"/>
      <c r="C90" s="5" t="n"/>
      <c r="D90" s="5" t="n"/>
      <c r="E90" s="19">
        <f>IF(B90="","",SUMIF(BFTC!$B$5:$B$504,B90,BFTC!$E$5:$E$504))</f>
        <v/>
      </c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5" t="n"/>
      <c r="U90" s="21">
        <f>IF(OR(B90="",T90=""),"",IFERROR(1/(1/INDEX(F90:S90,MATCH(T90,$F$4:$S$4,0))),""))</f>
        <v/>
      </c>
      <c r="V90" s="21">
        <f>IF(OR(E90="",U90=""),"",E90*U90)</f>
        <v/>
      </c>
      <c r="W90" s="5" t="n"/>
    </row>
    <row r="91">
      <c r="A91" s="5" t="n"/>
      <c r="B91" s="5" t="n"/>
      <c r="C91" s="5" t="n"/>
      <c r="D91" s="5" t="n"/>
      <c r="E91" s="19">
        <f>IF(B91="","",SUMIF(BFTC!$B$5:$B$504,B91,BFTC!$E$5:$E$504))</f>
        <v/>
      </c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5" t="n"/>
      <c r="U91" s="21">
        <f>IF(OR(B91="",T91=""),"",IFERROR(1/(1/INDEX(F91:S91,MATCH(T91,$F$4:$S$4,0))),""))</f>
        <v/>
      </c>
      <c r="V91" s="21">
        <f>IF(OR(E91="",U91=""),"",E91*U91)</f>
        <v/>
      </c>
      <c r="W91" s="5" t="n"/>
    </row>
    <row r="92">
      <c r="A92" s="5" t="n"/>
      <c r="B92" s="5" t="n"/>
      <c r="C92" s="5" t="n"/>
      <c r="D92" s="5" t="n"/>
      <c r="E92" s="19">
        <f>IF(B92="","",SUMIF(BFTC!$B$5:$B$504,B92,BFTC!$E$5:$E$504))</f>
        <v/>
      </c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5" t="n"/>
      <c r="U92" s="21">
        <f>IF(OR(B92="",T92=""),"",IFERROR(1/(1/INDEX(F92:S92,MATCH(T92,$F$4:$S$4,0))),""))</f>
        <v/>
      </c>
      <c r="V92" s="21">
        <f>IF(OR(E92="",U92=""),"",E92*U92)</f>
        <v/>
      </c>
      <c r="W92" s="5" t="n"/>
    </row>
    <row r="93">
      <c r="A93" s="5" t="n"/>
      <c r="B93" s="5" t="n"/>
      <c r="C93" s="5" t="n"/>
      <c r="D93" s="5" t="n"/>
      <c r="E93" s="19">
        <f>IF(B93="","",SUMIF(BFTC!$B$5:$B$504,B93,BFTC!$E$5:$E$504))</f>
        <v/>
      </c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5" t="n"/>
      <c r="U93" s="21">
        <f>IF(OR(B93="",T93=""),"",IFERROR(1/(1/INDEX(F93:S93,MATCH(T93,$F$4:$S$4,0))),""))</f>
        <v/>
      </c>
      <c r="V93" s="21">
        <f>IF(OR(E93="",U93=""),"",E93*U93)</f>
        <v/>
      </c>
      <c r="W93" s="5" t="n"/>
    </row>
    <row r="94">
      <c r="A94" s="5" t="n"/>
      <c r="B94" s="5" t="n"/>
      <c r="C94" s="5" t="n"/>
      <c r="D94" s="5" t="n"/>
      <c r="E94" s="19">
        <f>IF(B94="","",SUMIF(BFTC!$B$5:$B$504,B94,BFTC!$E$5:$E$504))</f>
        <v/>
      </c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5" t="n"/>
      <c r="U94" s="21">
        <f>IF(OR(B94="",T94=""),"",IFERROR(1/(1/INDEX(F94:S94,MATCH(T94,$F$4:$S$4,0))),""))</f>
        <v/>
      </c>
      <c r="V94" s="21">
        <f>IF(OR(E94="",U94=""),"",E94*U94)</f>
        <v/>
      </c>
      <c r="W94" s="5" t="n"/>
    </row>
    <row r="95">
      <c r="A95" s="5" t="n"/>
      <c r="B95" s="5" t="n"/>
      <c r="C95" s="5" t="n"/>
      <c r="D95" s="5" t="n"/>
      <c r="E95" s="19">
        <f>IF(B95="","",SUMIF(BFTC!$B$5:$B$504,B95,BFTC!$E$5:$E$504))</f>
        <v/>
      </c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5" t="n"/>
      <c r="U95" s="21">
        <f>IF(OR(B95="",T95=""),"",IFERROR(1/(1/INDEX(F95:S95,MATCH(T95,$F$4:$S$4,0))),""))</f>
        <v/>
      </c>
      <c r="V95" s="21">
        <f>IF(OR(E95="",U95=""),"",E95*U95)</f>
        <v/>
      </c>
      <c r="W95" s="5" t="n"/>
    </row>
    <row r="96">
      <c r="A96" s="5" t="n"/>
      <c r="B96" s="5" t="n"/>
      <c r="C96" s="5" t="n"/>
      <c r="D96" s="5" t="n"/>
      <c r="E96" s="19">
        <f>IF(B96="","",SUMIF(BFTC!$B$5:$B$504,B96,BFTC!$E$5:$E$504))</f>
        <v/>
      </c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5" t="n"/>
      <c r="U96" s="21">
        <f>IF(OR(B96="",T96=""),"",IFERROR(1/(1/INDEX(F96:S96,MATCH(T96,$F$4:$S$4,0))),""))</f>
        <v/>
      </c>
      <c r="V96" s="21">
        <f>IF(OR(E96="",U96=""),"",E96*U96)</f>
        <v/>
      </c>
      <c r="W96" s="5" t="n"/>
    </row>
    <row r="97">
      <c r="A97" s="5" t="n"/>
      <c r="B97" s="5" t="n"/>
      <c r="C97" s="5" t="n"/>
      <c r="D97" s="5" t="n"/>
      <c r="E97" s="19">
        <f>IF(B97="","",SUMIF(BFTC!$B$5:$B$504,B97,BFTC!$E$5:$E$504))</f>
        <v/>
      </c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5" t="n"/>
      <c r="U97" s="21">
        <f>IF(OR(B97="",T97=""),"",IFERROR(1/(1/INDEX(F97:S97,MATCH(T97,$F$4:$S$4,0))),""))</f>
        <v/>
      </c>
      <c r="V97" s="21">
        <f>IF(OR(E97="",U97=""),"",E97*U97)</f>
        <v/>
      </c>
      <c r="W97" s="5" t="n"/>
    </row>
    <row r="98">
      <c r="A98" s="5" t="n"/>
      <c r="B98" s="5" t="n"/>
      <c r="C98" s="5" t="n"/>
      <c r="D98" s="5" t="n"/>
      <c r="E98" s="19">
        <f>IF(B98="","",SUMIF(BFTC!$B$5:$B$504,B98,BFTC!$E$5:$E$504))</f>
        <v/>
      </c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5" t="n"/>
      <c r="U98" s="21">
        <f>IF(OR(B98="",T98=""),"",IFERROR(1/(1/INDEX(F98:S98,MATCH(T98,$F$4:$S$4,0))),""))</f>
        <v/>
      </c>
      <c r="V98" s="21">
        <f>IF(OR(E98="",U98=""),"",E98*U98)</f>
        <v/>
      </c>
      <c r="W98" s="5" t="n"/>
    </row>
    <row r="99">
      <c r="A99" s="5" t="n"/>
      <c r="B99" s="5" t="n"/>
      <c r="C99" s="5" t="n"/>
      <c r="D99" s="5" t="n"/>
      <c r="E99" s="19">
        <f>IF(B99="","",SUMIF(BFTC!$B$5:$B$504,B99,BFTC!$E$5:$E$504))</f>
        <v/>
      </c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5" t="n"/>
      <c r="U99" s="21">
        <f>IF(OR(B99="",T99=""),"",IFERROR(1/(1/INDEX(F99:S99,MATCH(T99,$F$4:$S$4,0))),""))</f>
        <v/>
      </c>
      <c r="V99" s="21">
        <f>IF(OR(E99="",U99=""),"",E99*U99)</f>
        <v/>
      </c>
      <c r="W99" s="5" t="n"/>
    </row>
    <row r="100">
      <c r="A100" s="5" t="n"/>
      <c r="B100" s="5" t="n"/>
      <c r="C100" s="5" t="n"/>
      <c r="D100" s="5" t="n"/>
      <c r="E100" s="19">
        <f>IF(B100="","",SUMIF(BFTC!$B$5:$B$504,B100,BFTC!$E$5:$E$504))</f>
        <v/>
      </c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5" t="n"/>
      <c r="U100" s="21">
        <f>IF(OR(B100="",T100=""),"",IFERROR(1/(1/INDEX(F100:S100,MATCH(T100,$F$4:$S$4,0))),""))</f>
        <v/>
      </c>
      <c r="V100" s="21">
        <f>IF(OR(E100="",U100=""),"",E100*U100)</f>
        <v/>
      </c>
      <c r="W100" s="5" t="n"/>
    </row>
    <row r="101">
      <c r="A101" s="5" t="n"/>
      <c r="B101" s="5" t="n"/>
      <c r="C101" s="5" t="n"/>
      <c r="D101" s="5" t="n"/>
      <c r="E101" s="19">
        <f>IF(B101="","",SUMIF(BFTC!$B$5:$B$504,B101,BFTC!$E$5:$E$504))</f>
        <v/>
      </c>
      <c r="F101" s="20" t="n"/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5" t="n"/>
      <c r="U101" s="21">
        <f>IF(OR(B101="",T101=""),"",IFERROR(1/(1/INDEX(F101:S101,MATCH(T101,$F$4:$S$4,0))),""))</f>
        <v/>
      </c>
      <c r="V101" s="21">
        <f>IF(OR(E101="",U101=""),"",E101*U101)</f>
        <v/>
      </c>
      <c r="W101" s="5" t="n"/>
    </row>
    <row r="102">
      <c r="A102" s="5" t="n"/>
      <c r="B102" s="5" t="n"/>
      <c r="C102" s="5" t="n"/>
      <c r="D102" s="5" t="n"/>
      <c r="E102" s="19">
        <f>IF(B102="","",SUMIF(BFTC!$B$5:$B$504,B102,BFTC!$E$5:$E$504))</f>
        <v/>
      </c>
      <c r="F102" s="20" t="n"/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5" t="n"/>
      <c r="U102" s="21">
        <f>IF(OR(B102="",T102=""),"",IFERROR(1/(1/INDEX(F102:S102,MATCH(T102,$F$4:$S$4,0))),""))</f>
        <v/>
      </c>
      <c r="V102" s="21">
        <f>IF(OR(E102="",U102=""),"",E102*U102)</f>
        <v/>
      </c>
      <c r="W102" s="5" t="n"/>
    </row>
    <row r="103">
      <c r="A103" s="5" t="n"/>
      <c r="B103" s="5" t="n"/>
      <c r="C103" s="5" t="n"/>
      <c r="D103" s="5" t="n"/>
      <c r="E103" s="19">
        <f>IF(B103="","",SUMIF(BFTC!$B$5:$B$504,B103,BFTC!$E$5:$E$504))</f>
        <v/>
      </c>
      <c r="F103" s="20" t="n"/>
      <c r="G103" s="20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5" t="n"/>
      <c r="U103" s="21">
        <f>IF(OR(B103="",T103=""),"",IFERROR(1/(1/INDEX(F103:S103,MATCH(T103,$F$4:$S$4,0))),""))</f>
        <v/>
      </c>
      <c r="V103" s="21">
        <f>IF(OR(E103="",U103=""),"",E103*U103)</f>
        <v/>
      </c>
      <c r="W103" s="5" t="n"/>
    </row>
    <row r="104">
      <c r="A104" s="5" t="n"/>
      <c r="B104" s="5" t="n"/>
      <c r="C104" s="5" t="n"/>
      <c r="D104" s="5" t="n"/>
      <c r="E104" s="19">
        <f>IF(B104="","",SUMIF(BFTC!$B$5:$B$504,B104,BFTC!$E$5:$E$504))</f>
        <v/>
      </c>
      <c r="F104" s="20" t="n"/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5" t="n"/>
      <c r="U104" s="21">
        <f>IF(OR(B104="",T104=""),"",IFERROR(1/(1/INDEX(F104:S104,MATCH(T104,$F$4:$S$4,0))),""))</f>
        <v/>
      </c>
      <c r="V104" s="21">
        <f>IF(OR(E104="",U104=""),"",E104*U104)</f>
        <v/>
      </c>
      <c r="W104" s="5" t="n"/>
    </row>
    <row r="105">
      <c r="A105" s="5" t="n"/>
      <c r="B105" s="5" t="n"/>
      <c r="C105" s="5" t="n"/>
      <c r="D105" s="5" t="n"/>
      <c r="E105" s="19">
        <f>IF(B105="","",SUMIF(BFTC!$B$5:$B$504,B105,BFTC!$E$5:$E$504))</f>
        <v/>
      </c>
      <c r="F105" s="20" t="n"/>
      <c r="G105" s="20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5" t="n"/>
      <c r="U105" s="21">
        <f>IF(OR(B105="",T105=""),"",IFERROR(1/(1/INDEX(F105:S105,MATCH(T105,$F$4:$S$4,0))),""))</f>
        <v/>
      </c>
      <c r="V105" s="21">
        <f>IF(OR(E105="",U105=""),"",E105*U105)</f>
        <v/>
      </c>
      <c r="W105" s="5" t="n"/>
    </row>
    <row r="106">
      <c r="A106" s="5" t="n"/>
      <c r="B106" s="5" t="n"/>
      <c r="C106" s="5" t="n"/>
      <c r="D106" s="5" t="n"/>
      <c r="E106" s="19">
        <f>IF(B106="","",SUMIF(BFTC!$B$5:$B$504,B106,BFTC!$E$5:$E$504))</f>
        <v/>
      </c>
      <c r="F106" s="20" t="n"/>
      <c r="G106" s="20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5" t="n"/>
      <c r="U106" s="21">
        <f>IF(OR(B106="",T106=""),"",IFERROR(1/(1/INDEX(F106:S106,MATCH(T106,$F$4:$S$4,0))),""))</f>
        <v/>
      </c>
      <c r="V106" s="21">
        <f>IF(OR(E106="",U106=""),"",E106*U106)</f>
        <v/>
      </c>
      <c r="W106" s="5" t="n"/>
    </row>
    <row r="107">
      <c r="A107" s="5" t="n"/>
      <c r="B107" s="5" t="n"/>
      <c r="C107" s="5" t="n"/>
      <c r="D107" s="5" t="n"/>
      <c r="E107" s="19">
        <f>IF(B107="","",SUMIF(BFTC!$B$5:$B$504,B107,BFTC!$E$5:$E$504))</f>
        <v/>
      </c>
      <c r="F107" s="20" t="n"/>
      <c r="G107" s="20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5" t="n"/>
      <c r="U107" s="21">
        <f>IF(OR(B107="",T107=""),"",IFERROR(1/(1/INDEX(F107:S107,MATCH(T107,$F$4:$S$4,0))),""))</f>
        <v/>
      </c>
      <c r="V107" s="21">
        <f>IF(OR(E107="",U107=""),"",E107*U107)</f>
        <v/>
      </c>
      <c r="W107" s="5" t="n"/>
    </row>
    <row r="108">
      <c r="A108" s="5" t="n"/>
      <c r="B108" s="5" t="n"/>
      <c r="C108" s="5" t="n"/>
      <c r="D108" s="5" t="n"/>
      <c r="E108" s="19">
        <f>IF(B108="","",SUMIF(BFTC!$B$5:$B$504,B108,BFTC!$E$5:$E$504))</f>
        <v/>
      </c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5" t="n"/>
      <c r="U108" s="21">
        <f>IF(OR(B108="",T108=""),"",IFERROR(1/(1/INDEX(F108:S108,MATCH(T108,$F$4:$S$4,0))),""))</f>
        <v/>
      </c>
      <c r="V108" s="21">
        <f>IF(OR(E108="",U108=""),"",E108*U108)</f>
        <v/>
      </c>
      <c r="W108" s="5" t="n"/>
    </row>
    <row r="109">
      <c r="A109" s="5" t="n"/>
      <c r="B109" s="5" t="n"/>
      <c r="C109" s="5" t="n"/>
      <c r="D109" s="5" t="n"/>
      <c r="E109" s="19">
        <f>IF(B109="","",SUMIF(BFTC!$B$5:$B$504,B109,BFTC!$E$5:$E$504))</f>
        <v/>
      </c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5" t="n"/>
      <c r="U109" s="21">
        <f>IF(OR(B109="",T109=""),"",IFERROR(1/(1/INDEX(F109:S109,MATCH(T109,$F$4:$S$4,0))),""))</f>
        <v/>
      </c>
      <c r="V109" s="21">
        <f>IF(OR(E109="",U109=""),"",E109*U109)</f>
        <v/>
      </c>
      <c r="W109" s="5" t="n"/>
    </row>
    <row r="110">
      <c r="A110" s="5" t="n"/>
      <c r="B110" s="5" t="n"/>
      <c r="C110" s="5" t="n"/>
      <c r="D110" s="5" t="n"/>
      <c r="E110" s="19">
        <f>IF(B110="","",SUMIF(BFTC!$B$5:$B$504,B110,BFTC!$E$5:$E$504))</f>
        <v/>
      </c>
      <c r="F110" s="20" t="n"/>
      <c r="G110" s="20" t="n"/>
      <c r="H110" s="20" t="n"/>
      <c r="I110" s="20" t="n"/>
      <c r="J110" s="20" t="n"/>
      <c r="K110" s="20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5" t="n"/>
      <c r="U110" s="21">
        <f>IF(OR(B110="",T110=""),"",IFERROR(1/(1/INDEX(F110:S110,MATCH(T110,$F$4:$S$4,0))),""))</f>
        <v/>
      </c>
      <c r="V110" s="21">
        <f>IF(OR(E110="",U110=""),"",E110*U110)</f>
        <v/>
      </c>
      <c r="W110" s="5" t="n"/>
    </row>
    <row r="111">
      <c r="A111" s="5" t="n"/>
      <c r="B111" s="5" t="n"/>
      <c r="C111" s="5" t="n"/>
      <c r="D111" s="5" t="n"/>
      <c r="E111" s="19">
        <f>IF(B111="","",SUMIF(BFTC!$B$5:$B$504,B111,BFTC!$E$5:$E$504))</f>
        <v/>
      </c>
      <c r="F111" s="20" t="n"/>
      <c r="G111" s="20" t="n"/>
      <c r="H111" s="20" t="n"/>
      <c r="I111" s="20" t="n"/>
      <c r="J111" s="20" t="n"/>
      <c r="K111" s="20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5" t="n"/>
      <c r="U111" s="21">
        <f>IF(OR(B111="",T111=""),"",IFERROR(1/(1/INDEX(F111:S111,MATCH(T111,$F$4:$S$4,0))),""))</f>
        <v/>
      </c>
      <c r="V111" s="21">
        <f>IF(OR(E111="",U111=""),"",E111*U111)</f>
        <v/>
      </c>
      <c r="W111" s="5" t="n"/>
    </row>
    <row r="112">
      <c r="A112" s="5" t="n"/>
      <c r="B112" s="5" t="n"/>
      <c r="C112" s="5" t="n"/>
      <c r="D112" s="5" t="n"/>
      <c r="E112" s="19">
        <f>IF(B112="","",SUMIF(BFTC!$B$5:$B$504,B112,BFTC!$E$5:$E$504))</f>
        <v/>
      </c>
      <c r="F112" s="20" t="n"/>
      <c r="G112" s="20" t="n"/>
      <c r="H112" s="20" t="n"/>
      <c r="I112" s="20" t="n"/>
      <c r="J112" s="20" t="n"/>
      <c r="K112" s="20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5" t="n"/>
      <c r="U112" s="21">
        <f>IF(OR(B112="",T112=""),"",IFERROR(1/(1/INDEX(F112:S112,MATCH(T112,$F$4:$S$4,0))),""))</f>
        <v/>
      </c>
      <c r="V112" s="21">
        <f>IF(OR(E112="",U112=""),"",E112*U112)</f>
        <v/>
      </c>
      <c r="W112" s="5" t="n"/>
    </row>
    <row r="113">
      <c r="A113" s="5" t="n"/>
      <c r="B113" s="5" t="n"/>
      <c r="C113" s="5" t="n"/>
      <c r="D113" s="5" t="n"/>
      <c r="E113" s="19">
        <f>IF(B113="","",SUMIF(BFTC!$B$5:$B$504,B113,BFTC!$E$5:$E$504))</f>
        <v/>
      </c>
      <c r="F113" s="20" t="n"/>
      <c r="G113" s="20" t="n"/>
      <c r="H113" s="20" t="n"/>
      <c r="I113" s="20" t="n"/>
      <c r="J113" s="20" t="n"/>
      <c r="K113" s="20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5" t="n"/>
      <c r="U113" s="21">
        <f>IF(OR(B113="",T113=""),"",IFERROR(1/(1/INDEX(F113:S113,MATCH(T113,$F$4:$S$4,0))),""))</f>
        <v/>
      </c>
      <c r="V113" s="21">
        <f>IF(OR(E113="",U113=""),"",E113*U113)</f>
        <v/>
      </c>
      <c r="W113" s="5" t="n"/>
    </row>
    <row r="114">
      <c r="A114" s="5" t="n"/>
      <c r="B114" s="5" t="n"/>
      <c r="C114" s="5" t="n"/>
      <c r="D114" s="5" t="n"/>
      <c r="E114" s="19">
        <f>IF(B114="","",SUMIF(BFTC!$B$5:$B$504,B114,BFTC!$E$5:$E$504))</f>
        <v/>
      </c>
      <c r="F114" s="20" t="n"/>
      <c r="G114" s="20" t="n"/>
      <c r="H114" s="20" t="n"/>
      <c r="I114" s="20" t="n"/>
      <c r="J114" s="20" t="n"/>
      <c r="K114" s="20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5" t="n"/>
      <c r="U114" s="21">
        <f>IF(OR(B114="",T114=""),"",IFERROR(1/(1/INDEX(F114:S114,MATCH(T114,$F$4:$S$4,0))),""))</f>
        <v/>
      </c>
      <c r="V114" s="21">
        <f>IF(OR(E114="",U114=""),"",E114*U114)</f>
        <v/>
      </c>
      <c r="W114" s="5" t="n"/>
    </row>
    <row r="115">
      <c r="A115" s="5" t="n"/>
      <c r="B115" s="5" t="n"/>
      <c r="C115" s="5" t="n"/>
      <c r="D115" s="5" t="n"/>
      <c r="E115" s="19">
        <f>IF(B115="","",SUMIF(BFTC!$B$5:$B$504,B115,BFTC!$E$5:$E$504))</f>
        <v/>
      </c>
      <c r="F115" s="20" t="n"/>
      <c r="G115" s="20" t="n"/>
      <c r="H115" s="20" t="n"/>
      <c r="I115" s="20" t="n"/>
      <c r="J115" s="20" t="n"/>
      <c r="K115" s="20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5" t="n"/>
      <c r="U115" s="21">
        <f>IF(OR(B115="",T115=""),"",IFERROR(1/(1/INDEX(F115:S115,MATCH(T115,$F$4:$S$4,0))),""))</f>
        <v/>
      </c>
      <c r="V115" s="21">
        <f>IF(OR(E115="",U115=""),"",E115*U115)</f>
        <v/>
      </c>
      <c r="W115" s="5" t="n"/>
    </row>
    <row r="116">
      <c r="A116" s="5" t="n"/>
      <c r="B116" s="5" t="n"/>
      <c r="C116" s="5" t="n"/>
      <c r="D116" s="5" t="n"/>
      <c r="E116" s="19">
        <f>IF(B116="","",SUMIF(BFTC!$B$5:$B$504,B116,BFTC!$E$5:$E$504))</f>
        <v/>
      </c>
      <c r="F116" s="20" t="n"/>
      <c r="G116" s="20" t="n"/>
      <c r="H116" s="20" t="n"/>
      <c r="I116" s="20" t="n"/>
      <c r="J116" s="20" t="n"/>
      <c r="K116" s="20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5" t="n"/>
      <c r="U116" s="21">
        <f>IF(OR(B116="",T116=""),"",IFERROR(1/(1/INDEX(F116:S116,MATCH(T116,$F$4:$S$4,0))),""))</f>
        <v/>
      </c>
      <c r="V116" s="21">
        <f>IF(OR(E116="",U116=""),"",E116*U116)</f>
        <v/>
      </c>
      <c r="W116" s="5" t="n"/>
    </row>
    <row r="117">
      <c r="A117" s="5" t="n"/>
      <c r="B117" s="5" t="n"/>
      <c r="C117" s="5" t="n"/>
      <c r="D117" s="5" t="n"/>
      <c r="E117" s="19">
        <f>IF(B117="","",SUMIF(BFTC!$B$5:$B$504,B117,BFTC!$E$5:$E$504))</f>
        <v/>
      </c>
      <c r="F117" s="20" t="n"/>
      <c r="G117" s="20" t="n"/>
      <c r="H117" s="20" t="n"/>
      <c r="I117" s="20" t="n"/>
      <c r="J117" s="20" t="n"/>
      <c r="K117" s="20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5" t="n"/>
      <c r="U117" s="21">
        <f>IF(OR(B117="",T117=""),"",IFERROR(1/(1/INDEX(F117:S117,MATCH(T117,$F$4:$S$4,0))),""))</f>
        <v/>
      </c>
      <c r="V117" s="21">
        <f>IF(OR(E117="",U117=""),"",E117*U117)</f>
        <v/>
      </c>
      <c r="W117" s="5" t="n"/>
    </row>
    <row r="118">
      <c r="A118" s="5" t="n"/>
      <c r="B118" s="5" t="n"/>
      <c r="C118" s="5" t="n"/>
      <c r="D118" s="5" t="n"/>
      <c r="E118" s="19">
        <f>IF(B118="","",SUMIF(BFTC!$B$5:$B$504,B118,BFTC!$E$5:$E$504))</f>
        <v/>
      </c>
      <c r="F118" s="20" t="n"/>
      <c r="G118" s="20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5" t="n"/>
      <c r="U118" s="21">
        <f>IF(OR(B118="",T118=""),"",IFERROR(1/(1/INDEX(F118:S118,MATCH(T118,$F$4:$S$4,0))),""))</f>
        <v/>
      </c>
      <c r="V118" s="21">
        <f>IF(OR(E118="",U118=""),"",E118*U118)</f>
        <v/>
      </c>
      <c r="W118" s="5" t="n"/>
    </row>
    <row r="119">
      <c r="A119" s="5" t="n"/>
      <c r="B119" s="5" t="n"/>
      <c r="C119" s="5" t="n"/>
      <c r="D119" s="5" t="n"/>
      <c r="E119" s="19">
        <f>IF(B119="","",SUMIF(BFTC!$B$5:$B$504,B119,BFTC!$E$5:$E$504))</f>
        <v/>
      </c>
      <c r="F119" s="20" t="n"/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5" t="n"/>
      <c r="U119" s="21">
        <f>IF(OR(B119="",T119=""),"",IFERROR(1/(1/INDEX(F119:S119,MATCH(T119,$F$4:$S$4,0))),""))</f>
        <v/>
      </c>
      <c r="V119" s="21">
        <f>IF(OR(E119="",U119=""),"",E119*U119)</f>
        <v/>
      </c>
      <c r="W119" s="5" t="n"/>
    </row>
    <row r="120">
      <c r="A120" s="5" t="n"/>
      <c r="B120" s="5" t="n"/>
      <c r="C120" s="5" t="n"/>
      <c r="D120" s="5" t="n"/>
      <c r="E120" s="19">
        <f>IF(B120="","",SUMIF(BFTC!$B$5:$B$504,B120,BFTC!$E$5:$E$504))</f>
        <v/>
      </c>
      <c r="F120" s="20" t="n"/>
      <c r="G120" s="20" t="n"/>
      <c r="H120" s="20" t="n"/>
      <c r="I120" s="20" t="n"/>
      <c r="J120" s="20" t="n"/>
      <c r="K120" s="20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5" t="n"/>
      <c r="U120" s="21">
        <f>IF(OR(B120="",T120=""),"",IFERROR(1/(1/INDEX(F120:S120,MATCH(T120,$F$4:$S$4,0))),""))</f>
        <v/>
      </c>
      <c r="V120" s="21">
        <f>IF(OR(E120="",U120=""),"",E120*U120)</f>
        <v/>
      </c>
      <c r="W120" s="5" t="n"/>
    </row>
    <row r="121">
      <c r="A121" s="5" t="n"/>
      <c r="B121" s="5" t="n"/>
      <c r="C121" s="5" t="n"/>
      <c r="D121" s="5" t="n"/>
      <c r="E121" s="19">
        <f>IF(B121="","",SUMIF(BFTC!$B$5:$B$504,B121,BFTC!$E$5:$E$504))</f>
        <v/>
      </c>
      <c r="F121" s="20" t="n"/>
      <c r="G121" s="20" t="n"/>
      <c r="H121" s="20" t="n"/>
      <c r="I121" s="20" t="n"/>
      <c r="J121" s="20" t="n"/>
      <c r="K121" s="20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5" t="n"/>
      <c r="U121" s="21">
        <f>IF(OR(B121="",T121=""),"",IFERROR(1/(1/INDEX(F121:S121,MATCH(T121,$F$4:$S$4,0))),""))</f>
        <v/>
      </c>
      <c r="V121" s="21">
        <f>IF(OR(E121="",U121=""),"",E121*U121)</f>
        <v/>
      </c>
      <c r="W121" s="5" t="n"/>
    </row>
    <row r="122">
      <c r="A122" s="5" t="n"/>
      <c r="B122" s="5" t="n"/>
      <c r="C122" s="5" t="n"/>
      <c r="D122" s="5" t="n"/>
      <c r="E122" s="19">
        <f>IF(B122="","",SUMIF(BFTC!$B$5:$B$504,B122,BFTC!$E$5:$E$504))</f>
        <v/>
      </c>
      <c r="F122" s="20" t="n"/>
      <c r="G122" s="20" t="n"/>
      <c r="H122" s="20" t="n"/>
      <c r="I122" s="20" t="n"/>
      <c r="J122" s="20" t="n"/>
      <c r="K122" s="20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5" t="n"/>
      <c r="U122" s="21">
        <f>IF(OR(B122="",T122=""),"",IFERROR(1/(1/INDEX(F122:S122,MATCH(T122,$F$4:$S$4,0))),""))</f>
        <v/>
      </c>
      <c r="V122" s="21">
        <f>IF(OR(E122="",U122=""),"",E122*U122)</f>
        <v/>
      </c>
      <c r="W122" s="5" t="n"/>
    </row>
    <row r="123">
      <c r="A123" s="5" t="n"/>
      <c r="B123" s="5" t="n"/>
      <c r="C123" s="5" t="n"/>
      <c r="D123" s="5" t="n"/>
      <c r="E123" s="19">
        <f>IF(B123="","",SUMIF(BFTC!$B$5:$B$504,B123,BFTC!$E$5:$E$504))</f>
        <v/>
      </c>
      <c r="F123" s="20" t="n"/>
      <c r="G123" s="20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5" t="n"/>
      <c r="U123" s="21">
        <f>IF(OR(B123="",T123=""),"",IFERROR(1/(1/INDEX(F123:S123,MATCH(T123,$F$4:$S$4,0))),""))</f>
        <v/>
      </c>
      <c r="V123" s="21">
        <f>IF(OR(E123="",U123=""),"",E123*U123)</f>
        <v/>
      </c>
      <c r="W123" s="5" t="n"/>
    </row>
    <row r="124">
      <c r="A124" s="5" t="n"/>
      <c r="B124" s="5" t="n"/>
      <c r="C124" s="5" t="n"/>
      <c r="D124" s="5" t="n"/>
      <c r="E124" s="19">
        <f>IF(B124="","",SUMIF(BFTC!$B$5:$B$504,B124,BFTC!$E$5:$E$504))</f>
        <v/>
      </c>
      <c r="F124" s="20" t="n"/>
      <c r="G124" s="20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5" t="n"/>
      <c r="U124" s="21">
        <f>IF(OR(B124="",T124=""),"",IFERROR(1/(1/INDEX(F124:S124,MATCH(T124,$F$4:$S$4,0))),""))</f>
        <v/>
      </c>
      <c r="V124" s="21">
        <f>IF(OR(E124="",U124=""),"",E124*U124)</f>
        <v/>
      </c>
      <c r="W124" s="5" t="n"/>
    </row>
    <row r="125">
      <c r="A125" s="5" t="n"/>
      <c r="B125" s="5" t="n"/>
      <c r="C125" s="5" t="n"/>
      <c r="D125" s="5" t="n"/>
      <c r="E125" s="19">
        <f>IF(B125="","",SUMIF(BFTC!$B$5:$B$504,B125,BFTC!$E$5:$E$504))</f>
        <v/>
      </c>
      <c r="F125" s="20" t="n"/>
      <c r="G125" s="20" t="n"/>
      <c r="H125" s="20" t="n"/>
      <c r="I125" s="20" t="n"/>
      <c r="J125" s="20" t="n"/>
      <c r="K125" s="20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5" t="n"/>
      <c r="U125" s="21">
        <f>IF(OR(B125="",T125=""),"",IFERROR(1/(1/INDEX(F125:S125,MATCH(T125,$F$4:$S$4,0))),""))</f>
        <v/>
      </c>
      <c r="V125" s="21">
        <f>IF(OR(E125="",U125=""),"",E125*U125)</f>
        <v/>
      </c>
      <c r="W125" s="5" t="n"/>
    </row>
    <row r="126">
      <c r="A126" s="5" t="n"/>
      <c r="B126" s="5" t="n"/>
      <c r="C126" s="5" t="n"/>
      <c r="D126" s="5" t="n"/>
      <c r="E126" s="19">
        <f>IF(B126="","",SUMIF(BFTC!$B$5:$B$504,B126,BFTC!$E$5:$E$504))</f>
        <v/>
      </c>
      <c r="F126" s="20" t="n"/>
      <c r="G126" s="20" t="n"/>
      <c r="H126" s="20" t="n"/>
      <c r="I126" s="20" t="n"/>
      <c r="J126" s="20" t="n"/>
      <c r="K126" s="20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5" t="n"/>
      <c r="U126" s="21">
        <f>IF(OR(B126="",T126=""),"",IFERROR(1/(1/INDEX(F126:S126,MATCH(T126,$F$4:$S$4,0))),""))</f>
        <v/>
      </c>
      <c r="V126" s="21">
        <f>IF(OR(E126="",U126=""),"",E126*U126)</f>
        <v/>
      </c>
      <c r="W126" s="5" t="n"/>
    </row>
    <row r="127">
      <c r="A127" s="5" t="n"/>
      <c r="B127" s="5" t="n"/>
      <c r="C127" s="5" t="n"/>
      <c r="D127" s="5" t="n"/>
      <c r="E127" s="19">
        <f>IF(B127="","",SUMIF(BFTC!$B$5:$B$504,B127,BFTC!$E$5:$E$504))</f>
        <v/>
      </c>
      <c r="F127" s="20" t="n"/>
      <c r="G127" s="20" t="n"/>
      <c r="H127" s="20" t="n"/>
      <c r="I127" s="20" t="n"/>
      <c r="J127" s="20" t="n"/>
      <c r="K127" s="20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5" t="n"/>
      <c r="U127" s="21">
        <f>IF(OR(B127="",T127=""),"",IFERROR(1/(1/INDEX(F127:S127,MATCH(T127,$F$4:$S$4,0))),""))</f>
        <v/>
      </c>
      <c r="V127" s="21">
        <f>IF(OR(E127="",U127=""),"",E127*U127)</f>
        <v/>
      </c>
      <c r="W127" s="5" t="n"/>
    </row>
    <row r="128">
      <c r="A128" s="5" t="n"/>
      <c r="B128" s="5" t="n"/>
      <c r="C128" s="5" t="n"/>
      <c r="D128" s="5" t="n"/>
      <c r="E128" s="19">
        <f>IF(B128="","",SUMIF(BFTC!$B$5:$B$504,B128,BFTC!$E$5:$E$504))</f>
        <v/>
      </c>
      <c r="F128" s="20" t="n"/>
      <c r="G128" s="20" t="n"/>
      <c r="H128" s="20" t="n"/>
      <c r="I128" s="20" t="n"/>
      <c r="J128" s="20" t="n"/>
      <c r="K128" s="20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5" t="n"/>
      <c r="U128" s="21">
        <f>IF(OR(B128="",T128=""),"",IFERROR(1/(1/INDEX(F128:S128,MATCH(T128,$F$4:$S$4,0))),""))</f>
        <v/>
      </c>
      <c r="V128" s="21">
        <f>IF(OR(E128="",U128=""),"",E128*U128)</f>
        <v/>
      </c>
      <c r="W128" s="5" t="n"/>
    </row>
    <row r="129">
      <c r="A129" s="5" t="n"/>
      <c r="B129" s="5" t="n"/>
      <c r="C129" s="5" t="n"/>
      <c r="D129" s="5" t="n"/>
      <c r="E129" s="19">
        <f>IF(B129="","",SUMIF(BFTC!$B$5:$B$504,B129,BFTC!$E$5:$E$504))</f>
        <v/>
      </c>
      <c r="F129" s="20" t="n"/>
      <c r="G129" s="20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5" t="n"/>
      <c r="U129" s="21">
        <f>IF(OR(B129="",T129=""),"",IFERROR(1/(1/INDEX(F129:S129,MATCH(T129,$F$4:$S$4,0))),""))</f>
        <v/>
      </c>
      <c r="V129" s="21">
        <f>IF(OR(E129="",U129=""),"",E129*U129)</f>
        <v/>
      </c>
      <c r="W129" s="5" t="n"/>
    </row>
    <row r="130">
      <c r="A130" s="5" t="n"/>
      <c r="B130" s="5" t="n"/>
      <c r="C130" s="5" t="n"/>
      <c r="D130" s="5" t="n"/>
      <c r="E130" s="19">
        <f>IF(B130="","",SUMIF(BFTC!$B$5:$B$504,B130,BFTC!$E$5:$E$504))</f>
        <v/>
      </c>
      <c r="F130" s="20" t="n"/>
      <c r="G130" s="20" t="n"/>
      <c r="H130" s="20" t="n"/>
      <c r="I130" s="20" t="n"/>
      <c r="J130" s="20" t="n"/>
      <c r="K130" s="20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5" t="n"/>
      <c r="U130" s="21">
        <f>IF(OR(B130="",T130=""),"",IFERROR(1/(1/INDEX(F130:S130,MATCH(T130,$F$4:$S$4,0))),""))</f>
        <v/>
      </c>
      <c r="V130" s="21">
        <f>IF(OR(E130="",U130=""),"",E130*U130)</f>
        <v/>
      </c>
      <c r="W130" s="5" t="n"/>
    </row>
    <row r="131">
      <c r="A131" s="5" t="n"/>
      <c r="B131" s="5" t="n"/>
      <c r="C131" s="5" t="n"/>
      <c r="D131" s="5" t="n"/>
      <c r="E131" s="19">
        <f>IF(B131="","",SUMIF(BFTC!$B$5:$B$504,B131,BFTC!$E$5:$E$504))</f>
        <v/>
      </c>
      <c r="F131" s="20" t="n"/>
      <c r="G131" s="20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5" t="n"/>
      <c r="U131" s="21">
        <f>IF(OR(B131="",T131=""),"",IFERROR(1/(1/INDEX(F131:S131,MATCH(T131,$F$4:$S$4,0))),""))</f>
        <v/>
      </c>
      <c r="V131" s="21">
        <f>IF(OR(E131="",U131=""),"",E131*U131)</f>
        <v/>
      </c>
      <c r="W131" s="5" t="n"/>
    </row>
    <row r="132">
      <c r="A132" s="5" t="n"/>
      <c r="B132" s="5" t="n"/>
      <c r="C132" s="5" t="n"/>
      <c r="D132" s="5" t="n"/>
      <c r="E132" s="19">
        <f>IF(B132="","",SUMIF(BFTC!$B$5:$B$504,B132,BFTC!$E$5:$E$504))</f>
        <v/>
      </c>
      <c r="F132" s="20" t="n"/>
      <c r="G132" s="20" t="n"/>
      <c r="H132" s="20" t="n"/>
      <c r="I132" s="20" t="n"/>
      <c r="J132" s="20" t="n"/>
      <c r="K132" s="20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5" t="n"/>
      <c r="U132" s="21">
        <f>IF(OR(B132="",T132=""),"",IFERROR(1/(1/INDEX(F132:S132,MATCH(T132,$F$4:$S$4,0))),""))</f>
        <v/>
      </c>
      <c r="V132" s="21">
        <f>IF(OR(E132="",U132=""),"",E132*U132)</f>
        <v/>
      </c>
      <c r="W132" s="5" t="n"/>
    </row>
    <row r="133">
      <c r="A133" s="5" t="n"/>
      <c r="B133" s="5" t="n"/>
      <c r="C133" s="5" t="n"/>
      <c r="D133" s="5" t="n"/>
      <c r="E133" s="19">
        <f>IF(B133="","",SUMIF(BFTC!$B$5:$B$504,B133,BFTC!$E$5:$E$504))</f>
        <v/>
      </c>
      <c r="F133" s="20" t="n"/>
      <c r="G133" s="20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5" t="n"/>
      <c r="U133" s="21">
        <f>IF(OR(B133="",T133=""),"",IFERROR(1/(1/INDEX(F133:S133,MATCH(T133,$F$4:$S$4,0))),""))</f>
        <v/>
      </c>
      <c r="V133" s="21">
        <f>IF(OR(E133="",U133=""),"",E133*U133)</f>
        <v/>
      </c>
      <c r="W133" s="5" t="n"/>
    </row>
    <row r="134">
      <c r="A134" s="5" t="n"/>
      <c r="B134" s="5" t="n"/>
      <c r="C134" s="5" t="n"/>
      <c r="D134" s="5" t="n"/>
      <c r="E134" s="19">
        <f>IF(B134="","",SUMIF(BFTC!$B$5:$B$504,B134,BFTC!$E$5:$E$504))</f>
        <v/>
      </c>
      <c r="F134" s="20" t="n"/>
      <c r="G134" s="20" t="n"/>
      <c r="H134" s="20" t="n"/>
      <c r="I134" s="20" t="n"/>
      <c r="J134" s="20" t="n"/>
      <c r="K134" s="20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5" t="n"/>
      <c r="U134" s="21">
        <f>IF(OR(B134="",T134=""),"",IFERROR(1/(1/INDEX(F134:S134,MATCH(T134,$F$4:$S$4,0))),""))</f>
        <v/>
      </c>
      <c r="V134" s="21">
        <f>IF(OR(E134="",U134=""),"",E134*U134)</f>
        <v/>
      </c>
      <c r="W134" s="5" t="n"/>
    </row>
    <row r="135">
      <c r="A135" s="5" t="n"/>
      <c r="B135" s="5" t="n"/>
      <c r="C135" s="5" t="n"/>
      <c r="D135" s="5" t="n"/>
      <c r="E135" s="19">
        <f>IF(B135="","",SUMIF(BFTC!$B$5:$B$504,B135,BFTC!$E$5:$E$504))</f>
        <v/>
      </c>
      <c r="F135" s="20" t="n"/>
      <c r="G135" s="20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5" t="n"/>
      <c r="U135" s="21">
        <f>IF(OR(B135="",T135=""),"",IFERROR(1/(1/INDEX(F135:S135,MATCH(T135,$F$4:$S$4,0))),""))</f>
        <v/>
      </c>
      <c r="V135" s="21">
        <f>IF(OR(E135="",U135=""),"",E135*U135)</f>
        <v/>
      </c>
      <c r="W135" s="5" t="n"/>
    </row>
    <row r="136">
      <c r="A136" s="5" t="n"/>
      <c r="B136" s="5" t="n"/>
      <c r="C136" s="5" t="n"/>
      <c r="D136" s="5" t="n"/>
      <c r="E136" s="19">
        <f>IF(B136="","",SUMIF(BFTC!$B$5:$B$504,B136,BFTC!$E$5:$E$504))</f>
        <v/>
      </c>
      <c r="F136" s="20" t="n"/>
      <c r="G136" s="20" t="n"/>
      <c r="H136" s="20" t="n"/>
      <c r="I136" s="20" t="n"/>
      <c r="J136" s="20" t="n"/>
      <c r="K136" s="20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5" t="n"/>
      <c r="U136" s="21">
        <f>IF(OR(B136="",T136=""),"",IFERROR(1/(1/INDEX(F136:S136,MATCH(T136,$F$4:$S$4,0))),""))</f>
        <v/>
      </c>
      <c r="V136" s="21">
        <f>IF(OR(E136="",U136=""),"",E136*U136)</f>
        <v/>
      </c>
      <c r="W136" s="5" t="n"/>
    </row>
    <row r="137">
      <c r="A137" s="5" t="n"/>
      <c r="B137" s="5" t="n"/>
      <c r="C137" s="5" t="n"/>
      <c r="D137" s="5" t="n"/>
      <c r="E137" s="19">
        <f>IF(B137="","",SUMIF(BFTC!$B$5:$B$504,B137,BFTC!$E$5:$E$504))</f>
        <v/>
      </c>
      <c r="F137" s="20" t="n"/>
      <c r="G137" s="20" t="n"/>
      <c r="H137" s="20" t="n"/>
      <c r="I137" s="20" t="n"/>
      <c r="J137" s="20" t="n"/>
      <c r="K137" s="20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5" t="n"/>
      <c r="U137" s="21">
        <f>IF(OR(B137="",T137=""),"",IFERROR(1/(1/INDEX(F137:S137,MATCH(T137,$F$4:$S$4,0))),""))</f>
        <v/>
      </c>
      <c r="V137" s="21">
        <f>IF(OR(E137="",U137=""),"",E137*U137)</f>
        <v/>
      </c>
      <c r="W137" s="5" t="n"/>
    </row>
    <row r="138">
      <c r="A138" s="5" t="n"/>
      <c r="B138" s="5" t="n"/>
      <c r="C138" s="5" t="n"/>
      <c r="D138" s="5" t="n"/>
      <c r="E138" s="19">
        <f>IF(B138="","",SUMIF(BFTC!$B$5:$B$504,B138,BFTC!$E$5:$E$504))</f>
        <v/>
      </c>
      <c r="F138" s="20" t="n"/>
      <c r="G138" s="20" t="n"/>
      <c r="H138" s="20" t="n"/>
      <c r="I138" s="20" t="n"/>
      <c r="J138" s="20" t="n"/>
      <c r="K138" s="20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5" t="n"/>
      <c r="U138" s="21">
        <f>IF(OR(B138="",T138=""),"",IFERROR(1/(1/INDEX(F138:S138,MATCH(T138,$F$4:$S$4,0))),""))</f>
        <v/>
      </c>
      <c r="V138" s="21">
        <f>IF(OR(E138="",U138=""),"",E138*U138)</f>
        <v/>
      </c>
      <c r="W138" s="5" t="n"/>
    </row>
    <row r="139">
      <c r="A139" s="5" t="n"/>
      <c r="B139" s="5" t="n"/>
      <c r="C139" s="5" t="n"/>
      <c r="D139" s="5" t="n"/>
      <c r="E139" s="19">
        <f>IF(B139="","",SUMIF(BFTC!$B$5:$B$504,B139,BFTC!$E$5:$E$504))</f>
        <v/>
      </c>
      <c r="F139" s="20" t="n"/>
      <c r="G139" s="20" t="n"/>
      <c r="H139" s="20" t="n"/>
      <c r="I139" s="20" t="n"/>
      <c r="J139" s="20" t="n"/>
      <c r="K139" s="20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5" t="n"/>
      <c r="U139" s="21">
        <f>IF(OR(B139="",T139=""),"",IFERROR(1/(1/INDEX(F139:S139,MATCH(T139,$F$4:$S$4,0))),""))</f>
        <v/>
      </c>
      <c r="V139" s="21">
        <f>IF(OR(E139="",U139=""),"",E139*U139)</f>
        <v/>
      </c>
      <c r="W139" s="5" t="n"/>
    </row>
    <row r="140">
      <c r="A140" s="5" t="n"/>
      <c r="B140" s="5" t="n"/>
      <c r="C140" s="5" t="n"/>
      <c r="D140" s="5" t="n"/>
      <c r="E140" s="19">
        <f>IF(B140="","",SUMIF(BFTC!$B$5:$B$504,B140,BFTC!$E$5:$E$504))</f>
        <v/>
      </c>
      <c r="F140" s="20" t="n"/>
      <c r="G140" s="20" t="n"/>
      <c r="H140" s="20" t="n"/>
      <c r="I140" s="20" t="n"/>
      <c r="J140" s="20" t="n"/>
      <c r="K140" s="20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5" t="n"/>
      <c r="U140" s="21">
        <f>IF(OR(B140="",T140=""),"",IFERROR(1/(1/INDEX(F140:S140,MATCH(T140,$F$4:$S$4,0))),""))</f>
        <v/>
      </c>
      <c r="V140" s="21">
        <f>IF(OR(E140="",U140=""),"",E140*U140)</f>
        <v/>
      </c>
      <c r="W140" s="5" t="n"/>
    </row>
    <row r="141">
      <c r="A141" s="5" t="n"/>
      <c r="B141" s="5" t="n"/>
      <c r="C141" s="5" t="n"/>
      <c r="D141" s="5" t="n"/>
      <c r="E141" s="19">
        <f>IF(B141="","",SUMIF(BFTC!$B$5:$B$504,B141,BFTC!$E$5:$E$504))</f>
        <v/>
      </c>
      <c r="F141" s="20" t="n"/>
      <c r="G141" s="20" t="n"/>
      <c r="H141" s="20" t="n"/>
      <c r="I141" s="20" t="n"/>
      <c r="J141" s="20" t="n"/>
      <c r="K141" s="20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5" t="n"/>
      <c r="U141" s="21">
        <f>IF(OR(B141="",T141=""),"",IFERROR(1/(1/INDEX(F141:S141,MATCH(T141,$F$4:$S$4,0))),""))</f>
        <v/>
      </c>
      <c r="V141" s="21">
        <f>IF(OR(E141="",U141=""),"",E141*U141)</f>
        <v/>
      </c>
      <c r="W141" s="5" t="n"/>
    </row>
    <row r="142">
      <c r="A142" s="5" t="n"/>
      <c r="B142" s="5" t="n"/>
      <c r="C142" s="5" t="n"/>
      <c r="D142" s="5" t="n"/>
      <c r="E142" s="19">
        <f>IF(B142="","",SUMIF(BFTC!$B$5:$B$504,B142,BFTC!$E$5:$E$504))</f>
        <v/>
      </c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5" t="n"/>
      <c r="U142" s="21">
        <f>IF(OR(B142="",T142=""),"",IFERROR(1/(1/INDEX(F142:S142,MATCH(T142,$F$4:$S$4,0))),""))</f>
        <v/>
      </c>
      <c r="V142" s="21">
        <f>IF(OR(E142="",U142=""),"",E142*U142)</f>
        <v/>
      </c>
      <c r="W142" s="5" t="n"/>
    </row>
    <row r="143">
      <c r="A143" s="5" t="n"/>
      <c r="B143" s="5" t="n"/>
      <c r="C143" s="5" t="n"/>
      <c r="D143" s="5" t="n"/>
      <c r="E143" s="19">
        <f>IF(B143="","",SUMIF(BFTC!$B$5:$B$504,B143,BFTC!$E$5:$E$504))</f>
        <v/>
      </c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5" t="n"/>
      <c r="U143" s="21">
        <f>IF(OR(B143="",T143=""),"",IFERROR(1/(1/INDEX(F143:S143,MATCH(T143,$F$4:$S$4,0))),""))</f>
        <v/>
      </c>
      <c r="V143" s="21">
        <f>IF(OR(E143="",U143=""),"",E143*U143)</f>
        <v/>
      </c>
      <c r="W143" s="5" t="n"/>
    </row>
    <row r="144">
      <c r="A144" s="5" t="n"/>
      <c r="B144" s="5" t="n"/>
      <c r="C144" s="5" t="n"/>
      <c r="D144" s="5" t="n"/>
      <c r="E144" s="19">
        <f>IF(B144="","",SUMIF(BFTC!$B$5:$B$504,B144,BFTC!$E$5:$E$504))</f>
        <v/>
      </c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5" t="n"/>
      <c r="U144" s="21">
        <f>IF(OR(B144="",T144=""),"",IFERROR(1/(1/INDEX(F144:S144,MATCH(T144,$F$4:$S$4,0))),""))</f>
        <v/>
      </c>
      <c r="V144" s="21">
        <f>IF(OR(E144="",U144=""),"",E144*U144)</f>
        <v/>
      </c>
      <c r="W144" s="5" t="n"/>
    </row>
    <row r="145">
      <c r="A145" s="5" t="n"/>
      <c r="B145" s="5" t="n"/>
      <c r="C145" s="5" t="n"/>
      <c r="D145" s="5" t="n"/>
      <c r="E145" s="19">
        <f>IF(B145="","",SUMIF(BFTC!$B$5:$B$504,B145,BFTC!$E$5:$E$504))</f>
        <v/>
      </c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5" t="n"/>
      <c r="U145" s="21">
        <f>IF(OR(B145="",T145=""),"",IFERROR(1/(1/INDEX(F145:S145,MATCH(T145,$F$4:$S$4,0))),""))</f>
        <v/>
      </c>
      <c r="V145" s="21">
        <f>IF(OR(E145="",U145=""),"",E145*U145)</f>
        <v/>
      </c>
      <c r="W145" s="5" t="n"/>
    </row>
    <row r="146">
      <c r="A146" s="5" t="n"/>
      <c r="B146" s="5" t="n"/>
      <c r="C146" s="5" t="n"/>
      <c r="D146" s="5" t="n"/>
      <c r="E146" s="19">
        <f>IF(B146="","",SUMIF(BFTC!$B$5:$B$504,B146,BFTC!$E$5:$E$504))</f>
        <v/>
      </c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5" t="n"/>
      <c r="U146" s="21">
        <f>IF(OR(B146="",T146=""),"",IFERROR(1/(1/INDEX(F146:S146,MATCH(T146,$F$4:$S$4,0))),""))</f>
        <v/>
      </c>
      <c r="V146" s="21">
        <f>IF(OR(E146="",U146=""),"",E146*U146)</f>
        <v/>
      </c>
      <c r="W146" s="5" t="n"/>
    </row>
    <row r="147">
      <c r="A147" s="5" t="n"/>
      <c r="B147" s="5" t="n"/>
      <c r="C147" s="5" t="n"/>
      <c r="D147" s="5" t="n"/>
      <c r="E147" s="19">
        <f>IF(B147="","",SUMIF(BFTC!$B$5:$B$504,B147,BFTC!$E$5:$E$504))</f>
        <v/>
      </c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5" t="n"/>
      <c r="U147" s="21">
        <f>IF(OR(B147="",T147=""),"",IFERROR(1/(1/INDEX(F147:S147,MATCH(T147,$F$4:$S$4,0))),""))</f>
        <v/>
      </c>
      <c r="V147" s="21">
        <f>IF(OR(E147="",U147=""),"",E147*U147)</f>
        <v/>
      </c>
      <c r="W147" s="5" t="n"/>
    </row>
    <row r="148">
      <c r="A148" s="5" t="n"/>
      <c r="B148" s="5" t="n"/>
      <c r="C148" s="5" t="n"/>
      <c r="D148" s="5" t="n"/>
      <c r="E148" s="19">
        <f>IF(B148="","",SUMIF(BFTC!$B$5:$B$504,B148,BFTC!$E$5:$E$504))</f>
        <v/>
      </c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5" t="n"/>
      <c r="U148" s="21">
        <f>IF(OR(B148="",T148=""),"",IFERROR(1/(1/INDEX(F148:S148,MATCH(T148,$F$4:$S$4,0))),""))</f>
        <v/>
      </c>
      <c r="V148" s="21">
        <f>IF(OR(E148="",U148=""),"",E148*U148)</f>
        <v/>
      </c>
      <c r="W148" s="5" t="n"/>
    </row>
    <row r="149">
      <c r="A149" s="5" t="n"/>
      <c r="B149" s="5" t="n"/>
      <c r="C149" s="5" t="n"/>
      <c r="D149" s="5" t="n"/>
      <c r="E149" s="19">
        <f>IF(B149="","",SUMIF(BFTC!$B$5:$B$504,B149,BFTC!$E$5:$E$504))</f>
        <v/>
      </c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5" t="n"/>
      <c r="U149" s="21">
        <f>IF(OR(B149="",T149=""),"",IFERROR(1/(1/INDEX(F149:S149,MATCH(T149,$F$4:$S$4,0))),""))</f>
        <v/>
      </c>
      <c r="V149" s="21">
        <f>IF(OR(E149="",U149=""),"",E149*U149)</f>
        <v/>
      </c>
      <c r="W149" s="5" t="n"/>
    </row>
    <row r="150">
      <c r="A150" s="5" t="n"/>
      <c r="B150" s="5" t="n"/>
      <c r="C150" s="5" t="n"/>
      <c r="D150" s="5" t="n"/>
      <c r="E150" s="19">
        <f>IF(B150="","",SUMIF(BFTC!$B$5:$B$504,B150,BFTC!$E$5:$E$504))</f>
        <v/>
      </c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5" t="n"/>
      <c r="U150" s="21">
        <f>IF(OR(B150="",T150=""),"",IFERROR(1/(1/INDEX(F150:S150,MATCH(T150,$F$4:$S$4,0))),""))</f>
        <v/>
      </c>
      <c r="V150" s="21">
        <f>IF(OR(E150="",U150=""),"",E150*U150)</f>
        <v/>
      </c>
      <c r="W150" s="5" t="n"/>
    </row>
    <row r="151">
      <c r="A151" s="5" t="n"/>
      <c r="B151" s="5" t="n"/>
      <c r="C151" s="5" t="n"/>
      <c r="D151" s="5" t="n"/>
      <c r="E151" s="19">
        <f>IF(B151="","",SUMIF(BFTC!$B$5:$B$504,B151,BFTC!$E$5:$E$504))</f>
        <v/>
      </c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5" t="n"/>
      <c r="U151" s="21">
        <f>IF(OR(B151="",T151=""),"",IFERROR(1/(1/INDEX(F151:S151,MATCH(T151,$F$4:$S$4,0))),""))</f>
        <v/>
      </c>
      <c r="V151" s="21">
        <f>IF(OR(E151="",U151=""),"",E151*U151)</f>
        <v/>
      </c>
      <c r="W151" s="5" t="n"/>
    </row>
    <row r="152">
      <c r="A152" s="5" t="n"/>
      <c r="B152" s="5" t="n"/>
      <c r="C152" s="5" t="n"/>
      <c r="D152" s="5" t="n"/>
      <c r="E152" s="19">
        <f>IF(B152="","",SUMIF(BFTC!$B$5:$B$504,B152,BFTC!$E$5:$E$504))</f>
        <v/>
      </c>
      <c r="F152" s="20" t="n"/>
      <c r="G152" s="20" t="n"/>
      <c r="H152" s="20" t="n"/>
      <c r="I152" s="20" t="n"/>
      <c r="J152" s="20" t="n"/>
      <c r="K152" s="20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5" t="n"/>
      <c r="U152" s="21">
        <f>IF(OR(B152="",T152=""),"",IFERROR(1/(1/INDEX(F152:S152,MATCH(T152,$F$4:$S$4,0))),""))</f>
        <v/>
      </c>
      <c r="V152" s="21">
        <f>IF(OR(E152="",U152=""),"",E152*U152)</f>
        <v/>
      </c>
      <c r="W152" s="5" t="n"/>
    </row>
    <row r="153">
      <c r="A153" s="5" t="n"/>
      <c r="B153" s="5" t="n"/>
      <c r="C153" s="5" t="n"/>
      <c r="D153" s="5" t="n"/>
      <c r="E153" s="19">
        <f>IF(B153="","",SUMIF(BFTC!$B$5:$B$504,B153,BFTC!$E$5:$E$504))</f>
        <v/>
      </c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5" t="n"/>
      <c r="U153" s="21">
        <f>IF(OR(B153="",T153=""),"",IFERROR(1/(1/INDEX(F153:S153,MATCH(T153,$F$4:$S$4,0))),""))</f>
        <v/>
      </c>
      <c r="V153" s="21">
        <f>IF(OR(E153="",U153=""),"",E153*U153)</f>
        <v/>
      </c>
      <c r="W153" s="5" t="n"/>
    </row>
    <row r="154">
      <c r="A154" s="5" t="n"/>
      <c r="B154" s="5" t="n"/>
      <c r="C154" s="5" t="n"/>
      <c r="D154" s="5" t="n"/>
      <c r="E154" s="19">
        <f>IF(B154="","",SUMIF(BFTC!$B$5:$B$504,B154,BFTC!$E$5:$E$504))</f>
        <v/>
      </c>
      <c r="F154" s="20" t="n"/>
      <c r="G154" s="20" t="n"/>
      <c r="H154" s="20" t="n"/>
      <c r="I154" s="20" t="n"/>
      <c r="J154" s="20" t="n"/>
      <c r="K154" s="20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5" t="n"/>
      <c r="U154" s="21">
        <f>IF(OR(B154="",T154=""),"",IFERROR(1/(1/INDEX(F154:S154,MATCH(T154,$F$4:$S$4,0))),""))</f>
        <v/>
      </c>
      <c r="V154" s="21">
        <f>IF(OR(E154="",U154=""),"",E154*U154)</f>
        <v/>
      </c>
      <c r="W154" s="5" t="n"/>
    </row>
    <row r="155">
      <c r="A155" s="5" t="n"/>
      <c r="B155" s="5" t="n"/>
      <c r="C155" s="5" t="n"/>
      <c r="D155" s="5" t="n"/>
      <c r="E155" s="19">
        <f>IF(B155="","",SUMIF(BFTC!$B$5:$B$504,B155,BFTC!$E$5:$E$504))</f>
        <v/>
      </c>
      <c r="F155" s="20" t="n"/>
      <c r="G155" s="20" t="n"/>
      <c r="H155" s="20" t="n"/>
      <c r="I155" s="20" t="n"/>
      <c r="J155" s="20" t="n"/>
      <c r="K155" s="20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5" t="n"/>
      <c r="U155" s="21">
        <f>IF(OR(B155="",T155=""),"",IFERROR(1/(1/INDEX(F155:S155,MATCH(T155,$F$4:$S$4,0))),""))</f>
        <v/>
      </c>
      <c r="V155" s="21">
        <f>IF(OR(E155="",U155=""),"",E155*U155)</f>
        <v/>
      </c>
      <c r="W155" s="5" t="n"/>
    </row>
    <row r="156">
      <c r="A156" s="5" t="n"/>
      <c r="B156" s="5" t="n"/>
      <c r="C156" s="5" t="n"/>
      <c r="D156" s="5" t="n"/>
      <c r="E156" s="19">
        <f>IF(B156="","",SUMIF(BFTC!$B$5:$B$504,B156,BFTC!$E$5:$E$504))</f>
        <v/>
      </c>
      <c r="F156" s="20" t="n"/>
      <c r="G156" s="20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5" t="n"/>
      <c r="U156" s="21">
        <f>IF(OR(B156="",T156=""),"",IFERROR(1/(1/INDEX(F156:S156,MATCH(T156,$F$4:$S$4,0))),""))</f>
        <v/>
      </c>
      <c r="V156" s="21">
        <f>IF(OR(E156="",U156=""),"",E156*U156)</f>
        <v/>
      </c>
      <c r="W156" s="5" t="n"/>
    </row>
    <row r="157">
      <c r="A157" s="5" t="n"/>
      <c r="B157" s="5" t="n"/>
      <c r="C157" s="5" t="n"/>
      <c r="D157" s="5" t="n"/>
      <c r="E157" s="19">
        <f>IF(B157="","",SUMIF(BFTC!$B$5:$B$504,B157,BFTC!$E$5:$E$504))</f>
        <v/>
      </c>
      <c r="F157" s="20" t="n"/>
      <c r="G157" s="20" t="n"/>
      <c r="H157" s="20" t="n"/>
      <c r="I157" s="20" t="n"/>
      <c r="J157" s="20" t="n"/>
      <c r="K157" s="20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5" t="n"/>
      <c r="U157" s="21">
        <f>IF(OR(B157="",T157=""),"",IFERROR(1/(1/INDEX(F157:S157,MATCH(T157,$F$4:$S$4,0))),""))</f>
        <v/>
      </c>
      <c r="V157" s="21">
        <f>IF(OR(E157="",U157=""),"",E157*U157)</f>
        <v/>
      </c>
      <c r="W157" s="5" t="n"/>
    </row>
    <row r="158">
      <c r="A158" s="5" t="n"/>
      <c r="B158" s="5" t="n"/>
      <c r="C158" s="5" t="n"/>
      <c r="D158" s="5" t="n"/>
      <c r="E158" s="19">
        <f>IF(B158="","",SUMIF(BFTC!$B$5:$B$504,B158,BFTC!$E$5:$E$504))</f>
        <v/>
      </c>
      <c r="F158" s="20" t="n"/>
      <c r="G158" s="20" t="n"/>
      <c r="H158" s="20" t="n"/>
      <c r="I158" s="20" t="n"/>
      <c r="J158" s="20" t="n"/>
      <c r="K158" s="20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5" t="n"/>
      <c r="U158" s="21">
        <f>IF(OR(B158="",T158=""),"",IFERROR(1/(1/INDEX(F158:S158,MATCH(T158,$F$4:$S$4,0))),""))</f>
        <v/>
      </c>
      <c r="V158" s="21">
        <f>IF(OR(E158="",U158=""),"",E158*U158)</f>
        <v/>
      </c>
      <c r="W158" s="5" t="n"/>
    </row>
    <row r="159">
      <c r="A159" s="5" t="n"/>
      <c r="B159" s="5" t="n"/>
      <c r="C159" s="5" t="n"/>
      <c r="D159" s="5" t="n"/>
      <c r="E159" s="19">
        <f>IF(B159="","",SUMIF(BFTC!$B$5:$B$504,B159,BFTC!$E$5:$E$504))</f>
        <v/>
      </c>
      <c r="F159" s="20" t="n"/>
      <c r="G159" s="20" t="n"/>
      <c r="H159" s="20" t="n"/>
      <c r="I159" s="20" t="n"/>
      <c r="J159" s="20" t="n"/>
      <c r="K159" s="20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5" t="n"/>
      <c r="U159" s="21">
        <f>IF(OR(B159="",T159=""),"",IFERROR(1/(1/INDEX(F159:S159,MATCH(T159,$F$4:$S$4,0))),""))</f>
        <v/>
      </c>
      <c r="V159" s="21">
        <f>IF(OR(E159="",U159=""),"",E159*U159)</f>
        <v/>
      </c>
      <c r="W159" s="5" t="n"/>
    </row>
    <row r="160">
      <c r="A160" s="5" t="n"/>
      <c r="B160" s="5" t="n"/>
      <c r="C160" s="5" t="n"/>
      <c r="D160" s="5" t="n"/>
      <c r="E160" s="19">
        <f>IF(B160="","",SUMIF(BFTC!$B$5:$B$504,B160,BFTC!$E$5:$E$504))</f>
        <v/>
      </c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5" t="n"/>
      <c r="U160" s="21">
        <f>IF(OR(B160="",T160=""),"",IFERROR(1/(1/INDEX(F160:S160,MATCH(T160,$F$4:$S$4,0))),""))</f>
        <v/>
      </c>
      <c r="V160" s="21">
        <f>IF(OR(E160="",U160=""),"",E160*U160)</f>
        <v/>
      </c>
      <c r="W160" s="5" t="n"/>
    </row>
    <row r="161">
      <c r="A161" s="5" t="n"/>
      <c r="B161" s="5" t="n"/>
      <c r="C161" s="5" t="n"/>
      <c r="D161" s="5" t="n"/>
      <c r="E161" s="19">
        <f>IF(B161="","",SUMIF(BFTC!$B$5:$B$504,B161,BFTC!$E$5:$E$504))</f>
        <v/>
      </c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5" t="n"/>
      <c r="U161" s="21">
        <f>IF(OR(B161="",T161=""),"",IFERROR(1/(1/INDEX(F161:S161,MATCH(T161,$F$4:$S$4,0))),""))</f>
        <v/>
      </c>
      <c r="V161" s="21">
        <f>IF(OR(E161="",U161=""),"",E161*U161)</f>
        <v/>
      </c>
      <c r="W161" s="5" t="n"/>
    </row>
    <row r="162">
      <c r="A162" s="5" t="n"/>
      <c r="B162" s="5" t="n"/>
      <c r="C162" s="5" t="n"/>
      <c r="D162" s="5" t="n"/>
      <c r="E162" s="19">
        <f>IF(B162="","",SUMIF(BFTC!$B$5:$B$504,B162,BFTC!$E$5:$E$504))</f>
        <v/>
      </c>
      <c r="F162" s="20" t="n"/>
      <c r="G162" s="20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5" t="n"/>
      <c r="U162" s="21">
        <f>IF(OR(B162="",T162=""),"",IFERROR(1/(1/INDEX(F162:S162,MATCH(T162,$F$4:$S$4,0))),""))</f>
        <v/>
      </c>
      <c r="V162" s="21">
        <f>IF(OR(E162="",U162=""),"",E162*U162)</f>
        <v/>
      </c>
      <c r="W162" s="5" t="n"/>
    </row>
    <row r="163">
      <c r="A163" s="5" t="n"/>
      <c r="B163" s="5" t="n"/>
      <c r="C163" s="5" t="n"/>
      <c r="D163" s="5" t="n"/>
      <c r="E163" s="19">
        <f>IF(B163="","",SUMIF(BFTC!$B$5:$B$504,B163,BFTC!$E$5:$E$504))</f>
        <v/>
      </c>
      <c r="F163" s="20" t="n"/>
      <c r="G163" s="20" t="n"/>
      <c r="H163" s="20" t="n"/>
      <c r="I163" s="20" t="n"/>
      <c r="J163" s="20" t="n"/>
      <c r="K163" s="20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5" t="n"/>
      <c r="U163" s="21">
        <f>IF(OR(B163="",T163=""),"",IFERROR(1/(1/INDEX(F163:S163,MATCH(T163,$F$4:$S$4,0))),""))</f>
        <v/>
      </c>
      <c r="V163" s="21">
        <f>IF(OR(E163="",U163=""),"",E163*U163)</f>
        <v/>
      </c>
      <c r="W163" s="5" t="n"/>
    </row>
    <row r="164">
      <c r="A164" s="5" t="n"/>
      <c r="B164" s="5" t="n"/>
      <c r="C164" s="5" t="n"/>
      <c r="D164" s="5" t="n"/>
      <c r="E164" s="19">
        <f>IF(B164="","",SUMIF(BFTC!$B$5:$B$504,B164,BFTC!$E$5:$E$504))</f>
        <v/>
      </c>
      <c r="F164" s="20" t="n"/>
      <c r="G164" s="20" t="n"/>
      <c r="H164" s="20" t="n"/>
      <c r="I164" s="20" t="n"/>
      <c r="J164" s="20" t="n"/>
      <c r="K164" s="20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5" t="n"/>
      <c r="U164" s="21">
        <f>IF(OR(B164="",T164=""),"",IFERROR(1/(1/INDEX(F164:S164,MATCH(T164,$F$4:$S$4,0))),""))</f>
        <v/>
      </c>
      <c r="V164" s="21">
        <f>IF(OR(E164="",U164=""),"",E164*U164)</f>
        <v/>
      </c>
      <c r="W164" s="5" t="n"/>
    </row>
    <row r="165">
      <c r="A165" s="5" t="n"/>
      <c r="B165" s="5" t="n"/>
      <c r="C165" s="5" t="n"/>
      <c r="D165" s="5" t="n"/>
      <c r="E165" s="19">
        <f>IF(B165="","",SUMIF(BFTC!$B$5:$B$504,B165,BFTC!$E$5:$E$504))</f>
        <v/>
      </c>
      <c r="F165" s="20" t="n"/>
      <c r="G165" s="20" t="n"/>
      <c r="H165" s="20" t="n"/>
      <c r="I165" s="20" t="n"/>
      <c r="J165" s="20" t="n"/>
      <c r="K165" s="20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5" t="n"/>
      <c r="U165" s="21">
        <f>IF(OR(B165="",T165=""),"",IFERROR(1/(1/INDEX(F165:S165,MATCH(T165,$F$4:$S$4,0))),""))</f>
        <v/>
      </c>
      <c r="V165" s="21">
        <f>IF(OR(E165="",U165=""),"",E165*U165)</f>
        <v/>
      </c>
      <c r="W165" s="5" t="n"/>
    </row>
    <row r="166">
      <c r="A166" s="5" t="n"/>
      <c r="B166" s="5" t="n"/>
      <c r="C166" s="5" t="n"/>
      <c r="D166" s="5" t="n"/>
      <c r="E166" s="19">
        <f>IF(B166="","",SUMIF(BFTC!$B$5:$B$504,B166,BFTC!$E$5:$E$504))</f>
        <v/>
      </c>
      <c r="F166" s="20" t="n"/>
      <c r="G166" s="20" t="n"/>
      <c r="H166" s="20" t="n"/>
      <c r="I166" s="20" t="n"/>
      <c r="J166" s="20" t="n"/>
      <c r="K166" s="20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5" t="n"/>
      <c r="U166" s="21">
        <f>IF(OR(B166="",T166=""),"",IFERROR(1/(1/INDEX(F166:S166,MATCH(T166,$F$4:$S$4,0))),""))</f>
        <v/>
      </c>
      <c r="V166" s="21">
        <f>IF(OR(E166="",U166=""),"",E166*U166)</f>
        <v/>
      </c>
      <c r="W166" s="5" t="n"/>
    </row>
    <row r="167">
      <c r="A167" s="5" t="n"/>
      <c r="B167" s="5" t="n"/>
      <c r="C167" s="5" t="n"/>
      <c r="D167" s="5" t="n"/>
      <c r="E167" s="19">
        <f>IF(B167="","",SUMIF(BFTC!$B$5:$B$504,B167,BFTC!$E$5:$E$504))</f>
        <v/>
      </c>
      <c r="F167" s="20" t="n"/>
      <c r="G167" s="20" t="n"/>
      <c r="H167" s="20" t="n"/>
      <c r="I167" s="20" t="n"/>
      <c r="J167" s="20" t="n"/>
      <c r="K167" s="20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5" t="n"/>
      <c r="U167" s="21">
        <f>IF(OR(B167="",T167=""),"",IFERROR(1/(1/INDEX(F167:S167,MATCH(T167,$F$4:$S$4,0))),""))</f>
        <v/>
      </c>
      <c r="V167" s="21">
        <f>IF(OR(E167="",U167=""),"",E167*U167)</f>
        <v/>
      </c>
      <c r="W167" s="5" t="n"/>
    </row>
    <row r="168">
      <c r="A168" s="5" t="n"/>
      <c r="B168" s="5" t="n"/>
      <c r="C168" s="5" t="n"/>
      <c r="D168" s="5" t="n"/>
      <c r="E168" s="19">
        <f>IF(B168="","",SUMIF(BFTC!$B$5:$B$504,B168,BFTC!$E$5:$E$504))</f>
        <v/>
      </c>
      <c r="F168" s="20" t="n"/>
      <c r="G168" s="20" t="n"/>
      <c r="H168" s="20" t="n"/>
      <c r="I168" s="20" t="n"/>
      <c r="J168" s="20" t="n"/>
      <c r="K168" s="20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5" t="n"/>
      <c r="U168" s="21">
        <f>IF(OR(B168="",T168=""),"",IFERROR(1/(1/INDEX(F168:S168,MATCH(T168,$F$4:$S$4,0))),""))</f>
        <v/>
      </c>
      <c r="V168" s="21">
        <f>IF(OR(E168="",U168=""),"",E168*U168)</f>
        <v/>
      </c>
      <c r="W168" s="5" t="n"/>
    </row>
    <row r="169">
      <c r="A169" s="5" t="n"/>
      <c r="B169" s="5" t="n"/>
      <c r="C169" s="5" t="n"/>
      <c r="D169" s="5" t="n"/>
      <c r="E169" s="19">
        <f>IF(B169="","",SUMIF(BFTC!$B$5:$B$504,B169,BFTC!$E$5:$E$504))</f>
        <v/>
      </c>
      <c r="F169" s="20" t="n"/>
      <c r="G169" s="20" t="n"/>
      <c r="H169" s="20" t="n"/>
      <c r="I169" s="20" t="n"/>
      <c r="J169" s="20" t="n"/>
      <c r="K169" s="20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5" t="n"/>
      <c r="U169" s="21">
        <f>IF(OR(B169="",T169=""),"",IFERROR(1/(1/INDEX(F169:S169,MATCH(T169,$F$4:$S$4,0))),""))</f>
        <v/>
      </c>
      <c r="V169" s="21">
        <f>IF(OR(E169="",U169=""),"",E169*U169)</f>
        <v/>
      </c>
      <c r="W169" s="5" t="n"/>
    </row>
    <row r="170">
      <c r="A170" s="5" t="n"/>
      <c r="B170" s="5" t="n"/>
      <c r="C170" s="5" t="n"/>
      <c r="D170" s="5" t="n"/>
      <c r="E170" s="19">
        <f>IF(B170="","",SUMIF(BFTC!$B$5:$B$504,B170,BFTC!$E$5:$E$504))</f>
        <v/>
      </c>
      <c r="F170" s="20" t="n"/>
      <c r="G170" s="20" t="n"/>
      <c r="H170" s="20" t="n"/>
      <c r="I170" s="20" t="n"/>
      <c r="J170" s="20" t="n"/>
      <c r="K170" s="20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5" t="n"/>
      <c r="U170" s="21">
        <f>IF(OR(B170="",T170=""),"",IFERROR(1/(1/INDEX(F170:S170,MATCH(T170,$F$4:$S$4,0))),""))</f>
        <v/>
      </c>
      <c r="V170" s="21">
        <f>IF(OR(E170="",U170=""),"",E170*U170)</f>
        <v/>
      </c>
      <c r="W170" s="5" t="n"/>
    </row>
    <row r="171">
      <c r="A171" s="5" t="n"/>
      <c r="B171" s="5" t="n"/>
      <c r="C171" s="5" t="n"/>
      <c r="D171" s="5" t="n"/>
      <c r="E171" s="19">
        <f>IF(B171="","",SUMIF(BFTC!$B$5:$B$504,B171,BFTC!$E$5:$E$504))</f>
        <v/>
      </c>
      <c r="F171" s="20" t="n"/>
      <c r="G171" s="20" t="n"/>
      <c r="H171" s="20" t="n"/>
      <c r="I171" s="20" t="n"/>
      <c r="J171" s="20" t="n"/>
      <c r="K171" s="20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5" t="n"/>
      <c r="U171" s="21">
        <f>IF(OR(B171="",T171=""),"",IFERROR(1/(1/INDEX(F171:S171,MATCH(T171,$F$4:$S$4,0))),""))</f>
        <v/>
      </c>
      <c r="V171" s="21">
        <f>IF(OR(E171="",U171=""),"",E171*U171)</f>
        <v/>
      </c>
      <c r="W171" s="5" t="n"/>
    </row>
    <row r="172">
      <c r="A172" s="5" t="n"/>
      <c r="B172" s="5" t="n"/>
      <c r="C172" s="5" t="n"/>
      <c r="D172" s="5" t="n"/>
      <c r="E172" s="19">
        <f>IF(B172="","",SUMIF(BFTC!$B$5:$B$504,B172,BFTC!$E$5:$E$504))</f>
        <v/>
      </c>
      <c r="F172" s="20" t="n"/>
      <c r="G172" s="20" t="n"/>
      <c r="H172" s="20" t="n"/>
      <c r="I172" s="20" t="n"/>
      <c r="J172" s="20" t="n"/>
      <c r="K172" s="20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5" t="n"/>
      <c r="U172" s="21">
        <f>IF(OR(B172="",T172=""),"",IFERROR(1/(1/INDEX(F172:S172,MATCH(T172,$F$4:$S$4,0))),""))</f>
        <v/>
      </c>
      <c r="V172" s="21">
        <f>IF(OR(E172="",U172=""),"",E172*U172)</f>
        <v/>
      </c>
      <c r="W172" s="5" t="n"/>
    </row>
    <row r="173">
      <c r="A173" s="5" t="n"/>
      <c r="B173" s="5" t="n"/>
      <c r="C173" s="5" t="n"/>
      <c r="D173" s="5" t="n"/>
      <c r="E173" s="19">
        <f>IF(B173="","",SUMIF(BFTC!$B$5:$B$504,B173,BFTC!$E$5:$E$504))</f>
        <v/>
      </c>
      <c r="F173" s="20" t="n"/>
      <c r="G173" s="20" t="n"/>
      <c r="H173" s="20" t="n"/>
      <c r="I173" s="20" t="n"/>
      <c r="J173" s="20" t="n"/>
      <c r="K173" s="20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5" t="n"/>
      <c r="U173" s="21">
        <f>IF(OR(B173="",T173=""),"",IFERROR(1/(1/INDEX(F173:S173,MATCH(T173,$F$4:$S$4,0))),""))</f>
        <v/>
      </c>
      <c r="V173" s="21">
        <f>IF(OR(E173="",U173=""),"",E173*U173)</f>
        <v/>
      </c>
      <c r="W173" s="5" t="n"/>
    </row>
    <row r="174">
      <c r="A174" s="5" t="n"/>
      <c r="B174" s="5" t="n"/>
      <c r="C174" s="5" t="n"/>
      <c r="D174" s="5" t="n"/>
      <c r="E174" s="19">
        <f>IF(B174="","",SUMIF(BFTC!$B$5:$B$504,B174,BFTC!$E$5:$E$504))</f>
        <v/>
      </c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5" t="n"/>
      <c r="U174" s="21">
        <f>IF(OR(B174="",T174=""),"",IFERROR(1/(1/INDEX(F174:S174,MATCH(T174,$F$4:$S$4,0))),""))</f>
        <v/>
      </c>
      <c r="V174" s="21">
        <f>IF(OR(E174="",U174=""),"",E174*U174)</f>
        <v/>
      </c>
      <c r="W174" s="5" t="n"/>
    </row>
    <row r="175">
      <c r="A175" s="5" t="n"/>
      <c r="B175" s="5" t="n"/>
      <c r="C175" s="5" t="n"/>
      <c r="D175" s="5" t="n"/>
      <c r="E175" s="19">
        <f>IF(B175="","",SUMIF(BFTC!$B$5:$B$504,B175,BFTC!$E$5:$E$504))</f>
        <v/>
      </c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5" t="n"/>
      <c r="U175" s="21">
        <f>IF(OR(B175="",T175=""),"",IFERROR(1/(1/INDEX(F175:S175,MATCH(T175,$F$4:$S$4,0))),""))</f>
        <v/>
      </c>
      <c r="V175" s="21">
        <f>IF(OR(E175="",U175=""),"",E175*U175)</f>
        <v/>
      </c>
      <c r="W175" s="5" t="n"/>
    </row>
    <row r="176">
      <c r="A176" s="5" t="n"/>
      <c r="B176" s="5" t="n"/>
      <c r="C176" s="5" t="n"/>
      <c r="D176" s="5" t="n"/>
      <c r="E176" s="19">
        <f>IF(B176="","",SUMIF(BFTC!$B$5:$B$504,B176,BFTC!$E$5:$E$504))</f>
        <v/>
      </c>
      <c r="F176" s="20" t="n"/>
      <c r="G176" s="20" t="n"/>
      <c r="H176" s="20" t="n"/>
      <c r="I176" s="20" t="n"/>
      <c r="J176" s="20" t="n"/>
      <c r="K176" s="20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5" t="n"/>
      <c r="U176" s="21">
        <f>IF(OR(B176="",T176=""),"",IFERROR(1/(1/INDEX(F176:S176,MATCH(T176,$F$4:$S$4,0))),""))</f>
        <v/>
      </c>
      <c r="V176" s="21">
        <f>IF(OR(E176="",U176=""),"",E176*U176)</f>
        <v/>
      </c>
      <c r="W176" s="5" t="n"/>
    </row>
    <row r="177">
      <c r="A177" s="5" t="n"/>
      <c r="B177" s="5" t="n"/>
      <c r="C177" s="5" t="n"/>
      <c r="D177" s="5" t="n"/>
      <c r="E177" s="19">
        <f>IF(B177="","",SUMIF(BFTC!$B$5:$B$504,B177,BFTC!$E$5:$E$504))</f>
        <v/>
      </c>
      <c r="F177" s="20" t="n"/>
      <c r="G177" s="20" t="n"/>
      <c r="H177" s="20" t="n"/>
      <c r="I177" s="20" t="n"/>
      <c r="J177" s="20" t="n"/>
      <c r="K177" s="20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5" t="n"/>
      <c r="U177" s="21">
        <f>IF(OR(B177="",T177=""),"",IFERROR(1/(1/INDEX(F177:S177,MATCH(T177,$F$4:$S$4,0))),""))</f>
        <v/>
      </c>
      <c r="V177" s="21">
        <f>IF(OR(E177="",U177=""),"",E177*U177)</f>
        <v/>
      </c>
      <c r="W177" s="5" t="n"/>
    </row>
    <row r="178">
      <c r="A178" s="5" t="n"/>
      <c r="B178" s="5" t="n"/>
      <c r="C178" s="5" t="n"/>
      <c r="D178" s="5" t="n"/>
      <c r="E178" s="19">
        <f>IF(B178="","",SUMIF(BFTC!$B$5:$B$504,B178,BFTC!$E$5:$E$504))</f>
        <v/>
      </c>
      <c r="F178" s="20" t="n"/>
      <c r="G178" s="20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5" t="n"/>
      <c r="U178" s="21">
        <f>IF(OR(B178="",T178=""),"",IFERROR(1/(1/INDEX(F178:S178,MATCH(T178,$F$4:$S$4,0))),""))</f>
        <v/>
      </c>
      <c r="V178" s="21">
        <f>IF(OR(E178="",U178=""),"",E178*U178)</f>
        <v/>
      </c>
      <c r="W178" s="5" t="n"/>
    </row>
    <row r="179">
      <c r="A179" s="5" t="n"/>
      <c r="B179" s="5" t="n"/>
      <c r="C179" s="5" t="n"/>
      <c r="D179" s="5" t="n"/>
      <c r="E179" s="19">
        <f>IF(B179="","",SUMIF(BFTC!$B$5:$B$504,B179,BFTC!$E$5:$E$504))</f>
        <v/>
      </c>
      <c r="F179" s="20" t="n"/>
      <c r="G179" s="20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5" t="n"/>
      <c r="U179" s="21">
        <f>IF(OR(B179="",T179=""),"",IFERROR(1/(1/INDEX(F179:S179,MATCH(T179,$F$4:$S$4,0))),""))</f>
        <v/>
      </c>
      <c r="V179" s="21">
        <f>IF(OR(E179="",U179=""),"",E179*U179)</f>
        <v/>
      </c>
      <c r="W179" s="5" t="n"/>
    </row>
    <row r="180">
      <c r="A180" s="5" t="n"/>
      <c r="B180" s="5" t="n"/>
      <c r="C180" s="5" t="n"/>
      <c r="D180" s="5" t="n"/>
      <c r="E180" s="19">
        <f>IF(B180="","",SUMIF(BFTC!$B$5:$B$504,B180,BFTC!$E$5:$E$504))</f>
        <v/>
      </c>
      <c r="F180" s="20" t="n"/>
      <c r="G180" s="20" t="n"/>
      <c r="H180" s="20" t="n"/>
      <c r="I180" s="20" t="n"/>
      <c r="J180" s="20" t="n"/>
      <c r="K180" s="20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5" t="n"/>
      <c r="U180" s="21">
        <f>IF(OR(B180="",T180=""),"",IFERROR(1/(1/INDEX(F180:S180,MATCH(T180,$F$4:$S$4,0))),""))</f>
        <v/>
      </c>
      <c r="V180" s="21">
        <f>IF(OR(E180="",U180=""),"",E180*U180)</f>
        <v/>
      </c>
      <c r="W180" s="5" t="n"/>
    </row>
    <row r="181">
      <c r="A181" s="5" t="n"/>
      <c r="B181" s="5" t="n"/>
      <c r="C181" s="5" t="n"/>
      <c r="D181" s="5" t="n"/>
      <c r="E181" s="19">
        <f>IF(B181="","",SUMIF(BFTC!$B$5:$B$504,B181,BFTC!$E$5:$E$504))</f>
        <v/>
      </c>
      <c r="F181" s="20" t="n"/>
      <c r="G181" s="20" t="n"/>
      <c r="H181" s="20" t="n"/>
      <c r="I181" s="20" t="n"/>
      <c r="J181" s="20" t="n"/>
      <c r="K181" s="20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5" t="n"/>
      <c r="U181" s="21">
        <f>IF(OR(B181="",T181=""),"",IFERROR(1/(1/INDEX(F181:S181,MATCH(T181,$F$4:$S$4,0))),""))</f>
        <v/>
      </c>
      <c r="V181" s="21">
        <f>IF(OR(E181="",U181=""),"",E181*U181)</f>
        <v/>
      </c>
      <c r="W181" s="5" t="n"/>
    </row>
    <row r="182">
      <c r="A182" s="5" t="n"/>
      <c r="B182" s="5" t="n"/>
      <c r="C182" s="5" t="n"/>
      <c r="D182" s="5" t="n"/>
      <c r="E182" s="19">
        <f>IF(B182="","",SUMIF(BFTC!$B$5:$B$504,B182,BFTC!$E$5:$E$504))</f>
        <v/>
      </c>
      <c r="F182" s="20" t="n"/>
      <c r="G182" s="20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5" t="n"/>
      <c r="U182" s="21">
        <f>IF(OR(B182="",T182=""),"",IFERROR(1/(1/INDEX(F182:S182,MATCH(T182,$F$4:$S$4,0))),""))</f>
        <v/>
      </c>
      <c r="V182" s="21">
        <f>IF(OR(E182="",U182=""),"",E182*U182)</f>
        <v/>
      </c>
      <c r="W182" s="5" t="n"/>
    </row>
    <row r="183">
      <c r="A183" s="5" t="n"/>
      <c r="B183" s="5" t="n"/>
      <c r="C183" s="5" t="n"/>
      <c r="D183" s="5" t="n"/>
      <c r="E183" s="19">
        <f>IF(B183="","",SUMIF(BFTC!$B$5:$B$504,B183,BFTC!$E$5:$E$504))</f>
        <v/>
      </c>
      <c r="F183" s="20" t="n"/>
      <c r="G183" s="20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5" t="n"/>
      <c r="U183" s="21">
        <f>IF(OR(B183="",T183=""),"",IFERROR(1/(1/INDEX(F183:S183,MATCH(T183,$F$4:$S$4,0))),""))</f>
        <v/>
      </c>
      <c r="V183" s="21">
        <f>IF(OR(E183="",U183=""),"",E183*U183)</f>
        <v/>
      </c>
      <c r="W183" s="5" t="n"/>
    </row>
    <row r="184">
      <c r="A184" s="5" t="n"/>
      <c r="B184" s="5" t="n"/>
      <c r="C184" s="5" t="n"/>
      <c r="D184" s="5" t="n"/>
      <c r="E184" s="19">
        <f>IF(B184="","",SUMIF(BFTC!$B$5:$B$504,B184,BFTC!$E$5:$E$504))</f>
        <v/>
      </c>
      <c r="F184" s="20" t="n"/>
      <c r="G184" s="20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5" t="n"/>
      <c r="U184" s="21">
        <f>IF(OR(B184="",T184=""),"",IFERROR(1/(1/INDEX(F184:S184,MATCH(T184,$F$4:$S$4,0))),""))</f>
        <v/>
      </c>
      <c r="V184" s="21">
        <f>IF(OR(E184="",U184=""),"",E184*U184)</f>
        <v/>
      </c>
      <c r="W184" s="5" t="n"/>
    </row>
    <row r="185">
      <c r="A185" s="5" t="n"/>
      <c r="B185" s="5" t="n"/>
      <c r="C185" s="5" t="n"/>
      <c r="D185" s="5" t="n"/>
      <c r="E185" s="19">
        <f>IF(B185="","",SUMIF(BFTC!$B$5:$B$504,B185,BFTC!$E$5:$E$504))</f>
        <v/>
      </c>
      <c r="F185" s="20" t="n"/>
      <c r="G185" s="20" t="n"/>
      <c r="H185" s="20" t="n"/>
      <c r="I185" s="20" t="n"/>
      <c r="J185" s="20" t="n"/>
      <c r="K185" s="20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5" t="n"/>
      <c r="U185" s="21">
        <f>IF(OR(B185="",T185=""),"",IFERROR(1/(1/INDEX(F185:S185,MATCH(T185,$F$4:$S$4,0))),""))</f>
        <v/>
      </c>
      <c r="V185" s="21">
        <f>IF(OR(E185="",U185=""),"",E185*U185)</f>
        <v/>
      </c>
      <c r="W185" s="5" t="n"/>
    </row>
    <row r="186">
      <c r="A186" s="5" t="n"/>
      <c r="B186" s="5" t="n"/>
      <c r="C186" s="5" t="n"/>
      <c r="D186" s="5" t="n"/>
      <c r="E186" s="19">
        <f>IF(B186="","",SUMIF(BFTC!$B$5:$B$504,B186,BFTC!$E$5:$E$504))</f>
        <v/>
      </c>
      <c r="F186" s="20" t="n"/>
      <c r="G186" s="20" t="n"/>
      <c r="H186" s="20" t="n"/>
      <c r="I186" s="20" t="n"/>
      <c r="J186" s="20" t="n"/>
      <c r="K186" s="20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5" t="n"/>
      <c r="U186" s="21">
        <f>IF(OR(B186="",T186=""),"",IFERROR(1/(1/INDEX(F186:S186,MATCH(T186,$F$4:$S$4,0))),""))</f>
        <v/>
      </c>
      <c r="V186" s="21">
        <f>IF(OR(E186="",U186=""),"",E186*U186)</f>
        <v/>
      </c>
      <c r="W186" s="5" t="n"/>
    </row>
    <row r="187">
      <c r="A187" s="5" t="n"/>
      <c r="B187" s="5" t="n"/>
      <c r="C187" s="5" t="n"/>
      <c r="D187" s="5" t="n"/>
      <c r="E187" s="19">
        <f>IF(B187="","",SUMIF(BFTC!$B$5:$B$504,B187,BFTC!$E$5:$E$504))</f>
        <v/>
      </c>
      <c r="F187" s="20" t="n"/>
      <c r="G187" s="20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5" t="n"/>
      <c r="U187" s="21">
        <f>IF(OR(B187="",T187=""),"",IFERROR(1/(1/INDEX(F187:S187,MATCH(T187,$F$4:$S$4,0))),""))</f>
        <v/>
      </c>
      <c r="V187" s="21">
        <f>IF(OR(E187="",U187=""),"",E187*U187)</f>
        <v/>
      </c>
      <c r="W187" s="5" t="n"/>
    </row>
    <row r="188">
      <c r="A188" s="5" t="n"/>
      <c r="B188" s="5" t="n"/>
      <c r="C188" s="5" t="n"/>
      <c r="D188" s="5" t="n"/>
      <c r="E188" s="19">
        <f>IF(B188="","",SUMIF(BFTC!$B$5:$B$504,B188,BFTC!$E$5:$E$504))</f>
        <v/>
      </c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5" t="n"/>
      <c r="U188" s="21">
        <f>IF(OR(B188="",T188=""),"",IFERROR(1/(1/INDEX(F188:S188,MATCH(T188,$F$4:$S$4,0))),""))</f>
        <v/>
      </c>
      <c r="V188" s="21">
        <f>IF(OR(E188="",U188=""),"",E188*U188)</f>
        <v/>
      </c>
      <c r="W188" s="5" t="n"/>
    </row>
    <row r="189">
      <c r="A189" s="5" t="n"/>
      <c r="B189" s="5" t="n"/>
      <c r="C189" s="5" t="n"/>
      <c r="D189" s="5" t="n"/>
      <c r="E189" s="19">
        <f>IF(B189="","",SUMIF(BFTC!$B$5:$B$504,B189,BFTC!$E$5:$E$504))</f>
        <v/>
      </c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5" t="n"/>
      <c r="U189" s="21">
        <f>IF(OR(B189="",T189=""),"",IFERROR(1/(1/INDEX(F189:S189,MATCH(T189,$F$4:$S$4,0))),""))</f>
        <v/>
      </c>
      <c r="V189" s="21">
        <f>IF(OR(E189="",U189=""),"",E189*U189)</f>
        <v/>
      </c>
      <c r="W189" s="5" t="n"/>
    </row>
    <row r="190">
      <c r="A190" s="5" t="n"/>
      <c r="B190" s="5" t="n"/>
      <c r="C190" s="5" t="n"/>
      <c r="D190" s="5" t="n"/>
      <c r="E190" s="19">
        <f>IF(B190="","",SUMIF(BFTC!$B$5:$B$504,B190,BFTC!$E$5:$E$504))</f>
        <v/>
      </c>
      <c r="F190" s="20" t="n"/>
      <c r="G190" s="20" t="n"/>
      <c r="H190" s="20" t="n"/>
      <c r="I190" s="20" t="n"/>
      <c r="J190" s="20" t="n"/>
      <c r="K190" s="20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5" t="n"/>
      <c r="U190" s="21">
        <f>IF(OR(B190="",T190=""),"",IFERROR(1/(1/INDEX(F190:S190,MATCH(T190,$F$4:$S$4,0))),""))</f>
        <v/>
      </c>
      <c r="V190" s="21">
        <f>IF(OR(E190="",U190=""),"",E190*U190)</f>
        <v/>
      </c>
      <c r="W190" s="5" t="n"/>
    </row>
    <row r="191">
      <c r="A191" s="5" t="n"/>
      <c r="B191" s="5" t="n"/>
      <c r="C191" s="5" t="n"/>
      <c r="D191" s="5" t="n"/>
      <c r="E191" s="19">
        <f>IF(B191="","",SUMIF(BFTC!$B$5:$B$504,B191,BFTC!$E$5:$E$504))</f>
        <v/>
      </c>
      <c r="F191" s="20" t="n"/>
      <c r="G191" s="20" t="n"/>
      <c r="H191" s="20" t="n"/>
      <c r="I191" s="20" t="n"/>
      <c r="J191" s="20" t="n"/>
      <c r="K191" s="20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5" t="n"/>
      <c r="U191" s="21">
        <f>IF(OR(B191="",T191=""),"",IFERROR(1/(1/INDEX(F191:S191,MATCH(T191,$F$4:$S$4,0))),""))</f>
        <v/>
      </c>
      <c r="V191" s="21">
        <f>IF(OR(E191="",U191=""),"",E191*U191)</f>
        <v/>
      </c>
      <c r="W191" s="5" t="n"/>
    </row>
    <row r="192">
      <c r="A192" s="5" t="n"/>
      <c r="B192" s="5" t="n"/>
      <c r="C192" s="5" t="n"/>
      <c r="D192" s="5" t="n"/>
      <c r="E192" s="19">
        <f>IF(B192="","",SUMIF(BFTC!$B$5:$B$504,B192,BFTC!$E$5:$E$504))</f>
        <v/>
      </c>
      <c r="F192" s="20" t="n"/>
      <c r="G192" s="20" t="n"/>
      <c r="H192" s="20" t="n"/>
      <c r="I192" s="20" t="n"/>
      <c r="J192" s="20" t="n"/>
      <c r="K192" s="20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5" t="n"/>
      <c r="U192" s="21">
        <f>IF(OR(B192="",T192=""),"",IFERROR(1/(1/INDEX(F192:S192,MATCH(T192,$F$4:$S$4,0))),""))</f>
        <v/>
      </c>
      <c r="V192" s="21">
        <f>IF(OR(E192="",U192=""),"",E192*U192)</f>
        <v/>
      </c>
      <c r="W192" s="5" t="n"/>
    </row>
    <row r="193">
      <c r="A193" s="5" t="n"/>
      <c r="B193" s="5" t="n"/>
      <c r="C193" s="5" t="n"/>
      <c r="D193" s="5" t="n"/>
      <c r="E193" s="19">
        <f>IF(B193="","",SUMIF(BFTC!$B$5:$B$504,B193,BFTC!$E$5:$E$504))</f>
        <v/>
      </c>
      <c r="F193" s="20" t="n"/>
      <c r="G193" s="20" t="n"/>
      <c r="H193" s="20" t="n"/>
      <c r="I193" s="20" t="n"/>
      <c r="J193" s="20" t="n"/>
      <c r="K193" s="20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5" t="n"/>
      <c r="U193" s="21">
        <f>IF(OR(B193="",T193=""),"",IFERROR(1/(1/INDEX(F193:S193,MATCH(T193,$F$4:$S$4,0))),""))</f>
        <v/>
      </c>
      <c r="V193" s="21">
        <f>IF(OR(E193="",U193=""),"",E193*U193)</f>
        <v/>
      </c>
      <c r="W193" s="5" t="n"/>
    </row>
    <row r="194">
      <c r="A194" s="5" t="n"/>
      <c r="B194" s="5" t="n"/>
      <c r="C194" s="5" t="n"/>
      <c r="D194" s="5" t="n"/>
      <c r="E194" s="19">
        <f>IF(B194="","",SUMIF(BFTC!$B$5:$B$504,B194,BFTC!$E$5:$E$504))</f>
        <v/>
      </c>
      <c r="F194" s="20" t="n"/>
      <c r="G194" s="20" t="n"/>
      <c r="H194" s="20" t="n"/>
      <c r="I194" s="20" t="n"/>
      <c r="J194" s="20" t="n"/>
      <c r="K194" s="20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5" t="n"/>
      <c r="U194" s="21">
        <f>IF(OR(B194="",T194=""),"",IFERROR(1/(1/INDEX(F194:S194,MATCH(T194,$F$4:$S$4,0))),""))</f>
        <v/>
      </c>
      <c r="V194" s="21">
        <f>IF(OR(E194="",U194=""),"",E194*U194)</f>
        <v/>
      </c>
      <c r="W194" s="5" t="n"/>
    </row>
    <row r="195">
      <c r="A195" s="5" t="n"/>
      <c r="B195" s="5" t="n"/>
      <c r="C195" s="5" t="n"/>
      <c r="D195" s="5" t="n"/>
      <c r="E195" s="19">
        <f>IF(B195="","",SUMIF(BFTC!$B$5:$B$504,B195,BFTC!$E$5:$E$504))</f>
        <v/>
      </c>
      <c r="F195" s="20" t="n"/>
      <c r="G195" s="20" t="n"/>
      <c r="H195" s="20" t="n"/>
      <c r="I195" s="20" t="n"/>
      <c r="J195" s="20" t="n"/>
      <c r="K195" s="20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5" t="n"/>
      <c r="U195" s="21">
        <f>IF(OR(B195="",T195=""),"",IFERROR(1/(1/INDEX(F195:S195,MATCH(T195,$F$4:$S$4,0))),""))</f>
        <v/>
      </c>
      <c r="V195" s="21">
        <f>IF(OR(E195="",U195=""),"",E195*U195)</f>
        <v/>
      </c>
      <c r="W195" s="5" t="n"/>
    </row>
    <row r="196">
      <c r="A196" s="5" t="n"/>
      <c r="B196" s="5" t="n"/>
      <c r="C196" s="5" t="n"/>
      <c r="D196" s="5" t="n"/>
      <c r="E196" s="19">
        <f>IF(B196="","",SUMIF(BFTC!$B$5:$B$504,B196,BFTC!$E$5:$E$504))</f>
        <v/>
      </c>
      <c r="F196" s="20" t="n"/>
      <c r="G196" s="20" t="n"/>
      <c r="H196" s="20" t="n"/>
      <c r="I196" s="20" t="n"/>
      <c r="J196" s="20" t="n"/>
      <c r="K196" s="20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5" t="n"/>
      <c r="U196" s="21">
        <f>IF(OR(B196="",T196=""),"",IFERROR(1/(1/INDEX(F196:S196,MATCH(T196,$F$4:$S$4,0))),""))</f>
        <v/>
      </c>
      <c r="V196" s="21">
        <f>IF(OR(E196="",U196=""),"",E196*U196)</f>
        <v/>
      </c>
      <c r="W196" s="5" t="n"/>
    </row>
    <row r="197">
      <c r="A197" s="5" t="n"/>
      <c r="B197" s="5" t="n"/>
      <c r="C197" s="5" t="n"/>
      <c r="D197" s="5" t="n"/>
      <c r="E197" s="19">
        <f>IF(B197="","",SUMIF(BFTC!$B$5:$B$504,B197,BFTC!$E$5:$E$504))</f>
        <v/>
      </c>
      <c r="F197" s="20" t="n"/>
      <c r="G197" s="20" t="n"/>
      <c r="H197" s="20" t="n"/>
      <c r="I197" s="20" t="n"/>
      <c r="J197" s="20" t="n"/>
      <c r="K197" s="20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5" t="n"/>
      <c r="U197" s="21">
        <f>IF(OR(B197="",T197=""),"",IFERROR(1/(1/INDEX(F197:S197,MATCH(T197,$F$4:$S$4,0))),""))</f>
        <v/>
      </c>
      <c r="V197" s="21">
        <f>IF(OR(E197="",U197=""),"",E197*U197)</f>
        <v/>
      </c>
      <c r="W197" s="5" t="n"/>
    </row>
    <row r="198">
      <c r="A198" s="5" t="n"/>
      <c r="B198" s="5" t="n"/>
      <c r="C198" s="5" t="n"/>
      <c r="D198" s="5" t="n"/>
      <c r="E198" s="19">
        <f>IF(B198="","",SUMIF(BFTC!$B$5:$B$504,B198,BFTC!$E$5:$E$504))</f>
        <v/>
      </c>
      <c r="F198" s="20" t="n"/>
      <c r="G198" s="20" t="n"/>
      <c r="H198" s="20" t="n"/>
      <c r="I198" s="20" t="n"/>
      <c r="J198" s="20" t="n"/>
      <c r="K198" s="20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5" t="n"/>
      <c r="U198" s="21">
        <f>IF(OR(B198="",T198=""),"",IFERROR(1/(1/INDEX(F198:S198,MATCH(T198,$F$4:$S$4,0))),""))</f>
        <v/>
      </c>
      <c r="V198" s="21">
        <f>IF(OR(E198="",U198=""),"",E198*U198)</f>
        <v/>
      </c>
      <c r="W198" s="5" t="n"/>
    </row>
    <row r="199">
      <c r="A199" s="5" t="n"/>
      <c r="B199" s="5" t="n"/>
      <c r="C199" s="5" t="n"/>
      <c r="D199" s="5" t="n"/>
      <c r="E199" s="19">
        <f>IF(B199="","",SUMIF(BFTC!$B$5:$B$504,B199,BFTC!$E$5:$E$504))</f>
        <v/>
      </c>
      <c r="F199" s="20" t="n"/>
      <c r="G199" s="20" t="n"/>
      <c r="H199" s="20" t="n"/>
      <c r="I199" s="20" t="n"/>
      <c r="J199" s="20" t="n"/>
      <c r="K199" s="20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5" t="n"/>
      <c r="U199" s="21">
        <f>IF(OR(B199="",T199=""),"",IFERROR(1/(1/INDEX(F199:S199,MATCH(T199,$F$4:$S$4,0))),""))</f>
        <v/>
      </c>
      <c r="V199" s="21">
        <f>IF(OR(E199="",U199=""),"",E199*U199)</f>
        <v/>
      </c>
      <c r="W199" s="5" t="n"/>
    </row>
    <row r="200">
      <c r="A200" s="5" t="n"/>
      <c r="B200" s="5" t="n"/>
      <c r="C200" s="5" t="n"/>
      <c r="D200" s="5" t="n"/>
      <c r="E200" s="19">
        <f>IF(B200="","",SUMIF(BFTC!$B$5:$B$504,B200,BFTC!$E$5:$E$504))</f>
        <v/>
      </c>
      <c r="F200" s="20" t="n"/>
      <c r="G200" s="20" t="n"/>
      <c r="H200" s="20" t="n"/>
      <c r="I200" s="20" t="n"/>
      <c r="J200" s="20" t="n"/>
      <c r="K200" s="20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5" t="n"/>
      <c r="U200" s="21">
        <f>IF(OR(B200="",T200=""),"",IFERROR(1/(1/INDEX(F200:S200,MATCH(T200,$F$4:$S$4,0))),""))</f>
        <v/>
      </c>
      <c r="V200" s="21">
        <f>IF(OR(E200="",U200=""),"",E200*U200)</f>
        <v/>
      </c>
      <c r="W200" s="5" t="n"/>
    </row>
    <row r="201">
      <c r="A201" s="5" t="n"/>
      <c r="B201" s="5" t="n"/>
      <c r="C201" s="5" t="n"/>
      <c r="D201" s="5" t="n"/>
      <c r="E201" s="19">
        <f>IF(B201="","",SUMIF(BFTC!$B$5:$B$504,B201,BFTC!$E$5:$E$504))</f>
        <v/>
      </c>
      <c r="F201" s="20" t="n"/>
      <c r="G201" s="20" t="n"/>
      <c r="H201" s="20" t="n"/>
      <c r="I201" s="20" t="n"/>
      <c r="J201" s="20" t="n"/>
      <c r="K201" s="20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5" t="n"/>
      <c r="U201" s="21">
        <f>IF(OR(B201="",T201=""),"",IFERROR(1/(1/INDEX(F201:S201,MATCH(T201,$F$4:$S$4,0))),""))</f>
        <v/>
      </c>
      <c r="V201" s="21">
        <f>IF(OR(E201="",U201=""),"",E201*U201)</f>
        <v/>
      </c>
      <c r="W201" s="5" t="n"/>
    </row>
    <row r="202">
      <c r="A202" s="5" t="n"/>
      <c r="B202" s="5" t="n"/>
      <c r="C202" s="5" t="n"/>
      <c r="D202" s="5" t="n"/>
      <c r="E202" s="19">
        <f>IF(B202="","",SUMIF(BFTC!$B$5:$B$504,B202,BFTC!$E$5:$E$504))</f>
        <v/>
      </c>
      <c r="F202" s="20" t="n"/>
      <c r="G202" s="20" t="n"/>
      <c r="H202" s="20" t="n"/>
      <c r="I202" s="20" t="n"/>
      <c r="J202" s="20" t="n"/>
      <c r="K202" s="20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5" t="n"/>
      <c r="U202" s="21">
        <f>IF(OR(B202="",T202=""),"",IFERROR(1/(1/INDEX(F202:S202,MATCH(T202,$F$4:$S$4,0))),""))</f>
        <v/>
      </c>
      <c r="V202" s="21">
        <f>IF(OR(E202="",U202=""),"",E202*U202)</f>
        <v/>
      </c>
      <c r="W202" s="5" t="n"/>
    </row>
    <row r="203">
      <c r="A203" s="5" t="n"/>
      <c r="B203" s="5" t="n"/>
      <c r="C203" s="5" t="n"/>
      <c r="D203" s="5" t="n"/>
      <c r="E203" s="19">
        <f>IF(B203="","",SUMIF(BFTC!$B$5:$B$504,B203,BFTC!$E$5:$E$504))</f>
        <v/>
      </c>
      <c r="F203" s="20" t="n"/>
      <c r="G203" s="20" t="n"/>
      <c r="H203" s="20" t="n"/>
      <c r="I203" s="20" t="n"/>
      <c r="J203" s="20" t="n"/>
      <c r="K203" s="20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5" t="n"/>
      <c r="U203" s="21">
        <f>IF(OR(B203="",T203=""),"",IFERROR(1/(1/INDEX(F203:S203,MATCH(T203,$F$4:$S$4,0))),""))</f>
        <v/>
      </c>
      <c r="V203" s="21">
        <f>IF(OR(E203="",U203=""),"",E203*U203)</f>
        <v/>
      </c>
      <c r="W203" s="5" t="n"/>
    </row>
    <row r="204">
      <c r="A204" s="5" t="n"/>
      <c r="B204" s="5" t="n"/>
      <c r="C204" s="5" t="n"/>
      <c r="D204" s="5" t="n"/>
      <c r="E204" s="19">
        <f>IF(B204="","",SUMIF(BFTC!$B$5:$B$504,B204,BFTC!$E$5:$E$504))</f>
        <v/>
      </c>
      <c r="F204" s="20" t="n"/>
      <c r="G204" s="20" t="n"/>
      <c r="H204" s="20" t="n"/>
      <c r="I204" s="20" t="n"/>
      <c r="J204" s="20" t="n"/>
      <c r="K204" s="20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5" t="n"/>
      <c r="U204" s="21">
        <f>IF(OR(B204="",T204=""),"",IFERROR(1/(1/INDEX(F204:S204,MATCH(T204,$F$4:$S$4,0))),""))</f>
        <v/>
      </c>
      <c r="V204" s="21">
        <f>IF(OR(E204="",U204=""),"",E204*U204)</f>
        <v/>
      </c>
      <c r="W204" s="5" t="n"/>
    </row>
    <row r="205">
      <c r="A205" s="5" t="n"/>
      <c r="B205" s="5" t="n"/>
      <c r="C205" s="5" t="n"/>
      <c r="D205" s="5" t="n"/>
      <c r="E205" s="19">
        <f>IF(B205="","",SUMIF(BFTC!$B$5:$B$504,B205,BFTC!$E$5:$E$504))</f>
        <v/>
      </c>
      <c r="F205" s="20" t="n"/>
      <c r="G205" s="20" t="n"/>
      <c r="H205" s="20" t="n"/>
      <c r="I205" s="20" t="n"/>
      <c r="J205" s="20" t="n"/>
      <c r="K205" s="20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5" t="n"/>
      <c r="U205" s="21">
        <f>IF(OR(B205="",T205=""),"",IFERROR(1/(1/INDEX(F205:S205,MATCH(T205,$F$4:$S$4,0))),""))</f>
        <v/>
      </c>
      <c r="V205" s="21">
        <f>IF(OR(E205="",U205=""),"",E205*U205)</f>
        <v/>
      </c>
      <c r="W205" s="5" t="n"/>
    </row>
    <row r="206">
      <c r="A206" s="5" t="n"/>
      <c r="B206" s="5" t="n"/>
      <c r="C206" s="5" t="n"/>
      <c r="D206" s="5" t="n"/>
      <c r="E206" s="19">
        <f>IF(B206="","",SUMIF(BFTC!$B$5:$B$504,B206,BFTC!$E$5:$E$504))</f>
        <v/>
      </c>
      <c r="F206" s="20" t="n"/>
      <c r="G206" s="20" t="n"/>
      <c r="H206" s="20" t="n"/>
      <c r="I206" s="20" t="n"/>
      <c r="J206" s="20" t="n"/>
      <c r="K206" s="20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5" t="n"/>
      <c r="U206" s="21">
        <f>IF(OR(B206="",T206=""),"",IFERROR(1/(1/INDEX(F206:S206,MATCH(T206,$F$4:$S$4,0))),""))</f>
        <v/>
      </c>
      <c r="V206" s="21">
        <f>IF(OR(E206="",U206=""),"",E206*U206)</f>
        <v/>
      </c>
      <c r="W206" s="5" t="n"/>
    </row>
    <row r="207">
      <c r="A207" s="5" t="n"/>
      <c r="B207" s="5" t="n"/>
      <c r="C207" s="5" t="n"/>
      <c r="D207" s="5" t="n"/>
      <c r="E207" s="19">
        <f>IF(B207="","",SUMIF(BFTC!$B$5:$B$504,B207,BFTC!$E$5:$E$504))</f>
        <v/>
      </c>
      <c r="F207" s="20" t="n"/>
      <c r="G207" s="20" t="n"/>
      <c r="H207" s="20" t="n"/>
      <c r="I207" s="20" t="n"/>
      <c r="J207" s="20" t="n"/>
      <c r="K207" s="20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5" t="n"/>
      <c r="U207" s="21">
        <f>IF(OR(B207="",T207=""),"",IFERROR(1/(1/INDEX(F207:S207,MATCH(T207,$F$4:$S$4,0))),""))</f>
        <v/>
      </c>
      <c r="V207" s="21">
        <f>IF(OR(E207="",U207=""),"",E207*U207)</f>
        <v/>
      </c>
      <c r="W207" s="5" t="n"/>
    </row>
    <row r="208">
      <c r="A208" s="5" t="n"/>
      <c r="B208" s="5" t="n"/>
      <c r="C208" s="5" t="n"/>
      <c r="D208" s="5" t="n"/>
      <c r="E208" s="19">
        <f>IF(B208="","",SUMIF(BFTC!$B$5:$B$504,B208,BFTC!$E$5:$E$504))</f>
        <v/>
      </c>
      <c r="F208" s="20" t="n"/>
      <c r="G208" s="20" t="n"/>
      <c r="H208" s="20" t="n"/>
      <c r="I208" s="20" t="n"/>
      <c r="J208" s="20" t="n"/>
      <c r="K208" s="20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5" t="n"/>
      <c r="U208" s="21">
        <f>IF(OR(B208="",T208=""),"",IFERROR(1/(1/INDEX(F208:S208,MATCH(T208,$F$4:$S$4,0))),""))</f>
        <v/>
      </c>
      <c r="V208" s="21">
        <f>IF(OR(E208="",U208=""),"",E208*U208)</f>
        <v/>
      </c>
      <c r="W208" s="5" t="n"/>
    </row>
    <row r="209">
      <c r="A209" s="5" t="n"/>
      <c r="B209" s="5" t="n"/>
      <c r="C209" s="5" t="n"/>
      <c r="D209" s="5" t="n"/>
      <c r="E209" s="19">
        <f>IF(B209="","",SUMIF(BFTC!$B$5:$B$504,B209,BFTC!$E$5:$E$504))</f>
        <v/>
      </c>
      <c r="F209" s="20" t="n"/>
      <c r="G209" s="20" t="n"/>
      <c r="H209" s="20" t="n"/>
      <c r="I209" s="20" t="n"/>
      <c r="J209" s="20" t="n"/>
      <c r="K209" s="20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5" t="n"/>
      <c r="U209" s="21">
        <f>IF(OR(B209="",T209=""),"",IFERROR(1/(1/INDEX(F209:S209,MATCH(T209,$F$4:$S$4,0))),""))</f>
        <v/>
      </c>
      <c r="V209" s="21">
        <f>IF(OR(E209="",U209=""),"",E209*U209)</f>
        <v/>
      </c>
      <c r="W209" s="5" t="n"/>
    </row>
    <row r="210">
      <c r="A210" s="5" t="n"/>
      <c r="B210" s="5" t="n"/>
      <c r="C210" s="5" t="n"/>
      <c r="D210" s="5" t="n"/>
      <c r="E210" s="19">
        <f>IF(B210="","",SUMIF(BFTC!$B$5:$B$504,B210,BFTC!$E$5:$E$504))</f>
        <v/>
      </c>
      <c r="F210" s="20" t="n"/>
      <c r="G210" s="20" t="n"/>
      <c r="H210" s="20" t="n"/>
      <c r="I210" s="20" t="n"/>
      <c r="J210" s="20" t="n"/>
      <c r="K210" s="20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5" t="n"/>
      <c r="U210" s="21">
        <f>IF(OR(B210="",T210=""),"",IFERROR(1/(1/INDEX(F210:S210,MATCH(T210,$F$4:$S$4,0))),""))</f>
        <v/>
      </c>
      <c r="V210" s="21">
        <f>IF(OR(E210="",U210=""),"",E210*U210)</f>
        <v/>
      </c>
      <c r="W210" s="5" t="n"/>
    </row>
    <row r="211">
      <c r="A211" s="5" t="n"/>
      <c r="B211" s="5" t="n"/>
      <c r="C211" s="5" t="n"/>
      <c r="D211" s="5" t="n"/>
      <c r="E211" s="19">
        <f>IF(B211="","",SUMIF(BFTC!$B$5:$B$504,B211,BFTC!$E$5:$E$504))</f>
        <v/>
      </c>
      <c r="F211" s="20" t="n"/>
      <c r="G211" s="20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5" t="n"/>
      <c r="U211" s="21">
        <f>IF(OR(B211="",T211=""),"",IFERROR(1/(1/INDEX(F211:S211,MATCH(T211,$F$4:$S$4,0))),""))</f>
        <v/>
      </c>
      <c r="V211" s="21">
        <f>IF(OR(E211="",U211=""),"",E211*U211)</f>
        <v/>
      </c>
      <c r="W211" s="5" t="n"/>
    </row>
    <row r="212">
      <c r="A212" s="5" t="n"/>
      <c r="B212" s="5" t="n"/>
      <c r="C212" s="5" t="n"/>
      <c r="D212" s="5" t="n"/>
      <c r="E212" s="19">
        <f>IF(B212="","",SUMIF(BFTC!$B$5:$B$504,B212,BFTC!$E$5:$E$504))</f>
        <v/>
      </c>
      <c r="F212" s="20" t="n"/>
      <c r="G212" s="20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5" t="n"/>
      <c r="U212" s="21">
        <f>IF(OR(B212="",T212=""),"",IFERROR(1/(1/INDEX(F212:S212,MATCH(T212,$F$4:$S$4,0))),""))</f>
        <v/>
      </c>
      <c r="V212" s="21">
        <f>IF(OR(E212="",U212=""),"",E212*U212)</f>
        <v/>
      </c>
      <c r="W212" s="5" t="n"/>
    </row>
    <row r="213">
      <c r="A213" s="5" t="n"/>
      <c r="B213" s="5" t="n"/>
      <c r="C213" s="5" t="n"/>
      <c r="D213" s="5" t="n"/>
      <c r="E213" s="19">
        <f>IF(B213="","",SUMIF(BFTC!$B$5:$B$504,B213,BFTC!$E$5:$E$504))</f>
        <v/>
      </c>
      <c r="F213" s="20" t="n"/>
      <c r="G213" s="20" t="n"/>
      <c r="H213" s="20" t="n"/>
      <c r="I213" s="20" t="n"/>
      <c r="J213" s="20" t="n"/>
      <c r="K213" s="20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5" t="n"/>
      <c r="U213" s="21">
        <f>IF(OR(B213="",T213=""),"",IFERROR(1/(1/INDEX(F213:S213,MATCH(T213,$F$4:$S$4,0))),""))</f>
        <v/>
      </c>
      <c r="V213" s="21">
        <f>IF(OR(E213="",U213=""),"",E213*U213)</f>
        <v/>
      </c>
      <c r="W213" s="5" t="n"/>
    </row>
    <row r="214">
      <c r="A214" s="5" t="n"/>
      <c r="B214" s="5" t="n"/>
      <c r="C214" s="5" t="n"/>
      <c r="D214" s="5" t="n"/>
      <c r="E214" s="19">
        <f>IF(B214="","",SUMIF(BFTC!$B$5:$B$504,B214,BFTC!$E$5:$E$504))</f>
        <v/>
      </c>
      <c r="F214" s="20" t="n"/>
      <c r="G214" s="20" t="n"/>
      <c r="H214" s="20" t="n"/>
      <c r="I214" s="20" t="n"/>
      <c r="J214" s="20" t="n"/>
      <c r="K214" s="20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5" t="n"/>
      <c r="U214" s="21">
        <f>IF(OR(B214="",T214=""),"",IFERROR(1/(1/INDEX(F214:S214,MATCH(T214,$F$4:$S$4,0))),""))</f>
        <v/>
      </c>
      <c r="V214" s="21">
        <f>IF(OR(E214="",U214=""),"",E214*U214)</f>
        <v/>
      </c>
      <c r="W214" s="5" t="n"/>
    </row>
    <row r="215">
      <c r="A215" s="5" t="n"/>
      <c r="B215" s="5" t="n"/>
      <c r="C215" s="5" t="n"/>
      <c r="D215" s="5" t="n"/>
      <c r="E215" s="19">
        <f>IF(B215="","",SUMIF(BFTC!$B$5:$B$504,B215,BFTC!$E$5:$E$504))</f>
        <v/>
      </c>
      <c r="F215" s="20" t="n"/>
      <c r="G215" s="20" t="n"/>
      <c r="H215" s="20" t="n"/>
      <c r="I215" s="20" t="n"/>
      <c r="J215" s="20" t="n"/>
      <c r="K215" s="20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5" t="n"/>
      <c r="U215" s="21">
        <f>IF(OR(B215="",T215=""),"",IFERROR(1/(1/INDEX(F215:S215,MATCH(T215,$F$4:$S$4,0))),""))</f>
        <v/>
      </c>
      <c r="V215" s="21">
        <f>IF(OR(E215="",U215=""),"",E215*U215)</f>
        <v/>
      </c>
      <c r="W215" s="5" t="n"/>
    </row>
    <row r="216">
      <c r="A216" s="5" t="n"/>
      <c r="B216" s="5" t="n"/>
      <c r="C216" s="5" t="n"/>
      <c r="D216" s="5" t="n"/>
      <c r="E216" s="19">
        <f>IF(B216="","",SUMIF(BFTC!$B$5:$B$504,B216,BFTC!$E$5:$E$504))</f>
        <v/>
      </c>
      <c r="F216" s="20" t="n"/>
      <c r="G216" s="20" t="n"/>
      <c r="H216" s="20" t="n"/>
      <c r="I216" s="20" t="n"/>
      <c r="J216" s="20" t="n"/>
      <c r="K216" s="20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5" t="n"/>
      <c r="U216" s="21">
        <f>IF(OR(B216="",T216=""),"",IFERROR(1/(1/INDEX(F216:S216,MATCH(T216,$F$4:$S$4,0))),""))</f>
        <v/>
      </c>
      <c r="V216" s="21">
        <f>IF(OR(E216="",U216=""),"",E216*U216)</f>
        <v/>
      </c>
      <c r="W216" s="5" t="n"/>
    </row>
    <row r="217">
      <c r="A217" s="5" t="n"/>
      <c r="B217" s="5" t="n"/>
      <c r="C217" s="5" t="n"/>
      <c r="D217" s="5" t="n"/>
      <c r="E217" s="19">
        <f>IF(B217="","",SUMIF(BFTC!$B$5:$B$504,B217,BFTC!$E$5:$E$504))</f>
        <v/>
      </c>
      <c r="F217" s="20" t="n"/>
      <c r="G217" s="20" t="n"/>
      <c r="H217" s="20" t="n"/>
      <c r="I217" s="20" t="n"/>
      <c r="J217" s="20" t="n"/>
      <c r="K217" s="20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5" t="n"/>
      <c r="U217" s="21">
        <f>IF(OR(B217="",T217=""),"",IFERROR(1/(1/INDEX(F217:S217,MATCH(T217,$F$4:$S$4,0))),""))</f>
        <v/>
      </c>
      <c r="V217" s="21">
        <f>IF(OR(E217="",U217=""),"",E217*U217)</f>
        <v/>
      </c>
      <c r="W217" s="5" t="n"/>
    </row>
    <row r="218">
      <c r="A218" s="5" t="n"/>
      <c r="B218" s="5" t="n"/>
      <c r="C218" s="5" t="n"/>
      <c r="D218" s="5" t="n"/>
      <c r="E218" s="19">
        <f>IF(B218="","",SUMIF(BFTC!$B$5:$B$504,B218,BFTC!$E$5:$E$504))</f>
        <v/>
      </c>
      <c r="F218" s="20" t="n"/>
      <c r="G218" s="20" t="n"/>
      <c r="H218" s="20" t="n"/>
      <c r="I218" s="20" t="n"/>
      <c r="J218" s="20" t="n"/>
      <c r="K218" s="20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5" t="n"/>
      <c r="U218" s="21">
        <f>IF(OR(B218="",T218=""),"",IFERROR(1/(1/INDEX(F218:S218,MATCH(T218,$F$4:$S$4,0))),""))</f>
        <v/>
      </c>
      <c r="V218" s="21">
        <f>IF(OR(E218="",U218=""),"",E218*U218)</f>
        <v/>
      </c>
      <c r="W218" s="5" t="n"/>
    </row>
    <row r="219">
      <c r="A219" s="5" t="n"/>
      <c r="B219" s="5" t="n"/>
      <c r="C219" s="5" t="n"/>
      <c r="D219" s="5" t="n"/>
      <c r="E219" s="19">
        <f>IF(B219="","",SUMIF(BFTC!$B$5:$B$504,B219,BFTC!$E$5:$E$504))</f>
        <v/>
      </c>
      <c r="F219" s="20" t="n"/>
      <c r="G219" s="20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5" t="n"/>
      <c r="U219" s="21">
        <f>IF(OR(B219="",T219=""),"",IFERROR(1/(1/INDEX(F219:S219,MATCH(T219,$F$4:$S$4,0))),""))</f>
        <v/>
      </c>
      <c r="V219" s="21">
        <f>IF(OR(E219="",U219=""),"",E219*U219)</f>
        <v/>
      </c>
      <c r="W219" s="5" t="n"/>
    </row>
    <row r="220">
      <c r="A220" s="5" t="n"/>
      <c r="B220" s="5" t="n"/>
      <c r="C220" s="5" t="n"/>
      <c r="D220" s="5" t="n"/>
      <c r="E220" s="19">
        <f>IF(B220="","",SUMIF(BFTC!$B$5:$B$504,B220,BFTC!$E$5:$E$504))</f>
        <v/>
      </c>
      <c r="F220" s="20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5" t="n"/>
      <c r="U220" s="21">
        <f>IF(OR(B220="",T220=""),"",IFERROR(1/(1/INDEX(F220:S220,MATCH(T220,$F$4:$S$4,0))),""))</f>
        <v/>
      </c>
      <c r="V220" s="21">
        <f>IF(OR(E220="",U220=""),"",E220*U220)</f>
        <v/>
      </c>
      <c r="W220" s="5" t="n"/>
    </row>
    <row r="221">
      <c r="A221" s="5" t="n"/>
      <c r="B221" s="5" t="n"/>
      <c r="C221" s="5" t="n"/>
      <c r="D221" s="5" t="n"/>
      <c r="E221" s="19">
        <f>IF(B221="","",SUMIF(BFTC!$B$5:$B$504,B221,BFTC!$E$5:$E$504))</f>
        <v/>
      </c>
      <c r="F221" s="20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5" t="n"/>
      <c r="U221" s="21">
        <f>IF(OR(B221="",T221=""),"",IFERROR(1/(1/INDEX(F221:S221,MATCH(T221,$F$4:$S$4,0))),""))</f>
        <v/>
      </c>
      <c r="V221" s="21">
        <f>IF(OR(E221="",U221=""),"",E221*U221)</f>
        <v/>
      </c>
      <c r="W221" s="5" t="n"/>
    </row>
    <row r="222">
      <c r="A222" s="5" t="n"/>
      <c r="B222" s="5" t="n"/>
      <c r="C222" s="5" t="n"/>
      <c r="D222" s="5" t="n"/>
      <c r="E222" s="19">
        <f>IF(B222="","",SUMIF(BFTC!$B$5:$B$504,B222,BFTC!$E$5:$E$504))</f>
        <v/>
      </c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5" t="n"/>
      <c r="U222" s="21">
        <f>IF(OR(B222="",T222=""),"",IFERROR(1/(1/INDEX(F222:S222,MATCH(T222,$F$4:$S$4,0))),""))</f>
        <v/>
      </c>
      <c r="V222" s="21">
        <f>IF(OR(E222="",U222=""),"",E222*U222)</f>
        <v/>
      </c>
      <c r="W222" s="5" t="n"/>
    </row>
    <row r="223">
      <c r="A223" s="5" t="n"/>
      <c r="B223" s="5" t="n"/>
      <c r="C223" s="5" t="n"/>
      <c r="D223" s="5" t="n"/>
      <c r="E223" s="19">
        <f>IF(B223="","",SUMIF(BFTC!$B$5:$B$504,B223,BFTC!$E$5:$E$504))</f>
        <v/>
      </c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5" t="n"/>
      <c r="U223" s="21">
        <f>IF(OR(B223="",T223=""),"",IFERROR(1/(1/INDEX(F223:S223,MATCH(T223,$F$4:$S$4,0))),""))</f>
        <v/>
      </c>
      <c r="V223" s="21">
        <f>IF(OR(E223="",U223=""),"",E223*U223)</f>
        <v/>
      </c>
      <c r="W223" s="5" t="n"/>
    </row>
    <row r="224">
      <c r="A224" s="5" t="n"/>
      <c r="B224" s="5" t="n"/>
      <c r="C224" s="5" t="n"/>
      <c r="D224" s="5" t="n"/>
      <c r="E224" s="19">
        <f>IF(B224="","",SUMIF(BFTC!$B$5:$B$504,B224,BFTC!$E$5:$E$504))</f>
        <v/>
      </c>
      <c r="F224" s="20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5" t="n"/>
      <c r="U224" s="21">
        <f>IF(OR(B224="",T224=""),"",IFERROR(1/(1/INDEX(F224:S224,MATCH(T224,$F$4:$S$4,0))),""))</f>
        <v/>
      </c>
      <c r="V224" s="21">
        <f>IF(OR(E224="",U224=""),"",E224*U224)</f>
        <v/>
      </c>
      <c r="W224" s="5" t="n"/>
    </row>
    <row r="225">
      <c r="A225" s="5" t="n"/>
      <c r="B225" s="5" t="n"/>
      <c r="C225" s="5" t="n"/>
      <c r="D225" s="5" t="n"/>
      <c r="E225" s="19">
        <f>IF(B225="","",SUMIF(BFTC!$B$5:$B$504,B225,BFTC!$E$5:$E$504))</f>
        <v/>
      </c>
      <c r="F225" s="20" t="n"/>
      <c r="G225" s="20" t="n"/>
      <c r="H225" s="20" t="n"/>
      <c r="I225" s="20" t="n"/>
      <c r="J225" s="20" t="n"/>
      <c r="K225" s="20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5" t="n"/>
      <c r="U225" s="21">
        <f>IF(OR(B225="",T225=""),"",IFERROR(1/(1/INDEX(F225:S225,MATCH(T225,$F$4:$S$4,0))),""))</f>
        <v/>
      </c>
      <c r="V225" s="21">
        <f>IF(OR(E225="",U225=""),"",E225*U225)</f>
        <v/>
      </c>
      <c r="W225" s="5" t="n"/>
    </row>
    <row r="226">
      <c r="A226" s="5" t="n"/>
      <c r="B226" s="5" t="n"/>
      <c r="C226" s="5" t="n"/>
      <c r="D226" s="5" t="n"/>
      <c r="E226" s="19">
        <f>IF(B226="","",SUMIF(BFTC!$B$5:$B$504,B226,BFTC!$E$5:$E$504))</f>
        <v/>
      </c>
      <c r="F226" s="20" t="n"/>
      <c r="G226" s="20" t="n"/>
      <c r="H226" s="20" t="n"/>
      <c r="I226" s="20" t="n"/>
      <c r="J226" s="20" t="n"/>
      <c r="K226" s="20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5" t="n"/>
      <c r="U226" s="21">
        <f>IF(OR(B226="",T226=""),"",IFERROR(1/(1/INDEX(F226:S226,MATCH(T226,$F$4:$S$4,0))),""))</f>
        <v/>
      </c>
      <c r="V226" s="21">
        <f>IF(OR(E226="",U226=""),"",E226*U226)</f>
        <v/>
      </c>
      <c r="W226" s="5" t="n"/>
    </row>
    <row r="227">
      <c r="A227" s="5" t="n"/>
      <c r="B227" s="5" t="n"/>
      <c r="C227" s="5" t="n"/>
      <c r="D227" s="5" t="n"/>
      <c r="E227" s="19">
        <f>IF(B227="","",SUMIF(BFTC!$B$5:$B$504,B227,BFTC!$E$5:$E$504))</f>
        <v/>
      </c>
      <c r="F227" s="20" t="n"/>
      <c r="G227" s="20" t="n"/>
      <c r="H227" s="20" t="n"/>
      <c r="I227" s="20" t="n"/>
      <c r="J227" s="20" t="n"/>
      <c r="K227" s="20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5" t="n"/>
      <c r="U227" s="21">
        <f>IF(OR(B227="",T227=""),"",IFERROR(1/(1/INDEX(F227:S227,MATCH(T227,$F$4:$S$4,0))),""))</f>
        <v/>
      </c>
      <c r="V227" s="21">
        <f>IF(OR(E227="",U227=""),"",E227*U227)</f>
        <v/>
      </c>
      <c r="W227" s="5" t="n"/>
    </row>
    <row r="228">
      <c r="A228" s="5" t="n"/>
      <c r="B228" s="5" t="n"/>
      <c r="C228" s="5" t="n"/>
      <c r="D228" s="5" t="n"/>
      <c r="E228" s="19">
        <f>IF(B228="","",SUMIF(BFTC!$B$5:$B$504,B228,BFTC!$E$5:$E$504))</f>
        <v/>
      </c>
      <c r="F228" s="20" t="n"/>
      <c r="G228" s="20" t="n"/>
      <c r="H228" s="20" t="n"/>
      <c r="I228" s="20" t="n"/>
      <c r="J228" s="20" t="n"/>
      <c r="K228" s="20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5" t="n"/>
      <c r="U228" s="21">
        <f>IF(OR(B228="",T228=""),"",IFERROR(1/(1/INDEX(F228:S228,MATCH(T228,$F$4:$S$4,0))),""))</f>
        <v/>
      </c>
      <c r="V228" s="21">
        <f>IF(OR(E228="",U228=""),"",E228*U228)</f>
        <v/>
      </c>
      <c r="W228" s="5" t="n"/>
    </row>
    <row r="229">
      <c r="A229" s="5" t="n"/>
      <c r="B229" s="5" t="n"/>
      <c r="C229" s="5" t="n"/>
      <c r="D229" s="5" t="n"/>
      <c r="E229" s="19">
        <f>IF(B229="","",SUMIF(BFTC!$B$5:$B$504,B229,BFTC!$E$5:$E$504))</f>
        <v/>
      </c>
      <c r="F229" s="20" t="n"/>
      <c r="G229" s="20" t="n"/>
      <c r="H229" s="20" t="n"/>
      <c r="I229" s="20" t="n"/>
      <c r="J229" s="20" t="n"/>
      <c r="K229" s="20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5" t="n"/>
      <c r="U229" s="21">
        <f>IF(OR(B229="",T229=""),"",IFERROR(1/(1/INDEX(F229:S229,MATCH(T229,$F$4:$S$4,0))),""))</f>
        <v/>
      </c>
      <c r="V229" s="21">
        <f>IF(OR(E229="",U229=""),"",E229*U229)</f>
        <v/>
      </c>
      <c r="W229" s="5" t="n"/>
    </row>
    <row r="230">
      <c r="A230" s="5" t="n"/>
      <c r="B230" s="5" t="n"/>
      <c r="C230" s="5" t="n"/>
      <c r="D230" s="5" t="n"/>
      <c r="E230" s="19">
        <f>IF(B230="","",SUMIF(BFTC!$B$5:$B$504,B230,BFTC!$E$5:$E$504))</f>
        <v/>
      </c>
      <c r="F230" s="20" t="n"/>
      <c r="G230" s="20" t="n"/>
      <c r="H230" s="20" t="n"/>
      <c r="I230" s="20" t="n"/>
      <c r="J230" s="20" t="n"/>
      <c r="K230" s="20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5" t="n"/>
      <c r="U230" s="21">
        <f>IF(OR(B230="",T230=""),"",IFERROR(1/(1/INDEX(F230:S230,MATCH(T230,$F$4:$S$4,0))),""))</f>
        <v/>
      </c>
      <c r="V230" s="21">
        <f>IF(OR(E230="",U230=""),"",E230*U230)</f>
        <v/>
      </c>
      <c r="W230" s="5" t="n"/>
    </row>
    <row r="231">
      <c r="A231" s="5" t="n"/>
      <c r="B231" s="5" t="n"/>
      <c r="C231" s="5" t="n"/>
      <c r="D231" s="5" t="n"/>
      <c r="E231" s="19">
        <f>IF(B231="","",SUMIF(BFTC!$B$5:$B$504,B231,BFTC!$E$5:$E$504))</f>
        <v/>
      </c>
      <c r="F231" s="20" t="n"/>
      <c r="G231" s="20" t="n"/>
      <c r="H231" s="20" t="n"/>
      <c r="I231" s="20" t="n"/>
      <c r="J231" s="20" t="n"/>
      <c r="K231" s="20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5" t="n"/>
      <c r="U231" s="21">
        <f>IF(OR(B231="",T231=""),"",IFERROR(1/(1/INDEX(F231:S231,MATCH(T231,$F$4:$S$4,0))),""))</f>
        <v/>
      </c>
      <c r="V231" s="21">
        <f>IF(OR(E231="",U231=""),"",E231*U231)</f>
        <v/>
      </c>
      <c r="W231" s="5" t="n"/>
    </row>
    <row r="232">
      <c r="A232" s="5" t="n"/>
      <c r="B232" s="5" t="n"/>
      <c r="C232" s="5" t="n"/>
      <c r="D232" s="5" t="n"/>
      <c r="E232" s="19">
        <f>IF(B232="","",SUMIF(BFTC!$B$5:$B$504,B232,BFTC!$E$5:$E$504))</f>
        <v/>
      </c>
      <c r="F232" s="20" t="n"/>
      <c r="G232" s="20" t="n"/>
      <c r="H232" s="20" t="n"/>
      <c r="I232" s="20" t="n"/>
      <c r="J232" s="20" t="n"/>
      <c r="K232" s="20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5" t="n"/>
      <c r="U232" s="21">
        <f>IF(OR(B232="",T232=""),"",IFERROR(1/(1/INDEX(F232:S232,MATCH(T232,$F$4:$S$4,0))),""))</f>
        <v/>
      </c>
      <c r="V232" s="21">
        <f>IF(OR(E232="",U232=""),"",E232*U232)</f>
        <v/>
      </c>
      <c r="W232" s="5" t="n"/>
    </row>
    <row r="233">
      <c r="A233" s="5" t="n"/>
      <c r="B233" s="5" t="n"/>
      <c r="C233" s="5" t="n"/>
      <c r="D233" s="5" t="n"/>
      <c r="E233" s="19">
        <f>IF(B233="","",SUMIF(BFTC!$B$5:$B$504,B233,BFTC!$E$5:$E$504))</f>
        <v/>
      </c>
      <c r="F233" s="20" t="n"/>
      <c r="G233" s="20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5" t="n"/>
      <c r="U233" s="21">
        <f>IF(OR(B233="",T233=""),"",IFERROR(1/(1/INDEX(F233:S233,MATCH(T233,$F$4:$S$4,0))),""))</f>
        <v/>
      </c>
      <c r="V233" s="21">
        <f>IF(OR(E233="",U233=""),"",E233*U233)</f>
        <v/>
      </c>
      <c r="W233" s="5" t="n"/>
    </row>
    <row r="234">
      <c r="A234" s="5" t="n"/>
      <c r="B234" s="5" t="n"/>
      <c r="C234" s="5" t="n"/>
      <c r="D234" s="5" t="n"/>
      <c r="E234" s="19">
        <f>IF(B234="","",SUMIF(BFTC!$B$5:$B$504,B234,BFTC!$E$5:$E$504))</f>
        <v/>
      </c>
      <c r="F234" s="20" t="n"/>
      <c r="G234" s="20" t="n"/>
      <c r="H234" s="20" t="n"/>
      <c r="I234" s="20" t="n"/>
      <c r="J234" s="20" t="n"/>
      <c r="K234" s="20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5" t="n"/>
      <c r="U234" s="21">
        <f>IF(OR(B234="",T234=""),"",IFERROR(1/(1/INDEX(F234:S234,MATCH(T234,$F$4:$S$4,0))),""))</f>
        <v/>
      </c>
      <c r="V234" s="21">
        <f>IF(OR(E234="",U234=""),"",E234*U234)</f>
        <v/>
      </c>
      <c r="W234" s="5" t="n"/>
    </row>
    <row r="235">
      <c r="A235" s="5" t="n"/>
      <c r="B235" s="5" t="n"/>
      <c r="C235" s="5" t="n"/>
      <c r="D235" s="5" t="n"/>
      <c r="E235" s="19">
        <f>IF(B235="","",SUMIF(BFTC!$B$5:$B$504,B235,BFTC!$E$5:$E$504))</f>
        <v/>
      </c>
      <c r="F235" s="20" t="n"/>
      <c r="G235" s="20" t="n"/>
      <c r="H235" s="20" t="n"/>
      <c r="I235" s="20" t="n"/>
      <c r="J235" s="20" t="n"/>
      <c r="K235" s="20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5" t="n"/>
      <c r="U235" s="21">
        <f>IF(OR(B235="",T235=""),"",IFERROR(1/(1/INDEX(F235:S235,MATCH(T235,$F$4:$S$4,0))),""))</f>
        <v/>
      </c>
      <c r="V235" s="21">
        <f>IF(OR(E235="",U235=""),"",E235*U235)</f>
        <v/>
      </c>
      <c r="W235" s="5" t="n"/>
    </row>
    <row r="236">
      <c r="A236" s="5" t="n"/>
      <c r="B236" s="5" t="n"/>
      <c r="C236" s="5" t="n"/>
      <c r="D236" s="5" t="n"/>
      <c r="E236" s="19">
        <f>IF(B236="","",SUMIF(BFTC!$B$5:$B$504,B236,BFTC!$E$5:$E$504))</f>
        <v/>
      </c>
      <c r="F236" s="20" t="n"/>
      <c r="G236" s="20" t="n"/>
      <c r="H236" s="20" t="n"/>
      <c r="I236" s="20" t="n"/>
      <c r="J236" s="20" t="n"/>
      <c r="K236" s="20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5" t="n"/>
      <c r="U236" s="21">
        <f>IF(OR(B236="",T236=""),"",IFERROR(1/(1/INDEX(F236:S236,MATCH(T236,$F$4:$S$4,0))),""))</f>
        <v/>
      </c>
      <c r="V236" s="21">
        <f>IF(OR(E236="",U236=""),"",E236*U236)</f>
        <v/>
      </c>
      <c r="W236" s="5" t="n"/>
    </row>
    <row r="237">
      <c r="A237" s="5" t="n"/>
      <c r="B237" s="5" t="n"/>
      <c r="C237" s="5" t="n"/>
      <c r="D237" s="5" t="n"/>
      <c r="E237" s="19">
        <f>IF(B237="","",SUMIF(BFTC!$B$5:$B$504,B237,BFTC!$E$5:$E$504))</f>
        <v/>
      </c>
      <c r="F237" s="20" t="n"/>
      <c r="G237" s="20" t="n"/>
      <c r="H237" s="20" t="n"/>
      <c r="I237" s="20" t="n"/>
      <c r="J237" s="20" t="n"/>
      <c r="K237" s="20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5" t="n"/>
      <c r="U237" s="21">
        <f>IF(OR(B237="",T237=""),"",IFERROR(1/(1/INDEX(F237:S237,MATCH(T237,$F$4:$S$4,0))),""))</f>
        <v/>
      </c>
      <c r="V237" s="21">
        <f>IF(OR(E237="",U237=""),"",E237*U237)</f>
        <v/>
      </c>
      <c r="W237" s="5" t="n"/>
    </row>
    <row r="238">
      <c r="A238" s="5" t="n"/>
      <c r="B238" s="5" t="n"/>
      <c r="C238" s="5" t="n"/>
      <c r="D238" s="5" t="n"/>
      <c r="E238" s="19">
        <f>IF(B238="","",SUMIF(BFTC!$B$5:$B$504,B238,BFTC!$E$5:$E$504))</f>
        <v/>
      </c>
      <c r="F238" s="20" t="n"/>
      <c r="G238" s="20" t="n"/>
      <c r="H238" s="20" t="n"/>
      <c r="I238" s="20" t="n"/>
      <c r="J238" s="20" t="n"/>
      <c r="K238" s="20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5" t="n"/>
      <c r="U238" s="21">
        <f>IF(OR(B238="",T238=""),"",IFERROR(1/(1/INDEX(F238:S238,MATCH(T238,$F$4:$S$4,0))),""))</f>
        <v/>
      </c>
      <c r="V238" s="21">
        <f>IF(OR(E238="",U238=""),"",E238*U238)</f>
        <v/>
      </c>
      <c r="W238" s="5" t="n"/>
    </row>
    <row r="239">
      <c r="A239" s="5" t="n"/>
      <c r="B239" s="5" t="n"/>
      <c r="C239" s="5" t="n"/>
      <c r="D239" s="5" t="n"/>
      <c r="E239" s="19">
        <f>IF(B239="","",SUMIF(BFTC!$B$5:$B$504,B239,BFTC!$E$5:$E$504))</f>
        <v/>
      </c>
      <c r="F239" s="20" t="n"/>
      <c r="G239" s="20" t="n"/>
      <c r="H239" s="20" t="n"/>
      <c r="I239" s="20" t="n"/>
      <c r="J239" s="20" t="n"/>
      <c r="K239" s="20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5" t="n"/>
      <c r="U239" s="21">
        <f>IF(OR(B239="",T239=""),"",IFERROR(1/(1/INDEX(F239:S239,MATCH(T239,$F$4:$S$4,0))),""))</f>
        <v/>
      </c>
      <c r="V239" s="21">
        <f>IF(OR(E239="",U239=""),"",E239*U239)</f>
        <v/>
      </c>
      <c r="W239" s="5" t="n"/>
    </row>
    <row r="240">
      <c r="A240" s="5" t="n"/>
      <c r="B240" s="5" t="n"/>
      <c r="C240" s="5" t="n"/>
      <c r="D240" s="5" t="n"/>
      <c r="E240" s="19">
        <f>IF(B240="","",SUMIF(BFTC!$B$5:$B$504,B240,BFTC!$E$5:$E$504))</f>
        <v/>
      </c>
      <c r="F240" s="20" t="n"/>
      <c r="G240" s="20" t="n"/>
      <c r="H240" s="20" t="n"/>
      <c r="I240" s="20" t="n"/>
      <c r="J240" s="20" t="n"/>
      <c r="K240" s="20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5" t="n"/>
      <c r="U240" s="21">
        <f>IF(OR(B240="",T240=""),"",IFERROR(1/(1/INDEX(F240:S240,MATCH(T240,$F$4:$S$4,0))),""))</f>
        <v/>
      </c>
      <c r="V240" s="21">
        <f>IF(OR(E240="",U240=""),"",E240*U240)</f>
        <v/>
      </c>
      <c r="W240" s="5" t="n"/>
    </row>
    <row r="241">
      <c r="A241" s="5" t="n"/>
      <c r="B241" s="5" t="n"/>
      <c r="C241" s="5" t="n"/>
      <c r="D241" s="5" t="n"/>
      <c r="E241" s="19">
        <f>IF(B241="","",SUMIF(BFTC!$B$5:$B$504,B241,BFTC!$E$5:$E$504))</f>
        <v/>
      </c>
      <c r="F241" s="20" t="n"/>
      <c r="G241" s="20" t="n"/>
      <c r="H241" s="20" t="n"/>
      <c r="I241" s="20" t="n"/>
      <c r="J241" s="20" t="n"/>
      <c r="K241" s="20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5" t="n"/>
      <c r="U241" s="21">
        <f>IF(OR(B241="",T241=""),"",IFERROR(1/(1/INDEX(F241:S241,MATCH(T241,$F$4:$S$4,0))),""))</f>
        <v/>
      </c>
      <c r="V241" s="21">
        <f>IF(OR(E241="",U241=""),"",E241*U241)</f>
        <v/>
      </c>
      <c r="W241" s="5" t="n"/>
    </row>
    <row r="242">
      <c r="A242" s="5" t="n"/>
      <c r="B242" s="5" t="n"/>
      <c r="C242" s="5" t="n"/>
      <c r="D242" s="5" t="n"/>
      <c r="E242" s="19">
        <f>IF(B242="","",SUMIF(BFTC!$B$5:$B$504,B242,BFTC!$E$5:$E$504))</f>
        <v/>
      </c>
      <c r="F242" s="20" t="n"/>
      <c r="G242" s="20" t="n"/>
      <c r="H242" s="20" t="n"/>
      <c r="I242" s="20" t="n"/>
      <c r="J242" s="20" t="n"/>
      <c r="K242" s="20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5" t="n"/>
      <c r="U242" s="21">
        <f>IF(OR(B242="",T242=""),"",IFERROR(1/(1/INDEX(F242:S242,MATCH(T242,$F$4:$S$4,0))),""))</f>
        <v/>
      </c>
      <c r="V242" s="21">
        <f>IF(OR(E242="",U242=""),"",E242*U242)</f>
        <v/>
      </c>
      <c r="W242" s="5" t="n"/>
    </row>
    <row r="243">
      <c r="A243" s="5" t="n"/>
      <c r="B243" s="5" t="n"/>
      <c r="C243" s="5" t="n"/>
      <c r="D243" s="5" t="n"/>
      <c r="E243" s="19">
        <f>IF(B243="","",SUMIF(BFTC!$B$5:$B$504,B243,BFTC!$E$5:$E$504))</f>
        <v/>
      </c>
      <c r="F243" s="20" t="n"/>
      <c r="G243" s="20" t="n"/>
      <c r="H243" s="20" t="n"/>
      <c r="I243" s="20" t="n"/>
      <c r="J243" s="20" t="n"/>
      <c r="K243" s="20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5" t="n"/>
      <c r="U243" s="21">
        <f>IF(OR(B243="",T243=""),"",IFERROR(1/(1/INDEX(F243:S243,MATCH(T243,$F$4:$S$4,0))),""))</f>
        <v/>
      </c>
      <c r="V243" s="21">
        <f>IF(OR(E243="",U243=""),"",E243*U243)</f>
        <v/>
      </c>
      <c r="W243" s="5" t="n"/>
    </row>
    <row r="244">
      <c r="A244" s="5" t="n"/>
      <c r="B244" s="5" t="n"/>
      <c r="C244" s="5" t="n"/>
      <c r="D244" s="5" t="n"/>
      <c r="E244" s="19">
        <f>IF(B244="","",SUMIF(BFTC!$B$5:$B$504,B244,BFTC!$E$5:$E$504))</f>
        <v/>
      </c>
      <c r="F244" s="20" t="n"/>
      <c r="G244" s="20" t="n"/>
      <c r="H244" s="20" t="n"/>
      <c r="I244" s="20" t="n"/>
      <c r="J244" s="20" t="n"/>
      <c r="K244" s="20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5" t="n"/>
      <c r="U244" s="21">
        <f>IF(OR(B244="",T244=""),"",IFERROR(1/(1/INDEX(F244:S244,MATCH(T244,$F$4:$S$4,0))),""))</f>
        <v/>
      </c>
      <c r="V244" s="21">
        <f>IF(OR(E244="",U244=""),"",E244*U244)</f>
        <v/>
      </c>
      <c r="W244" s="5" t="n"/>
    </row>
    <row r="245">
      <c r="A245" s="5" t="n"/>
      <c r="B245" s="5" t="n"/>
      <c r="C245" s="5" t="n"/>
      <c r="D245" s="5" t="n"/>
      <c r="E245" s="19">
        <f>IF(B245="","",SUMIF(BFTC!$B$5:$B$504,B245,BFTC!$E$5:$E$504))</f>
        <v/>
      </c>
      <c r="F245" s="20" t="n"/>
      <c r="G245" s="20" t="n"/>
      <c r="H245" s="20" t="n"/>
      <c r="I245" s="20" t="n"/>
      <c r="J245" s="20" t="n"/>
      <c r="K245" s="20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5" t="n"/>
      <c r="U245" s="21">
        <f>IF(OR(B245="",T245=""),"",IFERROR(1/(1/INDEX(F245:S245,MATCH(T245,$F$4:$S$4,0))),""))</f>
        <v/>
      </c>
      <c r="V245" s="21">
        <f>IF(OR(E245="",U245=""),"",E245*U245)</f>
        <v/>
      </c>
      <c r="W245" s="5" t="n"/>
    </row>
    <row r="246">
      <c r="A246" s="5" t="n"/>
      <c r="B246" s="5" t="n"/>
      <c r="C246" s="5" t="n"/>
      <c r="D246" s="5" t="n"/>
      <c r="E246" s="19">
        <f>IF(B246="","",SUMIF(BFTC!$B$5:$B$504,B246,BFTC!$E$5:$E$504))</f>
        <v/>
      </c>
      <c r="F246" s="20" t="n"/>
      <c r="G246" s="20" t="n"/>
      <c r="H246" s="20" t="n"/>
      <c r="I246" s="20" t="n"/>
      <c r="J246" s="20" t="n"/>
      <c r="K246" s="20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5" t="n"/>
      <c r="U246" s="21">
        <f>IF(OR(B246="",T246=""),"",IFERROR(1/(1/INDEX(F246:S246,MATCH(T246,$F$4:$S$4,0))),""))</f>
        <v/>
      </c>
      <c r="V246" s="21">
        <f>IF(OR(E246="",U246=""),"",E246*U246)</f>
        <v/>
      </c>
      <c r="W246" s="5" t="n"/>
    </row>
    <row r="247">
      <c r="A247" s="5" t="n"/>
      <c r="B247" s="5" t="n"/>
      <c r="C247" s="5" t="n"/>
      <c r="D247" s="5" t="n"/>
      <c r="E247" s="19">
        <f>IF(B247="","",SUMIF(BFTC!$B$5:$B$504,B247,BFTC!$E$5:$E$504))</f>
        <v/>
      </c>
      <c r="F247" s="20" t="n"/>
      <c r="G247" s="20" t="n"/>
      <c r="H247" s="20" t="n"/>
      <c r="I247" s="20" t="n"/>
      <c r="J247" s="20" t="n"/>
      <c r="K247" s="20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5" t="n"/>
      <c r="U247" s="21">
        <f>IF(OR(B247="",T247=""),"",IFERROR(1/(1/INDEX(F247:S247,MATCH(T247,$F$4:$S$4,0))),""))</f>
        <v/>
      </c>
      <c r="V247" s="21">
        <f>IF(OR(E247="",U247=""),"",E247*U247)</f>
        <v/>
      </c>
      <c r="W247" s="5" t="n"/>
    </row>
    <row r="248">
      <c r="A248" s="5" t="n"/>
      <c r="B248" s="5" t="n"/>
      <c r="C248" s="5" t="n"/>
      <c r="D248" s="5" t="n"/>
      <c r="E248" s="19">
        <f>IF(B248="","",SUMIF(BFTC!$B$5:$B$504,B248,BFTC!$E$5:$E$504))</f>
        <v/>
      </c>
      <c r="F248" s="20" t="n"/>
      <c r="G248" s="20" t="n"/>
      <c r="H248" s="20" t="n"/>
      <c r="I248" s="20" t="n"/>
      <c r="J248" s="20" t="n"/>
      <c r="K248" s="20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5" t="n"/>
      <c r="U248" s="21">
        <f>IF(OR(B248="",T248=""),"",IFERROR(1/(1/INDEX(F248:S248,MATCH(T248,$F$4:$S$4,0))),""))</f>
        <v/>
      </c>
      <c r="V248" s="21">
        <f>IF(OR(E248="",U248=""),"",E248*U248)</f>
        <v/>
      </c>
      <c r="W248" s="5" t="n"/>
    </row>
    <row r="249">
      <c r="A249" s="5" t="n"/>
      <c r="B249" s="5" t="n"/>
      <c r="C249" s="5" t="n"/>
      <c r="D249" s="5" t="n"/>
      <c r="E249" s="19">
        <f>IF(B249="","",SUMIF(BFTC!$B$5:$B$504,B249,BFTC!$E$5:$E$504))</f>
        <v/>
      </c>
      <c r="F249" s="20" t="n"/>
      <c r="G249" s="20" t="n"/>
      <c r="H249" s="20" t="n"/>
      <c r="I249" s="20" t="n"/>
      <c r="J249" s="20" t="n"/>
      <c r="K249" s="20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5" t="n"/>
      <c r="U249" s="21">
        <f>IF(OR(B249="",T249=""),"",IFERROR(1/(1/INDEX(F249:S249,MATCH(T249,$F$4:$S$4,0))),""))</f>
        <v/>
      </c>
      <c r="V249" s="21">
        <f>IF(OR(E249="",U249=""),"",E249*U249)</f>
        <v/>
      </c>
      <c r="W249" s="5" t="n"/>
    </row>
    <row r="250">
      <c r="A250" s="5" t="n"/>
      <c r="B250" s="5" t="n"/>
      <c r="C250" s="5" t="n"/>
      <c r="D250" s="5" t="n"/>
      <c r="E250" s="19">
        <f>IF(B250="","",SUMIF(BFTC!$B$5:$B$504,B250,BFTC!$E$5:$E$504))</f>
        <v/>
      </c>
      <c r="F250" s="20" t="n"/>
      <c r="G250" s="20" t="n"/>
      <c r="H250" s="20" t="n"/>
      <c r="I250" s="20" t="n"/>
      <c r="J250" s="20" t="n"/>
      <c r="K250" s="20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5" t="n"/>
      <c r="U250" s="21">
        <f>IF(OR(B250="",T250=""),"",IFERROR(1/(1/INDEX(F250:S250,MATCH(T250,$F$4:$S$4,0))),""))</f>
        <v/>
      </c>
      <c r="V250" s="21">
        <f>IF(OR(E250="",U250=""),"",E250*U250)</f>
        <v/>
      </c>
      <c r="W250" s="5" t="n"/>
    </row>
    <row r="251">
      <c r="A251" s="5" t="n"/>
      <c r="B251" s="5" t="n"/>
      <c r="C251" s="5" t="n"/>
      <c r="D251" s="5" t="n"/>
      <c r="E251" s="19">
        <f>IF(B251="","",SUMIF(BFTC!$B$5:$B$504,B251,BFTC!$E$5:$E$504))</f>
        <v/>
      </c>
      <c r="F251" s="20" t="n"/>
      <c r="G251" s="20" t="n"/>
      <c r="H251" s="20" t="n"/>
      <c r="I251" s="20" t="n"/>
      <c r="J251" s="20" t="n"/>
      <c r="K251" s="20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5" t="n"/>
      <c r="U251" s="21">
        <f>IF(OR(B251="",T251=""),"",IFERROR(1/(1/INDEX(F251:S251,MATCH(T251,$F$4:$S$4,0))),""))</f>
        <v/>
      </c>
      <c r="V251" s="21">
        <f>IF(OR(E251="",U251=""),"",E251*U251)</f>
        <v/>
      </c>
      <c r="W251" s="5" t="n"/>
    </row>
    <row r="252">
      <c r="A252" s="5" t="n"/>
      <c r="B252" s="5" t="n"/>
      <c r="C252" s="5" t="n"/>
      <c r="D252" s="5" t="n"/>
      <c r="E252" s="19">
        <f>IF(B252="","",SUMIF(BFTC!$B$5:$B$504,B252,BFTC!$E$5:$E$504))</f>
        <v/>
      </c>
      <c r="F252" s="20" t="n"/>
      <c r="G252" s="20" t="n"/>
      <c r="H252" s="20" t="n"/>
      <c r="I252" s="20" t="n"/>
      <c r="J252" s="20" t="n"/>
      <c r="K252" s="20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5" t="n"/>
      <c r="U252" s="21">
        <f>IF(OR(B252="",T252=""),"",IFERROR(1/(1/INDEX(F252:S252,MATCH(T252,$F$4:$S$4,0))),""))</f>
        <v/>
      </c>
      <c r="V252" s="21">
        <f>IF(OR(E252="",U252=""),"",E252*U252)</f>
        <v/>
      </c>
      <c r="W252" s="5" t="n"/>
    </row>
    <row r="253">
      <c r="A253" s="5" t="n"/>
      <c r="B253" s="5" t="n"/>
      <c r="C253" s="5" t="n"/>
      <c r="D253" s="5" t="n"/>
      <c r="E253" s="19">
        <f>IF(B253="","",SUMIF(BFTC!$B$5:$B$504,B253,BFTC!$E$5:$E$504))</f>
        <v/>
      </c>
      <c r="F253" s="20" t="n"/>
      <c r="G253" s="20" t="n"/>
      <c r="H253" s="20" t="n"/>
      <c r="I253" s="20" t="n"/>
      <c r="J253" s="20" t="n"/>
      <c r="K253" s="20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5" t="n"/>
      <c r="U253" s="21">
        <f>IF(OR(B253="",T253=""),"",IFERROR(1/(1/INDEX(F253:S253,MATCH(T253,$F$4:$S$4,0))),""))</f>
        <v/>
      </c>
      <c r="V253" s="21">
        <f>IF(OR(E253="",U253=""),"",E253*U253)</f>
        <v/>
      </c>
      <c r="W253" s="5" t="n"/>
    </row>
    <row r="254">
      <c r="A254" s="5" t="n"/>
      <c r="B254" s="5" t="n"/>
      <c r="C254" s="5" t="n"/>
      <c r="D254" s="5" t="n"/>
      <c r="E254" s="19">
        <f>IF(B254="","",SUMIF(BFTC!$B$5:$B$504,B254,BFTC!$E$5:$E$504))</f>
        <v/>
      </c>
      <c r="F254" s="20" t="n"/>
      <c r="G254" s="20" t="n"/>
      <c r="H254" s="20" t="n"/>
      <c r="I254" s="20" t="n"/>
      <c r="J254" s="20" t="n"/>
      <c r="K254" s="20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5" t="n"/>
      <c r="U254" s="21">
        <f>IF(OR(B254="",T254=""),"",IFERROR(1/(1/INDEX(F254:S254,MATCH(T254,$F$4:$S$4,0))),""))</f>
        <v/>
      </c>
      <c r="V254" s="21">
        <f>IF(OR(E254="",U254=""),"",E254*U254)</f>
        <v/>
      </c>
      <c r="W254" s="5" t="n"/>
    </row>
    <row r="255">
      <c r="A255" s="5" t="n"/>
      <c r="B255" s="5" t="n"/>
      <c r="C255" s="5" t="n"/>
      <c r="D255" s="5" t="n"/>
      <c r="E255" s="19">
        <f>IF(B255="","",SUMIF(BFTC!$B$5:$B$504,B255,BFTC!$E$5:$E$504))</f>
        <v/>
      </c>
      <c r="F255" s="20" t="n"/>
      <c r="G255" s="20" t="n"/>
      <c r="H255" s="20" t="n"/>
      <c r="I255" s="20" t="n"/>
      <c r="J255" s="20" t="n"/>
      <c r="K255" s="20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5" t="n"/>
      <c r="U255" s="21">
        <f>IF(OR(B255="",T255=""),"",IFERROR(1/(1/INDEX(F255:S255,MATCH(T255,$F$4:$S$4,0))),""))</f>
        <v/>
      </c>
      <c r="V255" s="21">
        <f>IF(OR(E255="",U255=""),"",E255*U255)</f>
        <v/>
      </c>
      <c r="W255" s="5" t="n"/>
    </row>
    <row r="256">
      <c r="A256" s="5" t="n"/>
      <c r="B256" s="5" t="n"/>
      <c r="C256" s="5" t="n"/>
      <c r="D256" s="5" t="n"/>
      <c r="E256" s="19">
        <f>IF(B256="","",SUMIF(BFTC!$B$5:$B$504,B256,BFTC!$E$5:$E$504))</f>
        <v/>
      </c>
      <c r="F256" s="20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5" t="n"/>
      <c r="U256" s="21">
        <f>IF(OR(B256="",T256=""),"",IFERROR(1/(1/INDEX(F256:S256,MATCH(T256,$F$4:$S$4,0))),""))</f>
        <v/>
      </c>
      <c r="V256" s="21">
        <f>IF(OR(E256="",U256=""),"",E256*U256)</f>
        <v/>
      </c>
      <c r="W256" s="5" t="n"/>
    </row>
    <row r="257">
      <c r="A257" s="5" t="n"/>
      <c r="B257" s="5" t="n"/>
      <c r="C257" s="5" t="n"/>
      <c r="D257" s="5" t="n"/>
      <c r="E257" s="19">
        <f>IF(B257="","",SUMIF(BFTC!$B$5:$B$504,B257,BFTC!$E$5:$E$504))</f>
        <v/>
      </c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5" t="n"/>
      <c r="U257" s="21">
        <f>IF(OR(B257="",T257=""),"",IFERROR(1/(1/INDEX(F257:S257,MATCH(T257,$F$4:$S$4,0))),""))</f>
        <v/>
      </c>
      <c r="V257" s="21">
        <f>IF(OR(E257="",U257=""),"",E257*U257)</f>
        <v/>
      </c>
      <c r="W257" s="5" t="n"/>
    </row>
    <row r="258">
      <c r="A258" s="5" t="n"/>
      <c r="B258" s="5" t="n"/>
      <c r="C258" s="5" t="n"/>
      <c r="D258" s="5" t="n"/>
      <c r="E258" s="19">
        <f>IF(B258="","",SUMIF(BFTC!$B$5:$B$504,B258,BFTC!$E$5:$E$504))</f>
        <v/>
      </c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5" t="n"/>
      <c r="U258" s="21">
        <f>IF(OR(B258="",T258=""),"",IFERROR(1/(1/INDEX(F258:S258,MATCH(T258,$F$4:$S$4,0))),""))</f>
        <v/>
      </c>
      <c r="V258" s="21">
        <f>IF(OR(E258="",U258=""),"",E258*U258)</f>
        <v/>
      </c>
      <c r="W258" s="5" t="n"/>
    </row>
    <row r="259">
      <c r="A259" s="5" t="n"/>
      <c r="B259" s="5" t="n"/>
      <c r="C259" s="5" t="n"/>
      <c r="D259" s="5" t="n"/>
      <c r="E259" s="19">
        <f>IF(B259="","",SUMIF(BFTC!$B$5:$B$504,B259,BFTC!$E$5:$E$504))</f>
        <v/>
      </c>
      <c r="F259" s="20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5" t="n"/>
      <c r="U259" s="21">
        <f>IF(OR(B259="",T259=""),"",IFERROR(1/(1/INDEX(F259:S259,MATCH(T259,$F$4:$S$4,0))),""))</f>
        <v/>
      </c>
      <c r="V259" s="21">
        <f>IF(OR(E259="",U259=""),"",E259*U259)</f>
        <v/>
      </c>
      <c r="W259" s="5" t="n"/>
    </row>
    <row r="260">
      <c r="A260" s="5" t="n"/>
      <c r="B260" s="5" t="n"/>
      <c r="C260" s="5" t="n"/>
      <c r="D260" s="5" t="n"/>
      <c r="E260" s="19">
        <f>IF(B260="","",SUMIF(BFTC!$B$5:$B$504,B260,BFTC!$E$5:$E$504))</f>
        <v/>
      </c>
      <c r="F260" s="20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5" t="n"/>
      <c r="U260" s="21">
        <f>IF(OR(B260="",T260=""),"",IFERROR(1/(1/INDEX(F260:S260,MATCH(T260,$F$4:$S$4,0))),""))</f>
        <v/>
      </c>
      <c r="V260" s="21">
        <f>IF(OR(E260="",U260=""),"",E260*U260)</f>
        <v/>
      </c>
      <c r="W260" s="5" t="n"/>
    </row>
    <row r="261">
      <c r="A261" s="5" t="n"/>
      <c r="B261" s="5" t="n"/>
      <c r="C261" s="5" t="n"/>
      <c r="D261" s="5" t="n"/>
      <c r="E261" s="19">
        <f>IF(B261="","",SUMIF(BFTC!$B$5:$B$504,B261,BFTC!$E$5:$E$504))</f>
        <v/>
      </c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5" t="n"/>
      <c r="U261" s="21">
        <f>IF(OR(B261="",T261=""),"",IFERROR(1/(1/INDEX(F261:S261,MATCH(T261,$F$4:$S$4,0))),""))</f>
        <v/>
      </c>
      <c r="V261" s="21">
        <f>IF(OR(E261="",U261=""),"",E261*U261)</f>
        <v/>
      </c>
      <c r="W261" s="5" t="n"/>
    </row>
    <row r="262">
      <c r="A262" s="5" t="n"/>
      <c r="B262" s="5" t="n"/>
      <c r="C262" s="5" t="n"/>
      <c r="D262" s="5" t="n"/>
      <c r="E262" s="19">
        <f>IF(B262="","",SUMIF(BFTC!$B$5:$B$504,B262,BFTC!$E$5:$E$504))</f>
        <v/>
      </c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5" t="n"/>
      <c r="U262" s="21">
        <f>IF(OR(B262="",T262=""),"",IFERROR(1/(1/INDEX(F262:S262,MATCH(T262,$F$4:$S$4,0))),""))</f>
        <v/>
      </c>
      <c r="V262" s="21">
        <f>IF(OR(E262="",U262=""),"",E262*U262)</f>
        <v/>
      </c>
      <c r="W262" s="5" t="n"/>
    </row>
    <row r="263">
      <c r="A263" s="5" t="n"/>
      <c r="B263" s="5" t="n"/>
      <c r="C263" s="5" t="n"/>
      <c r="D263" s="5" t="n"/>
      <c r="E263" s="19">
        <f>IF(B263="","",SUMIF(BFTC!$B$5:$B$504,B263,BFTC!$E$5:$E$504))</f>
        <v/>
      </c>
      <c r="F263" s="20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5" t="n"/>
      <c r="U263" s="21">
        <f>IF(OR(B263="",T263=""),"",IFERROR(1/(1/INDEX(F263:S263,MATCH(T263,$F$4:$S$4,0))),""))</f>
        <v/>
      </c>
      <c r="V263" s="21">
        <f>IF(OR(E263="",U263=""),"",E263*U263)</f>
        <v/>
      </c>
      <c r="W263" s="5" t="n"/>
    </row>
    <row r="264">
      <c r="A264" s="5" t="n"/>
      <c r="B264" s="5" t="n"/>
      <c r="C264" s="5" t="n"/>
      <c r="D264" s="5" t="n"/>
      <c r="E264" s="19">
        <f>IF(B264="","",SUMIF(BFTC!$B$5:$B$504,B264,BFTC!$E$5:$E$504))</f>
        <v/>
      </c>
      <c r="F264" s="20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5" t="n"/>
      <c r="U264" s="21">
        <f>IF(OR(B264="",T264=""),"",IFERROR(1/(1/INDEX(F264:S264,MATCH(T264,$F$4:$S$4,0))),""))</f>
        <v/>
      </c>
      <c r="V264" s="21">
        <f>IF(OR(E264="",U264=""),"",E264*U264)</f>
        <v/>
      </c>
      <c r="W264" s="5" t="n"/>
    </row>
    <row r="265">
      <c r="A265" s="5" t="n"/>
      <c r="B265" s="5" t="n"/>
      <c r="C265" s="5" t="n"/>
      <c r="D265" s="5" t="n"/>
      <c r="E265" s="19">
        <f>IF(B265="","",SUMIF(BFTC!$B$5:$B$504,B265,BFTC!$E$5:$E$504))</f>
        <v/>
      </c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5" t="n"/>
      <c r="U265" s="21">
        <f>IF(OR(B265="",T265=""),"",IFERROR(1/(1/INDEX(F265:S265,MATCH(T265,$F$4:$S$4,0))),""))</f>
        <v/>
      </c>
      <c r="V265" s="21">
        <f>IF(OR(E265="",U265=""),"",E265*U265)</f>
        <v/>
      </c>
      <c r="W265" s="5" t="n"/>
    </row>
    <row r="266">
      <c r="A266" s="5" t="n"/>
      <c r="B266" s="5" t="n"/>
      <c r="C266" s="5" t="n"/>
      <c r="D266" s="5" t="n"/>
      <c r="E266" s="19">
        <f>IF(B266="","",SUMIF(BFTC!$B$5:$B$504,B266,BFTC!$E$5:$E$504))</f>
        <v/>
      </c>
      <c r="F266" s="20" t="n"/>
      <c r="G266" s="20" t="n"/>
      <c r="H266" s="20" t="n"/>
      <c r="I266" s="20" t="n"/>
      <c r="J266" s="20" t="n"/>
      <c r="K266" s="20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5" t="n"/>
      <c r="U266" s="21">
        <f>IF(OR(B266="",T266=""),"",IFERROR(1/(1/INDEX(F266:S266,MATCH(T266,$F$4:$S$4,0))),""))</f>
        <v/>
      </c>
      <c r="V266" s="21">
        <f>IF(OR(E266="",U266=""),"",E266*U266)</f>
        <v/>
      </c>
      <c r="W266" s="5" t="n"/>
    </row>
    <row r="267">
      <c r="A267" s="5" t="n"/>
      <c r="B267" s="5" t="n"/>
      <c r="C267" s="5" t="n"/>
      <c r="D267" s="5" t="n"/>
      <c r="E267" s="19">
        <f>IF(B267="","",SUMIF(BFTC!$B$5:$B$504,B267,BFTC!$E$5:$E$504))</f>
        <v/>
      </c>
      <c r="F267" s="20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5" t="n"/>
      <c r="U267" s="21">
        <f>IF(OR(B267="",T267=""),"",IFERROR(1/(1/INDEX(F267:S267,MATCH(T267,$F$4:$S$4,0))),""))</f>
        <v/>
      </c>
      <c r="V267" s="21">
        <f>IF(OR(E267="",U267=""),"",E267*U267)</f>
        <v/>
      </c>
      <c r="W267" s="5" t="n"/>
    </row>
    <row r="268">
      <c r="A268" s="5" t="n"/>
      <c r="B268" s="5" t="n"/>
      <c r="C268" s="5" t="n"/>
      <c r="D268" s="5" t="n"/>
      <c r="E268" s="19">
        <f>IF(B268="","",SUMIF(BFTC!$B$5:$B$504,B268,BFTC!$E$5:$E$504))</f>
        <v/>
      </c>
      <c r="F268" s="20" t="n"/>
      <c r="G268" s="20" t="n"/>
      <c r="H268" s="20" t="n"/>
      <c r="I268" s="20" t="n"/>
      <c r="J268" s="20" t="n"/>
      <c r="K268" s="20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5" t="n"/>
      <c r="U268" s="21">
        <f>IF(OR(B268="",T268=""),"",IFERROR(1/(1/INDEX(F268:S268,MATCH(T268,$F$4:$S$4,0))),""))</f>
        <v/>
      </c>
      <c r="V268" s="21">
        <f>IF(OR(E268="",U268=""),"",E268*U268)</f>
        <v/>
      </c>
      <c r="W268" s="5" t="n"/>
    </row>
    <row r="269">
      <c r="A269" s="5" t="n"/>
      <c r="B269" s="5" t="n"/>
      <c r="C269" s="5" t="n"/>
      <c r="D269" s="5" t="n"/>
      <c r="E269" s="19">
        <f>IF(B269="","",SUMIF(BFTC!$B$5:$B$504,B269,BFTC!$E$5:$E$504))</f>
        <v/>
      </c>
      <c r="F269" s="20" t="n"/>
      <c r="G269" s="20" t="n"/>
      <c r="H269" s="20" t="n"/>
      <c r="I269" s="20" t="n"/>
      <c r="J269" s="20" t="n"/>
      <c r="K269" s="20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5" t="n"/>
      <c r="U269" s="21">
        <f>IF(OR(B269="",T269=""),"",IFERROR(1/(1/INDEX(F269:S269,MATCH(T269,$F$4:$S$4,0))),""))</f>
        <v/>
      </c>
      <c r="V269" s="21">
        <f>IF(OR(E269="",U269=""),"",E269*U269)</f>
        <v/>
      </c>
      <c r="W269" s="5" t="n"/>
    </row>
    <row r="270">
      <c r="A270" s="5" t="n"/>
      <c r="B270" s="5" t="n"/>
      <c r="C270" s="5" t="n"/>
      <c r="D270" s="5" t="n"/>
      <c r="E270" s="19">
        <f>IF(B270="","",SUMIF(BFTC!$B$5:$B$504,B270,BFTC!$E$5:$E$504))</f>
        <v/>
      </c>
      <c r="F270" s="20" t="n"/>
      <c r="G270" s="20" t="n"/>
      <c r="H270" s="20" t="n"/>
      <c r="I270" s="20" t="n"/>
      <c r="J270" s="20" t="n"/>
      <c r="K270" s="20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5" t="n"/>
      <c r="U270" s="21">
        <f>IF(OR(B270="",T270=""),"",IFERROR(1/(1/INDEX(F270:S270,MATCH(T270,$F$4:$S$4,0))),""))</f>
        <v/>
      </c>
      <c r="V270" s="21">
        <f>IF(OR(E270="",U270=""),"",E270*U270)</f>
        <v/>
      </c>
      <c r="W270" s="5" t="n"/>
    </row>
    <row r="271">
      <c r="A271" s="5" t="n"/>
      <c r="B271" s="5" t="n"/>
      <c r="C271" s="5" t="n"/>
      <c r="D271" s="5" t="n"/>
      <c r="E271" s="19">
        <f>IF(B271="","",SUMIF(BFTC!$B$5:$B$504,B271,BFTC!$E$5:$E$504))</f>
        <v/>
      </c>
      <c r="F271" s="20" t="n"/>
      <c r="G271" s="20" t="n"/>
      <c r="H271" s="20" t="n"/>
      <c r="I271" s="20" t="n"/>
      <c r="J271" s="20" t="n"/>
      <c r="K271" s="20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5" t="n"/>
      <c r="U271" s="21">
        <f>IF(OR(B271="",T271=""),"",IFERROR(1/(1/INDEX(F271:S271,MATCH(T271,$F$4:$S$4,0))),""))</f>
        <v/>
      </c>
      <c r="V271" s="21">
        <f>IF(OR(E271="",U271=""),"",E271*U271)</f>
        <v/>
      </c>
      <c r="W271" s="5" t="n"/>
    </row>
    <row r="272">
      <c r="A272" s="5" t="n"/>
      <c r="B272" s="5" t="n"/>
      <c r="C272" s="5" t="n"/>
      <c r="D272" s="5" t="n"/>
      <c r="E272" s="19">
        <f>IF(B272="","",SUMIF(BFTC!$B$5:$B$504,B272,BFTC!$E$5:$E$504))</f>
        <v/>
      </c>
      <c r="F272" s="20" t="n"/>
      <c r="G272" s="20" t="n"/>
      <c r="H272" s="20" t="n"/>
      <c r="I272" s="20" t="n"/>
      <c r="J272" s="20" t="n"/>
      <c r="K272" s="20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5" t="n"/>
      <c r="U272" s="21">
        <f>IF(OR(B272="",T272=""),"",IFERROR(1/(1/INDEX(F272:S272,MATCH(T272,$F$4:$S$4,0))),""))</f>
        <v/>
      </c>
      <c r="V272" s="21">
        <f>IF(OR(E272="",U272=""),"",E272*U272)</f>
        <v/>
      </c>
      <c r="W272" s="5" t="n"/>
    </row>
    <row r="273">
      <c r="A273" s="5" t="n"/>
      <c r="B273" s="5" t="n"/>
      <c r="C273" s="5" t="n"/>
      <c r="D273" s="5" t="n"/>
      <c r="E273" s="19">
        <f>IF(B273="","",SUMIF(BFTC!$B$5:$B$504,B273,BFTC!$E$5:$E$504))</f>
        <v/>
      </c>
      <c r="F273" s="20" t="n"/>
      <c r="G273" s="20" t="n"/>
      <c r="H273" s="20" t="n"/>
      <c r="I273" s="20" t="n"/>
      <c r="J273" s="20" t="n"/>
      <c r="K273" s="20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5" t="n"/>
      <c r="U273" s="21">
        <f>IF(OR(B273="",T273=""),"",IFERROR(1/(1/INDEX(F273:S273,MATCH(T273,$F$4:$S$4,0))),""))</f>
        <v/>
      </c>
      <c r="V273" s="21">
        <f>IF(OR(E273="",U273=""),"",E273*U273)</f>
        <v/>
      </c>
      <c r="W273" s="5" t="n"/>
    </row>
    <row r="274">
      <c r="A274" s="5" t="n"/>
      <c r="B274" s="5" t="n"/>
      <c r="C274" s="5" t="n"/>
      <c r="D274" s="5" t="n"/>
      <c r="E274" s="19">
        <f>IF(B274="","",SUMIF(BFTC!$B$5:$B$504,B274,BFTC!$E$5:$E$504))</f>
        <v/>
      </c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5" t="n"/>
      <c r="U274" s="21">
        <f>IF(OR(B274="",T274=""),"",IFERROR(1/(1/INDEX(F274:S274,MATCH(T274,$F$4:$S$4,0))),""))</f>
        <v/>
      </c>
      <c r="V274" s="21">
        <f>IF(OR(E274="",U274=""),"",E274*U274)</f>
        <v/>
      </c>
      <c r="W274" s="5" t="n"/>
    </row>
    <row r="275">
      <c r="A275" s="5" t="n"/>
      <c r="B275" s="5" t="n"/>
      <c r="C275" s="5" t="n"/>
      <c r="D275" s="5" t="n"/>
      <c r="E275" s="19">
        <f>IF(B275="","",SUMIF(BFTC!$B$5:$B$504,B275,BFTC!$E$5:$E$504))</f>
        <v/>
      </c>
      <c r="F275" s="20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5" t="n"/>
      <c r="U275" s="21">
        <f>IF(OR(B275="",T275=""),"",IFERROR(1/(1/INDEX(F275:S275,MATCH(T275,$F$4:$S$4,0))),""))</f>
        <v/>
      </c>
      <c r="V275" s="21">
        <f>IF(OR(E275="",U275=""),"",E275*U275)</f>
        <v/>
      </c>
      <c r="W275" s="5" t="n"/>
    </row>
    <row r="276">
      <c r="A276" s="5" t="n"/>
      <c r="B276" s="5" t="n"/>
      <c r="C276" s="5" t="n"/>
      <c r="D276" s="5" t="n"/>
      <c r="E276" s="19">
        <f>IF(B276="","",SUMIF(BFTC!$B$5:$B$504,B276,BFTC!$E$5:$E$504))</f>
        <v/>
      </c>
      <c r="F276" s="20" t="n"/>
      <c r="G276" s="20" t="n"/>
      <c r="H276" s="20" t="n"/>
      <c r="I276" s="20" t="n"/>
      <c r="J276" s="20" t="n"/>
      <c r="K276" s="20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5" t="n"/>
      <c r="U276" s="21">
        <f>IF(OR(B276="",T276=""),"",IFERROR(1/(1/INDEX(F276:S276,MATCH(T276,$F$4:$S$4,0))),""))</f>
        <v/>
      </c>
      <c r="V276" s="21">
        <f>IF(OR(E276="",U276=""),"",E276*U276)</f>
        <v/>
      </c>
      <c r="W276" s="5" t="n"/>
    </row>
    <row r="277">
      <c r="A277" s="5" t="n"/>
      <c r="B277" s="5" t="n"/>
      <c r="C277" s="5" t="n"/>
      <c r="D277" s="5" t="n"/>
      <c r="E277" s="19">
        <f>IF(B277="","",SUMIF(BFTC!$B$5:$B$504,B277,BFTC!$E$5:$E$504))</f>
        <v/>
      </c>
      <c r="F277" s="20" t="n"/>
      <c r="G277" s="20" t="n"/>
      <c r="H277" s="20" t="n"/>
      <c r="I277" s="20" t="n"/>
      <c r="J277" s="20" t="n"/>
      <c r="K277" s="20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5" t="n"/>
      <c r="U277" s="21">
        <f>IF(OR(B277="",T277=""),"",IFERROR(1/(1/INDEX(F277:S277,MATCH(T277,$F$4:$S$4,0))),""))</f>
        <v/>
      </c>
      <c r="V277" s="21">
        <f>IF(OR(E277="",U277=""),"",E277*U277)</f>
        <v/>
      </c>
      <c r="W277" s="5" t="n"/>
    </row>
    <row r="278">
      <c r="A278" s="5" t="n"/>
      <c r="B278" s="5" t="n"/>
      <c r="C278" s="5" t="n"/>
      <c r="D278" s="5" t="n"/>
      <c r="E278" s="19">
        <f>IF(B278="","",SUMIF(BFTC!$B$5:$B$504,B278,BFTC!$E$5:$E$504))</f>
        <v/>
      </c>
      <c r="F278" s="20" t="n"/>
      <c r="G278" s="20" t="n"/>
      <c r="H278" s="20" t="n"/>
      <c r="I278" s="20" t="n"/>
      <c r="J278" s="20" t="n"/>
      <c r="K278" s="20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5" t="n"/>
      <c r="U278" s="21">
        <f>IF(OR(B278="",T278=""),"",IFERROR(1/(1/INDEX(F278:S278,MATCH(T278,$F$4:$S$4,0))),""))</f>
        <v/>
      </c>
      <c r="V278" s="21">
        <f>IF(OR(E278="",U278=""),"",E278*U278)</f>
        <v/>
      </c>
      <c r="W278" s="5" t="n"/>
    </row>
    <row r="279">
      <c r="A279" s="5" t="n"/>
      <c r="B279" s="5" t="n"/>
      <c r="C279" s="5" t="n"/>
      <c r="D279" s="5" t="n"/>
      <c r="E279" s="19">
        <f>IF(B279="","",SUMIF(BFTC!$B$5:$B$504,B279,BFTC!$E$5:$E$504))</f>
        <v/>
      </c>
      <c r="F279" s="20" t="n"/>
      <c r="G279" s="20" t="n"/>
      <c r="H279" s="20" t="n"/>
      <c r="I279" s="20" t="n"/>
      <c r="J279" s="20" t="n"/>
      <c r="K279" s="20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5" t="n"/>
      <c r="U279" s="21">
        <f>IF(OR(B279="",T279=""),"",IFERROR(1/(1/INDEX(F279:S279,MATCH(T279,$F$4:$S$4,0))),""))</f>
        <v/>
      </c>
      <c r="V279" s="21">
        <f>IF(OR(E279="",U279=""),"",E279*U279)</f>
        <v/>
      </c>
      <c r="W279" s="5" t="n"/>
    </row>
    <row r="280">
      <c r="A280" s="5" t="n"/>
      <c r="B280" s="5" t="n"/>
      <c r="C280" s="5" t="n"/>
      <c r="D280" s="5" t="n"/>
      <c r="E280" s="19">
        <f>IF(B280="","",SUMIF(BFTC!$B$5:$B$504,B280,BFTC!$E$5:$E$504))</f>
        <v/>
      </c>
      <c r="F280" s="20" t="n"/>
      <c r="G280" s="20" t="n"/>
      <c r="H280" s="20" t="n"/>
      <c r="I280" s="20" t="n"/>
      <c r="J280" s="20" t="n"/>
      <c r="K280" s="20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5" t="n"/>
      <c r="U280" s="21">
        <f>IF(OR(B280="",T280=""),"",IFERROR(1/(1/INDEX(F280:S280,MATCH(T280,$F$4:$S$4,0))),""))</f>
        <v/>
      </c>
      <c r="V280" s="21">
        <f>IF(OR(E280="",U280=""),"",E280*U280)</f>
        <v/>
      </c>
      <c r="W280" s="5" t="n"/>
    </row>
    <row r="281">
      <c r="A281" s="5" t="n"/>
      <c r="B281" s="5" t="n"/>
      <c r="C281" s="5" t="n"/>
      <c r="D281" s="5" t="n"/>
      <c r="E281" s="19">
        <f>IF(B281="","",SUMIF(BFTC!$B$5:$B$504,B281,BFTC!$E$5:$E$504))</f>
        <v/>
      </c>
      <c r="F281" s="20" t="n"/>
      <c r="G281" s="20" t="n"/>
      <c r="H281" s="20" t="n"/>
      <c r="I281" s="20" t="n"/>
      <c r="J281" s="20" t="n"/>
      <c r="K281" s="20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5" t="n"/>
      <c r="U281" s="21">
        <f>IF(OR(B281="",T281=""),"",IFERROR(1/(1/INDEX(F281:S281,MATCH(T281,$F$4:$S$4,0))),""))</f>
        <v/>
      </c>
      <c r="V281" s="21">
        <f>IF(OR(E281="",U281=""),"",E281*U281)</f>
        <v/>
      </c>
      <c r="W281" s="5" t="n"/>
    </row>
    <row r="282">
      <c r="A282" s="5" t="n"/>
      <c r="B282" s="5" t="n"/>
      <c r="C282" s="5" t="n"/>
      <c r="D282" s="5" t="n"/>
      <c r="E282" s="19">
        <f>IF(B282="","",SUMIF(BFTC!$B$5:$B$504,B282,BFTC!$E$5:$E$504))</f>
        <v/>
      </c>
      <c r="F282" s="20" t="n"/>
      <c r="G282" s="20" t="n"/>
      <c r="H282" s="20" t="n"/>
      <c r="I282" s="20" t="n"/>
      <c r="J282" s="20" t="n"/>
      <c r="K282" s="20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5" t="n"/>
      <c r="U282" s="21">
        <f>IF(OR(B282="",T282=""),"",IFERROR(1/(1/INDEX(F282:S282,MATCH(T282,$F$4:$S$4,0))),""))</f>
        <v/>
      </c>
      <c r="V282" s="21">
        <f>IF(OR(E282="",U282=""),"",E282*U282)</f>
        <v/>
      </c>
      <c r="W282" s="5" t="n"/>
    </row>
    <row r="283">
      <c r="A283" s="5" t="n"/>
      <c r="B283" s="5" t="n"/>
      <c r="C283" s="5" t="n"/>
      <c r="D283" s="5" t="n"/>
      <c r="E283" s="19">
        <f>IF(B283="","",SUMIF(BFTC!$B$5:$B$504,B283,BFTC!$E$5:$E$504))</f>
        <v/>
      </c>
      <c r="F283" s="20" t="n"/>
      <c r="G283" s="20" t="n"/>
      <c r="H283" s="20" t="n"/>
      <c r="I283" s="20" t="n"/>
      <c r="J283" s="20" t="n"/>
      <c r="K283" s="20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5" t="n"/>
      <c r="U283" s="21">
        <f>IF(OR(B283="",T283=""),"",IFERROR(1/(1/INDEX(F283:S283,MATCH(T283,$F$4:$S$4,0))),""))</f>
        <v/>
      </c>
      <c r="V283" s="21">
        <f>IF(OR(E283="",U283=""),"",E283*U283)</f>
        <v/>
      </c>
      <c r="W283" s="5" t="n"/>
    </row>
    <row r="284">
      <c r="A284" s="5" t="n"/>
      <c r="B284" s="5" t="n"/>
      <c r="C284" s="5" t="n"/>
      <c r="D284" s="5" t="n"/>
      <c r="E284" s="19">
        <f>IF(B284="","",SUMIF(BFTC!$B$5:$B$504,B284,BFTC!$E$5:$E$504))</f>
        <v/>
      </c>
      <c r="F284" s="20" t="n"/>
      <c r="G284" s="20" t="n"/>
      <c r="H284" s="20" t="n"/>
      <c r="I284" s="20" t="n"/>
      <c r="J284" s="20" t="n"/>
      <c r="K284" s="20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5" t="n"/>
      <c r="U284" s="21">
        <f>IF(OR(B284="",T284=""),"",IFERROR(1/(1/INDEX(F284:S284,MATCH(T284,$F$4:$S$4,0))),""))</f>
        <v/>
      </c>
      <c r="V284" s="21">
        <f>IF(OR(E284="",U284=""),"",E284*U284)</f>
        <v/>
      </c>
      <c r="W284" s="5" t="n"/>
    </row>
    <row r="285">
      <c r="A285" s="5" t="n"/>
      <c r="B285" s="5" t="n"/>
      <c r="C285" s="5" t="n"/>
      <c r="D285" s="5" t="n"/>
      <c r="E285" s="19">
        <f>IF(B285="","",SUMIF(BFTC!$B$5:$B$504,B285,BFTC!$E$5:$E$504))</f>
        <v/>
      </c>
      <c r="F285" s="20" t="n"/>
      <c r="G285" s="20" t="n"/>
      <c r="H285" s="20" t="n"/>
      <c r="I285" s="20" t="n"/>
      <c r="J285" s="20" t="n"/>
      <c r="K285" s="20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5" t="n"/>
      <c r="U285" s="21">
        <f>IF(OR(B285="",T285=""),"",IFERROR(1/(1/INDEX(F285:S285,MATCH(T285,$F$4:$S$4,0))),""))</f>
        <v/>
      </c>
      <c r="V285" s="21">
        <f>IF(OR(E285="",U285=""),"",E285*U285)</f>
        <v/>
      </c>
      <c r="W285" s="5" t="n"/>
    </row>
    <row r="286">
      <c r="A286" s="5" t="n"/>
      <c r="B286" s="5" t="n"/>
      <c r="C286" s="5" t="n"/>
      <c r="D286" s="5" t="n"/>
      <c r="E286" s="19">
        <f>IF(B286="","",SUMIF(BFTC!$B$5:$B$504,B286,BFTC!$E$5:$E$504))</f>
        <v/>
      </c>
      <c r="F286" s="20" t="n"/>
      <c r="G286" s="20" t="n"/>
      <c r="H286" s="20" t="n"/>
      <c r="I286" s="20" t="n"/>
      <c r="J286" s="20" t="n"/>
      <c r="K286" s="20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5" t="n"/>
      <c r="U286" s="21">
        <f>IF(OR(B286="",T286=""),"",IFERROR(1/(1/INDEX(F286:S286,MATCH(T286,$F$4:$S$4,0))),""))</f>
        <v/>
      </c>
      <c r="V286" s="21">
        <f>IF(OR(E286="",U286=""),"",E286*U286)</f>
        <v/>
      </c>
      <c r="W286" s="5" t="n"/>
    </row>
    <row r="287">
      <c r="A287" s="5" t="n"/>
      <c r="B287" s="5" t="n"/>
      <c r="C287" s="5" t="n"/>
      <c r="D287" s="5" t="n"/>
      <c r="E287" s="19">
        <f>IF(B287="","",SUMIF(BFTC!$B$5:$B$504,B287,BFTC!$E$5:$E$504))</f>
        <v/>
      </c>
      <c r="F287" s="20" t="n"/>
      <c r="G287" s="20" t="n"/>
      <c r="H287" s="20" t="n"/>
      <c r="I287" s="20" t="n"/>
      <c r="J287" s="20" t="n"/>
      <c r="K287" s="20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5" t="n"/>
      <c r="U287" s="21">
        <f>IF(OR(B287="",T287=""),"",IFERROR(1/(1/INDEX(F287:S287,MATCH(T287,$F$4:$S$4,0))),""))</f>
        <v/>
      </c>
      <c r="V287" s="21">
        <f>IF(OR(E287="",U287=""),"",E287*U287)</f>
        <v/>
      </c>
      <c r="W287" s="5" t="n"/>
    </row>
    <row r="288">
      <c r="A288" s="5" t="n"/>
      <c r="B288" s="5" t="n"/>
      <c r="C288" s="5" t="n"/>
      <c r="D288" s="5" t="n"/>
      <c r="E288" s="19">
        <f>IF(B288="","",SUMIF(BFTC!$B$5:$B$504,B288,BFTC!$E$5:$E$504))</f>
        <v/>
      </c>
      <c r="F288" s="20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5" t="n"/>
      <c r="U288" s="21">
        <f>IF(OR(B288="",T288=""),"",IFERROR(1/(1/INDEX(F288:S288,MATCH(T288,$F$4:$S$4,0))),""))</f>
        <v/>
      </c>
      <c r="V288" s="21">
        <f>IF(OR(E288="",U288=""),"",E288*U288)</f>
        <v/>
      </c>
      <c r="W288" s="5" t="n"/>
    </row>
    <row r="289">
      <c r="A289" s="5" t="n"/>
      <c r="B289" s="5" t="n"/>
      <c r="C289" s="5" t="n"/>
      <c r="D289" s="5" t="n"/>
      <c r="E289" s="19">
        <f>IF(B289="","",SUMIF(BFTC!$B$5:$B$504,B289,BFTC!$E$5:$E$504))</f>
        <v/>
      </c>
      <c r="F289" s="20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5" t="n"/>
      <c r="U289" s="21">
        <f>IF(OR(B289="",T289=""),"",IFERROR(1/(1/INDEX(F289:S289,MATCH(T289,$F$4:$S$4,0))),""))</f>
        <v/>
      </c>
      <c r="V289" s="21">
        <f>IF(OR(E289="",U289=""),"",E289*U289)</f>
        <v/>
      </c>
      <c r="W289" s="5" t="n"/>
    </row>
    <row r="290">
      <c r="A290" s="5" t="n"/>
      <c r="B290" s="5" t="n"/>
      <c r="C290" s="5" t="n"/>
      <c r="D290" s="5" t="n"/>
      <c r="E290" s="19">
        <f>IF(B290="","",SUMIF(BFTC!$B$5:$B$504,B290,BFTC!$E$5:$E$504))</f>
        <v/>
      </c>
      <c r="F290" s="20" t="n"/>
      <c r="G290" s="20" t="n"/>
      <c r="H290" s="20" t="n"/>
      <c r="I290" s="20" t="n"/>
      <c r="J290" s="20" t="n"/>
      <c r="K290" s="20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5" t="n"/>
      <c r="U290" s="21">
        <f>IF(OR(B290="",T290=""),"",IFERROR(1/(1/INDEX(F290:S290,MATCH(T290,$F$4:$S$4,0))),""))</f>
        <v/>
      </c>
      <c r="V290" s="21">
        <f>IF(OR(E290="",U290=""),"",E290*U290)</f>
        <v/>
      </c>
      <c r="W290" s="5" t="n"/>
    </row>
    <row r="291">
      <c r="A291" s="5" t="n"/>
      <c r="B291" s="5" t="n"/>
      <c r="C291" s="5" t="n"/>
      <c r="D291" s="5" t="n"/>
      <c r="E291" s="19">
        <f>IF(B291="","",SUMIF(BFTC!$B$5:$B$504,B291,BFTC!$E$5:$E$504))</f>
        <v/>
      </c>
      <c r="F291" s="20" t="n"/>
      <c r="G291" s="20" t="n"/>
      <c r="H291" s="20" t="n"/>
      <c r="I291" s="20" t="n"/>
      <c r="J291" s="20" t="n"/>
      <c r="K291" s="20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5" t="n"/>
      <c r="U291" s="21">
        <f>IF(OR(B291="",T291=""),"",IFERROR(1/(1/INDEX(F291:S291,MATCH(T291,$F$4:$S$4,0))),""))</f>
        <v/>
      </c>
      <c r="V291" s="21">
        <f>IF(OR(E291="",U291=""),"",E291*U291)</f>
        <v/>
      </c>
      <c r="W291" s="5" t="n"/>
    </row>
    <row r="292">
      <c r="A292" s="5" t="n"/>
      <c r="B292" s="5" t="n"/>
      <c r="C292" s="5" t="n"/>
      <c r="D292" s="5" t="n"/>
      <c r="E292" s="19">
        <f>IF(B292="","",SUMIF(BFTC!$B$5:$B$504,B292,BFTC!$E$5:$E$504))</f>
        <v/>
      </c>
      <c r="F292" s="20" t="n"/>
      <c r="G292" s="20" t="n"/>
      <c r="H292" s="20" t="n"/>
      <c r="I292" s="20" t="n"/>
      <c r="J292" s="20" t="n"/>
      <c r="K292" s="20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5" t="n"/>
      <c r="U292" s="21">
        <f>IF(OR(B292="",T292=""),"",IFERROR(1/(1/INDEX(F292:S292,MATCH(T292,$F$4:$S$4,0))),""))</f>
        <v/>
      </c>
      <c r="V292" s="21">
        <f>IF(OR(E292="",U292=""),"",E292*U292)</f>
        <v/>
      </c>
      <c r="W292" s="5" t="n"/>
    </row>
    <row r="293">
      <c r="A293" s="5" t="n"/>
      <c r="B293" s="5" t="n"/>
      <c r="C293" s="5" t="n"/>
      <c r="D293" s="5" t="n"/>
      <c r="E293" s="19">
        <f>IF(B293="","",SUMIF(BFTC!$B$5:$B$504,B293,BFTC!$E$5:$E$504))</f>
        <v/>
      </c>
      <c r="F293" s="20" t="n"/>
      <c r="G293" s="20" t="n"/>
      <c r="H293" s="20" t="n"/>
      <c r="I293" s="20" t="n"/>
      <c r="J293" s="20" t="n"/>
      <c r="K293" s="20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5" t="n"/>
      <c r="U293" s="21">
        <f>IF(OR(B293="",T293=""),"",IFERROR(1/(1/INDEX(F293:S293,MATCH(T293,$F$4:$S$4,0))),""))</f>
        <v/>
      </c>
      <c r="V293" s="21">
        <f>IF(OR(E293="",U293=""),"",E293*U293)</f>
        <v/>
      </c>
      <c r="W293" s="5" t="n"/>
    </row>
    <row r="294">
      <c r="A294" s="5" t="n"/>
      <c r="B294" s="5" t="n"/>
      <c r="C294" s="5" t="n"/>
      <c r="D294" s="5" t="n"/>
      <c r="E294" s="19">
        <f>IF(B294="","",SUMIF(BFTC!$B$5:$B$504,B294,BFTC!$E$5:$E$504))</f>
        <v/>
      </c>
      <c r="F294" s="20" t="n"/>
      <c r="G294" s="20" t="n"/>
      <c r="H294" s="20" t="n"/>
      <c r="I294" s="20" t="n"/>
      <c r="J294" s="20" t="n"/>
      <c r="K294" s="20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5" t="n"/>
      <c r="U294" s="21">
        <f>IF(OR(B294="",T294=""),"",IFERROR(1/(1/INDEX(F294:S294,MATCH(T294,$F$4:$S$4,0))),""))</f>
        <v/>
      </c>
      <c r="V294" s="21">
        <f>IF(OR(E294="",U294=""),"",E294*U294)</f>
        <v/>
      </c>
      <c r="W294" s="5" t="n"/>
    </row>
    <row r="295">
      <c r="A295" s="5" t="n"/>
      <c r="B295" s="5" t="n"/>
      <c r="C295" s="5" t="n"/>
      <c r="D295" s="5" t="n"/>
      <c r="E295" s="19">
        <f>IF(B295="","",SUMIF(BFTC!$B$5:$B$504,B295,BFTC!$E$5:$E$504))</f>
        <v/>
      </c>
      <c r="F295" s="20" t="n"/>
      <c r="G295" s="20" t="n"/>
      <c r="H295" s="20" t="n"/>
      <c r="I295" s="20" t="n"/>
      <c r="J295" s="20" t="n"/>
      <c r="K295" s="20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5" t="n"/>
      <c r="U295" s="21">
        <f>IF(OR(B295="",T295=""),"",IFERROR(1/(1/INDEX(F295:S295,MATCH(T295,$F$4:$S$4,0))),""))</f>
        <v/>
      </c>
      <c r="V295" s="21">
        <f>IF(OR(E295="",U295=""),"",E295*U295)</f>
        <v/>
      </c>
      <c r="W295" s="5" t="n"/>
    </row>
    <row r="296">
      <c r="A296" s="5" t="n"/>
      <c r="B296" s="5" t="n"/>
      <c r="C296" s="5" t="n"/>
      <c r="D296" s="5" t="n"/>
      <c r="E296" s="19">
        <f>IF(B296="","",SUMIF(BFTC!$B$5:$B$504,B296,BFTC!$E$5:$E$504))</f>
        <v/>
      </c>
      <c r="F296" s="20" t="n"/>
      <c r="G296" s="20" t="n"/>
      <c r="H296" s="20" t="n"/>
      <c r="I296" s="20" t="n"/>
      <c r="J296" s="20" t="n"/>
      <c r="K296" s="20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5" t="n"/>
      <c r="U296" s="21">
        <f>IF(OR(B296="",T296=""),"",IFERROR(1/(1/INDEX(F296:S296,MATCH(T296,$F$4:$S$4,0))),""))</f>
        <v/>
      </c>
      <c r="V296" s="21">
        <f>IF(OR(E296="",U296=""),"",E296*U296)</f>
        <v/>
      </c>
      <c r="W296" s="5" t="n"/>
    </row>
    <row r="297">
      <c r="A297" s="5" t="n"/>
      <c r="B297" s="5" t="n"/>
      <c r="C297" s="5" t="n"/>
      <c r="D297" s="5" t="n"/>
      <c r="E297" s="19">
        <f>IF(B297="","",SUMIF(BFTC!$B$5:$B$504,B297,BFTC!$E$5:$E$504))</f>
        <v/>
      </c>
      <c r="F297" s="20" t="n"/>
      <c r="G297" s="20" t="n"/>
      <c r="H297" s="20" t="n"/>
      <c r="I297" s="20" t="n"/>
      <c r="J297" s="20" t="n"/>
      <c r="K297" s="20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5" t="n"/>
      <c r="U297" s="21">
        <f>IF(OR(B297="",T297=""),"",IFERROR(1/(1/INDEX(F297:S297,MATCH(T297,$F$4:$S$4,0))),""))</f>
        <v/>
      </c>
      <c r="V297" s="21">
        <f>IF(OR(E297="",U297=""),"",E297*U297)</f>
        <v/>
      </c>
      <c r="W297" s="5" t="n"/>
    </row>
    <row r="298">
      <c r="A298" s="5" t="n"/>
      <c r="B298" s="5" t="n"/>
      <c r="C298" s="5" t="n"/>
      <c r="D298" s="5" t="n"/>
      <c r="E298" s="19">
        <f>IF(B298="","",SUMIF(BFTC!$B$5:$B$504,B298,BFTC!$E$5:$E$504))</f>
        <v/>
      </c>
      <c r="F298" s="20" t="n"/>
      <c r="G298" s="20" t="n"/>
      <c r="H298" s="20" t="n"/>
      <c r="I298" s="20" t="n"/>
      <c r="J298" s="20" t="n"/>
      <c r="K298" s="20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5" t="n"/>
      <c r="U298" s="21">
        <f>IF(OR(B298="",T298=""),"",IFERROR(1/(1/INDEX(F298:S298,MATCH(T298,$F$4:$S$4,0))),""))</f>
        <v/>
      </c>
      <c r="V298" s="21">
        <f>IF(OR(E298="",U298=""),"",E298*U298)</f>
        <v/>
      </c>
      <c r="W298" s="5" t="n"/>
    </row>
    <row r="299">
      <c r="A299" s="5" t="n"/>
      <c r="B299" s="5" t="n"/>
      <c r="C299" s="5" t="n"/>
      <c r="D299" s="5" t="n"/>
      <c r="E299" s="19">
        <f>IF(B299="","",SUMIF(BFTC!$B$5:$B$504,B299,BFTC!$E$5:$E$504))</f>
        <v/>
      </c>
      <c r="F299" s="20" t="n"/>
      <c r="G299" s="20" t="n"/>
      <c r="H299" s="20" t="n"/>
      <c r="I299" s="20" t="n"/>
      <c r="J299" s="20" t="n"/>
      <c r="K299" s="20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5" t="n"/>
      <c r="U299" s="21">
        <f>IF(OR(B299="",T299=""),"",IFERROR(1/(1/INDEX(F299:S299,MATCH(T299,$F$4:$S$4,0))),""))</f>
        <v/>
      </c>
      <c r="V299" s="21">
        <f>IF(OR(E299="",U299=""),"",E299*U299)</f>
        <v/>
      </c>
      <c r="W299" s="5" t="n"/>
    </row>
    <row r="300">
      <c r="A300" s="5" t="n"/>
      <c r="B300" s="5" t="n"/>
      <c r="C300" s="5" t="n"/>
      <c r="D300" s="5" t="n"/>
      <c r="E300" s="19">
        <f>IF(B300="","",SUMIF(BFTC!$B$5:$B$504,B300,BFTC!$E$5:$E$504))</f>
        <v/>
      </c>
      <c r="F300" s="20" t="n"/>
      <c r="G300" s="20" t="n"/>
      <c r="H300" s="20" t="n"/>
      <c r="I300" s="20" t="n"/>
      <c r="J300" s="20" t="n"/>
      <c r="K300" s="20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5" t="n"/>
      <c r="U300" s="21">
        <f>IF(OR(B300="",T300=""),"",IFERROR(1/(1/INDEX(F300:S300,MATCH(T300,$F$4:$S$4,0))),""))</f>
        <v/>
      </c>
      <c r="V300" s="21">
        <f>IF(OR(E300="",U300=""),"",E300*U300)</f>
        <v/>
      </c>
      <c r="W300" s="5" t="n"/>
    </row>
    <row r="301">
      <c r="A301" s="5" t="n"/>
      <c r="B301" s="5" t="n"/>
      <c r="C301" s="5" t="n"/>
      <c r="D301" s="5" t="n"/>
      <c r="E301" s="19">
        <f>IF(B301="","",SUMIF(BFTC!$B$5:$B$504,B301,BFTC!$E$5:$E$504))</f>
        <v/>
      </c>
      <c r="F301" s="20" t="n"/>
      <c r="G301" s="20" t="n"/>
      <c r="H301" s="20" t="n"/>
      <c r="I301" s="20" t="n"/>
      <c r="J301" s="20" t="n"/>
      <c r="K301" s="20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5" t="n"/>
      <c r="U301" s="21">
        <f>IF(OR(B301="",T301=""),"",IFERROR(1/(1/INDEX(F301:S301,MATCH(T301,$F$4:$S$4,0))),""))</f>
        <v/>
      </c>
      <c r="V301" s="21">
        <f>IF(OR(E301="",U301=""),"",E301*U301)</f>
        <v/>
      </c>
      <c r="W301" s="5" t="n"/>
    </row>
    <row r="302">
      <c r="A302" s="5" t="n"/>
      <c r="B302" s="5" t="n"/>
      <c r="C302" s="5" t="n"/>
      <c r="D302" s="5" t="n"/>
      <c r="E302" s="19">
        <f>IF(B302="","",SUMIF(BFTC!$B$5:$B$504,B302,BFTC!$E$5:$E$504))</f>
        <v/>
      </c>
      <c r="F302" s="20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5" t="n"/>
      <c r="U302" s="21">
        <f>IF(OR(B302="",T302=""),"",IFERROR(1/(1/INDEX(F302:S302,MATCH(T302,$F$4:$S$4,0))),""))</f>
        <v/>
      </c>
      <c r="V302" s="21">
        <f>IF(OR(E302="",U302=""),"",E302*U302)</f>
        <v/>
      </c>
      <c r="W302" s="5" t="n"/>
    </row>
    <row r="303">
      <c r="A303" s="5" t="n"/>
      <c r="B303" s="5" t="n"/>
      <c r="C303" s="5" t="n"/>
      <c r="D303" s="5" t="n"/>
      <c r="E303" s="19">
        <f>IF(B303="","",SUMIF(BFTC!$B$5:$B$504,B303,BFTC!$E$5:$E$504))</f>
        <v/>
      </c>
      <c r="F303" s="20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5" t="n"/>
      <c r="U303" s="21">
        <f>IF(OR(B303="",T303=""),"",IFERROR(1/(1/INDEX(F303:S303,MATCH(T303,$F$4:$S$4,0))),""))</f>
        <v/>
      </c>
      <c r="V303" s="21">
        <f>IF(OR(E303="",U303=""),"",E303*U303)</f>
        <v/>
      </c>
      <c r="W303" s="5" t="n"/>
    </row>
    <row r="304">
      <c r="A304" s="5" t="n"/>
      <c r="B304" s="5" t="n"/>
      <c r="C304" s="5" t="n"/>
      <c r="D304" s="5" t="n"/>
      <c r="E304" s="19">
        <f>IF(B304="","",SUMIF(BFTC!$B$5:$B$504,B304,BFTC!$E$5:$E$504))</f>
        <v/>
      </c>
      <c r="F304" s="20" t="n"/>
      <c r="G304" s="20" t="n"/>
      <c r="H304" s="20" t="n"/>
      <c r="I304" s="20" t="n"/>
      <c r="J304" s="20" t="n"/>
      <c r="K304" s="20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5" t="n"/>
      <c r="U304" s="21">
        <f>IF(OR(B304="",T304=""),"",IFERROR(1/(1/INDEX(F304:S304,MATCH(T304,$F$4:$S$4,0))),""))</f>
        <v/>
      </c>
      <c r="V304" s="21">
        <f>IF(OR(E304="",U304=""),"",E304*U304)</f>
        <v/>
      </c>
      <c r="W304" s="5" t="n"/>
    </row>
    <row r="305">
      <c r="A305" s="5" t="n"/>
      <c r="B305" s="5" t="n"/>
      <c r="C305" s="5" t="n"/>
      <c r="D305" s="5" t="n"/>
      <c r="E305" s="19">
        <f>IF(B305="","",SUMIF(BFTC!$B$5:$B$504,B305,BFTC!$E$5:$E$504))</f>
        <v/>
      </c>
      <c r="F305" s="20" t="n"/>
      <c r="G305" s="20" t="n"/>
      <c r="H305" s="20" t="n"/>
      <c r="I305" s="20" t="n"/>
      <c r="J305" s="20" t="n"/>
      <c r="K305" s="20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5" t="n"/>
      <c r="U305" s="21">
        <f>IF(OR(B305="",T305=""),"",IFERROR(1/(1/INDEX(F305:S305,MATCH(T305,$F$4:$S$4,0))),""))</f>
        <v/>
      </c>
      <c r="V305" s="21">
        <f>IF(OR(E305="",U305=""),"",E305*U305)</f>
        <v/>
      </c>
      <c r="W305" s="5" t="n"/>
    </row>
    <row r="306">
      <c r="A306" s="5" t="n"/>
      <c r="B306" s="5" t="n"/>
      <c r="C306" s="5" t="n"/>
      <c r="D306" s="5" t="n"/>
      <c r="E306" s="19">
        <f>IF(B306="","",SUMIF(BFTC!$B$5:$B$504,B306,BFTC!$E$5:$E$504))</f>
        <v/>
      </c>
      <c r="F306" s="20" t="n"/>
      <c r="G306" s="20" t="n"/>
      <c r="H306" s="20" t="n"/>
      <c r="I306" s="20" t="n"/>
      <c r="J306" s="20" t="n"/>
      <c r="K306" s="20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5" t="n"/>
      <c r="U306" s="21">
        <f>IF(OR(B306="",T306=""),"",IFERROR(1/(1/INDEX(F306:S306,MATCH(T306,$F$4:$S$4,0))),""))</f>
        <v/>
      </c>
      <c r="V306" s="21">
        <f>IF(OR(E306="",U306=""),"",E306*U306)</f>
        <v/>
      </c>
      <c r="W306" s="5" t="n"/>
    </row>
    <row r="307">
      <c r="A307" s="5" t="n"/>
      <c r="B307" s="5" t="n"/>
      <c r="C307" s="5" t="n"/>
      <c r="D307" s="5" t="n"/>
      <c r="E307" s="19">
        <f>IF(B307="","",SUMIF(BFTC!$B$5:$B$504,B307,BFTC!$E$5:$E$504))</f>
        <v/>
      </c>
      <c r="F307" s="20" t="n"/>
      <c r="G307" s="20" t="n"/>
      <c r="H307" s="20" t="n"/>
      <c r="I307" s="20" t="n"/>
      <c r="J307" s="20" t="n"/>
      <c r="K307" s="20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5" t="n"/>
      <c r="U307" s="21">
        <f>IF(OR(B307="",T307=""),"",IFERROR(1/(1/INDEX(F307:S307,MATCH(T307,$F$4:$S$4,0))),""))</f>
        <v/>
      </c>
      <c r="V307" s="21">
        <f>IF(OR(E307="",U307=""),"",E307*U307)</f>
        <v/>
      </c>
      <c r="W307" s="5" t="n"/>
    </row>
    <row r="308">
      <c r="A308" s="5" t="n"/>
      <c r="B308" s="5" t="n"/>
      <c r="C308" s="5" t="n"/>
      <c r="D308" s="5" t="n"/>
      <c r="E308" s="19">
        <f>IF(B308="","",SUMIF(BFTC!$B$5:$B$504,B308,BFTC!$E$5:$E$504))</f>
        <v/>
      </c>
      <c r="F308" s="20" t="n"/>
      <c r="G308" s="20" t="n"/>
      <c r="H308" s="20" t="n"/>
      <c r="I308" s="20" t="n"/>
      <c r="J308" s="20" t="n"/>
      <c r="K308" s="20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5" t="n"/>
      <c r="U308" s="21">
        <f>IF(OR(B308="",T308=""),"",IFERROR(1/(1/INDEX(F308:S308,MATCH(T308,$F$4:$S$4,0))),""))</f>
        <v/>
      </c>
      <c r="V308" s="21">
        <f>IF(OR(E308="",U308=""),"",E308*U308)</f>
        <v/>
      </c>
      <c r="W308" s="5" t="n"/>
    </row>
    <row r="309">
      <c r="A309" s="5" t="n"/>
      <c r="B309" s="5" t="n"/>
      <c r="C309" s="5" t="n"/>
      <c r="D309" s="5" t="n"/>
      <c r="E309" s="19">
        <f>IF(B309="","",SUMIF(BFTC!$B$5:$B$504,B309,BFTC!$E$5:$E$504))</f>
        <v/>
      </c>
      <c r="F309" s="20" t="n"/>
      <c r="G309" s="20" t="n"/>
      <c r="H309" s="20" t="n"/>
      <c r="I309" s="20" t="n"/>
      <c r="J309" s="20" t="n"/>
      <c r="K309" s="20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5" t="n"/>
      <c r="U309" s="21">
        <f>IF(OR(B309="",T309=""),"",IFERROR(1/(1/INDEX(F309:S309,MATCH(T309,$F$4:$S$4,0))),""))</f>
        <v/>
      </c>
      <c r="V309" s="21">
        <f>IF(OR(E309="",U309=""),"",E309*U309)</f>
        <v/>
      </c>
      <c r="W309" s="5" t="n"/>
    </row>
    <row r="310">
      <c r="A310" s="5" t="n"/>
      <c r="B310" s="5" t="n"/>
      <c r="C310" s="5" t="n"/>
      <c r="D310" s="5" t="n"/>
      <c r="E310" s="19">
        <f>IF(B310="","",SUMIF(BFTC!$B$5:$B$504,B310,BFTC!$E$5:$E$504))</f>
        <v/>
      </c>
      <c r="F310" s="20" t="n"/>
      <c r="G310" s="20" t="n"/>
      <c r="H310" s="20" t="n"/>
      <c r="I310" s="20" t="n"/>
      <c r="J310" s="20" t="n"/>
      <c r="K310" s="20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5" t="n"/>
      <c r="U310" s="21">
        <f>IF(OR(B310="",T310=""),"",IFERROR(1/(1/INDEX(F310:S310,MATCH(T310,$F$4:$S$4,0))),""))</f>
        <v/>
      </c>
      <c r="V310" s="21">
        <f>IF(OR(E310="",U310=""),"",E310*U310)</f>
        <v/>
      </c>
      <c r="W310" s="5" t="n"/>
    </row>
    <row r="311">
      <c r="A311" s="5" t="n"/>
      <c r="B311" s="5" t="n"/>
      <c r="C311" s="5" t="n"/>
      <c r="D311" s="5" t="n"/>
      <c r="E311" s="19">
        <f>IF(B311="","",SUMIF(BFTC!$B$5:$B$504,B311,BFTC!$E$5:$E$504))</f>
        <v/>
      </c>
      <c r="F311" s="20" t="n"/>
      <c r="G311" s="20" t="n"/>
      <c r="H311" s="20" t="n"/>
      <c r="I311" s="20" t="n"/>
      <c r="J311" s="20" t="n"/>
      <c r="K311" s="20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5" t="n"/>
      <c r="U311" s="21">
        <f>IF(OR(B311="",T311=""),"",IFERROR(1/(1/INDEX(F311:S311,MATCH(T311,$F$4:$S$4,0))),""))</f>
        <v/>
      </c>
      <c r="V311" s="21">
        <f>IF(OR(E311="",U311=""),"",E311*U311)</f>
        <v/>
      </c>
      <c r="W311" s="5" t="n"/>
    </row>
    <row r="312">
      <c r="A312" s="5" t="n"/>
      <c r="B312" s="5" t="n"/>
      <c r="C312" s="5" t="n"/>
      <c r="D312" s="5" t="n"/>
      <c r="E312" s="19">
        <f>IF(B312="","",SUMIF(BFTC!$B$5:$B$504,B312,BFTC!$E$5:$E$504))</f>
        <v/>
      </c>
      <c r="F312" s="20" t="n"/>
      <c r="G312" s="20" t="n"/>
      <c r="H312" s="20" t="n"/>
      <c r="I312" s="20" t="n"/>
      <c r="J312" s="20" t="n"/>
      <c r="K312" s="20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5" t="n"/>
      <c r="U312" s="21">
        <f>IF(OR(B312="",T312=""),"",IFERROR(1/(1/INDEX(F312:S312,MATCH(T312,$F$4:$S$4,0))),""))</f>
        <v/>
      </c>
      <c r="V312" s="21">
        <f>IF(OR(E312="",U312=""),"",E312*U312)</f>
        <v/>
      </c>
      <c r="W312" s="5" t="n"/>
    </row>
    <row r="313">
      <c r="A313" s="5" t="n"/>
      <c r="B313" s="5" t="n"/>
      <c r="C313" s="5" t="n"/>
      <c r="D313" s="5" t="n"/>
      <c r="E313" s="19">
        <f>IF(B313="","",SUMIF(BFTC!$B$5:$B$504,B313,BFTC!$E$5:$E$504))</f>
        <v/>
      </c>
      <c r="F313" s="20" t="n"/>
      <c r="G313" s="20" t="n"/>
      <c r="H313" s="20" t="n"/>
      <c r="I313" s="20" t="n"/>
      <c r="J313" s="20" t="n"/>
      <c r="K313" s="20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5" t="n"/>
      <c r="U313" s="21">
        <f>IF(OR(B313="",T313=""),"",IFERROR(1/(1/INDEX(F313:S313,MATCH(T313,$F$4:$S$4,0))),""))</f>
        <v/>
      </c>
      <c r="V313" s="21">
        <f>IF(OR(E313="",U313=""),"",E313*U313)</f>
        <v/>
      </c>
      <c r="W313" s="5" t="n"/>
    </row>
    <row r="314">
      <c r="A314" s="5" t="n"/>
      <c r="B314" s="5" t="n"/>
      <c r="C314" s="5" t="n"/>
      <c r="D314" s="5" t="n"/>
      <c r="E314" s="19">
        <f>IF(B314="","",SUMIF(BFTC!$B$5:$B$504,B314,BFTC!$E$5:$E$504))</f>
        <v/>
      </c>
      <c r="F314" s="20" t="n"/>
      <c r="G314" s="20" t="n"/>
      <c r="H314" s="20" t="n"/>
      <c r="I314" s="20" t="n"/>
      <c r="J314" s="20" t="n"/>
      <c r="K314" s="20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5" t="n"/>
      <c r="U314" s="21">
        <f>IF(OR(B314="",T314=""),"",IFERROR(1/(1/INDEX(F314:S314,MATCH(T314,$F$4:$S$4,0))),""))</f>
        <v/>
      </c>
      <c r="V314" s="21">
        <f>IF(OR(E314="",U314=""),"",E314*U314)</f>
        <v/>
      </c>
      <c r="W314" s="5" t="n"/>
    </row>
    <row r="315">
      <c r="A315" s="5" t="n"/>
      <c r="B315" s="5" t="n"/>
      <c r="C315" s="5" t="n"/>
      <c r="D315" s="5" t="n"/>
      <c r="E315" s="19">
        <f>IF(B315="","",SUMIF(BFTC!$B$5:$B$504,B315,BFTC!$E$5:$E$504))</f>
        <v/>
      </c>
      <c r="F315" s="20" t="n"/>
      <c r="G315" s="20" t="n"/>
      <c r="H315" s="20" t="n"/>
      <c r="I315" s="20" t="n"/>
      <c r="J315" s="20" t="n"/>
      <c r="K315" s="20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5" t="n"/>
      <c r="U315" s="21">
        <f>IF(OR(B315="",T315=""),"",IFERROR(1/(1/INDEX(F315:S315,MATCH(T315,$F$4:$S$4,0))),""))</f>
        <v/>
      </c>
      <c r="V315" s="21">
        <f>IF(OR(E315="",U315=""),"",E315*U315)</f>
        <v/>
      </c>
      <c r="W315" s="5" t="n"/>
    </row>
    <row r="316">
      <c r="A316" s="5" t="n"/>
      <c r="B316" s="5" t="n"/>
      <c r="C316" s="5" t="n"/>
      <c r="D316" s="5" t="n"/>
      <c r="E316" s="19">
        <f>IF(B316="","",SUMIF(BFTC!$B$5:$B$504,B316,BFTC!$E$5:$E$504))</f>
        <v/>
      </c>
      <c r="F316" s="20" t="n"/>
      <c r="G316" s="20" t="n"/>
      <c r="H316" s="20" t="n"/>
      <c r="I316" s="20" t="n"/>
      <c r="J316" s="20" t="n"/>
      <c r="K316" s="20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5" t="n"/>
      <c r="U316" s="21">
        <f>IF(OR(B316="",T316=""),"",IFERROR(1/(1/INDEX(F316:S316,MATCH(T316,$F$4:$S$4,0))),""))</f>
        <v/>
      </c>
      <c r="V316" s="21">
        <f>IF(OR(E316="",U316=""),"",E316*U316)</f>
        <v/>
      </c>
      <c r="W316" s="5" t="n"/>
    </row>
    <row r="317">
      <c r="A317" s="5" t="n"/>
      <c r="B317" s="5" t="n"/>
      <c r="C317" s="5" t="n"/>
      <c r="D317" s="5" t="n"/>
      <c r="E317" s="19">
        <f>IF(B317="","",SUMIF(BFTC!$B$5:$B$504,B317,BFTC!$E$5:$E$504))</f>
        <v/>
      </c>
      <c r="F317" s="20" t="n"/>
      <c r="G317" s="20" t="n"/>
      <c r="H317" s="20" t="n"/>
      <c r="I317" s="20" t="n"/>
      <c r="J317" s="20" t="n"/>
      <c r="K317" s="20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5" t="n"/>
      <c r="U317" s="21">
        <f>IF(OR(B317="",T317=""),"",IFERROR(1/(1/INDEX(F317:S317,MATCH(T317,$F$4:$S$4,0))),""))</f>
        <v/>
      </c>
      <c r="V317" s="21">
        <f>IF(OR(E317="",U317=""),"",E317*U317)</f>
        <v/>
      </c>
      <c r="W317" s="5" t="n"/>
    </row>
    <row r="318">
      <c r="A318" s="5" t="n"/>
      <c r="B318" s="5" t="n"/>
      <c r="C318" s="5" t="n"/>
      <c r="D318" s="5" t="n"/>
      <c r="E318" s="19">
        <f>IF(B318="","",SUMIF(BFTC!$B$5:$B$504,B318,BFTC!$E$5:$E$504))</f>
        <v/>
      </c>
      <c r="F318" s="20" t="n"/>
      <c r="G318" s="20" t="n"/>
      <c r="H318" s="20" t="n"/>
      <c r="I318" s="20" t="n"/>
      <c r="J318" s="20" t="n"/>
      <c r="K318" s="20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5" t="n"/>
      <c r="U318" s="21">
        <f>IF(OR(B318="",T318=""),"",IFERROR(1/(1/INDEX(F318:S318,MATCH(T318,$F$4:$S$4,0))),""))</f>
        <v/>
      </c>
      <c r="V318" s="21">
        <f>IF(OR(E318="",U318=""),"",E318*U318)</f>
        <v/>
      </c>
      <c r="W318" s="5" t="n"/>
    </row>
    <row r="319">
      <c r="A319" s="5" t="n"/>
      <c r="B319" s="5" t="n"/>
      <c r="C319" s="5" t="n"/>
      <c r="D319" s="5" t="n"/>
      <c r="E319" s="19">
        <f>IF(B319="","",SUMIF(BFTC!$B$5:$B$504,B319,BFTC!$E$5:$E$504))</f>
        <v/>
      </c>
      <c r="F319" s="20" t="n"/>
      <c r="G319" s="20" t="n"/>
      <c r="H319" s="20" t="n"/>
      <c r="I319" s="20" t="n"/>
      <c r="J319" s="20" t="n"/>
      <c r="K319" s="20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5" t="n"/>
      <c r="U319" s="21">
        <f>IF(OR(B319="",T319=""),"",IFERROR(1/(1/INDEX(F319:S319,MATCH(T319,$F$4:$S$4,0))),""))</f>
        <v/>
      </c>
      <c r="V319" s="21">
        <f>IF(OR(E319="",U319=""),"",E319*U319)</f>
        <v/>
      </c>
      <c r="W319" s="5" t="n"/>
    </row>
    <row r="320">
      <c r="A320" s="5" t="n"/>
      <c r="B320" s="5" t="n"/>
      <c r="C320" s="5" t="n"/>
      <c r="D320" s="5" t="n"/>
      <c r="E320" s="19">
        <f>IF(B320="","",SUMIF(BFTC!$B$5:$B$504,B320,BFTC!$E$5:$E$504))</f>
        <v/>
      </c>
      <c r="F320" s="20" t="n"/>
      <c r="G320" s="20" t="n"/>
      <c r="H320" s="20" t="n"/>
      <c r="I320" s="20" t="n"/>
      <c r="J320" s="20" t="n"/>
      <c r="K320" s="20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5" t="n"/>
      <c r="U320" s="21">
        <f>IF(OR(B320="",T320=""),"",IFERROR(1/(1/INDEX(F320:S320,MATCH(T320,$F$4:$S$4,0))),""))</f>
        <v/>
      </c>
      <c r="V320" s="21">
        <f>IF(OR(E320="",U320=""),"",E320*U320)</f>
        <v/>
      </c>
      <c r="W320" s="5" t="n"/>
    </row>
    <row r="321">
      <c r="A321" s="5" t="n"/>
      <c r="B321" s="5" t="n"/>
      <c r="C321" s="5" t="n"/>
      <c r="D321" s="5" t="n"/>
      <c r="E321" s="19">
        <f>IF(B321="","",SUMIF(BFTC!$B$5:$B$504,B321,BFTC!$E$5:$E$504))</f>
        <v/>
      </c>
      <c r="F321" s="20" t="n"/>
      <c r="G321" s="20" t="n"/>
      <c r="H321" s="20" t="n"/>
      <c r="I321" s="20" t="n"/>
      <c r="J321" s="20" t="n"/>
      <c r="K321" s="20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5" t="n"/>
      <c r="U321" s="21">
        <f>IF(OR(B321="",T321=""),"",IFERROR(1/(1/INDEX(F321:S321,MATCH(T321,$F$4:$S$4,0))),""))</f>
        <v/>
      </c>
      <c r="V321" s="21">
        <f>IF(OR(E321="",U321=""),"",E321*U321)</f>
        <v/>
      </c>
      <c r="W321" s="5" t="n"/>
    </row>
    <row r="322">
      <c r="A322" s="5" t="n"/>
      <c r="B322" s="5" t="n"/>
      <c r="C322" s="5" t="n"/>
      <c r="D322" s="5" t="n"/>
      <c r="E322" s="19">
        <f>IF(B322="","",SUMIF(BFTC!$B$5:$B$504,B322,BFTC!$E$5:$E$504))</f>
        <v/>
      </c>
      <c r="F322" s="20" t="n"/>
      <c r="G322" s="20" t="n"/>
      <c r="H322" s="20" t="n"/>
      <c r="I322" s="20" t="n"/>
      <c r="J322" s="20" t="n"/>
      <c r="K322" s="20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5" t="n"/>
      <c r="U322" s="21">
        <f>IF(OR(B322="",T322=""),"",IFERROR(1/(1/INDEX(F322:S322,MATCH(T322,$F$4:$S$4,0))),""))</f>
        <v/>
      </c>
      <c r="V322" s="21">
        <f>IF(OR(E322="",U322=""),"",E322*U322)</f>
        <v/>
      </c>
      <c r="W322" s="5" t="n"/>
    </row>
    <row r="323">
      <c r="A323" s="5" t="n"/>
      <c r="B323" s="5" t="n"/>
      <c r="C323" s="5" t="n"/>
      <c r="D323" s="5" t="n"/>
      <c r="E323" s="19">
        <f>IF(B323="","",SUMIF(BFTC!$B$5:$B$504,B323,BFTC!$E$5:$E$504))</f>
        <v/>
      </c>
      <c r="F323" s="20" t="n"/>
      <c r="G323" s="20" t="n"/>
      <c r="H323" s="20" t="n"/>
      <c r="I323" s="20" t="n"/>
      <c r="J323" s="20" t="n"/>
      <c r="K323" s="20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5" t="n"/>
      <c r="U323" s="21">
        <f>IF(OR(B323="",T323=""),"",IFERROR(1/(1/INDEX(F323:S323,MATCH(T323,$F$4:$S$4,0))),""))</f>
        <v/>
      </c>
      <c r="V323" s="21">
        <f>IF(OR(E323="",U323=""),"",E323*U323)</f>
        <v/>
      </c>
      <c r="W323" s="5" t="n"/>
    </row>
    <row r="324">
      <c r="A324" s="5" t="n"/>
      <c r="B324" s="5" t="n"/>
      <c r="C324" s="5" t="n"/>
      <c r="D324" s="5" t="n"/>
      <c r="E324" s="19">
        <f>IF(B324="","",SUMIF(BFTC!$B$5:$B$504,B324,BFTC!$E$5:$E$504))</f>
        <v/>
      </c>
      <c r="F324" s="20" t="n"/>
      <c r="G324" s="20" t="n"/>
      <c r="H324" s="20" t="n"/>
      <c r="I324" s="20" t="n"/>
      <c r="J324" s="20" t="n"/>
      <c r="K324" s="20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5" t="n"/>
      <c r="U324" s="21">
        <f>IF(OR(B324="",T324=""),"",IFERROR(1/(1/INDEX(F324:S324,MATCH(T324,$F$4:$S$4,0))),""))</f>
        <v/>
      </c>
      <c r="V324" s="21">
        <f>IF(OR(E324="",U324=""),"",E324*U324)</f>
        <v/>
      </c>
      <c r="W324" s="5" t="n"/>
    </row>
    <row r="325">
      <c r="A325" s="5" t="n"/>
      <c r="B325" s="5" t="n"/>
      <c r="C325" s="5" t="n"/>
      <c r="D325" s="5" t="n"/>
      <c r="E325" s="19">
        <f>IF(B325="","",SUMIF(BFTC!$B$5:$B$504,B325,BFTC!$E$5:$E$504))</f>
        <v/>
      </c>
      <c r="F325" s="20" t="n"/>
      <c r="G325" s="20" t="n"/>
      <c r="H325" s="20" t="n"/>
      <c r="I325" s="20" t="n"/>
      <c r="J325" s="20" t="n"/>
      <c r="K325" s="20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5" t="n"/>
      <c r="U325" s="21">
        <f>IF(OR(B325="",T325=""),"",IFERROR(1/(1/INDEX(F325:S325,MATCH(T325,$F$4:$S$4,0))),""))</f>
        <v/>
      </c>
      <c r="V325" s="21">
        <f>IF(OR(E325="",U325=""),"",E325*U325)</f>
        <v/>
      </c>
      <c r="W325" s="5" t="n"/>
    </row>
    <row r="326">
      <c r="A326" s="5" t="n"/>
      <c r="B326" s="5" t="n"/>
      <c r="C326" s="5" t="n"/>
      <c r="D326" s="5" t="n"/>
      <c r="E326" s="19">
        <f>IF(B326="","",SUMIF(BFTC!$B$5:$B$504,B326,BFTC!$E$5:$E$504))</f>
        <v/>
      </c>
      <c r="F326" s="20" t="n"/>
      <c r="G326" s="20" t="n"/>
      <c r="H326" s="20" t="n"/>
      <c r="I326" s="20" t="n"/>
      <c r="J326" s="20" t="n"/>
      <c r="K326" s="20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5" t="n"/>
      <c r="U326" s="21">
        <f>IF(OR(B326="",T326=""),"",IFERROR(1/(1/INDEX(F326:S326,MATCH(T326,$F$4:$S$4,0))),""))</f>
        <v/>
      </c>
      <c r="V326" s="21">
        <f>IF(OR(E326="",U326=""),"",E326*U326)</f>
        <v/>
      </c>
      <c r="W326" s="5" t="n"/>
    </row>
    <row r="327">
      <c r="A327" s="5" t="n"/>
      <c r="B327" s="5" t="n"/>
      <c r="C327" s="5" t="n"/>
      <c r="D327" s="5" t="n"/>
      <c r="E327" s="19">
        <f>IF(B327="","",SUMIF(BFTC!$B$5:$B$504,B327,BFTC!$E$5:$E$504))</f>
        <v/>
      </c>
      <c r="F327" s="20" t="n"/>
      <c r="G327" s="20" t="n"/>
      <c r="H327" s="20" t="n"/>
      <c r="I327" s="20" t="n"/>
      <c r="J327" s="20" t="n"/>
      <c r="K327" s="20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5" t="n"/>
      <c r="U327" s="21">
        <f>IF(OR(B327="",T327=""),"",IFERROR(1/(1/INDEX(F327:S327,MATCH(T327,$F$4:$S$4,0))),""))</f>
        <v/>
      </c>
      <c r="V327" s="21">
        <f>IF(OR(E327="",U327=""),"",E327*U327)</f>
        <v/>
      </c>
      <c r="W327" s="5" t="n"/>
    </row>
    <row r="328">
      <c r="A328" s="5" t="n"/>
      <c r="B328" s="5" t="n"/>
      <c r="C328" s="5" t="n"/>
      <c r="D328" s="5" t="n"/>
      <c r="E328" s="19">
        <f>IF(B328="","",SUMIF(BFTC!$B$5:$B$504,B328,BFTC!$E$5:$E$504))</f>
        <v/>
      </c>
      <c r="F328" s="20" t="n"/>
      <c r="G328" s="20" t="n"/>
      <c r="H328" s="20" t="n"/>
      <c r="I328" s="20" t="n"/>
      <c r="J328" s="20" t="n"/>
      <c r="K328" s="20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5" t="n"/>
      <c r="U328" s="21">
        <f>IF(OR(B328="",T328=""),"",IFERROR(1/(1/INDEX(F328:S328,MATCH(T328,$F$4:$S$4,0))),""))</f>
        <v/>
      </c>
      <c r="V328" s="21">
        <f>IF(OR(E328="",U328=""),"",E328*U328)</f>
        <v/>
      </c>
      <c r="W328" s="5" t="n"/>
    </row>
    <row r="329">
      <c r="A329" s="5" t="n"/>
      <c r="B329" s="5" t="n"/>
      <c r="C329" s="5" t="n"/>
      <c r="D329" s="5" t="n"/>
      <c r="E329" s="19">
        <f>IF(B329="","",SUMIF(BFTC!$B$5:$B$504,B329,BFTC!$E$5:$E$504))</f>
        <v/>
      </c>
      <c r="F329" s="20" t="n"/>
      <c r="G329" s="20" t="n"/>
      <c r="H329" s="20" t="n"/>
      <c r="I329" s="20" t="n"/>
      <c r="J329" s="20" t="n"/>
      <c r="K329" s="20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5" t="n"/>
      <c r="U329" s="21">
        <f>IF(OR(B329="",T329=""),"",IFERROR(1/(1/INDEX(F329:S329,MATCH(T329,$F$4:$S$4,0))),""))</f>
        <v/>
      </c>
      <c r="V329" s="21">
        <f>IF(OR(E329="",U329=""),"",E329*U329)</f>
        <v/>
      </c>
      <c r="W329" s="5" t="n"/>
    </row>
    <row r="330">
      <c r="A330" s="5" t="n"/>
      <c r="B330" s="5" t="n"/>
      <c r="C330" s="5" t="n"/>
      <c r="D330" s="5" t="n"/>
      <c r="E330" s="19">
        <f>IF(B330="","",SUMIF(BFTC!$B$5:$B$504,B330,BFTC!$E$5:$E$504))</f>
        <v/>
      </c>
      <c r="F330" s="20" t="n"/>
      <c r="G330" s="20" t="n"/>
      <c r="H330" s="20" t="n"/>
      <c r="I330" s="20" t="n"/>
      <c r="J330" s="20" t="n"/>
      <c r="K330" s="20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5" t="n"/>
      <c r="U330" s="21">
        <f>IF(OR(B330="",T330=""),"",IFERROR(1/(1/INDEX(F330:S330,MATCH(T330,$F$4:$S$4,0))),""))</f>
        <v/>
      </c>
      <c r="V330" s="21">
        <f>IF(OR(E330="",U330=""),"",E330*U330)</f>
        <v/>
      </c>
      <c r="W330" s="5" t="n"/>
    </row>
    <row r="331">
      <c r="A331" s="5" t="n"/>
      <c r="B331" s="5" t="n"/>
      <c r="C331" s="5" t="n"/>
      <c r="D331" s="5" t="n"/>
      <c r="E331" s="19">
        <f>IF(B331="","",SUMIF(BFTC!$B$5:$B$504,B331,BFTC!$E$5:$E$504))</f>
        <v/>
      </c>
      <c r="F331" s="20" t="n"/>
      <c r="G331" s="20" t="n"/>
      <c r="H331" s="20" t="n"/>
      <c r="I331" s="20" t="n"/>
      <c r="J331" s="20" t="n"/>
      <c r="K331" s="20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5" t="n"/>
      <c r="U331" s="21">
        <f>IF(OR(B331="",T331=""),"",IFERROR(1/(1/INDEX(F331:S331,MATCH(T331,$F$4:$S$4,0))),""))</f>
        <v/>
      </c>
      <c r="V331" s="21">
        <f>IF(OR(E331="",U331=""),"",E331*U331)</f>
        <v/>
      </c>
      <c r="W331" s="5" t="n"/>
    </row>
    <row r="332">
      <c r="A332" s="5" t="n"/>
      <c r="B332" s="5" t="n"/>
      <c r="C332" s="5" t="n"/>
      <c r="D332" s="5" t="n"/>
      <c r="E332" s="19">
        <f>IF(B332="","",SUMIF(BFTC!$B$5:$B$504,B332,BFTC!$E$5:$E$504))</f>
        <v/>
      </c>
      <c r="F332" s="20" t="n"/>
      <c r="G332" s="20" t="n"/>
      <c r="H332" s="20" t="n"/>
      <c r="I332" s="20" t="n"/>
      <c r="J332" s="20" t="n"/>
      <c r="K332" s="20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5" t="n"/>
      <c r="U332" s="21">
        <f>IF(OR(B332="",T332=""),"",IFERROR(1/(1/INDEX(F332:S332,MATCH(T332,$F$4:$S$4,0))),""))</f>
        <v/>
      </c>
      <c r="V332" s="21">
        <f>IF(OR(E332="",U332=""),"",E332*U332)</f>
        <v/>
      </c>
      <c r="W332" s="5" t="n"/>
    </row>
    <row r="333">
      <c r="A333" s="5" t="n"/>
      <c r="B333" s="5" t="n"/>
      <c r="C333" s="5" t="n"/>
      <c r="D333" s="5" t="n"/>
      <c r="E333" s="19">
        <f>IF(B333="","",SUMIF(BFTC!$B$5:$B$504,B333,BFTC!$E$5:$E$504))</f>
        <v/>
      </c>
      <c r="F333" s="20" t="n"/>
      <c r="G333" s="20" t="n"/>
      <c r="H333" s="20" t="n"/>
      <c r="I333" s="20" t="n"/>
      <c r="J333" s="20" t="n"/>
      <c r="K333" s="20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5" t="n"/>
      <c r="U333" s="21">
        <f>IF(OR(B333="",T333=""),"",IFERROR(1/(1/INDEX(F333:S333,MATCH(T333,$F$4:$S$4,0))),""))</f>
        <v/>
      </c>
      <c r="V333" s="21">
        <f>IF(OR(E333="",U333=""),"",E333*U333)</f>
        <v/>
      </c>
      <c r="W333" s="5" t="n"/>
    </row>
    <row r="334">
      <c r="A334" s="5" t="n"/>
      <c r="B334" s="5" t="n"/>
      <c r="C334" s="5" t="n"/>
      <c r="D334" s="5" t="n"/>
      <c r="E334" s="19">
        <f>IF(B334="","",SUMIF(BFTC!$B$5:$B$504,B334,BFTC!$E$5:$E$504))</f>
        <v/>
      </c>
      <c r="F334" s="20" t="n"/>
      <c r="G334" s="20" t="n"/>
      <c r="H334" s="20" t="n"/>
      <c r="I334" s="20" t="n"/>
      <c r="J334" s="20" t="n"/>
      <c r="K334" s="20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5" t="n"/>
      <c r="U334" s="21">
        <f>IF(OR(B334="",T334=""),"",IFERROR(1/(1/INDEX(F334:S334,MATCH(T334,$F$4:$S$4,0))),""))</f>
        <v/>
      </c>
      <c r="V334" s="21">
        <f>IF(OR(E334="",U334=""),"",E334*U334)</f>
        <v/>
      </c>
      <c r="W334" s="5" t="n"/>
    </row>
    <row r="335">
      <c r="A335" s="5" t="n"/>
      <c r="B335" s="5" t="n"/>
      <c r="C335" s="5" t="n"/>
      <c r="D335" s="5" t="n"/>
      <c r="E335" s="19">
        <f>IF(B335="","",SUMIF(BFTC!$B$5:$B$504,B335,BFTC!$E$5:$E$504))</f>
        <v/>
      </c>
      <c r="F335" s="20" t="n"/>
      <c r="G335" s="20" t="n"/>
      <c r="H335" s="20" t="n"/>
      <c r="I335" s="20" t="n"/>
      <c r="J335" s="20" t="n"/>
      <c r="K335" s="20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5" t="n"/>
      <c r="U335" s="21">
        <f>IF(OR(B335="",T335=""),"",IFERROR(1/(1/INDEX(F335:S335,MATCH(T335,$F$4:$S$4,0))),""))</f>
        <v/>
      </c>
      <c r="V335" s="21">
        <f>IF(OR(E335="",U335=""),"",E335*U335)</f>
        <v/>
      </c>
      <c r="W335" s="5" t="n"/>
    </row>
    <row r="336">
      <c r="A336" s="5" t="n"/>
      <c r="B336" s="5" t="n"/>
      <c r="C336" s="5" t="n"/>
      <c r="D336" s="5" t="n"/>
      <c r="E336" s="19">
        <f>IF(B336="","",SUMIF(BFTC!$B$5:$B$504,B336,BFTC!$E$5:$E$504))</f>
        <v/>
      </c>
      <c r="F336" s="20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5" t="n"/>
      <c r="U336" s="21">
        <f>IF(OR(B336="",T336=""),"",IFERROR(1/(1/INDEX(F336:S336,MATCH(T336,$F$4:$S$4,0))),""))</f>
        <v/>
      </c>
      <c r="V336" s="21">
        <f>IF(OR(E336="",U336=""),"",E336*U336)</f>
        <v/>
      </c>
      <c r="W336" s="5" t="n"/>
    </row>
    <row r="337">
      <c r="A337" s="5" t="n"/>
      <c r="B337" s="5" t="n"/>
      <c r="C337" s="5" t="n"/>
      <c r="D337" s="5" t="n"/>
      <c r="E337" s="19">
        <f>IF(B337="","",SUMIF(BFTC!$B$5:$B$504,B337,BFTC!$E$5:$E$504))</f>
        <v/>
      </c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5" t="n"/>
      <c r="U337" s="21">
        <f>IF(OR(B337="",T337=""),"",IFERROR(1/(1/INDEX(F337:S337,MATCH(T337,$F$4:$S$4,0))),""))</f>
        <v/>
      </c>
      <c r="V337" s="21">
        <f>IF(OR(E337="",U337=""),"",E337*U337)</f>
        <v/>
      </c>
      <c r="W337" s="5" t="n"/>
    </row>
    <row r="338">
      <c r="A338" s="5" t="n"/>
      <c r="B338" s="5" t="n"/>
      <c r="C338" s="5" t="n"/>
      <c r="D338" s="5" t="n"/>
      <c r="E338" s="19">
        <f>IF(B338="","",SUMIF(BFTC!$B$5:$B$504,B338,BFTC!$E$5:$E$504))</f>
        <v/>
      </c>
      <c r="F338" s="20" t="n"/>
      <c r="G338" s="20" t="n"/>
      <c r="H338" s="20" t="n"/>
      <c r="I338" s="20" t="n"/>
      <c r="J338" s="20" t="n"/>
      <c r="K338" s="20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5" t="n"/>
      <c r="U338" s="21">
        <f>IF(OR(B338="",T338=""),"",IFERROR(1/(1/INDEX(F338:S338,MATCH(T338,$F$4:$S$4,0))),""))</f>
        <v/>
      </c>
      <c r="V338" s="21">
        <f>IF(OR(E338="",U338=""),"",E338*U338)</f>
        <v/>
      </c>
      <c r="W338" s="5" t="n"/>
    </row>
    <row r="339">
      <c r="A339" s="5" t="n"/>
      <c r="B339" s="5" t="n"/>
      <c r="C339" s="5" t="n"/>
      <c r="D339" s="5" t="n"/>
      <c r="E339" s="19">
        <f>IF(B339="","",SUMIF(BFTC!$B$5:$B$504,B339,BFTC!$E$5:$E$504))</f>
        <v/>
      </c>
      <c r="F339" s="20" t="n"/>
      <c r="G339" s="20" t="n"/>
      <c r="H339" s="20" t="n"/>
      <c r="I339" s="20" t="n"/>
      <c r="J339" s="20" t="n"/>
      <c r="K339" s="20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5" t="n"/>
      <c r="U339" s="21">
        <f>IF(OR(B339="",T339=""),"",IFERROR(1/(1/INDEX(F339:S339,MATCH(T339,$F$4:$S$4,0))),""))</f>
        <v/>
      </c>
      <c r="V339" s="21">
        <f>IF(OR(E339="",U339=""),"",E339*U339)</f>
        <v/>
      </c>
      <c r="W339" s="5" t="n"/>
    </row>
    <row r="340">
      <c r="A340" s="5" t="n"/>
      <c r="B340" s="5" t="n"/>
      <c r="C340" s="5" t="n"/>
      <c r="D340" s="5" t="n"/>
      <c r="E340" s="19">
        <f>IF(B340="","",SUMIF(BFTC!$B$5:$B$504,B340,BFTC!$E$5:$E$504))</f>
        <v/>
      </c>
      <c r="F340" s="20" t="n"/>
      <c r="G340" s="20" t="n"/>
      <c r="H340" s="20" t="n"/>
      <c r="I340" s="20" t="n"/>
      <c r="J340" s="20" t="n"/>
      <c r="K340" s="20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5" t="n"/>
      <c r="U340" s="21">
        <f>IF(OR(B340="",T340=""),"",IFERROR(1/(1/INDEX(F340:S340,MATCH(T340,$F$4:$S$4,0))),""))</f>
        <v/>
      </c>
      <c r="V340" s="21">
        <f>IF(OR(E340="",U340=""),"",E340*U340)</f>
        <v/>
      </c>
      <c r="W340" s="5" t="n"/>
    </row>
    <row r="341">
      <c r="A341" s="5" t="n"/>
      <c r="B341" s="5" t="n"/>
      <c r="C341" s="5" t="n"/>
      <c r="D341" s="5" t="n"/>
      <c r="E341" s="19">
        <f>IF(B341="","",SUMIF(BFTC!$B$5:$B$504,B341,BFTC!$E$5:$E$504))</f>
        <v/>
      </c>
      <c r="F341" s="20" t="n"/>
      <c r="G341" s="20" t="n"/>
      <c r="H341" s="20" t="n"/>
      <c r="I341" s="20" t="n"/>
      <c r="J341" s="20" t="n"/>
      <c r="K341" s="20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5" t="n"/>
      <c r="U341" s="21">
        <f>IF(OR(B341="",T341=""),"",IFERROR(1/(1/INDEX(F341:S341,MATCH(T341,$F$4:$S$4,0))),""))</f>
        <v/>
      </c>
      <c r="V341" s="21">
        <f>IF(OR(E341="",U341=""),"",E341*U341)</f>
        <v/>
      </c>
      <c r="W341" s="5" t="n"/>
    </row>
    <row r="342">
      <c r="A342" s="5" t="n"/>
      <c r="B342" s="5" t="n"/>
      <c r="C342" s="5" t="n"/>
      <c r="D342" s="5" t="n"/>
      <c r="E342" s="19">
        <f>IF(B342="","",SUMIF(BFTC!$B$5:$B$504,B342,BFTC!$E$5:$E$504))</f>
        <v/>
      </c>
      <c r="F342" s="20" t="n"/>
      <c r="G342" s="20" t="n"/>
      <c r="H342" s="20" t="n"/>
      <c r="I342" s="20" t="n"/>
      <c r="J342" s="20" t="n"/>
      <c r="K342" s="20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5" t="n"/>
      <c r="U342" s="21">
        <f>IF(OR(B342="",T342=""),"",IFERROR(1/(1/INDEX(F342:S342,MATCH(T342,$F$4:$S$4,0))),""))</f>
        <v/>
      </c>
      <c r="V342" s="21">
        <f>IF(OR(E342="",U342=""),"",E342*U342)</f>
        <v/>
      </c>
      <c r="W342" s="5" t="n"/>
    </row>
    <row r="343">
      <c r="A343" s="5" t="n"/>
      <c r="B343" s="5" t="n"/>
      <c r="C343" s="5" t="n"/>
      <c r="D343" s="5" t="n"/>
      <c r="E343" s="19">
        <f>IF(B343="","",SUMIF(BFTC!$B$5:$B$504,B343,BFTC!$E$5:$E$504))</f>
        <v/>
      </c>
      <c r="F343" s="20" t="n"/>
      <c r="G343" s="20" t="n"/>
      <c r="H343" s="20" t="n"/>
      <c r="I343" s="20" t="n"/>
      <c r="J343" s="20" t="n"/>
      <c r="K343" s="20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5" t="n"/>
      <c r="U343" s="21">
        <f>IF(OR(B343="",T343=""),"",IFERROR(1/(1/INDEX(F343:S343,MATCH(T343,$F$4:$S$4,0))),""))</f>
        <v/>
      </c>
      <c r="V343" s="21">
        <f>IF(OR(E343="",U343=""),"",E343*U343)</f>
        <v/>
      </c>
      <c r="W343" s="5" t="n"/>
    </row>
    <row r="344">
      <c r="A344" s="5" t="n"/>
      <c r="B344" s="5" t="n"/>
      <c r="C344" s="5" t="n"/>
      <c r="D344" s="5" t="n"/>
      <c r="E344" s="19">
        <f>IF(B344="","",SUMIF(BFTC!$B$5:$B$504,B344,BFTC!$E$5:$E$504))</f>
        <v/>
      </c>
      <c r="F344" s="20" t="n"/>
      <c r="G344" s="20" t="n"/>
      <c r="H344" s="20" t="n"/>
      <c r="I344" s="20" t="n"/>
      <c r="J344" s="20" t="n"/>
      <c r="K344" s="20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5" t="n"/>
      <c r="U344" s="21">
        <f>IF(OR(B344="",T344=""),"",IFERROR(1/(1/INDEX(F344:S344,MATCH(T344,$F$4:$S$4,0))),""))</f>
        <v/>
      </c>
      <c r="V344" s="21">
        <f>IF(OR(E344="",U344=""),"",E344*U344)</f>
        <v/>
      </c>
      <c r="W344" s="5" t="n"/>
    </row>
    <row r="345">
      <c r="A345" s="5" t="n"/>
      <c r="B345" s="5" t="n"/>
      <c r="C345" s="5" t="n"/>
      <c r="D345" s="5" t="n"/>
      <c r="E345" s="19">
        <f>IF(B345="","",SUMIF(BFTC!$B$5:$B$504,B345,BFTC!$E$5:$E$504))</f>
        <v/>
      </c>
      <c r="F345" s="20" t="n"/>
      <c r="G345" s="20" t="n"/>
      <c r="H345" s="20" t="n"/>
      <c r="I345" s="20" t="n"/>
      <c r="J345" s="20" t="n"/>
      <c r="K345" s="20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5" t="n"/>
      <c r="U345" s="21">
        <f>IF(OR(B345="",T345=""),"",IFERROR(1/(1/INDEX(F345:S345,MATCH(T345,$F$4:$S$4,0))),""))</f>
        <v/>
      </c>
      <c r="V345" s="21">
        <f>IF(OR(E345="",U345=""),"",E345*U345)</f>
        <v/>
      </c>
      <c r="W345" s="5" t="n"/>
    </row>
    <row r="346">
      <c r="A346" s="5" t="n"/>
      <c r="B346" s="5" t="n"/>
      <c r="C346" s="5" t="n"/>
      <c r="D346" s="5" t="n"/>
      <c r="E346" s="19">
        <f>IF(B346="","",SUMIF(BFTC!$B$5:$B$504,B346,BFTC!$E$5:$E$504))</f>
        <v/>
      </c>
      <c r="F346" s="20" t="n"/>
      <c r="G346" s="20" t="n"/>
      <c r="H346" s="20" t="n"/>
      <c r="I346" s="20" t="n"/>
      <c r="J346" s="20" t="n"/>
      <c r="K346" s="20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5" t="n"/>
      <c r="U346" s="21">
        <f>IF(OR(B346="",T346=""),"",IFERROR(1/(1/INDEX(F346:S346,MATCH(T346,$F$4:$S$4,0))),""))</f>
        <v/>
      </c>
      <c r="V346" s="21">
        <f>IF(OR(E346="",U346=""),"",E346*U346)</f>
        <v/>
      </c>
      <c r="W346" s="5" t="n"/>
    </row>
    <row r="347">
      <c r="A347" s="5" t="n"/>
      <c r="B347" s="5" t="n"/>
      <c r="C347" s="5" t="n"/>
      <c r="D347" s="5" t="n"/>
      <c r="E347" s="19">
        <f>IF(B347="","",SUMIF(BFTC!$B$5:$B$504,B347,BFTC!$E$5:$E$504))</f>
        <v/>
      </c>
      <c r="F347" s="20" t="n"/>
      <c r="G347" s="20" t="n"/>
      <c r="H347" s="20" t="n"/>
      <c r="I347" s="20" t="n"/>
      <c r="J347" s="20" t="n"/>
      <c r="K347" s="20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5" t="n"/>
      <c r="U347" s="21">
        <f>IF(OR(B347="",T347=""),"",IFERROR(1/(1/INDEX(F347:S347,MATCH(T347,$F$4:$S$4,0))),""))</f>
        <v/>
      </c>
      <c r="V347" s="21">
        <f>IF(OR(E347="",U347=""),"",E347*U347)</f>
        <v/>
      </c>
      <c r="W347" s="5" t="n"/>
    </row>
    <row r="348">
      <c r="A348" s="5" t="n"/>
      <c r="B348" s="5" t="n"/>
      <c r="C348" s="5" t="n"/>
      <c r="D348" s="5" t="n"/>
      <c r="E348" s="19">
        <f>IF(B348="","",SUMIF(BFTC!$B$5:$B$504,B348,BFTC!$E$5:$E$504))</f>
        <v/>
      </c>
      <c r="F348" s="20" t="n"/>
      <c r="G348" s="20" t="n"/>
      <c r="H348" s="20" t="n"/>
      <c r="I348" s="20" t="n"/>
      <c r="J348" s="20" t="n"/>
      <c r="K348" s="20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5" t="n"/>
      <c r="U348" s="21">
        <f>IF(OR(B348="",T348=""),"",IFERROR(1/(1/INDEX(F348:S348,MATCH(T348,$F$4:$S$4,0))),""))</f>
        <v/>
      </c>
      <c r="V348" s="21">
        <f>IF(OR(E348="",U348=""),"",E348*U348)</f>
        <v/>
      </c>
      <c r="W348" s="5" t="n"/>
    </row>
    <row r="349">
      <c r="A349" s="5" t="n"/>
      <c r="B349" s="5" t="n"/>
      <c r="C349" s="5" t="n"/>
      <c r="D349" s="5" t="n"/>
      <c r="E349" s="19">
        <f>IF(B349="","",SUMIF(BFTC!$B$5:$B$504,B349,BFTC!$E$5:$E$504))</f>
        <v/>
      </c>
      <c r="F349" s="20" t="n"/>
      <c r="G349" s="20" t="n"/>
      <c r="H349" s="20" t="n"/>
      <c r="I349" s="20" t="n"/>
      <c r="J349" s="20" t="n"/>
      <c r="K349" s="20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5" t="n"/>
      <c r="U349" s="21">
        <f>IF(OR(B349="",T349=""),"",IFERROR(1/(1/INDEX(F349:S349,MATCH(T349,$F$4:$S$4,0))),""))</f>
        <v/>
      </c>
      <c r="V349" s="21">
        <f>IF(OR(E349="",U349=""),"",E349*U349)</f>
        <v/>
      </c>
      <c r="W349" s="5" t="n"/>
    </row>
    <row r="350">
      <c r="A350" s="5" t="n"/>
      <c r="B350" s="5" t="n"/>
      <c r="C350" s="5" t="n"/>
      <c r="D350" s="5" t="n"/>
      <c r="E350" s="19">
        <f>IF(B350="","",SUMIF(BFTC!$B$5:$B$504,B350,BFTC!$E$5:$E$504))</f>
        <v/>
      </c>
      <c r="F350" s="20" t="n"/>
      <c r="G350" s="20" t="n"/>
      <c r="H350" s="20" t="n"/>
      <c r="I350" s="20" t="n"/>
      <c r="J350" s="20" t="n"/>
      <c r="K350" s="20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5" t="n"/>
      <c r="U350" s="21">
        <f>IF(OR(B350="",T350=""),"",IFERROR(1/(1/INDEX(F350:S350,MATCH(T350,$F$4:$S$4,0))),""))</f>
        <v/>
      </c>
      <c r="V350" s="21">
        <f>IF(OR(E350="",U350=""),"",E350*U350)</f>
        <v/>
      </c>
      <c r="W350" s="5" t="n"/>
    </row>
    <row r="351">
      <c r="A351" s="5" t="n"/>
      <c r="B351" s="5" t="n"/>
      <c r="C351" s="5" t="n"/>
      <c r="D351" s="5" t="n"/>
      <c r="E351" s="19">
        <f>IF(B351="","",SUMIF(BFTC!$B$5:$B$504,B351,BFTC!$E$5:$E$504))</f>
        <v/>
      </c>
      <c r="F351" s="20" t="n"/>
      <c r="G351" s="20" t="n"/>
      <c r="H351" s="20" t="n"/>
      <c r="I351" s="20" t="n"/>
      <c r="J351" s="20" t="n"/>
      <c r="K351" s="20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5" t="n"/>
      <c r="U351" s="21">
        <f>IF(OR(B351="",T351=""),"",IFERROR(1/(1/INDEX(F351:S351,MATCH(T351,$F$4:$S$4,0))),""))</f>
        <v/>
      </c>
      <c r="V351" s="21">
        <f>IF(OR(E351="",U351=""),"",E351*U351)</f>
        <v/>
      </c>
      <c r="W351" s="5" t="n"/>
    </row>
    <row r="352">
      <c r="A352" s="5" t="n"/>
      <c r="B352" s="5" t="n"/>
      <c r="C352" s="5" t="n"/>
      <c r="D352" s="5" t="n"/>
      <c r="E352" s="19">
        <f>IF(B352="","",SUMIF(BFTC!$B$5:$B$504,B352,BFTC!$E$5:$E$504))</f>
        <v/>
      </c>
      <c r="F352" s="20" t="n"/>
      <c r="G352" s="20" t="n"/>
      <c r="H352" s="20" t="n"/>
      <c r="I352" s="20" t="n"/>
      <c r="J352" s="20" t="n"/>
      <c r="K352" s="20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5" t="n"/>
      <c r="U352" s="21">
        <f>IF(OR(B352="",T352=""),"",IFERROR(1/(1/INDEX(F352:S352,MATCH(T352,$F$4:$S$4,0))),""))</f>
        <v/>
      </c>
      <c r="V352" s="21">
        <f>IF(OR(E352="",U352=""),"",E352*U352)</f>
        <v/>
      </c>
      <c r="W352" s="5" t="n"/>
    </row>
    <row r="353">
      <c r="A353" s="5" t="n"/>
      <c r="B353" s="5" t="n"/>
      <c r="C353" s="5" t="n"/>
      <c r="D353" s="5" t="n"/>
      <c r="E353" s="19">
        <f>IF(B353="","",SUMIF(BFTC!$B$5:$B$504,B353,BFTC!$E$5:$E$504))</f>
        <v/>
      </c>
      <c r="F353" s="20" t="n"/>
      <c r="G353" s="20" t="n"/>
      <c r="H353" s="20" t="n"/>
      <c r="I353" s="20" t="n"/>
      <c r="J353" s="20" t="n"/>
      <c r="K353" s="20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5" t="n"/>
      <c r="U353" s="21">
        <f>IF(OR(B353="",T353=""),"",IFERROR(1/(1/INDEX(F353:S353,MATCH(T353,$F$4:$S$4,0))),""))</f>
        <v/>
      </c>
      <c r="V353" s="21">
        <f>IF(OR(E353="",U353=""),"",E353*U353)</f>
        <v/>
      </c>
      <c r="W353" s="5" t="n"/>
    </row>
    <row r="354">
      <c r="A354" s="5" t="n"/>
      <c r="B354" s="5" t="n"/>
      <c r="C354" s="5" t="n"/>
      <c r="D354" s="5" t="n"/>
      <c r="E354" s="19">
        <f>IF(B354="","",SUMIF(BFTC!$B$5:$B$504,B354,BFTC!$E$5:$E$504))</f>
        <v/>
      </c>
      <c r="F354" s="20" t="n"/>
      <c r="G354" s="20" t="n"/>
      <c r="H354" s="20" t="n"/>
      <c r="I354" s="20" t="n"/>
      <c r="J354" s="20" t="n"/>
      <c r="K354" s="20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5" t="n"/>
      <c r="U354" s="21">
        <f>IF(OR(B354="",T354=""),"",IFERROR(1/(1/INDEX(F354:S354,MATCH(T354,$F$4:$S$4,0))),""))</f>
        <v/>
      </c>
      <c r="V354" s="21">
        <f>IF(OR(E354="",U354=""),"",E354*U354)</f>
        <v/>
      </c>
      <c r="W354" s="5" t="n"/>
    </row>
    <row r="355">
      <c r="A355" s="5" t="n"/>
      <c r="B355" s="5" t="n"/>
      <c r="C355" s="5" t="n"/>
      <c r="D355" s="5" t="n"/>
      <c r="E355" s="19">
        <f>IF(B355="","",SUMIF(BFTC!$B$5:$B$504,B355,BFTC!$E$5:$E$504))</f>
        <v/>
      </c>
      <c r="F355" s="20" t="n"/>
      <c r="G355" s="20" t="n"/>
      <c r="H355" s="20" t="n"/>
      <c r="I355" s="20" t="n"/>
      <c r="J355" s="20" t="n"/>
      <c r="K355" s="20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5" t="n"/>
      <c r="U355" s="21">
        <f>IF(OR(B355="",T355=""),"",IFERROR(1/(1/INDEX(F355:S355,MATCH(T355,$F$4:$S$4,0))),""))</f>
        <v/>
      </c>
      <c r="V355" s="21">
        <f>IF(OR(E355="",U355=""),"",E355*U355)</f>
        <v/>
      </c>
      <c r="W355" s="5" t="n"/>
    </row>
    <row r="356">
      <c r="A356" s="5" t="n"/>
      <c r="B356" s="5" t="n"/>
      <c r="C356" s="5" t="n"/>
      <c r="D356" s="5" t="n"/>
      <c r="E356" s="19">
        <f>IF(B356="","",SUMIF(BFTC!$B$5:$B$504,B356,BFTC!$E$5:$E$504))</f>
        <v/>
      </c>
      <c r="F356" s="20" t="n"/>
      <c r="G356" s="20" t="n"/>
      <c r="H356" s="20" t="n"/>
      <c r="I356" s="20" t="n"/>
      <c r="J356" s="20" t="n"/>
      <c r="K356" s="20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5" t="n"/>
      <c r="U356" s="21">
        <f>IF(OR(B356="",T356=""),"",IFERROR(1/(1/INDEX(F356:S356,MATCH(T356,$F$4:$S$4,0))),""))</f>
        <v/>
      </c>
      <c r="V356" s="21">
        <f>IF(OR(E356="",U356=""),"",E356*U356)</f>
        <v/>
      </c>
      <c r="W356" s="5" t="n"/>
    </row>
    <row r="357">
      <c r="A357" s="5" t="n"/>
      <c r="B357" s="5" t="n"/>
      <c r="C357" s="5" t="n"/>
      <c r="D357" s="5" t="n"/>
      <c r="E357" s="19">
        <f>IF(B357="","",SUMIF(BFTC!$B$5:$B$504,B357,BFTC!$E$5:$E$504))</f>
        <v/>
      </c>
      <c r="F357" s="20" t="n"/>
      <c r="G357" s="20" t="n"/>
      <c r="H357" s="20" t="n"/>
      <c r="I357" s="20" t="n"/>
      <c r="J357" s="20" t="n"/>
      <c r="K357" s="20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5" t="n"/>
      <c r="U357" s="21">
        <f>IF(OR(B357="",T357=""),"",IFERROR(1/(1/INDEX(F357:S357,MATCH(T357,$F$4:$S$4,0))),""))</f>
        <v/>
      </c>
      <c r="V357" s="21">
        <f>IF(OR(E357="",U357=""),"",E357*U357)</f>
        <v/>
      </c>
      <c r="W357" s="5" t="n"/>
    </row>
    <row r="358">
      <c r="A358" s="5" t="n"/>
      <c r="B358" s="5" t="n"/>
      <c r="C358" s="5" t="n"/>
      <c r="D358" s="5" t="n"/>
      <c r="E358" s="19">
        <f>IF(B358="","",SUMIF(BFTC!$B$5:$B$504,B358,BFTC!$E$5:$E$504))</f>
        <v/>
      </c>
      <c r="F358" s="20" t="n"/>
      <c r="G358" s="20" t="n"/>
      <c r="H358" s="20" t="n"/>
      <c r="I358" s="20" t="n"/>
      <c r="J358" s="20" t="n"/>
      <c r="K358" s="20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5" t="n"/>
      <c r="U358" s="21">
        <f>IF(OR(B358="",T358=""),"",IFERROR(1/(1/INDEX(F358:S358,MATCH(T358,$F$4:$S$4,0))),""))</f>
        <v/>
      </c>
      <c r="V358" s="21">
        <f>IF(OR(E358="",U358=""),"",E358*U358)</f>
        <v/>
      </c>
      <c r="W358" s="5" t="n"/>
    </row>
    <row r="359">
      <c r="A359" s="5" t="n"/>
      <c r="B359" s="5" t="n"/>
      <c r="C359" s="5" t="n"/>
      <c r="D359" s="5" t="n"/>
      <c r="E359" s="19">
        <f>IF(B359="","",SUMIF(BFTC!$B$5:$B$504,B359,BFTC!$E$5:$E$504))</f>
        <v/>
      </c>
      <c r="F359" s="20" t="n"/>
      <c r="G359" s="20" t="n"/>
      <c r="H359" s="20" t="n"/>
      <c r="I359" s="20" t="n"/>
      <c r="J359" s="20" t="n"/>
      <c r="K359" s="20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5" t="n"/>
      <c r="U359" s="21">
        <f>IF(OR(B359="",T359=""),"",IFERROR(1/(1/INDEX(F359:S359,MATCH(T359,$F$4:$S$4,0))),""))</f>
        <v/>
      </c>
      <c r="V359" s="21">
        <f>IF(OR(E359="",U359=""),"",E359*U359)</f>
        <v/>
      </c>
      <c r="W359" s="5" t="n"/>
    </row>
    <row r="360">
      <c r="A360" s="5" t="n"/>
      <c r="B360" s="5" t="n"/>
      <c r="C360" s="5" t="n"/>
      <c r="D360" s="5" t="n"/>
      <c r="E360" s="19">
        <f>IF(B360="","",SUMIF(BFTC!$B$5:$B$504,B360,BFTC!$E$5:$E$504))</f>
        <v/>
      </c>
      <c r="F360" s="20" t="n"/>
      <c r="G360" s="20" t="n"/>
      <c r="H360" s="20" t="n"/>
      <c r="I360" s="20" t="n"/>
      <c r="J360" s="20" t="n"/>
      <c r="K360" s="20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5" t="n"/>
      <c r="U360" s="21">
        <f>IF(OR(B360="",T360=""),"",IFERROR(1/(1/INDEX(F360:S360,MATCH(T360,$F$4:$S$4,0))),""))</f>
        <v/>
      </c>
      <c r="V360" s="21">
        <f>IF(OR(E360="",U360=""),"",E360*U360)</f>
        <v/>
      </c>
      <c r="W360" s="5" t="n"/>
    </row>
    <row r="361">
      <c r="A361" s="5" t="n"/>
      <c r="B361" s="5" t="n"/>
      <c r="C361" s="5" t="n"/>
      <c r="D361" s="5" t="n"/>
      <c r="E361" s="19">
        <f>IF(B361="","",SUMIF(BFTC!$B$5:$B$504,B361,BFTC!$E$5:$E$504))</f>
        <v/>
      </c>
      <c r="F361" s="20" t="n"/>
      <c r="G361" s="20" t="n"/>
      <c r="H361" s="20" t="n"/>
      <c r="I361" s="20" t="n"/>
      <c r="J361" s="20" t="n"/>
      <c r="K361" s="20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5" t="n"/>
      <c r="U361" s="21">
        <f>IF(OR(B361="",T361=""),"",IFERROR(1/(1/INDEX(F361:S361,MATCH(T361,$F$4:$S$4,0))),""))</f>
        <v/>
      </c>
      <c r="V361" s="21">
        <f>IF(OR(E361="",U361=""),"",E361*U361)</f>
        <v/>
      </c>
      <c r="W361" s="5" t="n"/>
    </row>
    <row r="362">
      <c r="A362" s="5" t="n"/>
      <c r="B362" s="5" t="n"/>
      <c r="C362" s="5" t="n"/>
      <c r="D362" s="5" t="n"/>
      <c r="E362" s="19">
        <f>IF(B362="","",SUMIF(BFTC!$B$5:$B$504,B362,BFTC!$E$5:$E$504))</f>
        <v/>
      </c>
      <c r="F362" s="20" t="n"/>
      <c r="G362" s="20" t="n"/>
      <c r="H362" s="20" t="n"/>
      <c r="I362" s="20" t="n"/>
      <c r="J362" s="20" t="n"/>
      <c r="K362" s="20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5" t="n"/>
      <c r="U362" s="21">
        <f>IF(OR(B362="",T362=""),"",IFERROR(1/(1/INDEX(F362:S362,MATCH(T362,$F$4:$S$4,0))),""))</f>
        <v/>
      </c>
      <c r="V362" s="21">
        <f>IF(OR(E362="",U362=""),"",E362*U362)</f>
        <v/>
      </c>
      <c r="W362" s="5" t="n"/>
    </row>
    <row r="363">
      <c r="A363" s="5" t="n"/>
      <c r="B363" s="5" t="n"/>
      <c r="C363" s="5" t="n"/>
      <c r="D363" s="5" t="n"/>
      <c r="E363" s="19">
        <f>IF(B363="","",SUMIF(BFTC!$B$5:$B$504,B363,BFTC!$E$5:$E$504))</f>
        <v/>
      </c>
      <c r="F363" s="20" t="n"/>
      <c r="G363" s="20" t="n"/>
      <c r="H363" s="20" t="n"/>
      <c r="I363" s="20" t="n"/>
      <c r="J363" s="20" t="n"/>
      <c r="K363" s="20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5" t="n"/>
      <c r="U363" s="21">
        <f>IF(OR(B363="",T363=""),"",IFERROR(1/(1/INDEX(F363:S363,MATCH(T363,$F$4:$S$4,0))),""))</f>
        <v/>
      </c>
      <c r="V363" s="21">
        <f>IF(OR(E363="",U363=""),"",E363*U363)</f>
        <v/>
      </c>
      <c r="W363" s="5" t="n"/>
    </row>
    <row r="364">
      <c r="A364" s="5" t="n"/>
      <c r="B364" s="5" t="n"/>
      <c r="C364" s="5" t="n"/>
      <c r="D364" s="5" t="n"/>
      <c r="E364" s="19">
        <f>IF(B364="","",SUMIF(BFTC!$B$5:$B$504,B364,BFTC!$E$5:$E$504))</f>
        <v/>
      </c>
      <c r="F364" s="20" t="n"/>
      <c r="G364" s="20" t="n"/>
      <c r="H364" s="20" t="n"/>
      <c r="I364" s="20" t="n"/>
      <c r="J364" s="20" t="n"/>
      <c r="K364" s="20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5" t="n"/>
      <c r="U364" s="21">
        <f>IF(OR(B364="",T364=""),"",IFERROR(1/(1/INDEX(F364:S364,MATCH(T364,$F$4:$S$4,0))),""))</f>
        <v/>
      </c>
      <c r="V364" s="21">
        <f>IF(OR(E364="",U364=""),"",E364*U364)</f>
        <v/>
      </c>
      <c r="W364" s="5" t="n"/>
    </row>
    <row r="365">
      <c r="A365" s="5" t="n"/>
      <c r="B365" s="5" t="n"/>
      <c r="C365" s="5" t="n"/>
      <c r="D365" s="5" t="n"/>
      <c r="E365" s="19">
        <f>IF(B365="","",SUMIF(BFTC!$B$5:$B$504,B365,BFTC!$E$5:$E$504))</f>
        <v/>
      </c>
      <c r="F365" s="20" t="n"/>
      <c r="G365" s="20" t="n"/>
      <c r="H365" s="20" t="n"/>
      <c r="I365" s="20" t="n"/>
      <c r="J365" s="20" t="n"/>
      <c r="K365" s="20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5" t="n"/>
      <c r="U365" s="21">
        <f>IF(OR(B365="",T365=""),"",IFERROR(1/(1/INDEX(F365:S365,MATCH(T365,$F$4:$S$4,0))),""))</f>
        <v/>
      </c>
      <c r="V365" s="21">
        <f>IF(OR(E365="",U365=""),"",E365*U365)</f>
        <v/>
      </c>
      <c r="W365" s="5" t="n"/>
    </row>
    <row r="366">
      <c r="A366" s="5" t="n"/>
      <c r="B366" s="5" t="n"/>
      <c r="C366" s="5" t="n"/>
      <c r="D366" s="5" t="n"/>
      <c r="E366" s="19">
        <f>IF(B366="","",SUMIF(BFTC!$B$5:$B$504,B366,BFTC!$E$5:$E$504))</f>
        <v/>
      </c>
      <c r="F366" s="20" t="n"/>
      <c r="G366" s="20" t="n"/>
      <c r="H366" s="20" t="n"/>
      <c r="I366" s="20" t="n"/>
      <c r="J366" s="20" t="n"/>
      <c r="K366" s="20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5" t="n"/>
      <c r="U366" s="21">
        <f>IF(OR(B366="",T366=""),"",IFERROR(1/(1/INDEX(F366:S366,MATCH(T366,$F$4:$S$4,0))),""))</f>
        <v/>
      </c>
      <c r="V366" s="21">
        <f>IF(OR(E366="",U366=""),"",E366*U366)</f>
        <v/>
      </c>
      <c r="W366" s="5" t="n"/>
    </row>
    <row r="367">
      <c r="A367" s="5" t="n"/>
      <c r="B367" s="5" t="n"/>
      <c r="C367" s="5" t="n"/>
      <c r="D367" s="5" t="n"/>
      <c r="E367" s="19">
        <f>IF(B367="","",SUMIF(BFTC!$B$5:$B$504,B367,BFTC!$E$5:$E$504))</f>
        <v/>
      </c>
      <c r="F367" s="20" t="n"/>
      <c r="G367" s="20" t="n"/>
      <c r="H367" s="20" t="n"/>
      <c r="I367" s="20" t="n"/>
      <c r="J367" s="20" t="n"/>
      <c r="K367" s="20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5" t="n"/>
      <c r="U367" s="21">
        <f>IF(OR(B367="",T367=""),"",IFERROR(1/(1/INDEX(F367:S367,MATCH(T367,$F$4:$S$4,0))),""))</f>
        <v/>
      </c>
      <c r="V367" s="21">
        <f>IF(OR(E367="",U367=""),"",E367*U367)</f>
        <v/>
      </c>
      <c r="W367" s="5" t="n"/>
    </row>
    <row r="368">
      <c r="A368" s="5" t="n"/>
      <c r="B368" s="5" t="n"/>
      <c r="C368" s="5" t="n"/>
      <c r="D368" s="5" t="n"/>
      <c r="E368" s="19">
        <f>IF(B368="","",SUMIF(BFTC!$B$5:$B$504,B368,BFTC!$E$5:$E$504))</f>
        <v/>
      </c>
      <c r="F368" s="20" t="n"/>
      <c r="G368" s="20" t="n"/>
      <c r="H368" s="20" t="n"/>
      <c r="I368" s="20" t="n"/>
      <c r="J368" s="20" t="n"/>
      <c r="K368" s="20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5" t="n"/>
      <c r="U368" s="21">
        <f>IF(OR(B368="",T368=""),"",IFERROR(1/(1/INDEX(F368:S368,MATCH(T368,$F$4:$S$4,0))),""))</f>
        <v/>
      </c>
      <c r="V368" s="21">
        <f>IF(OR(E368="",U368=""),"",E368*U368)</f>
        <v/>
      </c>
      <c r="W368" s="5" t="n"/>
    </row>
    <row r="369">
      <c r="A369" s="5" t="n"/>
      <c r="B369" s="5" t="n"/>
      <c r="C369" s="5" t="n"/>
      <c r="D369" s="5" t="n"/>
      <c r="E369" s="19">
        <f>IF(B369="","",SUMIF(BFTC!$B$5:$B$504,B369,BFTC!$E$5:$E$504))</f>
        <v/>
      </c>
      <c r="F369" s="20" t="n"/>
      <c r="G369" s="20" t="n"/>
      <c r="H369" s="20" t="n"/>
      <c r="I369" s="20" t="n"/>
      <c r="J369" s="20" t="n"/>
      <c r="K369" s="20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5" t="n"/>
      <c r="U369" s="21">
        <f>IF(OR(B369="",T369=""),"",IFERROR(1/(1/INDEX(F369:S369,MATCH(T369,$F$4:$S$4,0))),""))</f>
        <v/>
      </c>
      <c r="V369" s="21">
        <f>IF(OR(E369="",U369=""),"",E369*U369)</f>
        <v/>
      </c>
      <c r="W369" s="5" t="n"/>
    </row>
    <row r="370">
      <c r="A370" s="5" t="n"/>
      <c r="B370" s="5" t="n"/>
      <c r="C370" s="5" t="n"/>
      <c r="D370" s="5" t="n"/>
      <c r="E370" s="19">
        <f>IF(B370="","",SUMIF(BFTC!$B$5:$B$504,B370,BFTC!$E$5:$E$504))</f>
        <v/>
      </c>
      <c r="F370" s="20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5" t="n"/>
      <c r="U370" s="21">
        <f>IF(OR(B370="",T370=""),"",IFERROR(1/(1/INDEX(F370:S370,MATCH(T370,$F$4:$S$4,0))),""))</f>
        <v/>
      </c>
      <c r="V370" s="21">
        <f>IF(OR(E370="",U370=""),"",E370*U370)</f>
        <v/>
      </c>
      <c r="W370" s="5" t="n"/>
    </row>
    <row r="371">
      <c r="A371" s="5" t="n"/>
      <c r="B371" s="5" t="n"/>
      <c r="C371" s="5" t="n"/>
      <c r="D371" s="5" t="n"/>
      <c r="E371" s="19">
        <f>IF(B371="","",SUMIF(BFTC!$B$5:$B$504,B371,BFTC!$E$5:$E$504))</f>
        <v/>
      </c>
      <c r="F371" s="20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5" t="n"/>
      <c r="U371" s="21">
        <f>IF(OR(B371="",T371=""),"",IFERROR(1/(1/INDEX(F371:S371,MATCH(T371,$F$4:$S$4,0))),""))</f>
        <v/>
      </c>
      <c r="V371" s="21">
        <f>IF(OR(E371="",U371=""),"",E371*U371)</f>
        <v/>
      </c>
      <c r="W371" s="5" t="n"/>
    </row>
    <row r="372">
      <c r="A372" s="5" t="n"/>
      <c r="B372" s="5" t="n"/>
      <c r="C372" s="5" t="n"/>
      <c r="D372" s="5" t="n"/>
      <c r="E372" s="19">
        <f>IF(B372="","",SUMIF(BFTC!$B$5:$B$504,B372,BFTC!$E$5:$E$504))</f>
        <v/>
      </c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5" t="n"/>
      <c r="U372" s="21">
        <f>IF(OR(B372="",T372=""),"",IFERROR(1/(1/INDEX(F372:S372,MATCH(T372,$F$4:$S$4,0))),""))</f>
        <v/>
      </c>
      <c r="V372" s="21">
        <f>IF(OR(E372="",U372=""),"",E372*U372)</f>
        <v/>
      </c>
      <c r="W372" s="5" t="n"/>
    </row>
    <row r="373">
      <c r="A373" s="5" t="n"/>
      <c r="B373" s="5" t="n"/>
      <c r="C373" s="5" t="n"/>
      <c r="D373" s="5" t="n"/>
      <c r="E373" s="19">
        <f>IF(B373="","",SUMIF(BFTC!$B$5:$B$504,B373,BFTC!$E$5:$E$504))</f>
        <v/>
      </c>
      <c r="F373" s="20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5" t="n"/>
      <c r="U373" s="21">
        <f>IF(OR(B373="",T373=""),"",IFERROR(1/(1/INDEX(F373:S373,MATCH(T373,$F$4:$S$4,0))),""))</f>
        <v/>
      </c>
      <c r="V373" s="21">
        <f>IF(OR(E373="",U373=""),"",E373*U373)</f>
        <v/>
      </c>
      <c r="W373" s="5" t="n"/>
    </row>
    <row r="374">
      <c r="A374" s="5" t="n"/>
      <c r="B374" s="5" t="n"/>
      <c r="C374" s="5" t="n"/>
      <c r="D374" s="5" t="n"/>
      <c r="E374" s="19">
        <f>IF(B374="","",SUMIF(BFTC!$B$5:$B$504,B374,BFTC!$E$5:$E$504))</f>
        <v/>
      </c>
      <c r="F374" s="20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5" t="n"/>
      <c r="U374" s="21">
        <f>IF(OR(B374="",T374=""),"",IFERROR(1/(1/INDEX(F374:S374,MATCH(T374,$F$4:$S$4,0))),""))</f>
        <v/>
      </c>
      <c r="V374" s="21">
        <f>IF(OR(E374="",U374=""),"",E374*U374)</f>
        <v/>
      </c>
      <c r="W374" s="5" t="n"/>
    </row>
    <row r="375">
      <c r="A375" s="5" t="n"/>
      <c r="B375" s="5" t="n"/>
      <c r="C375" s="5" t="n"/>
      <c r="D375" s="5" t="n"/>
      <c r="E375" s="19">
        <f>IF(B375="","",SUMIF(BFTC!$B$5:$B$504,B375,BFTC!$E$5:$E$504))</f>
        <v/>
      </c>
      <c r="F375" s="20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5" t="n"/>
      <c r="U375" s="21">
        <f>IF(OR(B375="",T375=""),"",IFERROR(1/(1/INDEX(F375:S375,MATCH(T375,$F$4:$S$4,0))),""))</f>
        <v/>
      </c>
      <c r="V375" s="21">
        <f>IF(OR(E375="",U375=""),"",E375*U375)</f>
        <v/>
      </c>
      <c r="W375" s="5" t="n"/>
    </row>
    <row r="376">
      <c r="A376" s="5" t="n"/>
      <c r="B376" s="5" t="n"/>
      <c r="C376" s="5" t="n"/>
      <c r="D376" s="5" t="n"/>
      <c r="E376" s="19">
        <f>IF(B376="","",SUMIF(BFTC!$B$5:$B$504,B376,BFTC!$E$5:$E$504))</f>
        <v/>
      </c>
      <c r="F376" s="20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5" t="n"/>
      <c r="U376" s="21">
        <f>IF(OR(B376="",T376=""),"",IFERROR(1/(1/INDEX(F376:S376,MATCH(T376,$F$4:$S$4,0))),""))</f>
        <v/>
      </c>
      <c r="V376" s="21">
        <f>IF(OR(E376="",U376=""),"",E376*U376)</f>
        <v/>
      </c>
      <c r="W376" s="5" t="n"/>
    </row>
    <row r="377">
      <c r="A377" s="5" t="n"/>
      <c r="B377" s="5" t="n"/>
      <c r="C377" s="5" t="n"/>
      <c r="D377" s="5" t="n"/>
      <c r="E377" s="19">
        <f>IF(B377="","",SUMIF(BFTC!$B$5:$B$504,B377,BFTC!$E$5:$E$504))</f>
        <v/>
      </c>
      <c r="F377" s="20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5" t="n"/>
      <c r="U377" s="21">
        <f>IF(OR(B377="",T377=""),"",IFERROR(1/(1/INDEX(F377:S377,MATCH(T377,$F$4:$S$4,0))),""))</f>
        <v/>
      </c>
      <c r="V377" s="21">
        <f>IF(OR(E377="",U377=""),"",E377*U377)</f>
        <v/>
      </c>
      <c r="W377" s="5" t="n"/>
    </row>
    <row r="378">
      <c r="A378" s="5" t="n"/>
      <c r="B378" s="5" t="n"/>
      <c r="C378" s="5" t="n"/>
      <c r="D378" s="5" t="n"/>
      <c r="E378" s="19">
        <f>IF(B378="","",SUMIF(BFTC!$B$5:$B$504,B378,BFTC!$E$5:$E$504))</f>
        <v/>
      </c>
      <c r="F378" s="20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5" t="n"/>
      <c r="U378" s="21">
        <f>IF(OR(B378="",T378=""),"",IFERROR(1/(1/INDEX(F378:S378,MATCH(T378,$F$4:$S$4,0))),""))</f>
        <v/>
      </c>
      <c r="V378" s="21">
        <f>IF(OR(E378="",U378=""),"",E378*U378)</f>
        <v/>
      </c>
      <c r="W378" s="5" t="n"/>
    </row>
    <row r="379">
      <c r="A379" s="5" t="n"/>
      <c r="B379" s="5" t="n"/>
      <c r="C379" s="5" t="n"/>
      <c r="D379" s="5" t="n"/>
      <c r="E379" s="19">
        <f>IF(B379="","",SUMIF(BFTC!$B$5:$B$504,B379,BFTC!$E$5:$E$504))</f>
        <v/>
      </c>
      <c r="F379" s="20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5" t="n"/>
      <c r="U379" s="21">
        <f>IF(OR(B379="",T379=""),"",IFERROR(1/(1/INDEX(F379:S379,MATCH(T379,$F$4:$S$4,0))),""))</f>
        <v/>
      </c>
      <c r="V379" s="21">
        <f>IF(OR(E379="",U379=""),"",E379*U379)</f>
        <v/>
      </c>
      <c r="W379" s="5" t="n"/>
    </row>
    <row r="380">
      <c r="A380" s="5" t="n"/>
      <c r="B380" s="5" t="n"/>
      <c r="C380" s="5" t="n"/>
      <c r="D380" s="5" t="n"/>
      <c r="E380" s="19">
        <f>IF(B380="","",SUMIF(BFTC!$B$5:$B$504,B380,BFTC!$E$5:$E$504))</f>
        <v/>
      </c>
      <c r="F380" s="20" t="n"/>
      <c r="G380" s="20" t="n"/>
      <c r="H380" s="20" t="n"/>
      <c r="I380" s="20" t="n"/>
      <c r="J380" s="20" t="n"/>
      <c r="K380" s="20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5" t="n"/>
      <c r="U380" s="21">
        <f>IF(OR(B380="",T380=""),"",IFERROR(1/(1/INDEX(F380:S380,MATCH(T380,$F$4:$S$4,0))),""))</f>
        <v/>
      </c>
      <c r="V380" s="21">
        <f>IF(OR(E380="",U380=""),"",E380*U380)</f>
        <v/>
      </c>
      <c r="W380" s="5" t="n"/>
    </row>
    <row r="381">
      <c r="A381" s="5" t="n"/>
      <c r="B381" s="5" t="n"/>
      <c r="C381" s="5" t="n"/>
      <c r="D381" s="5" t="n"/>
      <c r="E381" s="19">
        <f>IF(B381="","",SUMIF(BFTC!$B$5:$B$504,B381,BFTC!$E$5:$E$504))</f>
        <v/>
      </c>
      <c r="F381" s="20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5" t="n"/>
      <c r="U381" s="21">
        <f>IF(OR(B381="",T381=""),"",IFERROR(1/(1/INDEX(F381:S381,MATCH(T381,$F$4:$S$4,0))),""))</f>
        <v/>
      </c>
      <c r="V381" s="21">
        <f>IF(OR(E381="",U381=""),"",E381*U381)</f>
        <v/>
      </c>
      <c r="W381" s="5" t="n"/>
    </row>
    <row r="382">
      <c r="A382" s="5" t="n"/>
      <c r="B382" s="5" t="n"/>
      <c r="C382" s="5" t="n"/>
      <c r="D382" s="5" t="n"/>
      <c r="E382" s="19">
        <f>IF(B382="","",SUMIF(BFTC!$B$5:$B$504,B382,BFTC!$E$5:$E$504))</f>
        <v/>
      </c>
      <c r="F382" s="20" t="n"/>
      <c r="G382" s="20" t="n"/>
      <c r="H382" s="20" t="n"/>
      <c r="I382" s="20" t="n"/>
      <c r="J382" s="20" t="n"/>
      <c r="K382" s="20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5" t="n"/>
      <c r="U382" s="21">
        <f>IF(OR(B382="",T382=""),"",IFERROR(1/(1/INDEX(F382:S382,MATCH(T382,$F$4:$S$4,0))),""))</f>
        <v/>
      </c>
      <c r="V382" s="21">
        <f>IF(OR(E382="",U382=""),"",E382*U382)</f>
        <v/>
      </c>
      <c r="W382" s="5" t="n"/>
    </row>
    <row r="383">
      <c r="A383" s="5" t="n"/>
      <c r="B383" s="5" t="n"/>
      <c r="C383" s="5" t="n"/>
      <c r="D383" s="5" t="n"/>
      <c r="E383" s="19">
        <f>IF(B383="","",SUMIF(BFTC!$B$5:$B$504,B383,BFTC!$E$5:$E$504))</f>
        <v/>
      </c>
      <c r="F383" s="20" t="n"/>
      <c r="G383" s="20" t="n"/>
      <c r="H383" s="20" t="n"/>
      <c r="I383" s="20" t="n"/>
      <c r="J383" s="20" t="n"/>
      <c r="K383" s="20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5" t="n"/>
      <c r="U383" s="21">
        <f>IF(OR(B383="",T383=""),"",IFERROR(1/(1/INDEX(F383:S383,MATCH(T383,$F$4:$S$4,0))),""))</f>
        <v/>
      </c>
      <c r="V383" s="21">
        <f>IF(OR(E383="",U383=""),"",E383*U383)</f>
        <v/>
      </c>
      <c r="W383" s="5" t="n"/>
    </row>
    <row r="384">
      <c r="A384" s="5" t="n"/>
      <c r="B384" s="5" t="n"/>
      <c r="C384" s="5" t="n"/>
      <c r="D384" s="5" t="n"/>
      <c r="E384" s="19">
        <f>IF(B384="","",SUMIF(BFTC!$B$5:$B$504,B384,BFTC!$E$5:$E$504))</f>
        <v/>
      </c>
      <c r="F384" s="20" t="n"/>
      <c r="G384" s="20" t="n"/>
      <c r="H384" s="20" t="n"/>
      <c r="I384" s="20" t="n"/>
      <c r="J384" s="20" t="n"/>
      <c r="K384" s="20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5" t="n"/>
      <c r="U384" s="21">
        <f>IF(OR(B384="",T384=""),"",IFERROR(1/(1/INDEX(F384:S384,MATCH(T384,$F$4:$S$4,0))),""))</f>
        <v/>
      </c>
      <c r="V384" s="21">
        <f>IF(OR(E384="",U384=""),"",E384*U384)</f>
        <v/>
      </c>
      <c r="W384" s="5" t="n"/>
    </row>
    <row r="385">
      <c r="A385" s="5" t="n"/>
      <c r="B385" s="5" t="n"/>
      <c r="C385" s="5" t="n"/>
      <c r="D385" s="5" t="n"/>
      <c r="E385" s="19">
        <f>IF(B385="","",SUMIF(BFTC!$B$5:$B$504,B385,BFTC!$E$5:$E$504))</f>
        <v/>
      </c>
      <c r="F385" s="20" t="n"/>
      <c r="G385" s="20" t="n"/>
      <c r="H385" s="20" t="n"/>
      <c r="I385" s="20" t="n"/>
      <c r="J385" s="20" t="n"/>
      <c r="K385" s="20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5" t="n"/>
      <c r="U385" s="21">
        <f>IF(OR(B385="",T385=""),"",IFERROR(1/(1/INDEX(F385:S385,MATCH(T385,$F$4:$S$4,0))),""))</f>
        <v/>
      </c>
      <c r="V385" s="21">
        <f>IF(OR(E385="",U385=""),"",E385*U385)</f>
        <v/>
      </c>
      <c r="W385" s="5" t="n"/>
    </row>
    <row r="386">
      <c r="A386" s="5" t="n"/>
      <c r="B386" s="5" t="n"/>
      <c r="C386" s="5" t="n"/>
      <c r="D386" s="5" t="n"/>
      <c r="E386" s="19">
        <f>IF(B386="","",SUMIF(BFTC!$B$5:$B$504,B386,BFTC!$E$5:$E$504))</f>
        <v/>
      </c>
      <c r="F386" s="20" t="n"/>
      <c r="G386" s="20" t="n"/>
      <c r="H386" s="20" t="n"/>
      <c r="I386" s="20" t="n"/>
      <c r="J386" s="20" t="n"/>
      <c r="K386" s="20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5" t="n"/>
      <c r="U386" s="21">
        <f>IF(OR(B386="",T386=""),"",IFERROR(1/(1/INDEX(F386:S386,MATCH(T386,$F$4:$S$4,0))),""))</f>
        <v/>
      </c>
      <c r="V386" s="21">
        <f>IF(OR(E386="",U386=""),"",E386*U386)</f>
        <v/>
      </c>
      <c r="W386" s="5" t="n"/>
    </row>
    <row r="387">
      <c r="A387" s="5" t="n"/>
      <c r="B387" s="5" t="n"/>
      <c r="C387" s="5" t="n"/>
      <c r="D387" s="5" t="n"/>
      <c r="E387" s="19">
        <f>IF(B387="","",SUMIF(BFTC!$B$5:$B$504,B387,BFTC!$E$5:$E$504))</f>
        <v/>
      </c>
      <c r="F387" s="20" t="n"/>
      <c r="G387" s="20" t="n"/>
      <c r="H387" s="20" t="n"/>
      <c r="I387" s="20" t="n"/>
      <c r="J387" s="20" t="n"/>
      <c r="K387" s="20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5" t="n"/>
      <c r="U387" s="21">
        <f>IF(OR(B387="",T387=""),"",IFERROR(1/(1/INDEX(F387:S387,MATCH(T387,$F$4:$S$4,0))),""))</f>
        <v/>
      </c>
      <c r="V387" s="21">
        <f>IF(OR(E387="",U387=""),"",E387*U387)</f>
        <v/>
      </c>
      <c r="W387" s="5" t="n"/>
    </row>
    <row r="388">
      <c r="A388" s="5" t="n"/>
      <c r="B388" s="5" t="n"/>
      <c r="C388" s="5" t="n"/>
      <c r="D388" s="5" t="n"/>
      <c r="E388" s="19">
        <f>IF(B388="","",SUMIF(BFTC!$B$5:$B$504,B388,BFTC!$E$5:$E$504))</f>
        <v/>
      </c>
      <c r="F388" s="20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5" t="n"/>
      <c r="U388" s="21">
        <f>IF(OR(B388="",T388=""),"",IFERROR(1/(1/INDEX(F388:S388,MATCH(T388,$F$4:$S$4,0))),""))</f>
        <v/>
      </c>
      <c r="V388" s="21">
        <f>IF(OR(E388="",U388=""),"",E388*U388)</f>
        <v/>
      </c>
      <c r="W388" s="5" t="n"/>
    </row>
    <row r="389">
      <c r="A389" s="5" t="n"/>
      <c r="B389" s="5" t="n"/>
      <c r="C389" s="5" t="n"/>
      <c r="D389" s="5" t="n"/>
      <c r="E389" s="19">
        <f>IF(B389="","",SUMIF(BFTC!$B$5:$B$504,B389,BFTC!$E$5:$E$504))</f>
        <v/>
      </c>
      <c r="F389" s="20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5" t="n"/>
      <c r="U389" s="21">
        <f>IF(OR(B389="",T389=""),"",IFERROR(1/(1/INDEX(F389:S389,MATCH(T389,$F$4:$S$4,0))),""))</f>
        <v/>
      </c>
      <c r="V389" s="21">
        <f>IF(OR(E389="",U389=""),"",E389*U389)</f>
        <v/>
      </c>
      <c r="W389" s="5" t="n"/>
    </row>
    <row r="390">
      <c r="A390" s="5" t="n"/>
      <c r="B390" s="5" t="n"/>
      <c r="C390" s="5" t="n"/>
      <c r="D390" s="5" t="n"/>
      <c r="E390" s="19">
        <f>IF(B390="","",SUMIF(BFTC!$B$5:$B$504,B390,BFTC!$E$5:$E$504))</f>
        <v/>
      </c>
      <c r="F390" s="20" t="n"/>
      <c r="G390" s="20" t="n"/>
      <c r="H390" s="20" t="n"/>
      <c r="I390" s="20" t="n"/>
      <c r="J390" s="20" t="n"/>
      <c r="K390" s="20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5" t="n"/>
      <c r="U390" s="21">
        <f>IF(OR(B390="",T390=""),"",IFERROR(1/(1/INDEX(F390:S390,MATCH(T390,$F$4:$S$4,0))),""))</f>
        <v/>
      </c>
      <c r="V390" s="21">
        <f>IF(OR(E390="",U390=""),"",E390*U390)</f>
        <v/>
      </c>
      <c r="W390" s="5" t="n"/>
    </row>
    <row r="391">
      <c r="A391" s="5" t="n"/>
      <c r="B391" s="5" t="n"/>
      <c r="C391" s="5" t="n"/>
      <c r="D391" s="5" t="n"/>
      <c r="E391" s="19">
        <f>IF(B391="","",SUMIF(BFTC!$B$5:$B$504,B391,BFTC!$E$5:$E$504))</f>
        <v/>
      </c>
      <c r="F391" s="20" t="n"/>
      <c r="G391" s="20" t="n"/>
      <c r="H391" s="20" t="n"/>
      <c r="I391" s="20" t="n"/>
      <c r="J391" s="20" t="n"/>
      <c r="K391" s="20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5" t="n"/>
      <c r="U391" s="21">
        <f>IF(OR(B391="",T391=""),"",IFERROR(1/(1/INDEX(F391:S391,MATCH(T391,$F$4:$S$4,0))),""))</f>
        <v/>
      </c>
      <c r="V391" s="21">
        <f>IF(OR(E391="",U391=""),"",E391*U391)</f>
        <v/>
      </c>
      <c r="W391" s="5" t="n"/>
    </row>
    <row r="392">
      <c r="A392" s="5" t="n"/>
      <c r="B392" s="5" t="n"/>
      <c r="C392" s="5" t="n"/>
      <c r="D392" s="5" t="n"/>
      <c r="E392" s="19">
        <f>IF(B392="","",SUMIF(BFTC!$B$5:$B$504,B392,BFTC!$E$5:$E$504))</f>
        <v/>
      </c>
      <c r="F392" s="20" t="n"/>
      <c r="G392" s="20" t="n"/>
      <c r="H392" s="20" t="n"/>
      <c r="I392" s="20" t="n"/>
      <c r="J392" s="20" t="n"/>
      <c r="K392" s="20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5" t="n"/>
      <c r="U392" s="21">
        <f>IF(OR(B392="",T392=""),"",IFERROR(1/(1/INDEX(F392:S392,MATCH(T392,$F$4:$S$4,0))),""))</f>
        <v/>
      </c>
      <c r="V392" s="21">
        <f>IF(OR(E392="",U392=""),"",E392*U392)</f>
        <v/>
      </c>
      <c r="W392" s="5" t="n"/>
    </row>
    <row r="393">
      <c r="A393" s="5" t="n"/>
      <c r="B393" s="5" t="n"/>
      <c r="C393" s="5" t="n"/>
      <c r="D393" s="5" t="n"/>
      <c r="E393" s="19">
        <f>IF(B393="","",SUMIF(BFTC!$B$5:$B$504,B393,BFTC!$E$5:$E$504))</f>
        <v/>
      </c>
      <c r="F393" s="20" t="n"/>
      <c r="G393" s="20" t="n"/>
      <c r="H393" s="20" t="n"/>
      <c r="I393" s="20" t="n"/>
      <c r="J393" s="20" t="n"/>
      <c r="K393" s="20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5" t="n"/>
      <c r="U393" s="21">
        <f>IF(OR(B393="",T393=""),"",IFERROR(1/(1/INDEX(F393:S393,MATCH(T393,$F$4:$S$4,0))),""))</f>
        <v/>
      </c>
      <c r="V393" s="21">
        <f>IF(OR(E393="",U393=""),"",E393*U393)</f>
        <v/>
      </c>
      <c r="W393" s="5" t="n"/>
    </row>
    <row r="394">
      <c r="A394" s="5" t="n"/>
      <c r="B394" s="5" t="n"/>
      <c r="C394" s="5" t="n"/>
      <c r="D394" s="5" t="n"/>
      <c r="E394" s="19">
        <f>IF(B394="","",SUMIF(BFTC!$B$5:$B$504,B394,BFTC!$E$5:$E$504))</f>
        <v/>
      </c>
      <c r="F394" s="20" t="n"/>
      <c r="G394" s="20" t="n"/>
      <c r="H394" s="20" t="n"/>
      <c r="I394" s="20" t="n"/>
      <c r="J394" s="20" t="n"/>
      <c r="K394" s="20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5" t="n"/>
      <c r="U394" s="21">
        <f>IF(OR(B394="",T394=""),"",IFERROR(1/(1/INDEX(F394:S394,MATCH(T394,$F$4:$S$4,0))),""))</f>
        <v/>
      </c>
      <c r="V394" s="21">
        <f>IF(OR(E394="",U394=""),"",E394*U394)</f>
        <v/>
      </c>
      <c r="W394" s="5" t="n"/>
    </row>
    <row r="395">
      <c r="A395" s="5" t="n"/>
      <c r="B395" s="5" t="n"/>
      <c r="C395" s="5" t="n"/>
      <c r="D395" s="5" t="n"/>
      <c r="E395" s="19">
        <f>IF(B395="","",SUMIF(BFTC!$B$5:$B$504,B395,BFTC!$E$5:$E$504))</f>
        <v/>
      </c>
      <c r="F395" s="20" t="n"/>
      <c r="G395" s="20" t="n"/>
      <c r="H395" s="20" t="n"/>
      <c r="I395" s="20" t="n"/>
      <c r="J395" s="20" t="n"/>
      <c r="K395" s="20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5" t="n"/>
      <c r="U395" s="21">
        <f>IF(OR(B395="",T395=""),"",IFERROR(1/(1/INDEX(F395:S395,MATCH(T395,$F$4:$S$4,0))),""))</f>
        <v/>
      </c>
      <c r="V395" s="21">
        <f>IF(OR(E395="",U395=""),"",E395*U395)</f>
        <v/>
      </c>
      <c r="W395" s="5" t="n"/>
    </row>
    <row r="396">
      <c r="A396" s="5" t="n"/>
      <c r="B396" s="5" t="n"/>
      <c r="C396" s="5" t="n"/>
      <c r="D396" s="5" t="n"/>
      <c r="E396" s="19">
        <f>IF(B396="","",SUMIF(BFTC!$B$5:$B$504,B396,BFTC!$E$5:$E$504))</f>
        <v/>
      </c>
      <c r="F396" s="20" t="n"/>
      <c r="G396" s="20" t="n"/>
      <c r="H396" s="20" t="n"/>
      <c r="I396" s="20" t="n"/>
      <c r="J396" s="20" t="n"/>
      <c r="K396" s="20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5" t="n"/>
      <c r="U396" s="21">
        <f>IF(OR(B396="",T396=""),"",IFERROR(1/(1/INDEX(F396:S396,MATCH(T396,$F$4:$S$4,0))),""))</f>
        <v/>
      </c>
      <c r="V396" s="21">
        <f>IF(OR(E396="",U396=""),"",E396*U396)</f>
        <v/>
      </c>
      <c r="W396" s="5" t="n"/>
    </row>
    <row r="397">
      <c r="A397" s="5" t="n"/>
      <c r="B397" s="5" t="n"/>
      <c r="C397" s="5" t="n"/>
      <c r="D397" s="5" t="n"/>
      <c r="E397" s="19">
        <f>IF(B397="","",SUMIF(BFTC!$B$5:$B$504,B397,BFTC!$E$5:$E$504))</f>
        <v/>
      </c>
      <c r="F397" s="20" t="n"/>
      <c r="G397" s="20" t="n"/>
      <c r="H397" s="20" t="n"/>
      <c r="I397" s="20" t="n"/>
      <c r="J397" s="20" t="n"/>
      <c r="K397" s="20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5" t="n"/>
      <c r="U397" s="21">
        <f>IF(OR(B397="",T397=""),"",IFERROR(1/(1/INDEX(F397:S397,MATCH(T397,$F$4:$S$4,0))),""))</f>
        <v/>
      </c>
      <c r="V397" s="21">
        <f>IF(OR(E397="",U397=""),"",E397*U397)</f>
        <v/>
      </c>
      <c r="W397" s="5" t="n"/>
    </row>
    <row r="398">
      <c r="A398" s="5" t="n"/>
      <c r="B398" s="5" t="n"/>
      <c r="C398" s="5" t="n"/>
      <c r="D398" s="5" t="n"/>
      <c r="E398" s="19">
        <f>IF(B398="","",SUMIF(BFTC!$B$5:$B$504,B398,BFTC!$E$5:$E$504))</f>
        <v/>
      </c>
      <c r="F398" s="20" t="n"/>
      <c r="G398" s="20" t="n"/>
      <c r="H398" s="20" t="n"/>
      <c r="I398" s="20" t="n"/>
      <c r="J398" s="20" t="n"/>
      <c r="K398" s="20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5" t="n"/>
      <c r="U398" s="21">
        <f>IF(OR(B398="",T398=""),"",IFERROR(1/(1/INDEX(F398:S398,MATCH(T398,$F$4:$S$4,0))),""))</f>
        <v/>
      </c>
      <c r="V398" s="21">
        <f>IF(OR(E398="",U398=""),"",E398*U398)</f>
        <v/>
      </c>
      <c r="W398" s="5" t="n"/>
    </row>
    <row r="399">
      <c r="A399" s="5" t="n"/>
      <c r="B399" s="5" t="n"/>
      <c r="C399" s="5" t="n"/>
      <c r="D399" s="5" t="n"/>
      <c r="E399" s="19">
        <f>IF(B399="","",SUMIF(BFTC!$B$5:$B$504,B399,BFTC!$E$5:$E$504))</f>
        <v/>
      </c>
      <c r="F399" s="20" t="n"/>
      <c r="G399" s="20" t="n"/>
      <c r="H399" s="20" t="n"/>
      <c r="I399" s="20" t="n"/>
      <c r="J399" s="20" t="n"/>
      <c r="K399" s="20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5" t="n"/>
      <c r="U399" s="21">
        <f>IF(OR(B399="",T399=""),"",IFERROR(1/(1/INDEX(F399:S399,MATCH(T399,$F$4:$S$4,0))),""))</f>
        <v/>
      </c>
      <c r="V399" s="21">
        <f>IF(OR(E399="",U399=""),"",E399*U399)</f>
        <v/>
      </c>
      <c r="W399" s="5" t="n"/>
    </row>
    <row r="400">
      <c r="A400" s="5" t="n"/>
      <c r="B400" s="5" t="n"/>
      <c r="C400" s="5" t="n"/>
      <c r="D400" s="5" t="n"/>
      <c r="E400" s="19">
        <f>IF(B400="","",SUMIF(BFTC!$B$5:$B$504,B400,BFTC!$E$5:$E$504))</f>
        <v/>
      </c>
      <c r="F400" s="20" t="n"/>
      <c r="G400" s="20" t="n"/>
      <c r="H400" s="20" t="n"/>
      <c r="I400" s="20" t="n"/>
      <c r="J400" s="20" t="n"/>
      <c r="K400" s="20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5" t="n"/>
      <c r="U400" s="21">
        <f>IF(OR(B400="",T400=""),"",IFERROR(1/(1/INDEX(F400:S400,MATCH(T400,$F$4:$S$4,0))),""))</f>
        <v/>
      </c>
      <c r="V400" s="21">
        <f>IF(OR(E400="",U400=""),"",E400*U400)</f>
        <v/>
      </c>
      <c r="W400" s="5" t="n"/>
    </row>
    <row r="401">
      <c r="A401" s="5" t="n"/>
      <c r="B401" s="5" t="n"/>
      <c r="C401" s="5" t="n"/>
      <c r="D401" s="5" t="n"/>
      <c r="E401" s="19">
        <f>IF(B401="","",SUMIF(BFTC!$B$5:$B$504,B401,BFTC!$E$5:$E$504))</f>
        <v/>
      </c>
      <c r="F401" s="20" t="n"/>
      <c r="G401" s="20" t="n"/>
      <c r="H401" s="20" t="n"/>
      <c r="I401" s="20" t="n"/>
      <c r="J401" s="20" t="n"/>
      <c r="K401" s="20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5" t="n"/>
      <c r="U401" s="21">
        <f>IF(OR(B401="",T401=""),"",IFERROR(1/(1/INDEX(F401:S401,MATCH(T401,$F$4:$S$4,0))),""))</f>
        <v/>
      </c>
      <c r="V401" s="21">
        <f>IF(OR(E401="",U401=""),"",E401*U401)</f>
        <v/>
      </c>
      <c r="W401" s="5" t="n"/>
    </row>
    <row r="402">
      <c r="A402" s="5" t="n"/>
      <c r="B402" s="5" t="n"/>
      <c r="C402" s="5" t="n"/>
      <c r="D402" s="5" t="n"/>
      <c r="E402" s="19">
        <f>IF(B402="","",SUMIF(BFTC!$B$5:$B$504,B402,BFTC!$E$5:$E$504))</f>
        <v/>
      </c>
      <c r="F402" s="20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5" t="n"/>
      <c r="U402" s="21">
        <f>IF(OR(B402="",T402=""),"",IFERROR(1/(1/INDEX(F402:S402,MATCH(T402,$F$4:$S$4,0))),""))</f>
        <v/>
      </c>
      <c r="V402" s="21">
        <f>IF(OR(E402="",U402=""),"",E402*U402)</f>
        <v/>
      </c>
      <c r="W402" s="5" t="n"/>
    </row>
    <row r="403">
      <c r="A403" s="5" t="n"/>
      <c r="B403" s="5" t="n"/>
      <c r="C403" s="5" t="n"/>
      <c r="D403" s="5" t="n"/>
      <c r="E403" s="19">
        <f>IF(B403="","",SUMIF(BFTC!$B$5:$B$504,B403,BFTC!$E$5:$E$504))</f>
        <v/>
      </c>
      <c r="F403" s="20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5" t="n"/>
      <c r="U403" s="21">
        <f>IF(OR(B403="",T403=""),"",IFERROR(1/(1/INDEX(F403:S403,MATCH(T403,$F$4:$S$4,0))),""))</f>
        <v/>
      </c>
      <c r="V403" s="21">
        <f>IF(OR(E403="",U403=""),"",E403*U403)</f>
        <v/>
      </c>
      <c r="W403" s="5" t="n"/>
    </row>
    <row r="404">
      <c r="A404" s="5" t="n"/>
      <c r="B404" s="5" t="n"/>
      <c r="C404" s="5" t="n"/>
      <c r="D404" s="5" t="n"/>
      <c r="E404" s="19">
        <f>IF(B404="","",SUMIF(BFTC!$B$5:$B$504,B404,BFTC!$E$5:$E$504))</f>
        <v/>
      </c>
      <c r="F404" s="20" t="n"/>
      <c r="G404" s="20" t="n"/>
      <c r="H404" s="20" t="n"/>
      <c r="I404" s="20" t="n"/>
      <c r="J404" s="20" t="n"/>
      <c r="K404" s="20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5" t="n"/>
      <c r="U404" s="21">
        <f>IF(OR(B404="",T404=""),"",IFERROR(1/(1/INDEX(F404:S404,MATCH(T404,$F$4:$S$4,0))),""))</f>
        <v/>
      </c>
      <c r="V404" s="21">
        <f>IF(OR(E404="",U404=""),"",E404*U404)</f>
        <v/>
      </c>
      <c r="W404" s="5" t="n"/>
    </row>
    <row r="405">
      <c r="A405" s="5" t="n"/>
      <c r="B405" s="5" t="n"/>
      <c r="C405" s="5" t="n"/>
      <c r="D405" s="5" t="n"/>
      <c r="E405" s="19">
        <f>IF(B405="","",SUMIF(BFTC!$B$5:$B$504,B405,BFTC!$E$5:$E$504))</f>
        <v/>
      </c>
      <c r="F405" s="20" t="n"/>
      <c r="G405" s="20" t="n"/>
      <c r="H405" s="20" t="n"/>
      <c r="I405" s="20" t="n"/>
      <c r="J405" s="20" t="n"/>
      <c r="K405" s="20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5" t="n"/>
      <c r="U405" s="21">
        <f>IF(OR(B405="",T405=""),"",IFERROR(1/(1/INDEX(F405:S405,MATCH(T405,$F$4:$S$4,0))),""))</f>
        <v/>
      </c>
      <c r="V405" s="21">
        <f>IF(OR(E405="",U405=""),"",E405*U405)</f>
        <v/>
      </c>
      <c r="W405" s="5" t="n"/>
    </row>
    <row r="406">
      <c r="A406" s="5" t="n"/>
      <c r="B406" s="5" t="n"/>
      <c r="C406" s="5" t="n"/>
      <c r="D406" s="5" t="n"/>
      <c r="E406" s="19">
        <f>IF(B406="","",SUMIF(BFTC!$B$5:$B$504,B406,BFTC!$E$5:$E$504))</f>
        <v/>
      </c>
      <c r="F406" s="20" t="n"/>
      <c r="G406" s="20" t="n"/>
      <c r="H406" s="20" t="n"/>
      <c r="I406" s="20" t="n"/>
      <c r="J406" s="20" t="n"/>
      <c r="K406" s="20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5" t="n"/>
      <c r="U406" s="21">
        <f>IF(OR(B406="",T406=""),"",IFERROR(1/(1/INDEX(F406:S406,MATCH(T406,$F$4:$S$4,0))),""))</f>
        <v/>
      </c>
      <c r="V406" s="21">
        <f>IF(OR(E406="",U406=""),"",E406*U406)</f>
        <v/>
      </c>
      <c r="W406" s="5" t="n"/>
    </row>
    <row r="407">
      <c r="A407" s="5" t="n"/>
      <c r="B407" s="5" t="n"/>
      <c r="C407" s="5" t="n"/>
      <c r="D407" s="5" t="n"/>
      <c r="E407" s="19">
        <f>IF(B407="","",SUMIF(BFTC!$B$5:$B$504,B407,BFTC!$E$5:$E$504))</f>
        <v/>
      </c>
      <c r="F407" s="20" t="n"/>
      <c r="G407" s="20" t="n"/>
      <c r="H407" s="20" t="n"/>
      <c r="I407" s="20" t="n"/>
      <c r="J407" s="20" t="n"/>
      <c r="K407" s="20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5" t="n"/>
      <c r="U407" s="21">
        <f>IF(OR(B407="",T407=""),"",IFERROR(1/(1/INDEX(F407:S407,MATCH(T407,$F$4:$S$4,0))),""))</f>
        <v/>
      </c>
      <c r="V407" s="21">
        <f>IF(OR(E407="",U407=""),"",E407*U407)</f>
        <v/>
      </c>
      <c r="W407" s="5" t="n"/>
    </row>
    <row r="408">
      <c r="A408" s="5" t="n"/>
      <c r="B408" s="5" t="n"/>
      <c r="C408" s="5" t="n"/>
      <c r="D408" s="5" t="n"/>
      <c r="E408" s="19">
        <f>IF(B408="","",SUMIF(BFTC!$B$5:$B$504,B408,BFTC!$E$5:$E$504))</f>
        <v/>
      </c>
      <c r="F408" s="20" t="n"/>
      <c r="G408" s="20" t="n"/>
      <c r="H408" s="20" t="n"/>
      <c r="I408" s="20" t="n"/>
      <c r="J408" s="20" t="n"/>
      <c r="K408" s="20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5" t="n"/>
      <c r="U408" s="21">
        <f>IF(OR(B408="",T408=""),"",IFERROR(1/(1/INDEX(F408:S408,MATCH(T408,$F$4:$S$4,0))),""))</f>
        <v/>
      </c>
      <c r="V408" s="21">
        <f>IF(OR(E408="",U408=""),"",E408*U408)</f>
        <v/>
      </c>
      <c r="W408" s="5" t="n"/>
    </row>
    <row r="409">
      <c r="A409" s="5" t="n"/>
      <c r="B409" s="5" t="n"/>
      <c r="C409" s="5" t="n"/>
      <c r="D409" s="5" t="n"/>
      <c r="E409" s="19">
        <f>IF(B409="","",SUMIF(BFTC!$B$5:$B$504,B409,BFTC!$E$5:$E$504))</f>
        <v/>
      </c>
      <c r="F409" s="20" t="n"/>
      <c r="G409" s="20" t="n"/>
      <c r="H409" s="20" t="n"/>
      <c r="I409" s="20" t="n"/>
      <c r="J409" s="20" t="n"/>
      <c r="K409" s="20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5" t="n"/>
      <c r="U409" s="21">
        <f>IF(OR(B409="",T409=""),"",IFERROR(1/(1/INDEX(F409:S409,MATCH(T409,$F$4:$S$4,0))),""))</f>
        <v/>
      </c>
      <c r="V409" s="21">
        <f>IF(OR(E409="",U409=""),"",E409*U409)</f>
        <v/>
      </c>
      <c r="W409" s="5" t="n"/>
    </row>
    <row r="410">
      <c r="A410" s="5" t="n"/>
      <c r="B410" s="5" t="n"/>
      <c r="C410" s="5" t="n"/>
      <c r="D410" s="5" t="n"/>
      <c r="E410" s="19">
        <f>IF(B410="","",SUMIF(BFTC!$B$5:$B$504,B410,BFTC!$E$5:$E$504))</f>
        <v/>
      </c>
      <c r="F410" s="20" t="n"/>
      <c r="G410" s="20" t="n"/>
      <c r="H410" s="20" t="n"/>
      <c r="I410" s="20" t="n"/>
      <c r="J410" s="20" t="n"/>
      <c r="K410" s="20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5" t="n"/>
      <c r="U410" s="21">
        <f>IF(OR(B410="",T410=""),"",IFERROR(1/(1/INDEX(F410:S410,MATCH(T410,$F$4:$S$4,0))),""))</f>
        <v/>
      </c>
      <c r="V410" s="21">
        <f>IF(OR(E410="",U410=""),"",E410*U410)</f>
        <v/>
      </c>
      <c r="W410" s="5" t="n"/>
    </row>
    <row r="411">
      <c r="A411" s="5" t="n"/>
      <c r="B411" s="5" t="n"/>
      <c r="C411" s="5" t="n"/>
      <c r="D411" s="5" t="n"/>
      <c r="E411" s="19">
        <f>IF(B411="","",SUMIF(BFTC!$B$5:$B$504,B411,BFTC!$E$5:$E$504))</f>
        <v/>
      </c>
      <c r="F411" s="20" t="n"/>
      <c r="G411" s="20" t="n"/>
      <c r="H411" s="20" t="n"/>
      <c r="I411" s="20" t="n"/>
      <c r="J411" s="20" t="n"/>
      <c r="K411" s="20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5" t="n"/>
      <c r="U411" s="21">
        <f>IF(OR(B411="",T411=""),"",IFERROR(1/(1/INDEX(F411:S411,MATCH(T411,$F$4:$S$4,0))),""))</f>
        <v/>
      </c>
      <c r="V411" s="21">
        <f>IF(OR(E411="",U411=""),"",E411*U411)</f>
        <v/>
      </c>
      <c r="W411" s="5" t="n"/>
    </row>
    <row r="412">
      <c r="A412" s="5" t="n"/>
      <c r="B412" s="5" t="n"/>
      <c r="C412" s="5" t="n"/>
      <c r="D412" s="5" t="n"/>
      <c r="E412" s="19">
        <f>IF(B412="","",SUMIF(BFTC!$B$5:$B$504,B412,BFTC!$E$5:$E$504))</f>
        <v/>
      </c>
      <c r="F412" s="20" t="n"/>
      <c r="G412" s="20" t="n"/>
      <c r="H412" s="20" t="n"/>
      <c r="I412" s="20" t="n"/>
      <c r="J412" s="20" t="n"/>
      <c r="K412" s="20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5" t="n"/>
      <c r="U412" s="21">
        <f>IF(OR(B412="",T412=""),"",IFERROR(1/(1/INDEX(F412:S412,MATCH(T412,$F$4:$S$4,0))),""))</f>
        <v/>
      </c>
      <c r="V412" s="21">
        <f>IF(OR(E412="",U412=""),"",E412*U412)</f>
        <v/>
      </c>
      <c r="W412" s="5" t="n"/>
    </row>
    <row r="413">
      <c r="A413" s="5" t="n"/>
      <c r="B413" s="5" t="n"/>
      <c r="C413" s="5" t="n"/>
      <c r="D413" s="5" t="n"/>
      <c r="E413" s="19">
        <f>IF(B413="","",SUMIF(BFTC!$B$5:$B$504,B413,BFTC!$E$5:$E$504))</f>
        <v/>
      </c>
      <c r="F413" s="20" t="n"/>
      <c r="G413" s="20" t="n"/>
      <c r="H413" s="20" t="n"/>
      <c r="I413" s="20" t="n"/>
      <c r="J413" s="20" t="n"/>
      <c r="K413" s="20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5" t="n"/>
      <c r="U413" s="21">
        <f>IF(OR(B413="",T413=""),"",IFERROR(1/(1/INDEX(F413:S413,MATCH(T413,$F$4:$S$4,0))),""))</f>
        <v/>
      </c>
      <c r="V413" s="21">
        <f>IF(OR(E413="",U413=""),"",E413*U413)</f>
        <v/>
      </c>
      <c r="W413" s="5" t="n"/>
    </row>
    <row r="414">
      <c r="A414" s="5" t="n"/>
      <c r="B414" s="5" t="n"/>
      <c r="C414" s="5" t="n"/>
      <c r="D414" s="5" t="n"/>
      <c r="E414" s="19">
        <f>IF(B414="","",SUMIF(BFTC!$B$5:$B$504,B414,BFTC!$E$5:$E$504))</f>
        <v/>
      </c>
      <c r="F414" s="20" t="n"/>
      <c r="G414" s="20" t="n"/>
      <c r="H414" s="20" t="n"/>
      <c r="I414" s="20" t="n"/>
      <c r="J414" s="20" t="n"/>
      <c r="K414" s="20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5" t="n"/>
      <c r="U414" s="21">
        <f>IF(OR(B414="",T414=""),"",IFERROR(1/(1/INDEX(F414:S414,MATCH(T414,$F$4:$S$4,0))),""))</f>
        <v/>
      </c>
      <c r="V414" s="21">
        <f>IF(OR(E414="",U414=""),"",E414*U414)</f>
        <v/>
      </c>
      <c r="W414" s="5" t="n"/>
    </row>
    <row r="415">
      <c r="A415" s="5" t="n"/>
      <c r="B415" s="5" t="n"/>
      <c r="C415" s="5" t="n"/>
      <c r="D415" s="5" t="n"/>
      <c r="E415" s="19">
        <f>IF(B415="","",SUMIF(BFTC!$B$5:$B$504,B415,BFTC!$E$5:$E$504))</f>
        <v/>
      </c>
      <c r="F415" s="20" t="n"/>
      <c r="G415" s="20" t="n"/>
      <c r="H415" s="20" t="n"/>
      <c r="I415" s="20" t="n"/>
      <c r="J415" s="20" t="n"/>
      <c r="K415" s="20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5" t="n"/>
      <c r="U415" s="21">
        <f>IF(OR(B415="",T415=""),"",IFERROR(1/(1/INDEX(F415:S415,MATCH(T415,$F$4:$S$4,0))),""))</f>
        <v/>
      </c>
      <c r="V415" s="21">
        <f>IF(OR(E415="",U415=""),"",E415*U415)</f>
        <v/>
      </c>
      <c r="W415" s="5" t="n"/>
    </row>
    <row r="416">
      <c r="A416" s="5" t="n"/>
      <c r="B416" s="5" t="n"/>
      <c r="C416" s="5" t="n"/>
      <c r="D416" s="5" t="n"/>
      <c r="E416" s="19">
        <f>IF(B416="","",SUMIF(BFTC!$B$5:$B$504,B416,BFTC!$E$5:$E$504))</f>
        <v/>
      </c>
      <c r="F416" s="20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5" t="n"/>
      <c r="U416" s="21">
        <f>IF(OR(B416="",T416=""),"",IFERROR(1/(1/INDEX(F416:S416,MATCH(T416,$F$4:$S$4,0))),""))</f>
        <v/>
      </c>
      <c r="V416" s="21">
        <f>IF(OR(E416="",U416=""),"",E416*U416)</f>
        <v/>
      </c>
      <c r="W416" s="5" t="n"/>
    </row>
    <row r="417">
      <c r="A417" s="5" t="n"/>
      <c r="B417" s="5" t="n"/>
      <c r="C417" s="5" t="n"/>
      <c r="D417" s="5" t="n"/>
      <c r="E417" s="19">
        <f>IF(B417="","",SUMIF(BFTC!$B$5:$B$504,B417,BFTC!$E$5:$E$504))</f>
        <v/>
      </c>
      <c r="F417" s="20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5" t="n"/>
      <c r="U417" s="21">
        <f>IF(OR(B417="",T417=""),"",IFERROR(1/(1/INDEX(F417:S417,MATCH(T417,$F$4:$S$4,0))),""))</f>
        <v/>
      </c>
      <c r="V417" s="21">
        <f>IF(OR(E417="",U417=""),"",E417*U417)</f>
        <v/>
      </c>
      <c r="W417" s="5" t="n"/>
    </row>
    <row r="418">
      <c r="A418" s="5" t="n"/>
      <c r="B418" s="5" t="n"/>
      <c r="C418" s="5" t="n"/>
      <c r="D418" s="5" t="n"/>
      <c r="E418" s="19">
        <f>IF(B418="","",SUMIF(BFTC!$B$5:$B$504,B418,BFTC!$E$5:$E$504))</f>
        <v/>
      </c>
      <c r="F418" s="20" t="n"/>
      <c r="G418" s="20" t="n"/>
      <c r="H418" s="20" t="n"/>
      <c r="I418" s="20" t="n"/>
      <c r="J418" s="20" t="n"/>
      <c r="K418" s="20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5" t="n"/>
      <c r="U418" s="21">
        <f>IF(OR(B418="",T418=""),"",IFERROR(1/(1/INDEX(F418:S418,MATCH(T418,$F$4:$S$4,0))),""))</f>
        <v/>
      </c>
      <c r="V418" s="21">
        <f>IF(OR(E418="",U418=""),"",E418*U418)</f>
        <v/>
      </c>
      <c r="W418" s="5" t="n"/>
    </row>
    <row r="419">
      <c r="A419" s="5" t="n"/>
      <c r="B419" s="5" t="n"/>
      <c r="C419" s="5" t="n"/>
      <c r="D419" s="5" t="n"/>
      <c r="E419" s="19">
        <f>IF(B419="","",SUMIF(BFTC!$B$5:$B$504,B419,BFTC!$E$5:$E$504))</f>
        <v/>
      </c>
      <c r="F419" s="20" t="n"/>
      <c r="G419" s="20" t="n"/>
      <c r="H419" s="20" t="n"/>
      <c r="I419" s="20" t="n"/>
      <c r="J419" s="20" t="n"/>
      <c r="K419" s="20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5" t="n"/>
      <c r="U419" s="21">
        <f>IF(OR(B419="",T419=""),"",IFERROR(1/(1/INDEX(F419:S419,MATCH(T419,$F$4:$S$4,0))),""))</f>
        <v/>
      </c>
      <c r="V419" s="21">
        <f>IF(OR(E419="",U419=""),"",E419*U419)</f>
        <v/>
      </c>
      <c r="W419" s="5" t="n"/>
    </row>
    <row r="420">
      <c r="A420" s="5" t="n"/>
      <c r="B420" s="5" t="n"/>
      <c r="C420" s="5" t="n"/>
      <c r="D420" s="5" t="n"/>
      <c r="E420" s="19">
        <f>IF(B420="","",SUMIF(BFTC!$B$5:$B$504,B420,BFTC!$E$5:$E$504))</f>
        <v/>
      </c>
      <c r="F420" s="20" t="n"/>
      <c r="G420" s="20" t="n"/>
      <c r="H420" s="20" t="n"/>
      <c r="I420" s="20" t="n"/>
      <c r="J420" s="20" t="n"/>
      <c r="K420" s="20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5" t="n"/>
      <c r="U420" s="21">
        <f>IF(OR(B420="",T420=""),"",IFERROR(1/(1/INDEX(F420:S420,MATCH(T420,$F$4:$S$4,0))),""))</f>
        <v/>
      </c>
      <c r="V420" s="21">
        <f>IF(OR(E420="",U420=""),"",E420*U420)</f>
        <v/>
      </c>
      <c r="W420" s="5" t="n"/>
    </row>
    <row r="421">
      <c r="A421" s="5" t="n"/>
      <c r="B421" s="5" t="n"/>
      <c r="C421" s="5" t="n"/>
      <c r="D421" s="5" t="n"/>
      <c r="E421" s="19">
        <f>IF(B421="","",SUMIF(BFTC!$B$5:$B$504,B421,BFTC!$E$5:$E$504))</f>
        <v/>
      </c>
      <c r="F421" s="20" t="n"/>
      <c r="G421" s="20" t="n"/>
      <c r="H421" s="20" t="n"/>
      <c r="I421" s="20" t="n"/>
      <c r="J421" s="20" t="n"/>
      <c r="K421" s="20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5" t="n"/>
      <c r="U421" s="21">
        <f>IF(OR(B421="",T421=""),"",IFERROR(1/(1/INDEX(F421:S421,MATCH(T421,$F$4:$S$4,0))),""))</f>
        <v/>
      </c>
      <c r="V421" s="21">
        <f>IF(OR(E421="",U421=""),"",E421*U421)</f>
        <v/>
      </c>
      <c r="W421" s="5" t="n"/>
    </row>
    <row r="422">
      <c r="A422" s="5" t="n"/>
      <c r="B422" s="5" t="n"/>
      <c r="C422" s="5" t="n"/>
      <c r="D422" s="5" t="n"/>
      <c r="E422" s="19">
        <f>IF(B422="","",SUMIF(BFTC!$B$5:$B$504,B422,BFTC!$E$5:$E$504))</f>
        <v/>
      </c>
      <c r="F422" s="20" t="n"/>
      <c r="G422" s="20" t="n"/>
      <c r="H422" s="20" t="n"/>
      <c r="I422" s="20" t="n"/>
      <c r="J422" s="20" t="n"/>
      <c r="K422" s="20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5" t="n"/>
      <c r="U422" s="21">
        <f>IF(OR(B422="",T422=""),"",IFERROR(1/(1/INDEX(F422:S422,MATCH(T422,$F$4:$S$4,0))),""))</f>
        <v/>
      </c>
      <c r="V422" s="21">
        <f>IF(OR(E422="",U422=""),"",E422*U422)</f>
        <v/>
      </c>
      <c r="W422" s="5" t="n"/>
    </row>
    <row r="423">
      <c r="A423" s="5" t="n"/>
      <c r="B423" s="5" t="n"/>
      <c r="C423" s="5" t="n"/>
      <c r="D423" s="5" t="n"/>
      <c r="E423" s="19">
        <f>IF(B423="","",SUMIF(BFTC!$B$5:$B$504,B423,BFTC!$E$5:$E$504))</f>
        <v/>
      </c>
      <c r="F423" s="20" t="n"/>
      <c r="G423" s="20" t="n"/>
      <c r="H423" s="20" t="n"/>
      <c r="I423" s="20" t="n"/>
      <c r="J423" s="20" t="n"/>
      <c r="K423" s="20" t="n"/>
      <c r="L423" s="20" t="n"/>
      <c r="M423" s="20" t="n"/>
      <c r="N423" s="20" t="n"/>
      <c r="O423" s="20" t="n"/>
      <c r="P423" s="20" t="n"/>
      <c r="Q423" s="20" t="n"/>
      <c r="R423" s="20" t="n"/>
      <c r="S423" s="20" t="n"/>
      <c r="T423" s="5" t="n"/>
      <c r="U423" s="21">
        <f>IF(OR(B423="",T423=""),"",IFERROR(1/(1/INDEX(F423:S423,MATCH(T423,$F$4:$S$4,0))),""))</f>
        <v/>
      </c>
      <c r="V423" s="21">
        <f>IF(OR(E423="",U423=""),"",E423*U423)</f>
        <v/>
      </c>
      <c r="W423" s="5" t="n"/>
    </row>
    <row r="424">
      <c r="A424" s="5" t="n"/>
      <c r="B424" s="5" t="n"/>
      <c r="C424" s="5" t="n"/>
      <c r="D424" s="5" t="n"/>
      <c r="E424" s="19">
        <f>IF(B424="","",SUMIF(BFTC!$B$5:$B$504,B424,BFTC!$E$5:$E$504))</f>
        <v/>
      </c>
      <c r="F424" s="20" t="n"/>
      <c r="G424" s="20" t="n"/>
      <c r="H424" s="20" t="n"/>
      <c r="I424" s="20" t="n"/>
      <c r="J424" s="20" t="n"/>
      <c r="K424" s="20" t="n"/>
      <c r="L424" s="20" t="n"/>
      <c r="M424" s="20" t="n"/>
      <c r="N424" s="20" t="n"/>
      <c r="O424" s="20" t="n"/>
      <c r="P424" s="20" t="n"/>
      <c r="Q424" s="20" t="n"/>
      <c r="R424" s="20" t="n"/>
      <c r="S424" s="20" t="n"/>
      <c r="T424" s="5" t="n"/>
      <c r="U424" s="21">
        <f>IF(OR(B424="",T424=""),"",IFERROR(1/(1/INDEX(F424:S424,MATCH(T424,$F$4:$S$4,0))),""))</f>
        <v/>
      </c>
      <c r="V424" s="21">
        <f>IF(OR(E424="",U424=""),"",E424*U424)</f>
        <v/>
      </c>
      <c r="W424" s="5" t="n"/>
    </row>
    <row r="425">
      <c r="A425" s="5" t="n"/>
      <c r="B425" s="5" t="n"/>
      <c r="C425" s="5" t="n"/>
      <c r="D425" s="5" t="n"/>
      <c r="E425" s="19">
        <f>IF(B425="","",SUMIF(BFTC!$B$5:$B$504,B425,BFTC!$E$5:$E$504))</f>
        <v/>
      </c>
      <c r="F425" s="20" t="n"/>
      <c r="G425" s="20" t="n"/>
      <c r="H425" s="20" t="n"/>
      <c r="I425" s="20" t="n"/>
      <c r="J425" s="20" t="n"/>
      <c r="K425" s="20" t="n"/>
      <c r="L425" s="20" t="n"/>
      <c r="M425" s="20" t="n"/>
      <c r="N425" s="20" t="n"/>
      <c r="O425" s="20" t="n"/>
      <c r="P425" s="20" t="n"/>
      <c r="Q425" s="20" t="n"/>
      <c r="R425" s="20" t="n"/>
      <c r="S425" s="20" t="n"/>
      <c r="T425" s="5" t="n"/>
      <c r="U425" s="21">
        <f>IF(OR(B425="",T425=""),"",IFERROR(1/(1/INDEX(F425:S425,MATCH(T425,$F$4:$S$4,0))),""))</f>
        <v/>
      </c>
      <c r="V425" s="21">
        <f>IF(OR(E425="",U425=""),"",E425*U425)</f>
        <v/>
      </c>
      <c r="W425" s="5" t="n"/>
    </row>
    <row r="426">
      <c r="A426" s="5" t="n"/>
      <c r="B426" s="5" t="n"/>
      <c r="C426" s="5" t="n"/>
      <c r="D426" s="5" t="n"/>
      <c r="E426" s="19">
        <f>IF(B426="","",SUMIF(BFTC!$B$5:$B$504,B426,BFTC!$E$5:$E$504))</f>
        <v/>
      </c>
      <c r="F426" s="20" t="n"/>
      <c r="G426" s="20" t="n"/>
      <c r="H426" s="20" t="n"/>
      <c r="I426" s="20" t="n"/>
      <c r="J426" s="20" t="n"/>
      <c r="K426" s="20" t="n"/>
      <c r="L426" s="20" t="n"/>
      <c r="M426" s="20" t="n"/>
      <c r="N426" s="20" t="n"/>
      <c r="O426" s="20" t="n"/>
      <c r="P426" s="20" t="n"/>
      <c r="Q426" s="20" t="n"/>
      <c r="R426" s="20" t="n"/>
      <c r="S426" s="20" t="n"/>
      <c r="T426" s="5" t="n"/>
      <c r="U426" s="21">
        <f>IF(OR(B426="",T426=""),"",IFERROR(1/(1/INDEX(F426:S426,MATCH(T426,$F$4:$S$4,0))),""))</f>
        <v/>
      </c>
      <c r="V426" s="21">
        <f>IF(OR(E426="",U426=""),"",E426*U426)</f>
        <v/>
      </c>
      <c r="W426" s="5" t="n"/>
    </row>
    <row r="427">
      <c r="A427" s="5" t="n"/>
      <c r="B427" s="5" t="n"/>
      <c r="C427" s="5" t="n"/>
      <c r="D427" s="5" t="n"/>
      <c r="E427" s="19">
        <f>IF(B427="","",SUMIF(BFTC!$B$5:$B$504,B427,BFTC!$E$5:$E$504))</f>
        <v/>
      </c>
      <c r="F427" s="20" t="n"/>
      <c r="G427" s="20" t="n"/>
      <c r="H427" s="20" t="n"/>
      <c r="I427" s="20" t="n"/>
      <c r="J427" s="20" t="n"/>
      <c r="K427" s="20" t="n"/>
      <c r="L427" s="20" t="n"/>
      <c r="M427" s="20" t="n"/>
      <c r="N427" s="20" t="n"/>
      <c r="O427" s="20" t="n"/>
      <c r="P427" s="20" t="n"/>
      <c r="Q427" s="20" t="n"/>
      <c r="R427" s="20" t="n"/>
      <c r="S427" s="20" t="n"/>
      <c r="T427" s="5" t="n"/>
      <c r="U427" s="21">
        <f>IF(OR(B427="",T427=""),"",IFERROR(1/(1/INDEX(F427:S427,MATCH(T427,$F$4:$S$4,0))),""))</f>
        <v/>
      </c>
      <c r="V427" s="21">
        <f>IF(OR(E427="",U427=""),"",E427*U427)</f>
        <v/>
      </c>
      <c r="W427" s="5" t="n"/>
    </row>
    <row r="428">
      <c r="A428" s="5" t="n"/>
      <c r="B428" s="5" t="n"/>
      <c r="C428" s="5" t="n"/>
      <c r="D428" s="5" t="n"/>
      <c r="E428" s="19">
        <f>IF(B428="","",SUMIF(BFTC!$B$5:$B$504,B428,BFTC!$E$5:$E$504))</f>
        <v/>
      </c>
      <c r="F428" s="20" t="n"/>
      <c r="G428" s="20" t="n"/>
      <c r="H428" s="20" t="n"/>
      <c r="I428" s="20" t="n"/>
      <c r="J428" s="20" t="n"/>
      <c r="K428" s="20" t="n"/>
      <c r="L428" s="20" t="n"/>
      <c r="M428" s="20" t="n"/>
      <c r="N428" s="20" t="n"/>
      <c r="O428" s="20" t="n"/>
      <c r="P428" s="20" t="n"/>
      <c r="Q428" s="20" t="n"/>
      <c r="R428" s="20" t="n"/>
      <c r="S428" s="20" t="n"/>
      <c r="T428" s="5" t="n"/>
      <c r="U428" s="21">
        <f>IF(OR(B428="",T428=""),"",IFERROR(1/(1/INDEX(F428:S428,MATCH(T428,$F$4:$S$4,0))),""))</f>
        <v/>
      </c>
      <c r="V428" s="21">
        <f>IF(OR(E428="",U428=""),"",E428*U428)</f>
        <v/>
      </c>
      <c r="W428" s="5" t="n"/>
    </row>
    <row r="429">
      <c r="A429" s="5" t="n"/>
      <c r="B429" s="5" t="n"/>
      <c r="C429" s="5" t="n"/>
      <c r="D429" s="5" t="n"/>
      <c r="E429" s="19">
        <f>IF(B429="","",SUMIF(BFTC!$B$5:$B$504,B429,BFTC!$E$5:$E$504))</f>
        <v/>
      </c>
      <c r="F429" s="20" t="n"/>
      <c r="G429" s="20" t="n"/>
      <c r="H429" s="20" t="n"/>
      <c r="I429" s="20" t="n"/>
      <c r="J429" s="20" t="n"/>
      <c r="K429" s="20" t="n"/>
      <c r="L429" s="20" t="n"/>
      <c r="M429" s="20" t="n"/>
      <c r="N429" s="20" t="n"/>
      <c r="O429" s="20" t="n"/>
      <c r="P429" s="20" t="n"/>
      <c r="Q429" s="20" t="n"/>
      <c r="R429" s="20" t="n"/>
      <c r="S429" s="20" t="n"/>
      <c r="T429" s="5" t="n"/>
      <c r="U429" s="21">
        <f>IF(OR(B429="",T429=""),"",IFERROR(1/(1/INDEX(F429:S429,MATCH(T429,$F$4:$S$4,0))),""))</f>
        <v/>
      </c>
      <c r="V429" s="21">
        <f>IF(OR(E429="",U429=""),"",E429*U429)</f>
        <v/>
      </c>
      <c r="W429" s="5" t="n"/>
    </row>
    <row r="430">
      <c r="A430" s="5" t="n"/>
      <c r="B430" s="5" t="n"/>
      <c r="C430" s="5" t="n"/>
      <c r="D430" s="5" t="n"/>
      <c r="E430" s="19">
        <f>IF(B430="","",SUMIF(BFTC!$B$5:$B$504,B430,BFTC!$E$5:$E$504))</f>
        <v/>
      </c>
      <c r="F430" s="20" t="n"/>
      <c r="G430" s="20" t="n"/>
      <c r="H430" s="20" t="n"/>
      <c r="I430" s="20" t="n"/>
      <c r="J430" s="20" t="n"/>
      <c r="K430" s="20" t="n"/>
      <c r="L430" s="20" t="n"/>
      <c r="M430" s="20" t="n"/>
      <c r="N430" s="20" t="n"/>
      <c r="O430" s="20" t="n"/>
      <c r="P430" s="20" t="n"/>
      <c r="Q430" s="20" t="n"/>
      <c r="R430" s="20" t="n"/>
      <c r="S430" s="20" t="n"/>
      <c r="T430" s="5" t="n"/>
      <c r="U430" s="21">
        <f>IF(OR(B430="",T430=""),"",IFERROR(1/(1/INDEX(F430:S430,MATCH(T430,$F$4:$S$4,0))),""))</f>
        <v/>
      </c>
      <c r="V430" s="21">
        <f>IF(OR(E430="",U430=""),"",E430*U430)</f>
        <v/>
      </c>
      <c r="W430" s="5" t="n"/>
    </row>
    <row r="431">
      <c r="A431" s="5" t="n"/>
      <c r="B431" s="5" t="n"/>
      <c r="C431" s="5" t="n"/>
      <c r="D431" s="5" t="n"/>
      <c r="E431" s="19">
        <f>IF(B431="","",SUMIF(BFTC!$B$5:$B$504,B431,BFTC!$E$5:$E$504))</f>
        <v/>
      </c>
      <c r="F431" s="20" t="n"/>
      <c r="G431" s="20" t="n"/>
      <c r="H431" s="20" t="n"/>
      <c r="I431" s="20" t="n"/>
      <c r="J431" s="20" t="n"/>
      <c r="K431" s="20" t="n"/>
      <c r="L431" s="20" t="n"/>
      <c r="M431" s="20" t="n"/>
      <c r="N431" s="20" t="n"/>
      <c r="O431" s="20" t="n"/>
      <c r="P431" s="20" t="n"/>
      <c r="Q431" s="20" t="n"/>
      <c r="R431" s="20" t="n"/>
      <c r="S431" s="20" t="n"/>
      <c r="T431" s="5" t="n"/>
      <c r="U431" s="21">
        <f>IF(OR(B431="",T431=""),"",IFERROR(1/(1/INDEX(F431:S431,MATCH(T431,$F$4:$S$4,0))),""))</f>
        <v/>
      </c>
      <c r="V431" s="21">
        <f>IF(OR(E431="",U431=""),"",E431*U431)</f>
        <v/>
      </c>
      <c r="W431" s="5" t="n"/>
    </row>
    <row r="432">
      <c r="A432" s="5" t="n"/>
      <c r="B432" s="5" t="n"/>
      <c r="C432" s="5" t="n"/>
      <c r="D432" s="5" t="n"/>
      <c r="E432" s="19">
        <f>IF(B432="","",SUMIF(BFTC!$B$5:$B$504,B432,BFTC!$E$5:$E$504))</f>
        <v/>
      </c>
      <c r="F432" s="20" t="n"/>
      <c r="G432" s="20" t="n"/>
      <c r="H432" s="20" t="n"/>
      <c r="I432" s="20" t="n"/>
      <c r="J432" s="20" t="n"/>
      <c r="K432" s="20" t="n"/>
      <c r="L432" s="20" t="n"/>
      <c r="M432" s="20" t="n"/>
      <c r="N432" s="20" t="n"/>
      <c r="O432" s="20" t="n"/>
      <c r="P432" s="20" t="n"/>
      <c r="Q432" s="20" t="n"/>
      <c r="R432" s="20" t="n"/>
      <c r="S432" s="20" t="n"/>
      <c r="T432" s="5" t="n"/>
      <c r="U432" s="21">
        <f>IF(OR(B432="",T432=""),"",IFERROR(1/(1/INDEX(F432:S432,MATCH(T432,$F$4:$S$4,0))),""))</f>
        <v/>
      </c>
      <c r="V432" s="21">
        <f>IF(OR(E432="",U432=""),"",E432*U432)</f>
        <v/>
      </c>
      <c r="W432" s="5" t="n"/>
    </row>
    <row r="433">
      <c r="A433" s="5" t="n"/>
      <c r="B433" s="5" t="n"/>
      <c r="C433" s="5" t="n"/>
      <c r="D433" s="5" t="n"/>
      <c r="E433" s="19">
        <f>IF(B433="","",SUMIF(BFTC!$B$5:$B$504,B433,BFTC!$E$5:$E$504))</f>
        <v/>
      </c>
      <c r="F433" s="20" t="n"/>
      <c r="G433" s="20" t="n"/>
      <c r="H433" s="20" t="n"/>
      <c r="I433" s="20" t="n"/>
      <c r="J433" s="20" t="n"/>
      <c r="K433" s="20" t="n"/>
      <c r="L433" s="20" t="n"/>
      <c r="M433" s="20" t="n"/>
      <c r="N433" s="20" t="n"/>
      <c r="O433" s="20" t="n"/>
      <c r="P433" s="20" t="n"/>
      <c r="Q433" s="20" t="n"/>
      <c r="R433" s="20" t="n"/>
      <c r="S433" s="20" t="n"/>
      <c r="T433" s="5" t="n"/>
      <c r="U433" s="21">
        <f>IF(OR(B433="",T433=""),"",IFERROR(1/(1/INDEX(F433:S433,MATCH(T433,$F$4:$S$4,0))),""))</f>
        <v/>
      </c>
      <c r="V433" s="21">
        <f>IF(OR(E433="",U433=""),"",E433*U433)</f>
        <v/>
      </c>
      <c r="W433" s="5" t="n"/>
    </row>
    <row r="434">
      <c r="A434" s="5" t="n"/>
      <c r="B434" s="5" t="n"/>
      <c r="C434" s="5" t="n"/>
      <c r="D434" s="5" t="n"/>
      <c r="E434" s="19">
        <f>IF(B434="","",SUMIF(BFTC!$B$5:$B$504,B434,BFTC!$E$5:$E$504))</f>
        <v/>
      </c>
      <c r="F434" s="20" t="n"/>
      <c r="G434" s="20" t="n"/>
      <c r="H434" s="20" t="n"/>
      <c r="I434" s="20" t="n"/>
      <c r="J434" s="20" t="n"/>
      <c r="K434" s="20" t="n"/>
      <c r="L434" s="20" t="n"/>
      <c r="M434" s="20" t="n"/>
      <c r="N434" s="20" t="n"/>
      <c r="O434" s="20" t="n"/>
      <c r="P434" s="20" t="n"/>
      <c r="Q434" s="20" t="n"/>
      <c r="R434" s="20" t="n"/>
      <c r="S434" s="20" t="n"/>
      <c r="T434" s="5" t="n"/>
      <c r="U434" s="21">
        <f>IF(OR(B434="",T434=""),"",IFERROR(1/(1/INDEX(F434:S434,MATCH(T434,$F$4:$S$4,0))),""))</f>
        <v/>
      </c>
      <c r="V434" s="21">
        <f>IF(OR(E434="",U434=""),"",E434*U434)</f>
        <v/>
      </c>
      <c r="W434" s="5" t="n"/>
    </row>
    <row r="435">
      <c r="A435" s="5" t="n"/>
      <c r="B435" s="5" t="n"/>
      <c r="C435" s="5" t="n"/>
      <c r="D435" s="5" t="n"/>
      <c r="E435" s="19">
        <f>IF(B435="","",SUMIF(BFTC!$B$5:$B$504,B435,BFTC!$E$5:$E$504))</f>
        <v/>
      </c>
      <c r="F435" s="20" t="n"/>
      <c r="G435" s="20" t="n"/>
      <c r="H435" s="20" t="n"/>
      <c r="I435" s="20" t="n"/>
      <c r="J435" s="20" t="n"/>
      <c r="K435" s="20" t="n"/>
      <c r="L435" s="20" t="n"/>
      <c r="M435" s="20" t="n"/>
      <c r="N435" s="20" t="n"/>
      <c r="O435" s="20" t="n"/>
      <c r="P435" s="20" t="n"/>
      <c r="Q435" s="20" t="n"/>
      <c r="R435" s="20" t="n"/>
      <c r="S435" s="20" t="n"/>
      <c r="T435" s="5" t="n"/>
      <c r="U435" s="21">
        <f>IF(OR(B435="",T435=""),"",IFERROR(1/(1/INDEX(F435:S435,MATCH(T435,$F$4:$S$4,0))),""))</f>
        <v/>
      </c>
      <c r="V435" s="21">
        <f>IF(OR(E435="",U435=""),"",E435*U435)</f>
        <v/>
      </c>
      <c r="W435" s="5" t="n"/>
    </row>
    <row r="436">
      <c r="A436" s="5" t="n"/>
      <c r="B436" s="5" t="n"/>
      <c r="C436" s="5" t="n"/>
      <c r="D436" s="5" t="n"/>
      <c r="E436" s="19">
        <f>IF(B436="","",SUMIF(BFTC!$B$5:$B$504,B436,BFTC!$E$5:$E$504))</f>
        <v/>
      </c>
      <c r="F436" s="20" t="n"/>
      <c r="G436" s="20" t="n"/>
      <c r="H436" s="20" t="n"/>
      <c r="I436" s="20" t="n"/>
      <c r="J436" s="20" t="n"/>
      <c r="K436" s="20" t="n"/>
      <c r="L436" s="20" t="n"/>
      <c r="M436" s="20" t="n"/>
      <c r="N436" s="20" t="n"/>
      <c r="O436" s="20" t="n"/>
      <c r="P436" s="20" t="n"/>
      <c r="Q436" s="20" t="n"/>
      <c r="R436" s="20" t="n"/>
      <c r="S436" s="20" t="n"/>
      <c r="T436" s="5" t="n"/>
      <c r="U436" s="21">
        <f>IF(OR(B436="",T436=""),"",IFERROR(1/(1/INDEX(F436:S436,MATCH(T436,$F$4:$S$4,0))),""))</f>
        <v/>
      </c>
      <c r="V436" s="21">
        <f>IF(OR(E436="",U436=""),"",E436*U436)</f>
        <v/>
      </c>
      <c r="W436" s="5" t="n"/>
    </row>
    <row r="437">
      <c r="A437" s="5" t="n"/>
      <c r="B437" s="5" t="n"/>
      <c r="C437" s="5" t="n"/>
      <c r="D437" s="5" t="n"/>
      <c r="E437" s="19">
        <f>IF(B437="","",SUMIF(BFTC!$B$5:$B$504,B437,BFTC!$E$5:$E$504))</f>
        <v/>
      </c>
      <c r="F437" s="20" t="n"/>
      <c r="G437" s="20" t="n"/>
      <c r="H437" s="20" t="n"/>
      <c r="I437" s="20" t="n"/>
      <c r="J437" s="20" t="n"/>
      <c r="K437" s="20" t="n"/>
      <c r="L437" s="20" t="n"/>
      <c r="M437" s="20" t="n"/>
      <c r="N437" s="20" t="n"/>
      <c r="O437" s="20" t="n"/>
      <c r="P437" s="20" t="n"/>
      <c r="Q437" s="20" t="n"/>
      <c r="R437" s="20" t="n"/>
      <c r="S437" s="20" t="n"/>
      <c r="T437" s="5" t="n"/>
      <c r="U437" s="21">
        <f>IF(OR(B437="",T437=""),"",IFERROR(1/(1/INDEX(F437:S437,MATCH(T437,$F$4:$S$4,0))),""))</f>
        <v/>
      </c>
      <c r="V437" s="21">
        <f>IF(OR(E437="",U437=""),"",E437*U437)</f>
        <v/>
      </c>
      <c r="W437" s="5" t="n"/>
    </row>
    <row r="438">
      <c r="A438" s="5" t="n"/>
      <c r="B438" s="5" t="n"/>
      <c r="C438" s="5" t="n"/>
      <c r="D438" s="5" t="n"/>
      <c r="E438" s="19">
        <f>IF(B438="","",SUMIF(BFTC!$B$5:$B$504,B438,BFTC!$E$5:$E$504))</f>
        <v/>
      </c>
      <c r="F438" s="20" t="n"/>
      <c r="G438" s="20" t="n"/>
      <c r="H438" s="20" t="n"/>
      <c r="I438" s="20" t="n"/>
      <c r="J438" s="20" t="n"/>
      <c r="K438" s="20" t="n"/>
      <c r="L438" s="20" t="n"/>
      <c r="M438" s="20" t="n"/>
      <c r="N438" s="20" t="n"/>
      <c r="O438" s="20" t="n"/>
      <c r="P438" s="20" t="n"/>
      <c r="Q438" s="20" t="n"/>
      <c r="R438" s="20" t="n"/>
      <c r="S438" s="20" t="n"/>
      <c r="T438" s="5" t="n"/>
      <c r="U438" s="21">
        <f>IF(OR(B438="",T438=""),"",IFERROR(1/(1/INDEX(F438:S438,MATCH(T438,$F$4:$S$4,0))),""))</f>
        <v/>
      </c>
      <c r="V438" s="21">
        <f>IF(OR(E438="",U438=""),"",E438*U438)</f>
        <v/>
      </c>
      <c r="W438" s="5" t="n"/>
    </row>
    <row r="439">
      <c r="A439" s="5" t="n"/>
      <c r="B439" s="5" t="n"/>
      <c r="C439" s="5" t="n"/>
      <c r="D439" s="5" t="n"/>
      <c r="E439" s="19">
        <f>IF(B439="","",SUMIF(BFTC!$B$5:$B$504,B439,BFTC!$E$5:$E$504))</f>
        <v/>
      </c>
      <c r="F439" s="20" t="n"/>
      <c r="G439" s="20" t="n"/>
      <c r="H439" s="20" t="n"/>
      <c r="I439" s="20" t="n"/>
      <c r="J439" s="20" t="n"/>
      <c r="K439" s="20" t="n"/>
      <c r="L439" s="20" t="n"/>
      <c r="M439" s="20" t="n"/>
      <c r="N439" s="20" t="n"/>
      <c r="O439" s="20" t="n"/>
      <c r="P439" s="20" t="n"/>
      <c r="Q439" s="20" t="n"/>
      <c r="R439" s="20" t="n"/>
      <c r="S439" s="20" t="n"/>
      <c r="T439" s="5" t="n"/>
      <c r="U439" s="21">
        <f>IF(OR(B439="",T439=""),"",IFERROR(1/(1/INDEX(F439:S439,MATCH(T439,$F$4:$S$4,0))),""))</f>
        <v/>
      </c>
      <c r="V439" s="21">
        <f>IF(OR(E439="",U439=""),"",E439*U439)</f>
        <v/>
      </c>
      <c r="W439" s="5" t="n"/>
    </row>
    <row r="440">
      <c r="A440" s="5" t="n"/>
      <c r="B440" s="5" t="n"/>
      <c r="C440" s="5" t="n"/>
      <c r="D440" s="5" t="n"/>
      <c r="E440" s="19">
        <f>IF(B440="","",SUMIF(BFTC!$B$5:$B$504,B440,BFTC!$E$5:$E$504))</f>
        <v/>
      </c>
      <c r="F440" s="20" t="n"/>
      <c r="G440" s="20" t="n"/>
      <c r="H440" s="20" t="n"/>
      <c r="I440" s="20" t="n"/>
      <c r="J440" s="20" t="n"/>
      <c r="K440" s="20" t="n"/>
      <c r="L440" s="20" t="n"/>
      <c r="M440" s="20" t="n"/>
      <c r="N440" s="20" t="n"/>
      <c r="O440" s="20" t="n"/>
      <c r="P440" s="20" t="n"/>
      <c r="Q440" s="20" t="n"/>
      <c r="R440" s="20" t="n"/>
      <c r="S440" s="20" t="n"/>
      <c r="T440" s="5" t="n"/>
      <c r="U440" s="21">
        <f>IF(OR(B440="",T440=""),"",IFERROR(1/(1/INDEX(F440:S440,MATCH(T440,$F$4:$S$4,0))),""))</f>
        <v/>
      </c>
      <c r="V440" s="21">
        <f>IF(OR(E440="",U440=""),"",E440*U440)</f>
        <v/>
      </c>
      <c r="W440" s="5" t="n"/>
    </row>
    <row r="441">
      <c r="A441" s="5" t="n"/>
      <c r="B441" s="5" t="n"/>
      <c r="C441" s="5" t="n"/>
      <c r="D441" s="5" t="n"/>
      <c r="E441" s="19">
        <f>IF(B441="","",SUMIF(BFTC!$B$5:$B$504,B441,BFTC!$E$5:$E$504))</f>
        <v/>
      </c>
      <c r="F441" s="20" t="n"/>
      <c r="G441" s="20" t="n"/>
      <c r="H441" s="20" t="n"/>
      <c r="I441" s="20" t="n"/>
      <c r="J441" s="20" t="n"/>
      <c r="K441" s="20" t="n"/>
      <c r="L441" s="20" t="n"/>
      <c r="M441" s="20" t="n"/>
      <c r="N441" s="20" t="n"/>
      <c r="O441" s="20" t="n"/>
      <c r="P441" s="20" t="n"/>
      <c r="Q441" s="20" t="n"/>
      <c r="R441" s="20" t="n"/>
      <c r="S441" s="20" t="n"/>
      <c r="T441" s="5" t="n"/>
      <c r="U441" s="21">
        <f>IF(OR(B441="",T441=""),"",IFERROR(1/(1/INDEX(F441:S441,MATCH(T441,$F$4:$S$4,0))),""))</f>
        <v/>
      </c>
      <c r="V441" s="21">
        <f>IF(OR(E441="",U441=""),"",E441*U441)</f>
        <v/>
      </c>
      <c r="W441" s="5" t="n"/>
    </row>
    <row r="442">
      <c r="A442" s="5" t="n"/>
      <c r="B442" s="5" t="n"/>
      <c r="C442" s="5" t="n"/>
      <c r="D442" s="5" t="n"/>
      <c r="E442" s="19">
        <f>IF(B442="","",SUMIF(BFTC!$B$5:$B$504,B442,BFTC!$E$5:$E$504))</f>
        <v/>
      </c>
      <c r="F442" s="20" t="n"/>
      <c r="G442" s="20" t="n"/>
      <c r="H442" s="20" t="n"/>
      <c r="I442" s="20" t="n"/>
      <c r="J442" s="20" t="n"/>
      <c r="K442" s="20" t="n"/>
      <c r="L442" s="20" t="n"/>
      <c r="M442" s="20" t="n"/>
      <c r="N442" s="20" t="n"/>
      <c r="O442" s="20" t="n"/>
      <c r="P442" s="20" t="n"/>
      <c r="Q442" s="20" t="n"/>
      <c r="R442" s="20" t="n"/>
      <c r="S442" s="20" t="n"/>
      <c r="T442" s="5" t="n"/>
      <c r="U442" s="21">
        <f>IF(OR(B442="",T442=""),"",IFERROR(1/(1/INDEX(F442:S442,MATCH(T442,$F$4:$S$4,0))),""))</f>
        <v/>
      </c>
      <c r="V442" s="21">
        <f>IF(OR(E442="",U442=""),"",E442*U442)</f>
        <v/>
      </c>
      <c r="W442" s="5" t="n"/>
    </row>
    <row r="443">
      <c r="A443" s="5" t="n"/>
      <c r="B443" s="5" t="n"/>
      <c r="C443" s="5" t="n"/>
      <c r="D443" s="5" t="n"/>
      <c r="E443" s="19">
        <f>IF(B443="","",SUMIF(BFTC!$B$5:$B$504,B443,BFTC!$E$5:$E$504))</f>
        <v/>
      </c>
      <c r="F443" s="20" t="n"/>
      <c r="G443" s="20" t="n"/>
      <c r="H443" s="20" t="n"/>
      <c r="I443" s="20" t="n"/>
      <c r="J443" s="20" t="n"/>
      <c r="K443" s="20" t="n"/>
      <c r="L443" s="20" t="n"/>
      <c r="M443" s="20" t="n"/>
      <c r="N443" s="20" t="n"/>
      <c r="O443" s="20" t="n"/>
      <c r="P443" s="20" t="n"/>
      <c r="Q443" s="20" t="n"/>
      <c r="R443" s="20" t="n"/>
      <c r="S443" s="20" t="n"/>
      <c r="T443" s="5" t="n"/>
      <c r="U443" s="21">
        <f>IF(OR(B443="",T443=""),"",IFERROR(1/(1/INDEX(F443:S443,MATCH(T443,$F$4:$S$4,0))),""))</f>
        <v/>
      </c>
      <c r="V443" s="21">
        <f>IF(OR(E443="",U443=""),"",E443*U443)</f>
        <v/>
      </c>
      <c r="W443" s="5" t="n"/>
    </row>
    <row r="444">
      <c r="A444" s="5" t="n"/>
      <c r="B444" s="5" t="n"/>
      <c r="C444" s="5" t="n"/>
      <c r="D444" s="5" t="n"/>
      <c r="E444" s="19">
        <f>IF(B444="","",SUMIF(BFTC!$B$5:$B$504,B444,BFTC!$E$5:$E$504))</f>
        <v/>
      </c>
      <c r="F444" s="20" t="n"/>
      <c r="G444" s="20" t="n"/>
      <c r="H444" s="20" t="n"/>
      <c r="I444" s="20" t="n"/>
      <c r="J444" s="20" t="n"/>
      <c r="K444" s="20" t="n"/>
      <c r="L444" s="20" t="n"/>
      <c r="M444" s="20" t="n"/>
      <c r="N444" s="20" t="n"/>
      <c r="O444" s="20" t="n"/>
      <c r="P444" s="20" t="n"/>
      <c r="Q444" s="20" t="n"/>
      <c r="R444" s="20" t="n"/>
      <c r="S444" s="20" t="n"/>
      <c r="T444" s="5" t="n"/>
      <c r="U444" s="21">
        <f>IF(OR(B444="",T444=""),"",IFERROR(1/(1/INDEX(F444:S444,MATCH(T444,$F$4:$S$4,0))),""))</f>
        <v/>
      </c>
      <c r="V444" s="21">
        <f>IF(OR(E444="",U444=""),"",E444*U444)</f>
        <v/>
      </c>
      <c r="W444" s="5" t="n"/>
    </row>
    <row r="445">
      <c r="A445" s="5" t="n"/>
      <c r="B445" s="5" t="n"/>
      <c r="C445" s="5" t="n"/>
      <c r="D445" s="5" t="n"/>
      <c r="E445" s="19">
        <f>IF(B445="","",SUMIF(BFTC!$B$5:$B$504,B445,BFTC!$E$5:$E$504))</f>
        <v/>
      </c>
      <c r="F445" s="20" t="n"/>
      <c r="G445" s="20" t="n"/>
      <c r="H445" s="20" t="n"/>
      <c r="I445" s="20" t="n"/>
      <c r="J445" s="20" t="n"/>
      <c r="K445" s="20" t="n"/>
      <c r="L445" s="20" t="n"/>
      <c r="M445" s="20" t="n"/>
      <c r="N445" s="20" t="n"/>
      <c r="O445" s="20" t="n"/>
      <c r="P445" s="20" t="n"/>
      <c r="Q445" s="20" t="n"/>
      <c r="R445" s="20" t="n"/>
      <c r="S445" s="20" t="n"/>
      <c r="T445" s="5" t="n"/>
      <c r="U445" s="21">
        <f>IF(OR(B445="",T445=""),"",IFERROR(1/(1/INDEX(F445:S445,MATCH(T445,$F$4:$S$4,0))),""))</f>
        <v/>
      </c>
      <c r="V445" s="21">
        <f>IF(OR(E445="",U445=""),"",E445*U445)</f>
        <v/>
      </c>
      <c r="W445" s="5" t="n"/>
    </row>
    <row r="446">
      <c r="A446" s="5" t="n"/>
      <c r="B446" s="5" t="n"/>
      <c r="C446" s="5" t="n"/>
      <c r="D446" s="5" t="n"/>
      <c r="E446" s="19">
        <f>IF(B446="","",SUMIF(BFTC!$B$5:$B$504,B446,BFTC!$E$5:$E$504))</f>
        <v/>
      </c>
      <c r="F446" s="20" t="n"/>
      <c r="G446" s="20" t="n"/>
      <c r="H446" s="20" t="n"/>
      <c r="I446" s="20" t="n"/>
      <c r="J446" s="20" t="n"/>
      <c r="K446" s="20" t="n"/>
      <c r="L446" s="20" t="n"/>
      <c r="M446" s="20" t="n"/>
      <c r="N446" s="20" t="n"/>
      <c r="O446" s="20" t="n"/>
      <c r="P446" s="20" t="n"/>
      <c r="Q446" s="20" t="n"/>
      <c r="R446" s="20" t="n"/>
      <c r="S446" s="20" t="n"/>
      <c r="T446" s="5" t="n"/>
      <c r="U446" s="21">
        <f>IF(OR(B446="",T446=""),"",IFERROR(1/(1/INDEX(F446:S446,MATCH(T446,$F$4:$S$4,0))),""))</f>
        <v/>
      </c>
      <c r="V446" s="21">
        <f>IF(OR(E446="",U446=""),"",E446*U446)</f>
        <v/>
      </c>
      <c r="W446" s="5" t="n"/>
    </row>
    <row r="447">
      <c r="A447" s="5" t="n"/>
      <c r="B447" s="5" t="n"/>
      <c r="C447" s="5" t="n"/>
      <c r="D447" s="5" t="n"/>
      <c r="E447" s="19">
        <f>IF(B447="","",SUMIF(BFTC!$B$5:$B$504,B447,BFTC!$E$5:$E$504))</f>
        <v/>
      </c>
      <c r="F447" s="20" t="n"/>
      <c r="G447" s="20" t="n"/>
      <c r="H447" s="20" t="n"/>
      <c r="I447" s="20" t="n"/>
      <c r="J447" s="20" t="n"/>
      <c r="K447" s="20" t="n"/>
      <c r="L447" s="20" t="n"/>
      <c r="M447" s="20" t="n"/>
      <c r="N447" s="20" t="n"/>
      <c r="O447" s="20" t="n"/>
      <c r="P447" s="20" t="n"/>
      <c r="Q447" s="20" t="n"/>
      <c r="R447" s="20" t="n"/>
      <c r="S447" s="20" t="n"/>
      <c r="T447" s="5" t="n"/>
      <c r="U447" s="21">
        <f>IF(OR(B447="",T447=""),"",IFERROR(1/(1/INDEX(F447:S447,MATCH(T447,$F$4:$S$4,0))),""))</f>
        <v/>
      </c>
      <c r="V447" s="21">
        <f>IF(OR(E447="",U447=""),"",E447*U447)</f>
        <v/>
      </c>
      <c r="W447" s="5" t="n"/>
    </row>
    <row r="448">
      <c r="A448" s="5" t="n"/>
      <c r="B448" s="5" t="n"/>
      <c r="C448" s="5" t="n"/>
      <c r="D448" s="5" t="n"/>
      <c r="E448" s="19">
        <f>IF(B448="","",SUMIF(BFTC!$B$5:$B$504,B448,BFTC!$E$5:$E$504))</f>
        <v/>
      </c>
      <c r="F448" s="20" t="n"/>
      <c r="G448" s="20" t="n"/>
      <c r="H448" s="20" t="n"/>
      <c r="I448" s="20" t="n"/>
      <c r="J448" s="20" t="n"/>
      <c r="K448" s="20" t="n"/>
      <c r="L448" s="20" t="n"/>
      <c r="M448" s="20" t="n"/>
      <c r="N448" s="20" t="n"/>
      <c r="O448" s="20" t="n"/>
      <c r="P448" s="20" t="n"/>
      <c r="Q448" s="20" t="n"/>
      <c r="R448" s="20" t="n"/>
      <c r="S448" s="20" t="n"/>
      <c r="T448" s="5" t="n"/>
      <c r="U448" s="21">
        <f>IF(OR(B448="",T448=""),"",IFERROR(1/(1/INDEX(F448:S448,MATCH(T448,$F$4:$S$4,0))),""))</f>
        <v/>
      </c>
      <c r="V448" s="21">
        <f>IF(OR(E448="",U448=""),"",E448*U448)</f>
        <v/>
      </c>
      <c r="W448" s="5" t="n"/>
    </row>
    <row r="449">
      <c r="A449" s="5" t="n"/>
      <c r="B449" s="5" t="n"/>
      <c r="C449" s="5" t="n"/>
      <c r="D449" s="5" t="n"/>
      <c r="E449" s="19">
        <f>IF(B449="","",SUMIF(BFTC!$B$5:$B$504,B449,BFTC!$E$5:$E$504))</f>
        <v/>
      </c>
      <c r="F449" s="20" t="n"/>
      <c r="G449" s="20" t="n"/>
      <c r="H449" s="20" t="n"/>
      <c r="I449" s="20" t="n"/>
      <c r="J449" s="20" t="n"/>
      <c r="K449" s="20" t="n"/>
      <c r="L449" s="20" t="n"/>
      <c r="M449" s="20" t="n"/>
      <c r="N449" s="20" t="n"/>
      <c r="O449" s="20" t="n"/>
      <c r="P449" s="20" t="n"/>
      <c r="Q449" s="20" t="n"/>
      <c r="R449" s="20" t="n"/>
      <c r="S449" s="20" t="n"/>
      <c r="T449" s="5" t="n"/>
      <c r="U449" s="21">
        <f>IF(OR(B449="",T449=""),"",IFERROR(1/(1/INDEX(F449:S449,MATCH(T449,$F$4:$S$4,0))),""))</f>
        <v/>
      </c>
      <c r="V449" s="21">
        <f>IF(OR(E449="",U449=""),"",E449*U449)</f>
        <v/>
      </c>
      <c r="W449" s="5" t="n"/>
    </row>
    <row r="450">
      <c r="A450" s="5" t="n"/>
      <c r="B450" s="5" t="n"/>
      <c r="C450" s="5" t="n"/>
      <c r="D450" s="5" t="n"/>
      <c r="E450" s="19">
        <f>IF(B450="","",SUMIF(BFTC!$B$5:$B$504,B450,BFTC!$E$5:$E$504))</f>
        <v/>
      </c>
      <c r="F450" s="20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  <c r="P450" s="20" t="n"/>
      <c r="Q450" s="20" t="n"/>
      <c r="R450" s="20" t="n"/>
      <c r="S450" s="20" t="n"/>
      <c r="T450" s="5" t="n"/>
      <c r="U450" s="21">
        <f>IF(OR(B450="",T450=""),"",IFERROR(1/(1/INDEX(F450:S450,MATCH(T450,$F$4:$S$4,0))),""))</f>
        <v/>
      </c>
      <c r="V450" s="21">
        <f>IF(OR(E450="",U450=""),"",E450*U450)</f>
        <v/>
      </c>
      <c r="W450" s="5" t="n"/>
    </row>
    <row r="451">
      <c r="A451" s="5" t="n"/>
      <c r="B451" s="5" t="n"/>
      <c r="C451" s="5" t="n"/>
      <c r="D451" s="5" t="n"/>
      <c r="E451" s="19">
        <f>IF(B451="","",SUMIF(BFTC!$B$5:$B$504,B451,BFTC!$E$5:$E$504))</f>
        <v/>
      </c>
      <c r="F451" s="20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  <c r="P451" s="20" t="n"/>
      <c r="Q451" s="20" t="n"/>
      <c r="R451" s="20" t="n"/>
      <c r="S451" s="20" t="n"/>
      <c r="T451" s="5" t="n"/>
      <c r="U451" s="21">
        <f>IF(OR(B451="",T451=""),"",IFERROR(1/(1/INDEX(F451:S451,MATCH(T451,$F$4:$S$4,0))),""))</f>
        <v/>
      </c>
      <c r="V451" s="21">
        <f>IF(OR(E451="",U451=""),"",E451*U451)</f>
        <v/>
      </c>
      <c r="W451" s="5" t="n"/>
    </row>
    <row r="452">
      <c r="A452" s="5" t="n"/>
      <c r="B452" s="5" t="n"/>
      <c r="C452" s="5" t="n"/>
      <c r="D452" s="5" t="n"/>
      <c r="E452" s="19">
        <f>IF(B452="","",SUMIF(BFTC!$B$5:$B$504,B452,BFTC!$E$5:$E$504))</f>
        <v/>
      </c>
      <c r="F452" s="20" t="n"/>
      <c r="G452" s="20" t="n"/>
      <c r="H452" s="20" t="n"/>
      <c r="I452" s="20" t="n"/>
      <c r="J452" s="20" t="n"/>
      <c r="K452" s="20" t="n"/>
      <c r="L452" s="20" t="n"/>
      <c r="M452" s="20" t="n"/>
      <c r="N452" s="20" t="n"/>
      <c r="O452" s="20" t="n"/>
      <c r="P452" s="20" t="n"/>
      <c r="Q452" s="20" t="n"/>
      <c r="R452" s="20" t="n"/>
      <c r="S452" s="20" t="n"/>
      <c r="T452" s="5" t="n"/>
      <c r="U452" s="21">
        <f>IF(OR(B452="",T452=""),"",IFERROR(1/(1/INDEX(F452:S452,MATCH(T452,$F$4:$S$4,0))),""))</f>
        <v/>
      </c>
      <c r="V452" s="21">
        <f>IF(OR(E452="",U452=""),"",E452*U452)</f>
        <v/>
      </c>
      <c r="W452" s="5" t="n"/>
    </row>
    <row r="453">
      <c r="A453" s="5" t="n"/>
      <c r="B453" s="5" t="n"/>
      <c r="C453" s="5" t="n"/>
      <c r="D453" s="5" t="n"/>
      <c r="E453" s="19">
        <f>IF(B453="","",SUMIF(BFTC!$B$5:$B$504,B453,BFTC!$E$5:$E$504))</f>
        <v/>
      </c>
      <c r="F453" s="20" t="n"/>
      <c r="G453" s="20" t="n"/>
      <c r="H453" s="20" t="n"/>
      <c r="I453" s="20" t="n"/>
      <c r="J453" s="20" t="n"/>
      <c r="K453" s="20" t="n"/>
      <c r="L453" s="20" t="n"/>
      <c r="M453" s="20" t="n"/>
      <c r="N453" s="20" t="n"/>
      <c r="O453" s="20" t="n"/>
      <c r="P453" s="20" t="n"/>
      <c r="Q453" s="20" t="n"/>
      <c r="R453" s="20" t="n"/>
      <c r="S453" s="20" t="n"/>
      <c r="T453" s="5" t="n"/>
      <c r="U453" s="21">
        <f>IF(OR(B453="",T453=""),"",IFERROR(1/(1/INDEX(F453:S453,MATCH(T453,$F$4:$S$4,0))),""))</f>
        <v/>
      </c>
      <c r="V453" s="21">
        <f>IF(OR(E453="",U453=""),"",E453*U453)</f>
        <v/>
      </c>
      <c r="W453" s="5" t="n"/>
    </row>
    <row r="454">
      <c r="A454" s="5" t="n"/>
      <c r="B454" s="5" t="n"/>
      <c r="C454" s="5" t="n"/>
      <c r="D454" s="5" t="n"/>
      <c r="E454" s="19">
        <f>IF(B454="","",SUMIF(BFTC!$B$5:$B$504,B454,BFTC!$E$5:$E$504))</f>
        <v/>
      </c>
      <c r="F454" s="20" t="n"/>
      <c r="G454" s="20" t="n"/>
      <c r="H454" s="20" t="n"/>
      <c r="I454" s="20" t="n"/>
      <c r="J454" s="20" t="n"/>
      <c r="K454" s="20" t="n"/>
      <c r="L454" s="20" t="n"/>
      <c r="M454" s="20" t="n"/>
      <c r="N454" s="20" t="n"/>
      <c r="O454" s="20" t="n"/>
      <c r="P454" s="20" t="n"/>
      <c r="Q454" s="20" t="n"/>
      <c r="R454" s="20" t="n"/>
      <c r="S454" s="20" t="n"/>
      <c r="T454" s="5" t="n"/>
      <c r="U454" s="21">
        <f>IF(OR(B454="",T454=""),"",IFERROR(1/(1/INDEX(F454:S454,MATCH(T454,$F$4:$S$4,0))),""))</f>
        <v/>
      </c>
      <c r="V454" s="21">
        <f>IF(OR(E454="",U454=""),"",E454*U454)</f>
        <v/>
      </c>
      <c r="W454" s="5" t="n"/>
    </row>
    <row r="455">
      <c r="A455" s="5" t="n"/>
      <c r="B455" s="5" t="n"/>
      <c r="C455" s="5" t="n"/>
      <c r="D455" s="5" t="n"/>
      <c r="E455" s="19">
        <f>IF(B455="","",SUMIF(BFTC!$B$5:$B$504,B455,BFTC!$E$5:$E$504))</f>
        <v/>
      </c>
      <c r="F455" s="20" t="n"/>
      <c r="G455" s="20" t="n"/>
      <c r="H455" s="20" t="n"/>
      <c r="I455" s="20" t="n"/>
      <c r="J455" s="20" t="n"/>
      <c r="K455" s="20" t="n"/>
      <c r="L455" s="20" t="n"/>
      <c r="M455" s="20" t="n"/>
      <c r="N455" s="20" t="n"/>
      <c r="O455" s="20" t="n"/>
      <c r="P455" s="20" t="n"/>
      <c r="Q455" s="20" t="n"/>
      <c r="R455" s="20" t="n"/>
      <c r="S455" s="20" t="n"/>
      <c r="T455" s="5" t="n"/>
      <c r="U455" s="21">
        <f>IF(OR(B455="",T455=""),"",IFERROR(1/(1/INDEX(F455:S455,MATCH(T455,$F$4:$S$4,0))),""))</f>
        <v/>
      </c>
      <c r="V455" s="21">
        <f>IF(OR(E455="",U455=""),"",E455*U455)</f>
        <v/>
      </c>
      <c r="W455" s="5" t="n"/>
    </row>
    <row r="456">
      <c r="A456" s="5" t="n"/>
      <c r="B456" s="5" t="n"/>
      <c r="C456" s="5" t="n"/>
      <c r="D456" s="5" t="n"/>
      <c r="E456" s="19">
        <f>IF(B456="","",SUMIF(BFTC!$B$5:$B$504,B456,BFTC!$E$5:$E$504))</f>
        <v/>
      </c>
      <c r="F456" s="20" t="n"/>
      <c r="G456" s="20" t="n"/>
      <c r="H456" s="20" t="n"/>
      <c r="I456" s="20" t="n"/>
      <c r="J456" s="20" t="n"/>
      <c r="K456" s="20" t="n"/>
      <c r="L456" s="20" t="n"/>
      <c r="M456" s="20" t="n"/>
      <c r="N456" s="20" t="n"/>
      <c r="O456" s="20" t="n"/>
      <c r="P456" s="20" t="n"/>
      <c r="Q456" s="20" t="n"/>
      <c r="R456" s="20" t="n"/>
      <c r="S456" s="20" t="n"/>
      <c r="T456" s="5" t="n"/>
      <c r="U456" s="21">
        <f>IF(OR(B456="",T456=""),"",IFERROR(1/(1/INDEX(F456:S456,MATCH(T456,$F$4:$S$4,0))),""))</f>
        <v/>
      </c>
      <c r="V456" s="21">
        <f>IF(OR(E456="",U456=""),"",E456*U456)</f>
        <v/>
      </c>
      <c r="W456" s="5" t="n"/>
    </row>
    <row r="457">
      <c r="A457" s="5" t="n"/>
      <c r="B457" s="5" t="n"/>
      <c r="C457" s="5" t="n"/>
      <c r="D457" s="5" t="n"/>
      <c r="E457" s="19">
        <f>IF(B457="","",SUMIF(BFTC!$B$5:$B$504,B457,BFTC!$E$5:$E$504))</f>
        <v/>
      </c>
      <c r="F457" s="20" t="n"/>
      <c r="G457" s="20" t="n"/>
      <c r="H457" s="20" t="n"/>
      <c r="I457" s="20" t="n"/>
      <c r="J457" s="20" t="n"/>
      <c r="K457" s="20" t="n"/>
      <c r="L457" s="20" t="n"/>
      <c r="M457" s="20" t="n"/>
      <c r="N457" s="20" t="n"/>
      <c r="O457" s="20" t="n"/>
      <c r="P457" s="20" t="n"/>
      <c r="Q457" s="20" t="n"/>
      <c r="R457" s="20" t="n"/>
      <c r="S457" s="20" t="n"/>
      <c r="T457" s="5" t="n"/>
      <c r="U457" s="21">
        <f>IF(OR(B457="",T457=""),"",IFERROR(1/(1/INDEX(F457:S457,MATCH(T457,$F$4:$S$4,0))),""))</f>
        <v/>
      </c>
      <c r="V457" s="21">
        <f>IF(OR(E457="",U457=""),"",E457*U457)</f>
        <v/>
      </c>
      <c r="W457" s="5" t="n"/>
    </row>
    <row r="458">
      <c r="A458" s="5" t="n"/>
      <c r="B458" s="5" t="n"/>
      <c r="C458" s="5" t="n"/>
      <c r="D458" s="5" t="n"/>
      <c r="E458" s="19">
        <f>IF(B458="","",SUMIF(BFTC!$B$5:$B$504,B458,BFTC!$E$5:$E$504))</f>
        <v/>
      </c>
      <c r="F458" s="20" t="n"/>
      <c r="G458" s="20" t="n"/>
      <c r="H458" s="20" t="n"/>
      <c r="I458" s="20" t="n"/>
      <c r="J458" s="20" t="n"/>
      <c r="K458" s="20" t="n"/>
      <c r="L458" s="20" t="n"/>
      <c r="M458" s="20" t="n"/>
      <c r="N458" s="20" t="n"/>
      <c r="O458" s="20" t="n"/>
      <c r="P458" s="20" t="n"/>
      <c r="Q458" s="20" t="n"/>
      <c r="R458" s="20" t="n"/>
      <c r="S458" s="20" t="n"/>
      <c r="T458" s="5" t="n"/>
      <c r="U458" s="21">
        <f>IF(OR(B458="",T458=""),"",IFERROR(1/(1/INDEX(F458:S458,MATCH(T458,$F$4:$S$4,0))),""))</f>
        <v/>
      </c>
      <c r="V458" s="21">
        <f>IF(OR(E458="",U458=""),"",E458*U458)</f>
        <v/>
      </c>
      <c r="W458" s="5" t="n"/>
    </row>
    <row r="459">
      <c r="A459" s="5" t="n"/>
      <c r="B459" s="5" t="n"/>
      <c r="C459" s="5" t="n"/>
      <c r="D459" s="5" t="n"/>
      <c r="E459" s="19">
        <f>IF(B459="","",SUMIF(BFTC!$B$5:$B$504,B459,BFTC!$E$5:$E$504))</f>
        <v/>
      </c>
      <c r="F459" s="20" t="n"/>
      <c r="G459" s="20" t="n"/>
      <c r="H459" s="20" t="n"/>
      <c r="I459" s="20" t="n"/>
      <c r="J459" s="20" t="n"/>
      <c r="K459" s="20" t="n"/>
      <c r="L459" s="20" t="n"/>
      <c r="M459" s="20" t="n"/>
      <c r="N459" s="20" t="n"/>
      <c r="O459" s="20" t="n"/>
      <c r="P459" s="20" t="n"/>
      <c r="Q459" s="20" t="n"/>
      <c r="R459" s="20" t="n"/>
      <c r="S459" s="20" t="n"/>
      <c r="T459" s="5" t="n"/>
      <c r="U459" s="21">
        <f>IF(OR(B459="",T459=""),"",IFERROR(1/(1/INDEX(F459:S459,MATCH(T459,$F$4:$S$4,0))),""))</f>
        <v/>
      </c>
      <c r="V459" s="21">
        <f>IF(OR(E459="",U459=""),"",E459*U459)</f>
        <v/>
      </c>
      <c r="W459" s="5" t="n"/>
    </row>
    <row r="460">
      <c r="A460" s="5" t="n"/>
      <c r="B460" s="5" t="n"/>
      <c r="C460" s="5" t="n"/>
      <c r="D460" s="5" t="n"/>
      <c r="E460" s="19">
        <f>IF(B460="","",SUMIF(BFTC!$B$5:$B$504,B460,BFTC!$E$5:$E$504))</f>
        <v/>
      </c>
      <c r="F460" s="20" t="n"/>
      <c r="G460" s="20" t="n"/>
      <c r="H460" s="20" t="n"/>
      <c r="I460" s="20" t="n"/>
      <c r="J460" s="20" t="n"/>
      <c r="K460" s="20" t="n"/>
      <c r="L460" s="20" t="n"/>
      <c r="M460" s="20" t="n"/>
      <c r="N460" s="20" t="n"/>
      <c r="O460" s="20" t="n"/>
      <c r="P460" s="20" t="n"/>
      <c r="Q460" s="20" t="n"/>
      <c r="R460" s="20" t="n"/>
      <c r="S460" s="20" t="n"/>
      <c r="T460" s="5" t="n"/>
      <c r="U460" s="21">
        <f>IF(OR(B460="",T460=""),"",IFERROR(1/(1/INDEX(F460:S460,MATCH(T460,$F$4:$S$4,0))),""))</f>
        <v/>
      </c>
      <c r="V460" s="21">
        <f>IF(OR(E460="",U460=""),"",E460*U460)</f>
        <v/>
      </c>
      <c r="W460" s="5" t="n"/>
    </row>
    <row r="461">
      <c r="A461" s="5" t="n"/>
      <c r="B461" s="5" t="n"/>
      <c r="C461" s="5" t="n"/>
      <c r="D461" s="5" t="n"/>
      <c r="E461" s="19">
        <f>IF(B461="","",SUMIF(BFTC!$B$5:$B$504,B461,BFTC!$E$5:$E$504))</f>
        <v/>
      </c>
      <c r="F461" s="20" t="n"/>
      <c r="G461" s="20" t="n"/>
      <c r="H461" s="20" t="n"/>
      <c r="I461" s="20" t="n"/>
      <c r="J461" s="20" t="n"/>
      <c r="K461" s="20" t="n"/>
      <c r="L461" s="20" t="n"/>
      <c r="M461" s="20" t="n"/>
      <c r="N461" s="20" t="n"/>
      <c r="O461" s="20" t="n"/>
      <c r="P461" s="20" t="n"/>
      <c r="Q461" s="20" t="n"/>
      <c r="R461" s="20" t="n"/>
      <c r="S461" s="20" t="n"/>
      <c r="T461" s="5" t="n"/>
      <c r="U461" s="21">
        <f>IF(OR(B461="",T461=""),"",IFERROR(1/(1/INDEX(F461:S461,MATCH(T461,$F$4:$S$4,0))),""))</f>
        <v/>
      </c>
      <c r="V461" s="21">
        <f>IF(OR(E461="",U461=""),"",E461*U461)</f>
        <v/>
      </c>
      <c r="W461" s="5" t="n"/>
    </row>
    <row r="462">
      <c r="A462" s="5" t="n"/>
      <c r="B462" s="5" t="n"/>
      <c r="C462" s="5" t="n"/>
      <c r="D462" s="5" t="n"/>
      <c r="E462" s="19">
        <f>IF(B462="","",SUMIF(BFTC!$B$5:$B$504,B462,BFTC!$E$5:$E$504))</f>
        <v/>
      </c>
      <c r="F462" s="20" t="n"/>
      <c r="G462" s="20" t="n"/>
      <c r="H462" s="20" t="n"/>
      <c r="I462" s="20" t="n"/>
      <c r="J462" s="20" t="n"/>
      <c r="K462" s="20" t="n"/>
      <c r="L462" s="20" t="n"/>
      <c r="M462" s="20" t="n"/>
      <c r="N462" s="20" t="n"/>
      <c r="O462" s="20" t="n"/>
      <c r="P462" s="20" t="n"/>
      <c r="Q462" s="20" t="n"/>
      <c r="R462" s="20" t="n"/>
      <c r="S462" s="20" t="n"/>
      <c r="T462" s="5" t="n"/>
      <c r="U462" s="21">
        <f>IF(OR(B462="",T462=""),"",IFERROR(1/(1/INDEX(F462:S462,MATCH(T462,$F$4:$S$4,0))),""))</f>
        <v/>
      </c>
      <c r="V462" s="21">
        <f>IF(OR(E462="",U462=""),"",E462*U462)</f>
        <v/>
      </c>
      <c r="W462" s="5" t="n"/>
    </row>
    <row r="463">
      <c r="A463" s="5" t="n"/>
      <c r="B463" s="5" t="n"/>
      <c r="C463" s="5" t="n"/>
      <c r="D463" s="5" t="n"/>
      <c r="E463" s="19">
        <f>IF(B463="","",SUMIF(BFTC!$B$5:$B$504,B463,BFTC!$E$5:$E$504))</f>
        <v/>
      </c>
      <c r="F463" s="20" t="n"/>
      <c r="G463" s="20" t="n"/>
      <c r="H463" s="20" t="n"/>
      <c r="I463" s="20" t="n"/>
      <c r="J463" s="20" t="n"/>
      <c r="K463" s="20" t="n"/>
      <c r="L463" s="20" t="n"/>
      <c r="M463" s="20" t="n"/>
      <c r="N463" s="20" t="n"/>
      <c r="O463" s="20" t="n"/>
      <c r="P463" s="20" t="n"/>
      <c r="Q463" s="20" t="n"/>
      <c r="R463" s="20" t="n"/>
      <c r="S463" s="20" t="n"/>
      <c r="T463" s="5" t="n"/>
      <c r="U463" s="21">
        <f>IF(OR(B463="",T463=""),"",IFERROR(1/(1/INDEX(F463:S463,MATCH(T463,$F$4:$S$4,0))),""))</f>
        <v/>
      </c>
      <c r="V463" s="21">
        <f>IF(OR(E463="",U463=""),"",E463*U463)</f>
        <v/>
      </c>
      <c r="W463" s="5" t="n"/>
    </row>
    <row r="464">
      <c r="A464" s="5" t="n"/>
      <c r="B464" s="5" t="n"/>
      <c r="C464" s="5" t="n"/>
      <c r="D464" s="5" t="n"/>
      <c r="E464" s="19">
        <f>IF(B464="","",SUMIF(BFTC!$B$5:$B$504,B464,BFTC!$E$5:$E$504))</f>
        <v/>
      </c>
      <c r="F464" s="20" t="n"/>
      <c r="G464" s="20" t="n"/>
      <c r="H464" s="20" t="n"/>
      <c r="I464" s="20" t="n"/>
      <c r="J464" s="20" t="n"/>
      <c r="K464" s="20" t="n"/>
      <c r="L464" s="20" t="n"/>
      <c r="M464" s="20" t="n"/>
      <c r="N464" s="20" t="n"/>
      <c r="O464" s="20" t="n"/>
      <c r="P464" s="20" t="n"/>
      <c r="Q464" s="20" t="n"/>
      <c r="R464" s="20" t="n"/>
      <c r="S464" s="20" t="n"/>
      <c r="T464" s="5" t="n"/>
      <c r="U464" s="21">
        <f>IF(OR(B464="",T464=""),"",IFERROR(1/(1/INDEX(F464:S464,MATCH(T464,$F$4:$S$4,0))),""))</f>
        <v/>
      </c>
      <c r="V464" s="21">
        <f>IF(OR(E464="",U464=""),"",E464*U464)</f>
        <v/>
      </c>
      <c r="W464" s="5" t="n"/>
    </row>
    <row r="465">
      <c r="A465" s="5" t="n"/>
      <c r="B465" s="5" t="n"/>
      <c r="C465" s="5" t="n"/>
      <c r="D465" s="5" t="n"/>
      <c r="E465" s="19">
        <f>IF(B465="","",SUMIF(BFTC!$B$5:$B$504,B465,BFTC!$E$5:$E$504))</f>
        <v/>
      </c>
      <c r="F465" s="20" t="n"/>
      <c r="G465" s="20" t="n"/>
      <c r="H465" s="20" t="n"/>
      <c r="I465" s="20" t="n"/>
      <c r="J465" s="20" t="n"/>
      <c r="K465" s="20" t="n"/>
      <c r="L465" s="20" t="n"/>
      <c r="M465" s="20" t="n"/>
      <c r="N465" s="20" t="n"/>
      <c r="O465" s="20" t="n"/>
      <c r="P465" s="20" t="n"/>
      <c r="Q465" s="20" t="n"/>
      <c r="R465" s="20" t="n"/>
      <c r="S465" s="20" t="n"/>
      <c r="T465" s="5" t="n"/>
      <c r="U465" s="21">
        <f>IF(OR(B465="",T465=""),"",IFERROR(1/(1/INDEX(F465:S465,MATCH(T465,$F$4:$S$4,0))),""))</f>
        <v/>
      </c>
      <c r="V465" s="21">
        <f>IF(OR(E465="",U465=""),"",E465*U465)</f>
        <v/>
      </c>
      <c r="W465" s="5" t="n"/>
    </row>
    <row r="466">
      <c r="A466" s="5" t="n"/>
      <c r="B466" s="5" t="n"/>
      <c r="C466" s="5" t="n"/>
      <c r="D466" s="5" t="n"/>
      <c r="E466" s="19">
        <f>IF(B466="","",SUMIF(BFTC!$B$5:$B$504,B466,BFTC!$E$5:$E$504))</f>
        <v/>
      </c>
      <c r="F466" s="20" t="n"/>
      <c r="G466" s="20" t="n"/>
      <c r="H466" s="20" t="n"/>
      <c r="I466" s="20" t="n"/>
      <c r="J466" s="20" t="n"/>
      <c r="K466" s="20" t="n"/>
      <c r="L466" s="20" t="n"/>
      <c r="M466" s="20" t="n"/>
      <c r="N466" s="20" t="n"/>
      <c r="O466" s="20" t="n"/>
      <c r="P466" s="20" t="n"/>
      <c r="Q466" s="20" t="n"/>
      <c r="R466" s="20" t="n"/>
      <c r="S466" s="20" t="n"/>
      <c r="T466" s="5" t="n"/>
      <c r="U466" s="21">
        <f>IF(OR(B466="",T466=""),"",IFERROR(1/(1/INDEX(F466:S466,MATCH(T466,$F$4:$S$4,0))),""))</f>
        <v/>
      </c>
      <c r="V466" s="21">
        <f>IF(OR(E466="",U466=""),"",E466*U466)</f>
        <v/>
      </c>
      <c r="W466" s="5" t="n"/>
    </row>
    <row r="467">
      <c r="A467" s="5" t="n"/>
      <c r="B467" s="5" t="n"/>
      <c r="C467" s="5" t="n"/>
      <c r="D467" s="5" t="n"/>
      <c r="E467" s="19">
        <f>IF(B467="","",SUMIF(BFTC!$B$5:$B$504,B467,BFTC!$E$5:$E$504))</f>
        <v/>
      </c>
      <c r="F467" s="20" t="n"/>
      <c r="G467" s="20" t="n"/>
      <c r="H467" s="20" t="n"/>
      <c r="I467" s="20" t="n"/>
      <c r="J467" s="20" t="n"/>
      <c r="K467" s="20" t="n"/>
      <c r="L467" s="20" t="n"/>
      <c r="M467" s="20" t="n"/>
      <c r="N467" s="20" t="n"/>
      <c r="O467" s="20" t="n"/>
      <c r="P467" s="20" t="n"/>
      <c r="Q467" s="20" t="n"/>
      <c r="R467" s="20" t="n"/>
      <c r="S467" s="20" t="n"/>
      <c r="T467" s="5" t="n"/>
      <c r="U467" s="21">
        <f>IF(OR(B467="",T467=""),"",IFERROR(1/(1/INDEX(F467:S467,MATCH(T467,$F$4:$S$4,0))),""))</f>
        <v/>
      </c>
      <c r="V467" s="21">
        <f>IF(OR(E467="",U467=""),"",E467*U467)</f>
        <v/>
      </c>
      <c r="W467" s="5" t="n"/>
    </row>
    <row r="468">
      <c r="A468" s="5" t="n"/>
      <c r="B468" s="5" t="n"/>
      <c r="C468" s="5" t="n"/>
      <c r="D468" s="5" t="n"/>
      <c r="E468" s="19">
        <f>IF(B468="","",SUMIF(BFTC!$B$5:$B$504,B468,BFTC!$E$5:$E$504))</f>
        <v/>
      </c>
      <c r="F468" s="20" t="n"/>
      <c r="G468" s="20" t="n"/>
      <c r="H468" s="20" t="n"/>
      <c r="I468" s="20" t="n"/>
      <c r="J468" s="20" t="n"/>
      <c r="K468" s="20" t="n"/>
      <c r="L468" s="20" t="n"/>
      <c r="M468" s="20" t="n"/>
      <c r="N468" s="20" t="n"/>
      <c r="O468" s="20" t="n"/>
      <c r="P468" s="20" t="n"/>
      <c r="Q468" s="20" t="n"/>
      <c r="R468" s="20" t="n"/>
      <c r="S468" s="20" t="n"/>
      <c r="T468" s="5" t="n"/>
      <c r="U468" s="21">
        <f>IF(OR(B468="",T468=""),"",IFERROR(1/(1/INDEX(F468:S468,MATCH(T468,$F$4:$S$4,0))),""))</f>
        <v/>
      </c>
      <c r="V468" s="21">
        <f>IF(OR(E468="",U468=""),"",E468*U468)</f>
        <v/>
      </c>
      <c r="W468" s="5" t="n"/>
    </row>
    <row r="469">
      <c r="A469" s="5" t="n"/>
      <c r="B469" s="5" t="n"/>
      <c r="C469" s="5" t="n"/>
      <c r="D469" s="5" t="n"/>
      <c r="E469" s="19">
        <f>IF(B469="","",SUMIF(BFTC!$B$5:$B$504,B469,BFTC!$E$5:$E$504))</f>
        <v/>
      </c>
      <c r="F469" s="20" t="n"/>
      <c r="G469" s="20" t="n"/>
      <c r="H469" s="20" t="n"/>
      <c r="I469" s="20" t="n"/>
      <c r="J469" s="20" t="n"/>
      <c r="K469" s="20" t="n"/>
      <c r="L469" s="20" t="n"/>
      <c r="M469" s="20" t="n"/>
      <c r="N469" s="20" t="n"/>
      <c r="O469" s="20" t="n"/>
      <c r="P469" s="20" t="n"/>
      <c r="Q469" s="20" t="n"/>
      <c r="R469" s="20" t="n"/>
      <c r="S469" s="20" t="n"/>
      <c r="T469" s="5" t="n"/>
      <c r="U469" s="21">
        <f>IF(OR(B469="",T469=""),"",IFERROR(1/(1/INDEX(F469:S469,MATCH(T469,$F$4:$S$4,0))),""))</f>
        <v/>
      </c>
      <c r="V469" s="21">
        <f>IF(OR(E469="",U469=""),"",E469*U469)</f>
        <v/>
      </c>
      <c r="W469" s="5" t="n"/>
    </row>
    <row r="470">
      <c r="A470" s="5" t="n"/>
      <c r="B470" s="5" t="n"/>
      <c r="C470" s="5" t="n"/>
      <c r="D470" s="5" t="n"/>
      <c r="E470" s="19">
        <f>IF(B470="","",SUMIF(BFTC!$B$5:$B$504,B470,BFTC!$E$5:$E$504))</f>
        <v/>
      </c>
      <c r="F470" s="20" t="n"/>
      <c r="G470" s="20" t="n"/>
      <c r="H470" s="20" t="n"/>
      <c r="I470" s="20" t="n"/>
      <c r="J470" s="20" t="n"/>
      <c r="K470" s="20" t="n"/>
      <c r="L470" s="20" t="n"/>
      <c r="M470" s="20" t="n"/>
      <c r="N470" s="20" t="n"/>
      <c r="O470" s="20" t="n"/>
      <c r="P470" s="20" t="n"/>
      <c r="Q470" s="20" t="n"/>
      <c r="R470" s="20" t="n"/>
      <c r="S470" s="20" t="n"/>
      <c r="T470" s="5" t="n"/>
      <c r="U470" s="21">
        <f>IF(OR(B470="",T470=""),"",IFERROR(1/(1/INDEX(F470:S470,MATCH(T470,$F$4:$S$4,0))),""))</f>
        <v/>
      </c>
      <c r="V470" s="21">
        <f>IF(OR(E470="",U470=""),"",E470*U470)</f>
        <v/>
      </c>
      <c r="W470" s="5" t="n"/>
    </row>
    <row r="471">
      <c r="A471" s="5" t="n"/>
      <c r="B471" s="5" t="n"/>
      <c r="C471" s="5" t="n"/>
      <c r="D471" s="5" t="n"/>
      <c r="E471" s="19">
        <f>IF(B471="","",SUMIF(BFTC!$B$5:$B$504,B471,BFTC!$E$5:$E$504))</f>
        <v/>
      </c>
      <c r="F471" s="20" t="n"/>
      <c r="G471" s="20" t="n"/>
      <c r="H471" s="20" t="n"/>
      <c r="I471" s="20" t="n"/>
      <c r="J471" s="20" t="n"/>
      <c r="K471" s="20" t="n"/>
      <c r="L471" s="20" t="n"/>
      <c r="M471" s="20" t="n"/>
      <c r="N471" s="20" t="n"/>
      <c r="O471" s="20" t="n"/>
      <c r="P471" s="20" t="n"/>
      <c r="Q471" s="20" t="n"/>
      <c r="R471" s="20" t="n"/>
      <c r="S471" s="20" t="n"/>
      <c r="T471" s="5" t="n"/>
      <c r="U471" s="21">
        <f>IF(OR(B471="",T471=""),"",IFERROR(1/(1/INDEX(F471:S471,MATCH(T471,$F$4:$S$4,0))),""))</f>
        <v/>
      </c>
      <c r="V471" s="21">
        <f>IF(OR(E471="",U471=""),"",E471*U471)</f>
        <v/>
      </c>
      <c r="W471" s="5" t="n"/>
    </row>
    <row r="472">
      <c r="A472" s="5" t="n"/>
      <c r="B472" s="5" t="n"/>
      <c r="C472" s="5" t="n"/>
      <c r="D472" s="5" t="n"/>
      <c r="E472" s="19">
        <f>IF(B472="","",SUMIF(BFTC!$B$5:$B$504,B472,BFTC!$E$5:$E$504))</f>
        <v/>
      </c>
      <c r="F472" s="20" t="n"/>
      <c r="G472" s="20" t="n"/>
      <c r="H472" s="20" t="n"/>
      <c r="I472" s="20" t="n"/>
      <c r="J472" s="20" t="n"/>
      <c r="K472" s="20" t="n"/>
      <c r="L472" s="20" t="n"/>
      <c r="M472" s="20" t="n"/>
      <c r="N472" s="20" t="n"/>
      <c r="O472" s="20" t="n"/>
      <c r="P472" s="20" t="n"/>
      <c r="Q472" s="20" t="n"/>
      <c r="R472" s="20" t="n"/>
      <c r="S472" s="20" t="n"/>
      <c r="T472" s="5" t="n"/>
      <c r="U472" s="21">
        <f>IF(OR(B472="",T472=""),"",IFERROR(1/(1/INDEX(F472:S472,MATCH(T472,$F$4:$S$4,0))),""))</f>
        <v/>
      </c>
      <c r="V472" s="21">
        <f>IF(OR(E472="",U472=""),"",E472*U472)</f>
        <v/>
      </c>
      <c r="W472" s="5" t="n"/>
    </row>
    <row r="473">
      <c r="A473" s="5" t="n"/>
      <c r="B473" s="5" t="n"/>
      <c r="C473" s="5" t="n"/>
      <c r="D473" s="5" t="n"/>
      <c r="E473" s="19">
        <f>IF(B473="","",SUMIF(BFTC!$B$5:$B$504,B473,BFTC!$E$5:$E$504))</f>
        <v/>
      </c>
      <c r="F473" s="20" t="n"/>
      <c r="G473" s="20" t="n"/>
      <c r="H473" s="20" t="n"/>
      <c r="I473" s="20" t="n"/>
      <c r="J473" s="20" t="n"/>
      <c r="K473" s="20" t="n"/>
      <c r="L473" s="20" t="n"/>
      <c r="M473" s="20" t="n"/>
      <c r="N473" s="20" t="n"/>
      <c r="O473" s="20" t="n"/>
      <c r="P473" s="20" t="n"/>
      <c r="Q473" s="20" t="n"/>
      <c r="R473" s="20" t="n"/>
      <c r="S473" s="20" t="n"/>
      <c r="T473" s="5" t="n"/>
      <c r="U473" s="21">
        <f>IF(OR(B473="",T473=""),"",IFERROR(1/(1/INDEX(F473:S473,MATCH(T473,$F$4:$S$4,0))),""))</f>
        <v/>
      </c>
      <c r="V473" s="21">
        <f>IF(OR(E473="",U473=""),"",E473*U473)</f>
        <v/>
      </c>
      <c r="W473" s="5" t="n"/>
    </row>
    <row r="474">
      <c r="A474" s="5" t="n"/>
      <c r="B474" s="5" t="n"/>
      <c r="C474" s="5" t="n"/>
      <c r="D474" s="5" t="n"/>
      <c r="E474" s="19">
        <f>IF(B474="","",SUMIF(BFTC!$B$5:$B$504,B474,BFTC!$E$5:$E$504))</f>
        <v/>
      </c>
      <c r="F474" s="20" t="n"/>
      <c r="G474" s="20" t="n"/>
      <c r="H474" s="20" t="n"/>
      <c r="I474" s="20" t="n"/>
      <c r="J474" s="20" t="n"/>
      <c r="K474" s="20" t="n"/>
      <c r="L474" s="20" t="n"/>
      <c r="M474" s="20" t="n"/>
      <c r="N474" s="20" t="n"/>
      <c r="O474" s="20" t="n"/>
      <c r="P474" s="20" t="n"/>
      <c r="Q474" s="20" t="n"/>
      <c r="R474" s="20" t="n"/>
      <c r="S474" s="20" t="n"/>
      <c r="T474" s="5" t="n"/>
      <c r="U474" s="21">
        <f>IF(OR(B474="",T474=""),"",IFERROR(1/(1/INDEX(F474:S474,MATCH(T474,$F$4:$S$4,0))),""))</f>
        <v/>
      </c>
      <c r="V474" s="21">
        <f>IF(OR(E474="",U474=""),"",E474*U474)</f>
        <v/>
      </c>
      <c r="W474" s="5" t="n"/>
    </row>
    <row r="475">
      <c r="A475" s="5" t="n"/>
      <c r="B475" s="5" t="n"/>
      <c r="C475" s="5" t="n"/>
      <c r="D475" s="5" t="n"/>
      <c r="E475" s="19">
        <f>IF(B475="","",SUMIF(BFTC!$B$5:$B$504,B475,BFTC!$E$5:$E$504))</f>
        <v/>
      </c>
      <c r="F475" s="20" t="n"/>
      <c r="G475" s="20" t="n"/>
      <c r="H475" s="20" t="n"/>
      <c r="I475" s="20" t="n"/>
      <c r="J475" s="20" t="n"/>
      <c r="K475" s="20" t="n"/>
      <c r="L475" s="20" t="n"/>
      <c r="M475" s="20" t="n"/>
      <c r="N475" s="20" t="n"/>
      <c r="O475" s="20" t="n"/>
      <c r="P475" s="20" t="n"/>
      <c r="Q475" s="20" t="n"/>
      <c r="R475" s="20" t="n"/>
      <c r="S475" s="20" t="n"/>
      <c r="T475" s="5" t="n"/>
      <c r="U475" s="21">
        <f>IF(OR(B475="",T475=""),"",IFERROR(1/(1/INDEX(F475:S475,MATCH(T475,$F$4:$S$4,0))),""))</f>
        <v/>
      </c>
      <c r="V475" s="21">
        <f>IF(OR(E475="",U475=""),"",E475*U475)</f>
        <v/>
      </c>
      <c r="W475" s="5" t="n"/>
    </row>
    <row r="476">
      <c r="A476" s="5" t="n"/>
      <c r="B476" s="5" t="n"/>
      <c r="C476" s="5" t="n"/>
      <c r="D476" s="5" t="n"/>
      <c r="E476" s="19">
        <f>IF(B476="","",SUMIF(BFTC!$B$5:$B$504,B476,BFTC!$E$5:$E$504))</f>
        <v/>
      </c>
      <c r="F476" s="20" t="n"/>
      <c r="G476" s="20" t="n"/>
      <c r="H476" s="20" t="n"/>
      <c r="I476" s="20" t="n"/>
      <c r="J476" s="20" t="n"/>
      <c r="K476" s="20" t="n"/>
      <c r="L476" s="20" t="n"/>
      <c r="M476" s="20" t="n"/>
      <c r="N476" s="20" t="n"/>
      <c r="O476" s="20" t="n"/>
      <c r="P476" s="20" t="n"/>
      <c r="Q476" s="20" t="n"/>
      <c r="R476" s="20" t="n"/>
      <c r="S476" s="20" t="n"/>
      <c r="T476" s="5" t="n"/>
      <c r="U476" s="21">
        <f>IF(OR(B476="",T476=""),"",IFERROR(1/(1/INDEX(F476:S476,MATCH(T476,$F$4:$S$4,0))),""))</f>
        <v/>
      </c>
      <c r="V476" s="21">
        <f>IF(OR(E476="",U476=""),"",E476*U476)</f>
        <v/>
      </c>
      <c r="W476" s="5" t="n"/>
    </row>
    <row r="477">
      <c r="A477" s="5" t="n"/>
      <c r="B477" s="5" t="n"/>
      <c r="C477" s="5" t="n"/>
      <c r="D477" s="5" t="n"/>
      <c r="E477" s="19">
        <f>IF(B477="","",SUMIF(BFTC!$B$5:$B$504,B477,BFTC!$E$5:$E$504))</f>
        <v/>
      </c>
      <c r="F477" s="20" t="n"/>
      <c r="G477" s="20" t="n"/>
      <c r="H477" s="20" t="n"/>
      <c r="I477" s="20" t="n"/>
      <c r="J477" s="20" t="n"/>
      <c r="K477" s="20" t="n"/>
      <c r="L477" s="20" t="n"/>
      <c r="M477" s="20" t="n"/>
      <c r="N477" s="20" t="n"/>
      <c r="O477" s="20" t="n"/>
      <c r="P477" s="20" t="n"/>
      <c r="Q477" s="20" t="n"/>
      <c r="R477" s="20" t="n"/>
      <c r="S477" s="20" t="n"/>
      <c r="T477" s="5" t="n"/>
      <c r="U477" s="21">
        <f>IF(OR(B477="",T477=""),"",IFERROR(1/(1/INDEX(F477:S477,MATCH(T477,$F$4:$S$4,0))),""))</f>
        <v/>
      </c>
      <c r="V477" s="21">
        <f>IF(OR(E477="",U477=""),"",E477*U477)</f>
        <v/>
      </c>
      <c r="W477" s="5" t="n"/>
    </row>
    <row r="478">
      <c r="A478" s="5" t="n"/>
      <c r="B478" s="5" t="n"/>
      <c r="C478" s="5" t="n"/>
      <c r="D478" s="5" t="n"/>
      <c r="E478" s="19">
        <f>IF(B478="","",SUMIF(BFTC!$B$5:$B$504,B478,BFTC!$E$5:$E$504))</f>
        <v/>
      </c>
      <c r="F478" s="20" t="n"/>
      <c r="G478" s="20" t="n"/>
      <c r="H478" s="20" t="n"/>
      <c r="I478" s="20" t="n"/>
      <c r="J478" s="20" t="n"/>
      <c r="K478" s="20" t="n"/>
      <c r="L478" s="20" t="n"/>
      <c r="M478" s="20" t="n"/>
      <c r="N478" s="20" t="n"/>
      <c r="O478" s="20" t="n"/>
      <c r="P478" s="20" t="n"/>
      <c r="Q478" s="20" t="n"/>
      <c r="R478" s="20" t="n"/>
      <c r="S478" s="20" t="n"/>
      <c r="T478" s="5" t="n"/>
      <c r="U478" s="21">
        <f>IF(OR(B478="",T478=""),"",IFERROR(1/(1/INDEX(F478:S478,MATCH(T478,$F$4:$S$4,0))),""))</f>
        <v/>
      </c>
      <c r="V478" s="21">
        <f>IF(OR(E478="",U478=""),"",E478*U478)</f>
        <v/>
      </c>
      <c r="W478" s="5" t="n"/>
    </row>
    <row r="479">
      <c r="A479" s="5" t="n"/>
      <c r="B479" s="5" t="n"/>
      <c r="C479" s="5" t="n"/>
      <c r="D479" s="5" t="n"/>
      <c r="E479" s="19">
        <f>IF(B479="","",SUMIF(BFTC!$B$5:$B$504,B479,BFTC!$E$5:$E$504))</f>
        <v/>
      </c>
      <c r="F479" s="20" t="n"/>
      <c r="G479" s="20" t="n"/>
      <c r="H479" s="20" t="n"/>
      <c r="I479" s="20" t="n"/>
      <c r="J479" s="20" t="n"/>
      <c r="K479" s="20" t="n"/>
      <c r="L479" s="20" t="n"/>
      <c r="M479" s="20" t="n"/>
      <c r="N479" s="20" t="n"/>
      <c r="O479" s="20" t="n"/>
      <c r="P479" s="20" t="n"/>
      <c r="Q479" s="20" t="n"/>
      <c r="R479" s="20" t="n"/>
      <c r="S479" s="20" t="n"/>
      <c r="T479" s="5" t="n"/>
      <c r="U479" s="21">
        <f>IF(OR(B479="",T479=""),"",IFERROR(1/(1/INDEX(F479:S479,MATCH(T479,$F$4:$S$4,0))),""))</f>
        <v/>
      </c>
      <c r="V479" s="21">
        <f>IF(OR(E479="",U479=""),"",E479*U479)</f>
        <v/>
      </c>
      <c r="W479" s="5" t="n"/>
    </row>
    <row r="480">
      <c r="A480" s="5" t="n"/>
      <c r="B480" s="5" t="n"/>
      <c r="C480" s="5" t="n"/>
      <c r="D480" s="5" t="n"/>
      <c r="E480" s="19">
        <f>IF(B480="","",SUMIF(BFTC!$B$5:$B$504,B480,BFTC!$E$5:$E$504))</f>
        <v/>
      </c>
      <c r="F480" s="20" t="n"/>
      <c r="G480" s="20" t="n"/>
      <c r="H480" s="20" t="n"/>
      <c r="I480" s="20" t="n"/>
      <c r="J480" s="20" t="n"/>
      <c r="K480" s="20" t="n"/>
      <c r="L480" s="20" t="n"/>
      <c r="M480" s="20" t="n"/>
      <c r="N480" s="20" t="n"/>
      <c r="O480" s="20" t="n"/>
      <c r="P480" s="20" t="n"/>
      <c r="Q480" s="20" t="n"/>
      <c r="R480" s="20" t="n"/>
      <c r="S480" s="20" t="n"/>
      <c r="T480" s="5" t="n"/>
      <c r="U480" s="21">
        <f>IF(OR(B480="",T480=""),"",IFERROR(1/(1/INDEX(F480:S480,MATCH(T480,$F$4:$S$4,0))),""))</f>
        <v/>
      </c>
      <c r="V480" s="21">
        <f>IF(OR(E480="",U480=""),"",E480*U480)</f>
        <v/>
      </c>
      <c r="W480" s="5" t="n"/>
    </row>
    <row r="481">
      <c r="A481" s="5" t="n"/>
      <c r="B481" s="5" t="n"/>
      <c r="C481" s="5" t="n"/>
      <c r="D481" s="5" t="n"/>
      <c r="E481" s="19">
        <f>IF(B481="","",SUMIF(BFTC!$B$5:$B$504,B481,BFTC!$E$5:$E$504))</f>
        <v/>
      </c>
      <c r="F481" s="20" t="n"/>
      <c r="G481" s="20" t="n"/>
      <c r="H481" s="20" t="n"/>
      <c r="I481" s="20" t="n"/>
      <c r="J481" s="20" t="n"/>
      <c r="K481" s="20" t="n"/>
      <c r="L481" s="20" t="n"/>
      <c r="M481" s="20" t="n"/>
      <c r="N481" s="20" t="n"/>
      <c r="O481" s="20" t="n"/>
      <c r="P481" s="20" t="n"/>
      <c r="Q481" s="20" t="n"/>
      <c r="R481" s="20" t="n"/>
      <c r="S481" s="20" t="n"/>
      <c r="T481" s="5" t="n"/>
      <c r="U481" s="21">
        <f>IF(OR(B481="",T481=""),"",IFERROR(1/(1/INDEX(F481:S481,MATCH(T481,$F$4:$S$4,0))),""))</f>
        <v/>
      </c>
      <c r="V481" s="21">
        <f>IF(OR(E481="",U481=""),"",E481*U481)</f>
        <v/>
      </c>
      <c r="W481" s="5" t="n"/>
    </row>
    <row r="482">
      <c r="A482" s="5" t="n"/>
      <c r="B482" s="5" t="n"/>
      <c r="C482" s="5" t="n"/>
      <c r="D482" s="5" t="n"/>
      <c r="E482" s="19">
        <f>IF(B482="","",SUMIF(BFTC!$B$5:$B$504,B482,BFTC!$E$5:$E$504))</f>
        <v/>
      </c>
      <c r="F482" s="20" t="n"/>
      <c r="G482" s="20" t="n"/>
      <c r="H482" s="20" t="n"/>
      <c r="I482" s="20" t="n"/>
      <c r="J482" s="20" t="n"/>
      <c r="K482" s="20" t="n"/>
      <c r="L482" s="20" t="n"/>
      <c r="M482" s="20" t="n"/>
      <c r="N482" s="20" t="n"/>
      <c r="O482" s="20" t="n"/>
      <c r="P482" s="20" t="n"/>
      <c r="Q482" s="20" t="n"/>
      <c r="R482" s="20" t="n"/>
      <c r="S482" s="20" t="n"/>
      <c r="T482" s="5" t="n"/>
      <c r="U482" s="21">
        <f>IF(OR(B482="",T482=""),"",IFERROR(1/(1/INDEX(F482:S482,MATCH(T482,$F$4:$S$4,0))),""))</f>
        <v/>
      </c>
      <c r="V482" s="21">
        <f>IF(OR(E482="",U482=""),"",E482*U482)</f>
        <v/>
      </c>
      <c r="W482" s="5" t="n"/>
    </row>
    <row r="483">
      <c r="A483" s="5" t="n"/>
      <c r="B483" s="5" t="n"/>
      <c r="C483" s="5" t="n"/>
      <c r="D483" s="5" t="n"/>
      <c r="E483" s="19">
        <f>IF(B483="","",SUMIF(BFTC!$B$5:$B$504,B483,BFTC!$E$5:$E$504))</f>
        <v/>
      </c>
      <c r="F483" s="20" t="n"/>
      <c r="G483" s="20" t="n"/>
      <c r="H483" s="20" t="n"/>
      <c r="I483" s="20" t="n"/>
      <c r="J483" s="20" t="n"/>
      <c r="K483" s="20" t="n"/>
      <c r="L483" s="20" t="n"/>
      <c r="M483" s="20" t="n"/>
      <c r="N483" s="20" t="n"/>
      <c r="O483" s="20" t="n"/>
      <c r="P483" s="20" t="n"/>
      <c r="Q483" s="20" t="n"/>
      <c r="R483" s="20" t="n"/>
      <c r="S483" s="20" t="n"/>
      <c r="T483" s="5" t="n"/>
      <c r="U483" s="21">
        <f>IF(OR(B483="",T483=""),"",IFERROR(1/(1/INDEX(F483:S483,MATCH(T483,$F$4:$S$4,0))),""))</f>
        <v/>
      </c>
      <c r="V483" s="21">
        <f>IF(OR(E483="",U483=""),"",E483*U483)</f>
        <v/>
      </c>
      <c r="W483" s="5" t="n"/>
    </row>
    <row r="484">
      <c r="A484" s="5" t="n"/>
      <c r="B484" s="5" t="n"/>
      <c r="C484" s="5" t="n"/>
      <c r="D484" s="5" t="n"/>
      <c r="E484" s="19">
        <f>IF(B484="","",SUMIF(BFTC!$B$5:$B$504,B484,BFTC!$E$5:$E$504))</f>
        <v/>
      </c>
      <c r="F484" s="20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  <c r="P484" s="20" t="n"/>
      <c r="Q484" s="20" t="n"/>
      <c r="R484" s="20" t="n"/>
      <c r="S484" s="20" t="n"/>
      <c r="T484" s="5" t="n"/>
      <c r="U484" s="21">
        <f>IF(OR(B484="",T484=""),"",IFERROR(1/(1/INDEX(F484:S484,MATCH(T484,$F$4:$S$4,0))),""))</f>
        <v/>
      </c>
      <c r="V484" s="21">
        <f>IF(OR(E484="",U484=""),"",E484*U484)</f>
        <v/>
      </c>
      <c r="W484" s="5" t="n"/>
    </row>
    <row r="485">
      <c r="A485" s="5" t="n"/>
      <c r="B485" s="5" t="n"/>
      <c r="C485" s="5" t="n"/>
      <c r="D485" s="5" t="n"/>
      <c r="E485" s="19">
        <f>IF(B485="","",SUMIF(BFTC!$B$5:$B$504,B485,BFTC!$E$5:$E$504))</f>
        <v/>
      </c>
      <c r="F485" s="20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  <c r="P485" s="20" t="n"/>
      <c r="Q485" s="20" t="n"/>
      <c r="R485" s="20" t="n"/>
      <c r="S485" s="20" t="n"/>
      <c r="T485" s="5" t="n"/>
      <c r="U485" s="21">
        <f>IF(OR(B485="",T485=""),"",IFERROR(1/(1/INDEX(F485:S485,MATCH(T485,$F$4:$S$4,0))),""))</f>
        <v/>
      </c>
      <c r="V485" s="21">
        <f>IF(OR(E485="",U485=""),"",E485*U485)</f>
        <v/>
      </c>
      <c r="W485" s="5" t="n"/>
    </row>
    <row r="486">
      <c r="A486" s="5" t="n"/>
      <c r="B486" s="5" t="n"/>
      <c r="C486" s="5" t="n"/>
      <c r="D486" s="5" t="n"/>
      <c r="E486" s="19">
        <f>IF(B486="","",SUMIF(BFTC!$B$5:$B$504,B486,BFTC!$E$5:$E$504))</f>
        <v/>
      </c>
      <c r="F486" s="20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  <c r="P486" s="20" t="n"/>
      <c r="Q486" s="20" t="n"/>
      <c r="R486" s="20" t="n"/>
      <c r="S486" s="20" t="n"/>
      <c r="T486" s="5" t="n"/>
      <c r="U486" s="21">
        <f>IF(OR(B486="",T486=""),"",IFERROR(1/(1/INDEX(F486:S486,MATCH(T486,$F$4:$S$4,0))),""))</f>
        <v/>
      </c>
      <c r="V486" s="21">
        <f>IF(OR(E486="",U486=""),"",E486*U486)</f>
        <v/>
      </c>
      <c r="W486" s="5" t="n"/>
    </row>
    <row r="487">
      <c r="A487" s="5" t="n"/>
      <c r="B487" s="5" t="n"/>
      <c r="C487" s="5" t="n"/>
      <c r="D487" s="5" t="n"/>
      <c r="E487" s="19">
        <f>IF(B487="","",SUMIF(BFTC!$B$5:$B$504,B487,BFTC!$E$5:$E$504))</f>
        <v/>
      </c>
      <c r="F487" s="20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  <c r="P487" s="20" t="n"/>
      <c r="Q487" s="20" t="n"/>
      <c r="R487" s="20" t="n"/>
      <c r="S487" s="20" t="n"/>
      <c r="T487" s="5" t="n"/>
      <c r="U487" s="21">
        <f>IF(OR(B487="",T487=""),"",IFERROR(1/(1/INDEX(F487:S487,MATCH(T487,$F$4:$S$4,0))),""))</f>
        <v/>
      </c>
      <c r="V487" s="21">
        <f>IF(OR(E487="",U487=""),"",E487*U487)</f>
        <v/>
      </c>
      <c r="W487" s="5" t="n"/>
    </row>
    <row r="488">
      <c r="A488" s="5" t="n"/>
      <c r="B488" s="5" t="n"/>
      <c r="C488" s="5" t="n"/>
      <c r="D488" s="5" t="n"/>
      <c r="E488" s="19">
        <f>IF(B488="","",SUMIF(BFTC!$B$5:$B$504,B488,BFTC!$E$5:$E$504))</f>
        <v/>
      </c>
      <c r="F488" s="20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  <c r="P488" s="20" t="n"/>
      <c r="Q488" s="20" t="n"/>
      <c r="R488" s="20" t="n"/>
      <c r="S488" s="20" t="n"/>
      <c r="T488" s="5" t="n"/>
      <c r="U488" s="21">
        <f>IF(OR(B488="",T488=""),"",IFERROR(1/(1/INDEX(F488:S488,MATCH(T488,$F$4:$S$4,0))),""))</f>
        <v/>
      </c>
      <c r="V488" s="21">
        <f>IF(OR(E488="",U488=""),"",E488*U488)</f>
        <v/>
      </c>
      <c r="W488" s="5" t="n"/>
    </row>
    <row r="489">
      <c r="A489" s="5" t="n"/>
      <c r="B489" s="5" t="n"/>
      <c r="C489" s="5" t="n"/>
      <c r="D489" s="5" t="n"/>
      <c r="E489" s="19">
        <f>IF(B489="","",SUMIF(BFTC!$B$5:$B$504,B489,BFTC!$E$5:$E$504))</f>
        <v/>
      </c>
      <c r="F489" s="20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  <c r="P489" s="20" t="n"/>
      <c r="Q489" s="20" t="n"/>
      <c r="R489" s="20" t="n"/>
      <c r="S489" s="20" t="n"/>
      <c r="T489" s="5" t="n"/>
      <c r="U489" s="21">
        <f>IF(OR(B489="",T489=""),"",IFERROR(1/(1/INDEX(F489:S489,MATCH(T489,$F$4:$S$4,0))),""))</f>
        <v/>
      </c>
      <c r="V489" s="21">
        <f>IF(OR(E489="",U489=""),"",E489*U489)</f>
        <v/>
      </c>
      <c r="W489" s="5" t="n"/>
    </row>
    <row r="490">
      <c r="A490" s="5" t="n"/>
      <c r="B490" s="5" t="n"/>
      <c r="C490" s="5" t="n"/>
      <c r="D490" s="5" t="n"/>
      <c r="E490" s="19">
        <f>IF(B490="","",SUMIF(BFTC!$B$5:$B$504,B490,BFTC!$E$5:$E$504))</f>
        <v/>
      </c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  <c r="P490" s="20" t="n"/>
      <c r="Q490" s="20" t="n"/>
      <c r="R490" s="20" t="n"/>
      <c r="S490" s="20" t="n"/>
      <c r="T490" s="5" t="n"/>
      <c r="U490" s="21">
        <f>IF(OR(B490="",T490=""),"",IFERROR(1/(1/INDEX(F490:S490,MATCH(T490,$F$4:$S$4,0))),""))</f>
        <v/>
      </c>
      <c r="V490" s="21">
        <f>IF(OR(E490="",U490=""),"",E490*U490)</f>
        <v/>
      </c>
      <c r="W490" s="5" t="n"/>
    </row>
    <row r="491">
      <c r="A491" s="5" t="n"/>
      <c r="B491" s="5" t="n"/>
      <c r="C491" s="5" t="n"/>
      <c r="D491" s="5" t="n"/>
      <c r="E491" s="19">
        <f>IF(B491="","",SUMIF(BFTC!$B$5:$B$504,B491,BFTC!$E$5:$E$504))</f>
        <v/>
      </c>
      <c r="F491" s="20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  <c r="P491" s="20" t="n"/>
      <c r="Q491" s="20" t="n"/>
      <c r="R491" s="20" t="n"/>
      <c r="S491" s="20" t="n"/>
      <c r="T491" s="5" t="n"/>
      <c r="U491" s="21">
        <f>IF(OR(B491="",T491=""),"",IFERROR(1/(1/INDEX(F491:S491,MATCH(T491,$F$4:$S$4,0))),""))</f>
        <v/>
      </c>
      <c r="V491" s="21">
        <f>IF(OR(E491="",U491=""),"",E491*U491)</f>
        <v/>
      </c>
      <c r="W491" s="5" t="n"/>
    </row>
    <row r="492">
      <c r="A492" s="5" t="n"/>
      <c r="B492" s="5" t="n"/>
      <c r="C492" s="5" t="n"/>
      <c r="D492" s="5" t="n"/>
      <c r="E492" s="19">
        <f>IF(B492="","",SUMIF(BFTC!$B$5:$B$504,B492,BFTC!$E$5:$E$504))</f>
        <v/>
      </c>
      <c r="F492" s="20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  <c r="P492" s="20" t="n"/>
      <c r="Q492" s="20" t="n"/>
      <c r="R492" s="20" t="n"/>
      <c r="S492" s="20" t="n"/>
      <c r="T492" s="5" t="n"/>
      <c r="U492" s="21">
        <f>IF(OR(B492="",T492=""),"",IFERROR(1/(1/INDEX(F492:S492,MATCH(T492,$F$4:$S$4,0))),""))</f>
        <v/>
      </c>
      <c r="V492" s="21">
        <f>IF(OR(E492="",U492=""),"",E492*U492)</f>
        <v/>
      </c>
      <c r="W492" s="5" t="n"/>
    </row>
    <row r="493">
      <c r="A493" s="5" t="n"/>
      <c r="B493" s="5" t="n"/>
      <c r="C493" s="5" t="n"/>
      <c r="D493" s="5" t="n"/>
      <c r="E493" s="19">
        <f>IF(B493="","",SUMIF(BFTC!$B$5:$B$504,B493,BFTC!$E$5:$E$504))</f>
        <v/>
      </c>
      <c r="F493" s="20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  <c r="P493" s="20" t="n"/>
      <c r="Q493" s="20" t="n"/>
      <c r="R493" s="20" t="n"/>
      <c r="S493" s="20" t="n"/>
      <c r="T493" s="5" t="n"/>
      <c r="U493" s="21">
        <f>IF(OR(B493="",T493=""),"",IFERROR(1/(1/INDEX(F493:S493,MATCH(T493,$F$4:$S$4,0))),""))</f>
        <v/>
      </c>
      <c r="V493" s="21">
        <f>IF(OR(E493="",U493=""),"",E493*U493)</f>
        <v/>
      </c>
      <c r="W493" s="5" t="n"/>
    </row>
    <row r="494">
      <c r="A494" s="5" t="n"/>
      <c r="B494" s="5" t="n"/>
      <c r="C494" s="5" t="n"/>
      <c r="D494" s="5" t="n"/>
      <c r="E494" s="19">
        <f>IF(B494="","",SUMIF(BFTC!$B$5:$B$504,B494,BFTC!$E$5:$E$504))</f>
        <v/>
      </c>
      <c r="F494" s="20" t="n"/>
      <c r="G494" s="20" t="n"/>
      <c r="H494" s="20" t="n"/>
      <c r="I494" s="20" t="n"/>
      <c r="J494" s="20" t="n"/>
      <c r="K494" s="20" t="n"/>
      <c r="L494" s="20" t="n"/>
      <c r="M494" s="20" t="n"/>
      <c r="N494" s="20" t="n"/>
      <c r="O494" s="20" t="n"/>
      <c r="P494" s="20" t="n"/>
      <c r="Q494" s="20" t="n"/>
      <c r="R494" s="20" t="n"/>
      <c r="S494" s="20" t="n"/>
      <c r="T494" s="5" t="n"/>
      <c r="U494" s="21">
        <f>IF(OR(B494="",T494=""),"",IFERROR(1/(1/INDEX(F494:S494,MATCH(T494,$F$4:$S$4,0))),""))</f>
        <v/>
      </c>
      <c r="V494" s="21">
        <f>IF(OR(E494="",U494=""),"",E494*U494)</f>
        <v/>
      </c>
      <c r="W494" s="5" t="n"/>
    </row>
    <row r="495">
      <c r="A495" s="5" t="n"/>
      <c r="B495" s="5" t="n"/>
      <c r="C495" s="5" t="n"/>
      <c r="D495" s="5" t="n"/>
      <c r="E495" s="19">
        <f>IF(B495="","",SUMIF(BFTC!$B$5:$B$504,B495,BFTC!$E$5:$E$504))</f>
        <v/>
      </c>
      <c r="F495" s="20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  <c r="P495" s="20" t="n"/>
      <c r="Q495" s="20" t="n"/>
      <c r="R495" s="20" t="n"/>
      <c r="S495" s="20" t="n"/>
      <c r="T495" s="5" t="n"/>
      <c r="U495" s="21">
        <f>IF(OR(B495="",T495=""),"",IFERROR(1/(1/INDEX(F495:S495,MATCH(T495,$F$4:$S$4,0))),""))</f>
        <v/>
      </c>
      <c r="V495" s="21">
        <f>IF(OR(E495="",U495=""),"",E495*U495)</f>
        <v/>
      </c>
      <c r="W495" s="5" t="n"/>
    </row>
    <row r="496">
      <c r="A496" s="5" t="n"/>
      <c r="B496" s="5" t="n"/>
      <c r="C496" s="5" t="n"/>
      <c r="D496" s="5" t="n"/>
      <c r="E496" s="19">
        <f>IF(B496="","",SUMIF(BFTC!$B$5:$B$504,B496,BFTC!$E$5:$E$504))</f>
        <v/>
      </c>
      <c r="F496" s="20" t="n"/>
      <c r="G496" s="20" t="n"/>
      <c r="H496" s="20" t="n"/>
      <c r="I496" s="20" t="n"/>
      <c r="J496" s="20" t="n"/>
      <c r="K496" s="20" t="n"/>
      <c r="L496" s="20" t="n"/>
      <c r="M496" s="20" t="n"/>
      <c r="N496" s="20" t="n"/>
      <c r="O496" s="20" t="n"/>
      <c r="P496" s="20" t="n"/>
      <c r="Q496" s="20" t="n"/>
      <c r="R496" s="20" t="n"/>
      <c r="S496" s="20" t="n"/>
      <c r="T496" s="5" t="n"/>
      <c r="U496" s="21">
        <f>IF(OR(B496="",T496=""),"",IFERROR(1/(1/INDEX(F496:S496,MATCH(T496,$F$4:$S$4,0))),""))</f>
        <v/>
      </c>
      <c r="V496" s="21">
        <f>IF(OR(E496="",U496=""),"",E496*U496)</f>
        <v/>
      </c>
      <c r="W496" s="5" t="n"/>
    </row>
    <row r="497">
      <c r="A497" s="5" t="n"/>
      <c r="B497" s="5" t="n"/>
      <c r="C497" s="5" t="n"/>
      <c r="D497" s="5" t="n"/>
      <c r="E497" s="19">
        <f>IF(B497="","",SUMIF(BFTC!$B$5:$B$504,B497,BFTC!$E$5:$E$504))</f>
        <v/>
      </c>
      <c r="F497" s="20" t="n"/>
      <c r="G497" s="20" t="n"/>
      <c r="H497" s="20" t="n"/>
      <c r="I497" s="20" t="n"/>
      <c r="J497" s="20" t="n"/>
      <c r="K497" s="20" t="n"/>
      <c r="L497" s="20" t="n"/>
      <c r="M497" s="20" t="n"/>
      <c r="N497" s="20" t="n"/>
      <c r="O497" s="20" t="n"/>
      <c r="P497" s="20" t="n"/>
      <c r="Q497" s="20" t="n"/>
      <c r="R497" s="20" t="n"/>
      <c r="S497" s="20" t="n"/>
      <c r="T497" s="5" t="n"/>
      <c r="U497" s="21">
        <f>IF(OR(B497="",T497=""),"",IFERROR(1/(1/INDEX(F497:S497,MATCH(T497,$F$4:$S$4,0))),""))</f>
        <v/>
      </c>
      <c r="V497" s="21">
        <f>IF(OR(E497="",U497=""),"",E497*U497)</f>
        <v/>
      </c>
      <c r="W497" s="5" t="n"/>
    </row>
    <row r="498">
      <c r="A498" s="5" t="n"/>
      <c r="B498" s="5" t="n"/>
      <c r="C498" s="5" t="n"/>
      <c r="D498" s="5" t="n"/>
      <c r="E498" s="19">
        <f>IF(B498="","",SUMIF(BFTC!$B$5:$B$504,B498,BFTC!$E$5:$E$504))</f>
        <v/>
      </c>
      <c r="F498" s="20" t="n"/>
      <c r="G498" s="20" t="n"/>
      <c r="H498" s="20" t="n"/>
      <c r="I498" s="20" t="n"/>
      <c r="J498" s="20" t="n"/>
      <c r="K498" s="20" t="n"/>
      <c r="L498" s="20" t="n"/>
      <c r="M498" s="20" t="n"/>
      <c r="N498" s="20" t="n"/>
      <c r="O498" s="20" t="n"/>
      <c r="P498" s="20" t="n"/>
      <c r="Q498" s="20" t="n"/>
      <c r="R498" s="20" t="n"/>
      <c r="S498" s="20" t="n"/>
      <c r="T498" s="5" t="n"/>
      <c r="U498" s="21">
        <f>IF(OR(B498="",T498=""),"",IFERROR(1/(1/INDEX(F498:S498,MATCH(T498,$F$4:$S$4,0))),""))</f>
        <v/>
      </c>
      <c r="V498" s="21">
        <f>IF(OR(E498="",U498=""),"",E498*U498)</f>
        <v/>
      </c>
      <c r="W498" s="5" t="n"/>
    </row>
    <row r="499">
      <c r="A499" s="5" t="n"/>
      <c r="B499" s="5" t="n"/>
      <c r="C499" s="5" t="n"/>
      <c r="D499" s="5" t="n"/>
      <c r="E499" s="19">
        <f>IF(B499="","",SUMIF(BFTC!$B$5:$B$504,B499,BFTC!$E$5:$E$504))</f>
        <v/>
      </c>
      <c r="F499" s="20" t="n"/>
      <c r="G499" s="20" t="n"/>
      <c r="H499" s="20" t="n"/>
      <c r="I499" s="20" t="n"/>
      <c r="J499" s="20" t="n"/>
      <c r="K499" s="20" t="n"/>
      <c r="L499" s="20" t="n"/>
      <c r="M499" s="20" t="n"/>
      <c r="N499" s="20" t="n"/>
      <c r="O499" s="20" t="n"/>
      <c r="P499" s="20" t="n"/>
      <c r="Q499" s="20" t="n"/>
      <c r="R499" s="20" t="n"/>
      <c r="S499" s="20" t="n"/>
      <c r="T499" s="5" t="n"/>
      <c r="U499" s="21">
        <f>IF(OR(B499="",T499=""),"",IFERROR(1/(1/INDEX(F499:S499,MATCH(T499,$F$4:$S$4,0))),""))</f>
        <v/>
      </c>
      <c r="V499" s="21">
        <f>IF(OR(E499="",U499=""),"",E499*U499)</f>
        <v/>
      </c>
      <c r="W499" s="5" t="n"/>
    </row>
    <row r="500">
      <c r="A500" s="5" t="n"/>
      <c r="B500" s="5" t="n"/>
      <c r="C500" s="5" t="n"/>
      <c r="D500" s="5" t="n"/>
      <c r="E500" s="19">
        <f>IF(B500="","",SUMIF(BFTC!$B$5:$B$504,B500,BFTC!$E$5:$E$504))</f>
        <v/>
      </c>
      <c r="F500" s="20" t="n"/>
      <c r="G500" s="20" t="n"/>
      <c r="H500" s="20" t="n"/>
      <c r="I500" s="20" t="n"/>
      <c r="J500" s="20" t="n"/>
      <c r="K500" s="20" t="n"/>
      <c r="L500" s="20" t="n"/>
      <c r="M500" s="20" t="n"/>
      <c r="N500" s="20" t="n"/>
      <c r="O500" s="20" t="n"/>
      <c r="P500" s="20" t="n"/>
      <c r="Q500" s="20" t="n"/>
      <c r="R500" s="20" t="n"/>
      <c r="S500" s="20" t="n"/>
      <c r="T500" s="5" t="n"/>
      <c r="U500" s="21">
        <f>IF(OR(B500="",T500=""),"",IFERROR(1/(1/INDEX(F500:S500,MATCH(T500,$F$4:$S$4,0))),""))</f>
        <v/>
      </c>
      <c r="V500" s="21">
        <f>IF(OR(E500="",U500=""),"",E500*U500)</f>
        <v/>
      </c>
      <c r="W500" s="5" t="n"/>
    </row>
    <row r="501">
      <c r="A501" s="5" t="n"/>
      <c r="B501" s="5" t="n"/>
      <c r="C501" s="5" t="n"/>
      <c r="D501" s="5" t="n"/>
      <c r="E501" s="19">
        <f>IF(B501="","",SUMIF(BFTC!$B$5:$B$504,B501,BFTC!$E$5:$E$504))</f>
        <v/>
      </c>
      <c r="F501" s="20" t="n"/>
      <c r="G501" s="20" t="n"/>
      <c r="H501" s="20" t="n"/>
      <c r="I501" s="20" t="n"/>
      <c r="J501" s="20" t="n"/>
      <c r="K501" s="20" t="n"/>
      <c r="L501" s="20" t="n"/>
      <c r="M501" s="20" t="n"/>
      <c r="N501" s="20" t="n"/>
      <c r="O501" s="20" t="n"/>
      <c r="P501" s="20" t="n"/>
      <c r="Q501" s="20" t="n"/>
      <c r="R501" s="20" t="n"/>
      <c r="S501" s="20" t="n"/>
      <c r="T501" s="5" t="n"/>
      <c r="U501" s="21">
        <f>IF(OR(B501="",T501=""),"",IFERROR(1/(1/INDEX(F501:S501,MATCH(T501,$F$4:$S$4,0))),""))</f>
        <v/>
      </c>
      <c r="V501" s="21">
        <f>IF(OR(E501="",U501=""),"",E501*U501)</f>
        <v/>
      </c>
      <c r="W501" s="5" t="n"/>
    </row>
    <row r="502">
      <c r="A502" s="5" t="n"/>
      <c r="B502" s="5" t="n"/>
      <c r="C502" s="5" t="n"/>
      <c r="D502" s="5" t="n"/>
      <c r="E502" s="19">
        <f>IF(B502="","",SUMIF(BFTC!$B$5:$B$504,B502,BFTC!$E$5:$E$504))</f>
        <v/>
      </c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  <c r="O502" s="20" t="n"/>
      <c r="P502" s="20" t="n"/>
      <c r="Q502" s="20" t="n"/>
      <c r="R502" s="20" t="n"/>
      <c r="S502" s="20" t="n"/>
      <c r="T502" s="5" t="n"/>
      <c r="U502" s="21">
        <f>IF(OR(B502="",T502=""),"",IFERROR(1/(1/INDEX(F502:S502,MATCH(T502,$F$4:$S$4,0))),""))</f>
        <v/>
      </c>
      <c r="V502" s="21">
        <f>IF(OR(E502="",U502=""),"",E502*U502)</f>
        <v/>
      </c>
      <c r="W502" s="5" t="n"/>
    </row>
    <row r="503">
      <c r="A503" s="5" t="n"/>
      <c r="B503" s="5" t="n"/>
      <c r="C503" s="5" t="n"/>
      <c r="D503" s="5" t="n"/>
      <c r="E503" s="19">
        <f>IF(B503="","",SUMIF(BFTC!$B$5:$B$504,B503,BFTC!$E$5:$E$504))</f>
        <v/>
      </c>
      <c r="F503" s="20" t="n"/>
      <c r="G503" s="20" t="n"/>
      <c r="H503" s="20" t="n"/>
      <c r="I503" s="20" t="n"/>
      <c r="J503" s="20" t="n"/>
      <c r="K503" s="20" t="n"/>
      <c r="L503" s="20" t="n"/>
      <c r="M503" s="20" t="n"/>
      <c r="N503" s="20" t="n"/>
      <c r="O503" s="20" t="n"/>
      <c r="P503" s="20" t="n"/>
      <c r="Q503" s="20" t="n"/>
      <c r="R503" s="20" t="n"/>
      <c r="S503" s="20" t="n"/>
      <c r="T503" s="5" t="n"/>
      <c r="U503" s="21">
        <f>IF(OR(B503="",T503=""),"",IFERROR(1/(1/INDEX(F503:S503,MATCH(T503,$F$4:$S$4,0))),""))</f>
        <v/>
      </c>
      <c r="V503" s="21">
        <f>IF(OR(E503="",U503=""),"",E503*U503)</f>
        <v/>
      </c>
      <c r="W503" s="5" t="n"/>
    </row>
    <row r="504">
      <c r="A504" s="5" t="n"/>
      <c r="B504" s="5" t="n"/>
      <c r="C504" s="5" t="n"/>
      <c r="D504" s="5" t="n"/>
      <c r="E504" s="19">
        <f>IF(B504="","",SUMIF(BFTC!$B$5:$B$504,B504,BFTC!$E$5:$E$504))</f>
        <v/>
      </c>
      <c r="F504" s="20" t="n"/>
      <c r="G504" s="20" t="n"/>
      <c r="H504" s="20" t="n"/>
      <c r="I504" s="20" t="n"/>
      <c r="J504" s="20" t="n"/>
      <c r="K504" s="20" t="n"/>
      <c r="L504" s="20" t="n"/>
      <c r="M504" s="20" t="n"/>
      <c r="N504" s="20" t="n"/>
      <c r="O504" s="20" t="n"/>
      <c r="P504" s="20" t="n"/>
      <c r="Q504" s="20" t="n"/>
      <c r="R504" s="20" t="n"/>
      <c r="S504" s="20" t="n"/>
      <c r="T504" s="5" t="n"/>
      <c r="U504" s="21">
        <f>IF(OR(B504="",T504=""),"",IFERROR(1/(1/INDEX(F504:S504,MATCH(T504,$F$4:$S$4,0))),""))</f>
        <v/>
      </c>
      <c r="V504" s="21">
        <f>IF(OR(E504="",U504=""),"",E504*U504)</f>
        <v/>
      </c>
      <c r="W504" s="5" t="n"/>
    </row>
  </sheetData>
  <autoFilter ref="A4:W504"/>
  <mergeCells count="2">
    <mergeCell ref="A2:W2"/>
    <mergeCell ref="A1:W1"/>
  </mergeCells>
  <dataValidations count="1">
    <dataValidation sqref="T5:T504" showDropDown="0" showInputMessage="0" showErrorMessage="0" allowBlank="1" type="list">
      <formula1>$F$4:$S$4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120" customWidth="1" min="3" max="3"/>
  </cols>
  <sheetData>
    <row r="1" ht="28" customHeight="1">
      <c r="A1" s="1" t="inlineStr">
        <is>
          <t>TEKNİK TARİFLER</t>
        </is>
      </c>
    </row>
    <row r="2" ht="30" customHeight="1">
      <c r="A2" s="2" t="inlineStr">
        <is>
          <t>BFTC'deki her pozun teknik tarifi ve ölçü kuralı (birim fiyat kitabından).</t>
        </is>
      </c>
    </row>
    <row r="3">
      <c r="A3" s="15" t="inlineStr">
        <is>
          <t>TOPLAM</t>
        </is>
      </c>
      <c r="B3" s="16" t="n"/>
      <c r="C3" s="16" t="n"/>
    </row>
    <row r="4" ht="32" customHeight="1">
      <c r="A4" s="18" t="inlineStr">
        <is>
          <t>Sıra No</t>
        </is>
      </c>
      <c r="B4" s="18" t="inlineStr">
        <is>
          <t>Poz No</t>
        </is>
      </c>
      <c r="C4" s="18" t="inlineStr">
        <is>
          <t>Teknik Tarifi</t>
        </is>
      </c>
    </row>
    <row r="5">
      <c r="A5" s="5" t="n"/>
      <c r="B5" s="5" t="n"/>
      <c r="C5" s="5" t="n"/>
    </row>
    <row r="6">
      <c r="A6" s="5" t="n"/>
      <c r="B6" s="5" t="n"/>
      <c r="C6" s="5" t="n"/>
    </row>
    <row r="7">
      <c r="A7" s="5" t="n"/>
      <c r="B7" s="5" t="n"/>
      <c r="C7" s="5" t="n"/>
    </row>
    <row r="8">
      <c r="A8" s="5" t="n"/>
      <c r="B8" s="5" t="n"/>
      <c r="C8" s="5" t="n"/>
    </row>
    <row r="9">
      <c r="A9" s="5" t="n"/>
      <c r="B9" s="5" t="n"/>
      <c r="C9" s="5" t="n"/>
    </row>
    <row r="10">
      <c r="A10" s="5" t="n"/>
      <c r="B10" s="5" t="n"/>
      <c r="C10" s="5" t="n"/>
    </row>
    <row r="11">
      <c r="A11" s="5" t="n"/>
      <c r="B11" s="5" t="n"/>
      <c r="C11" s="5" t="n"/>
    </row>
    <row r="12">
      <c r="A12" s="5" t="n"/>
      <c r="B12" s="5" t="n"/>
      <c r="C12" s="5" t="n"/>
    </row>
    <row r="13">
      <c r="A13" s="5" t="n"/>
      <c r="B13" s="5" t="n"/>
      <c r="C13" s="5" t="n"/>
    </row>
    <row r="14">
      <c r="A14" s="5" t="n"/>
      <c r="B14" s="5" t="n"/>
      <c r="C14" s="5" t="n"/>
    </row>
    <row r="15">
      <c r="A15" s="5" t="n"/>
      <c r="B15" s="5" t="n"/>
      <c r="C15" s="5" t="n"/>
    </row>
    <row r="16">
      <c r="A16" s="5" t="n"/>
      <c r="B16" s="5" t="n"/>
      <c r="C16" s="5" t="n"/>
    </row>
    <row r="17">
      <c r="A17" s="5" t="n"/>
      <c r="B17" s="5" t="n"/>
      <c r="C17" s="5" t="n"/>
    </row>
    <row r="18">
      <c r="A18" s="5" t="n"/>
      <c r="B18" s="5" t="n"/>
      <c r="C18" s="5" t="n"/>
    </row>
    <row r="19">
      <c r="A19" s="5" t="n"/>
      <c r="B19" s="5" t="n"/>
      <c r="C19" s="5" t="n"/>
    </row>
    <row r="20">
      <c r="A20" s="5" t="n"/>
      <c r="B20" s="5" t="n"/>
      <c r="C20" s="5" t="n"/>
    </row>
    <row r="21">
      <c r="A21" s="5" t="n"/>
      <c r="B21" s="5" t="n"/>
      <c r="C21" s="5" t="n"/>
    </row>
    <row r="22">
      <c r="A22" s="5" t="n"/>
      <c r="B22" s="5" t="n"/>
      <c r="C22" s="5" t="n"/>
    </row>
    <row r="23">
      <c r="A23" s="5" t="n"/>
      <c r="B23" s="5" t="n"/>
      <c r="C23" s="5" t="n"/>
    </row>
    <row r="24">
      <c r="A24" s="5" t="n"/>
      <c r="B24" s="5" t="n"/>
      <c r="C24" s="5" t="n"/>
    </row>
    <row r="25">
      <c r="A25" s="5" t="n"/>
      <c r="B25" s="5" t="n"/>
      <c r="C25" s="5" t="n"/>
    </row>
    <row r="26">
      <c r="A26" s="5" t="n"/>
      <c r="B26" s="5" t="n"/>
      <c r="C26" s="5" t="n"/>
    </row>
    <row r="27">
      <c r="A27" s="5" t="n"/>
      <c r="B27" s="5" t="n"/>
      <c r="C27" s="5" t="n"/>
    </row>
    <row r="28">
      <c r="A28" s="5" t="n"/>
      <c r="B28" s="5" t="n"/>
      <c r="C28" s="5" t="n"/>
    </row>
    <row r="29">
      <c r="A29" s="5" t="n"/>
      <c r="B29" s="5" t="n"/>
      <c r="C29" s="5" t="n"/>
    </row>
    <row r="30">
      <c r="A30" s="5" t="n"/>
      <c r="B30" s="5" t="n"/>
      <c r="C30" s="5" t="n"/>
    </row>
    <row r="31">
      <c r="A31" s="5" t="n"/>
      <c r="B31" s="5" t="n"/>
      <c r="C31" s="5" t="n"/>
    </row>
    <row r="32">
      <c r="A32" s="5" t="n"/>
      <c r="B32" s="5" t="n"/>
      <c r="C32" s="5" t="n"/>
    </row>
    <row r="33">
      <c r="A33" s="5" t="n"/>
      <c r="B33" s="5" t="n"/>
      <c r="C33" s="5" t="n"/>
    </row>
    <row r="34">
      <c r="A34" s="5" t="n"/>
      <c r="B34" s="5" t="n"/>
      <c r="C34" s="5" t="n"/>
    </row>
    <row r="35">
      <c r="A35" s="5" t="n"/>
      <c r="B35" s="5" t="n"/>
      <c r="C35" s="5" t="n"/>
    </row>
    <row r="36">
      <c r="A36" s="5" t="n"/>
      <c r="B36" s="5" t="n"/>
      <c r="C36" s="5" t="n"/>
    </row>
    <row r="37">
      <c r="A37" s="5" t="n"/>
      <c r="B37" s="5" t="n"/>
      <c r="C37" s="5" t="n"/>
    </row>
    <row r="38">
      <c r="A38" s="5" t="n"/>
      <c r="B38" s="5" t="n"/>
      <c r="C38" s="5" t="n"/>
    </row>
    <row r="39">
      <c r="A39" s="5" t="n"/>
      <c r="B39" s="5" t="n"/>
      <c r="C39" s="5" t="n"/>
    </row>
    <row r="40">
      <c r="A40" s="5" t="n"/>
      <c r="B40" s="5" t="n"/>
      <c r="C40" s="5" t="n"/>
    </row>
    <row r="41">
      <c r="A41" s="5" t="n"/>
      <c r="B41" s="5" t="n"/>
      <c r="C41" s="5" t="n"/>
    </row>
    <row r="42">
      <c r="A42" s="5" t="n"/>
      <c r="B42" s="5" t="n"/>
      <c r="C42" s="5" t="n"/>
    </row>
    <row r="43">
      <c r="A43" s="5" t="n"/>
      <c r="B43" s="5" t="n"/>
      <c r="C43" s="5" t="n"/>
    </row>
    <row r="44">
      <c r="A44" s="5" t="n"/>
      <c r="B44" s="5" t="n"/>
      <c r="C44" s="5" t="n"/>
    </row>
    <row r="45">
      <c r="A45" s="5" t="n"/>
      <c r="B45" s="5" t="n"/>
      <c r="C45" s="5" t="n"/>
    </row>
    <row r="46">
      <c r="A46" s="5" t="n"/>
      <c r="B46" s="5" t="n"/>
      <c r="C46" s="5" t="n"/>
    </row>
    <row r="47">
      <c r="A47" s="5" t="n"/>
      <c r="B47" s="5" t="n"/>
      <c r="C47" s="5" t="n"/>
    </row>
    <row r="48">
      <c r="A48" s="5" t="n"/>
      <c r="B48" s="5" t="n"/>
      <c r="C48" s="5" t="n"/>
    </row>
    <row r="49">
      <c r="A49" s="5" t="n"/>
      <c r="B49" s="5" t="n"/>
      <c r="C49" s="5" t="n"/>
    </row>
    <row r="50">
      <c r="A50" s="5" t="n"/>
      <c r="B50" s="5" t="n"/>
      <c r="C50" s="5" t="n"/>
    </row>
    <row r="51">
      <c r="A51" s="5" t="n"/>
      <c r="B51" s="5" t="n"/>
      <c r="C51" s="5" t="n"/>
    </row>
    <row r="52">
      <c r="A52" s="5" t="n"/>
      <c r="B52" s="5" t="n"/>
      <c r="C52" s="5" t="n"/>
    </row>
    <row r="53">
      <c r="A53" s="5" t="n"/>
      <c r="B53" s="5" t="n"/>
      <c r="C53" s="5" t="n"/>
    </row>
    <row r="54">
      <c r="A54" s="5" t="n"/>
      <c r="B54" s="5" t="n"/>
      <c r="C54" s="5" t="n"/>
    </row>
    <row r="55">
      <c r="A55" s="5" t="n"/>
      <c r="B55" s="5" t="n"/>
      <c r="C55" s="5" t="n"/>
    </row>
    <row r="56">
      <c r="A56" s="5" t="n"/>
      <c r="B56" s="5" t="n"/>
      <c r="C56" s="5" t="n"/>
    </row>
    <row r="57">
      <c r="A57" s="5" t="n"/>
      <c r="B57" s="5" t="n"/>
      <c r="C57" s="5" t="n"/>
    </row>
    <row r="58">
      <c r="A58" s="5" t="n"/>
      <c r="B58" s="5" t="n"/>
      <c r="C58" s="5" t="n"/>
    </row>
    <row r="59">
      <c r="A59" s="5" t="n"/>
      <c r="B59" s="5" t="n"/>
      <c r="C59" s="5" t="n"/>
    </row>
    <row r="60">
      <c r="A60" s="5" t="n"/>
      <c r="B60" s="5" t="n"/>
      <c r="C60" s="5" t="n"/>
    </row>
    <row r="61">
      <c r="A61" s="5" t="n"/>
      <c r="B61" s="5" t="n"/>
      <c r="C61" s="5" t="n"/>
    </row>
    <row r="62">
      <c r="A62" s="5" t="n"/>
      <c r="B62" s="5" t="n"/>
      <c r="C62" s="5" t="n"/>
    </row>
    <row r="63">
      <c r="A63" s="5" t="n"/>
      <c r="B63" s="5" t="n"/>
      <c r="C63" s="5" t="n"/>
    </row>
    <row r="64">
      <c r="A64" s="5" t="n"/>
      <c r="B64" s="5" t="n"/>
      <c r="C64" s="5" t="n"/>
    </row>
    <row r="65">
      <c r="A65" s="5" t="n"/>
      <c r="B65" s="5" t="n"/>
      <c r="C65" s="5" t="n"/>
    </row>
    <row r="66">
      <c r="A66" s="5" t="n"/>
      <c r="B66" s="5" t="n"/>
      <c r="C66" s="5" t="n"/>
    </row>
    <row r="67">
      <c r="A67" s="5" t="n"/>
      <c r="B67" s="5" t="n"/>
      <c r="C67" s="5" t="n"/>
    </row>
    <row r="68">
      <c r="A68" s="5" t="n"/>
      <c r="B68" s="5" t="n"/>
      <c r="C68" s="5" t="n"/>
    </row>
    <row r="69">
      <c r="A69" s="5" t="n"/>
      <c r="B69" s="5" t="n"/>
      <c r="C69" s="5" t="n"/>
    </row>
    <row r="70">
      <c r="A70" s="5" t="n"/>
      <c r="B70" s="5" t="n"/>
      <c r="C70" s="5" t="n"/>
    </row>
    <row r="71">
      <c r="A71" s="5" t="n"/>
      <c r="B71" s="5" t="n"/>
      <c r="C71" s="5" t="n"/>
    </row>
    <row r="72">
      <c r="A72" s="5" t="n"/>
      <c r="B72" s="5" t="n"/>
      <c r="C72" s="5" t="n"/>
    </row>
    <row r="73">
      <c r="A73" s="5" t="n"/>
      <c r="B73" s="5" t="n"/>
      <c r="C73" s="5" t="n"/>
    </row>
    <row r="74">
      <c r="A74" s="5" t="n"/>
      <c r="B74" s="5" t="n"/>
      <c r="C74" s="5" t="n"/>
    </row>
    <row r="75">
      <c r="A75" s="5" t="n"/>
      <c r="B75" s="5" t="n"/>
      <c r="C75" s="5" t="n"/>
    </row>
    <row r="76">
      <c r="A76" s="5" t="n"/>
      <c r="B76" s="5" t="n"/>
      <c r="C76" s="5" t="n"/>
    </row>
    <row r="77">
      <c r="A77" s="5" t="n"/>
      <c r="B77" s="5" t="n"/>
      <c r="C77" s="5" t="n"/>
    </row>
    <row r="78">
      <c r="A78" s="5" t="n"/>
      <c r="B78" s="5" t="n"/>
      <c r="C78" s="5" t="n"/>
    </row>
    <row r="79">
      <c r="A79" s="5" t="n"/>
      <c r="B79" s="5" t="n"/>
      <c r="C79" s="5" t="n"/>
    </row>
    <row r="80">
      <c r="A80" s="5" t="n"/>
      <c r="B80" s="5" t="n"/>
      <c r="C80" s="5" t="n"/>
    </row>
    <row r="81">
      <c r="A81" s="5" t="n"/>
      <c r="B81" s="5" t="n"/>
      <c r="C81" s="5" t="n"/>
    </row>
    <row r="82">
      <c r="A82" s="5" t="n"/>
      <c r="B82" s="5" t="n"/>
      <c r="C82" s="5" t="n"/>
    </row>
    <row r="83">
      <c r="A83" s="5" t="n"/>
      <c r="B83" s="5" t="n"/>
      <c r="C83" s="5" t="n"/>
    </row>
    <row r="84">
      <c r="A84" s="5" t="n"/>
      <c r="B84" s="5" t="n"/>
      <c r="C84" s="5" t="n"/>
    </row>
    <row r="85">
      <c r="A85" s="5" t="n"/>
      <c r="B85" s="5" t="n"/>
      <c r="C85" s="5" t="n"/>
    </row>
    <row r="86">
      <c r="A86" s="5" t="n"/>
      <c r="B86" s="5" t="n"/>
      <c r="C86" s="5" t="n"/>
    </row>
    <row r="87">
      <c r="A87" s="5" t="n"/>
      <c r="B87" s="5" t="n"/>
      <c r="C87" s="5" t="n"/>
    </row>
    <row r="88">
      <c r="A88" s="5" t="n"/>
      <c r="B88" s="5" t="n"/>
      <c r="C88" s="5" t="n"/>
    </row>
    <row r="89">
      <c r="A89" s="5" t="n"/>
      <c r="B89" s="5" t="n"/>
      <c r="C89" s="5" t="n"/>
    </row>
    <row r="90">
      <c r="A90" s="5" t="n"/>
      <c r="B90" s="5" t="n"/>
      <c r="C90" s="5" t="n"/>
    </row>
    <row r="91">
      <c r="A91" s="5" t="n"/>
      <c r="B91" s="5" t="n"/>
      <c r="C91" s="5" t="n"/>
    </row>
    <row r="92">
      <c r="A92" s="5" t="n"/>
      <c r="B92" s="5" t="n"/>
      <c r="C92" s="5" t="n"/>
    </row>
    <row r="93">
      <c r="A93" s="5" t="n"/>
      <c r="B93" s="5" t="n"/>
      <c r="C93" s="5" t="n"/>
    </row>
    <row r="94">
      <c r="A94" s="5" t="n"/>
      <c r="B94" s="5" t="n"/>
      <c r="C94" s="5" t="n"/>
    </row>
    <row r="95">
      <c r="A95" s="5" t="n"/>
      <c r="B95" s="5" t="n"/>
      <c r="C95" s="5" t="n"/>
    </row>
    <row r="96">
      <c r="A96" s="5" t="n"/>
      <c r="B96" s="5" t="n"/>
      <c r="C96" s="5" t="n"/>
    </row>
    <row r="97">
      <c r="A97" s="5" t="n"/>
      <c r="B97" s="5" t="n"/>
      <c r="C97" s="5" t="n"/>
    </row>
    <row r="98">
      <c r="A98" s="5" t="n"/>
      <c r="B98" s="5" t="n"/>
      <c r="C98" s="5" t="n"/>
    </row>
    <row r="99">
      <c r="A99" s="5" t="n"/>
      <c r="B99" s="5" t="n"/>
      <c r="C99" s="5" t="n"/>
    </row>
    <row r="100">
      <c r="A100" s="5" t="n"/>
      <c r="B100" s="5" t="n"/>
      <c r="C100" s="5" t="n"/>
    </row>
    <row r="101">
      <c r="A101" s="5" t="n"/>
      <c r="B101" s="5" t="n"/>
      <c r="C101" s="5" t="n"/>
    </row>
    <row r="102">
      <c r="A102" s="5" t="n"/>
      <c r="B102" s="5" t="n"/>
      <c r="C102" s="5" t="n"/>
    </row>
    <row r="103">
      <c r="A103" s="5" t="n"/>
      <c r="B103" s="5" t="n"/>
      <c r="C103" s="5" t="n"/>
    </row>
    <row r="104">
      <c r="A104" s="5" t="n"/>
      <c r="B104" s="5" t="n"/>
      <c r="C104" s="5" t="n"/>
    </row>
    <row r="105">
      <c r="A105" s="5" t="n"/>
      <c r="B105" s="5" t="n"/>
      <c r="C105" s="5" t="n"/>
    </row>
    <row r="106">
      <c r="A106" s="5" t="n"/>
      <c r="B106" s="5" t="n"/>
      <c r="C106" s="5" t="n"/>
    </row>
    <row r="107">
      <c r="A107" s="5" t="n"/>
      <c r="B107" s="5" t="n"/>
      <c r="C107" s="5" t="n"/>
    </row>
    <row r="108">
      <c r="A108" s="5" t="n"/>
      <c r="B108" s="5" t="n"/>
      <c r="C108" s="5" t="n"/>
    </row>
    <row r="109">
      <c r="A109" s="5" t="n"/>
      <c r="B109" s="5" t="n"/>
      <c r="C109" s="5" t="n"/>
    </row>
    <row r="110">
      <c r="A110" s="5" t="n"/>
      <c r="B110" s="5" t="n"/>
      <c r="C110" s="5" t="n"/>
    </row>
    <row r="111">
      <c r="A111" s="5" t="n"/>
      <c r="B111" s="5" t="n"/>
      <c r="C111" s="5" t="n"/>
    </row>
    <row r="112">
      <c r="A112" s="5" t="n"/>
      <c r="B112" s="5" t="n"/>
      <c r="C112" s="5" t="n"/>
    </row>
    <row r="113">
      <c r="A113" s="5" t="n"/>
      <c r="B113" s="5" t="n"/>
      <c r="C113" s="5" t="n"/>
    </row>
    <row r="114">
      <c r="A114" s="5" t="n"/>
      <c r="B114" s="5" t="n"/>
      <c r="C114" s="5" t="n"/>
    </row>
    <row r="115">
      <c r="A115" s="5" t="n"/>
      <c r="B115" s="5" t="n"/>
      <c r="C115" s="5" t="n"/>
    </row>
    <row r="116">
      <c r="A116" s="5" t="n"/>
      <c r="B116" s="5" t="n"/>
      <c r="C116" s="5" t="n"/>
    </row>
    <row r="117">
      <c r="A117" s="5" t="n"/>
      <c r="B117" s="5" t="n"/>
      <c r="C117" s="5" t="n"/>
    </row>
    <row r="118">
      <c r="A118" s="5" t="n"/>
      <c r="B118" s="5" t="n"/>
      <c r="C118" s="5" t="n"/>
    </row>
    <row r="119">
      <c r="A119" s="5" t="n"/>
      <c r="B119" s="5" t="n"/>
      <c r="C119" s="5" t="n"/>
    </row>
    <row r="120">
      <c r="A120" s="5" t="n"/>
      <c r="B120" s="5" t="n"/>
      <c r="C120" s="5" t="n"/>
    </row>
    <row r="121">
      <c r="A121" s="5" t="n"/>
      <c r="B121" s="5" t="n"/>
      <c r="C121" s="5" t="n"/>
    </row>
    <row r="122">
      <c r="A122" s="5" t="n"/>
      <c r="B122" s="5" t="n"/>
      <c r="C122" s="5" t="n"/>
    </row>
    <row r="123">
      <c r="A123" s="5" t="n"/>
      <c r="B123" s="5" t="n"/>
      <c r="C123" s="5" t="n"/>
    </row>
    <row r="124">
      <c r="A124" s="5" t="n"/>
      <c r="B124" s="5" t="n"/>
      <c r="C124" s="5" t="n"/>
    </row>
    <row r="125">
      <c r="A125" s="5" t="n"/>
      <c r="B125" s="5" t="n"/>
      <c r="C125" s="5" t="n"/>
    </row>
    <row r="126">
      <c r="A126" s="5" t="n"/>
      <c r="B126" s="5" t="n"/>
      <c r="C126" s="5" t="n"/>
    </row>
    <row r="127">
      <c r="A127" s="5" t="n"/>
      <c r="B127" s="5" t="n"/>
      <c r="C127" s="5" t="n"/>
    </row>
    <row r="128">
      <c r="A128" s="5" t="n"/>
      <c r="B128" s="5" t="n"/>
      <c r="C128" s="5" t="n"/>
    </row>
    <row r="129">
      <c r="A129" s="5" t="n"/>
      <c r="B129" s="5" t="n"/>
      <c r="C129" s="5" t="n"/>
    </row>
    <row r="130">
      <c r="A130" s="5" t="n"/>
      <c r="B130" s="5" t="n"/>
      <c r="C130" s="5" t="n"/>
    </row>
    <row r="131">
      <c r="A131" s="5" t="n"/>
      <c r="B131" s="5" t="n"/>
      <c r="C131" s="5" t="n"/>
    </row>
    <row r="132">
      <c r="A132" s="5" t="n"/>
      <c r="B132" s="5" t="n"/>
      <c r="C132" s="5" t="n"/>
    </row>
    <row r="133">
      <c r="A133" s="5" t="n"/>
      <c r="B133" s="5" t="n"/>
      <c r="C133" s="5" t="n"/>
    </row>
    <row r="134">
      <c r="A134" s="5" t="n"/>
      <c r="B134" s="5" t="n"/>
      <c r="C134" s="5" t="n"/>
    </row>
    <row r="135">
      <c r="A135" s="5" t="n"/>
      <c r="B135" s="5" t="n"/>
      <c r="C135" s="5" t="n"/>
    </row>
    <row r="136">
      <c r="A136" s="5" t="n"/>
      <c r="B136" s="5" t="n"/>
      <c r="C136" s="5" t="n"/>
    </row>
    <row r="137">
      <c r="A137" s="5" t="n"/>
      <c r="B137" s="5" t="n"/>
      <c r="C137" s="5" t="n"/>
    </row>
    <row r="138">
      <c r="A138" s="5" t="n"/>
      <c r="B138" s="5" t="n"/>
      <c r="C138" s="5" t="n"/>
    </row>
    <row r="139">
      <c r="A139" s="5" t="n"/>
      <c r="B139" s="5" t="n"/>
      <c r="C139" s="5" t="n"/>
    </row>
    <row r="140">
      <c r="A140" s="5" t="n"/>
      <c r="B140" s="5" t="n"/>
      <c r="C140" s="5" t="n"/>
    </row>
    <row r="141">
      <c r="A141" s="5" t="n"/>
      <c r="B141" s="5" t="n"/>
      <c r="C141" s="5" t="n"/>
    </row>
    <row r="142">
      <c r="A142" s="5" t="n"/>
      <c r="B142" s="5" t="n"/>
      <c r="C142" s="5" t="n"/>
    </row>
    <row r="143">
      <c r="A143" s="5" t="n"/>
      <c r="B143" s="5" t="n"/>
      <c r="C143" s="5" t="n"/>
    </row>
    <row r="144">
      <c r="A144" s="5" t="n"/>
      <c r="B144" s="5" t="n"/>
      <c r="C144" s="5" t="n"/>
    </row>
    <row r="145">
      <c r="A145" s="5" t="n"/>
      <c r="B145" s="5" t="n"/>
      <c r="C145" s="5" t="n"/>
    </row>
    <row r="146">
      <c r="A146" s="5" t="n"/>
      <c r="B146" s="5" t="n"/>
      <c r="C146" s="5" t="n"/>
    </row>
    <row r="147">
      <c r="A147" s="5" t="n"/>
      <c r="B147" s="5" t="n"/>
      <c r="C147" s="5" t="n"/>
    </row>
    <row r="148">
      <c r="A148" s="5" t="n"/>
      <c r="B148" s="5" t="n"/>
      <c r="C148" s="5" t="n"/>
    </row>
    <row r="149">
      <c r="A149" s="5" t="n"/>
      <c r="B149" s="5" t="n"/>
      <c r="C149" s="5" t="n"/>
    </row>
    <row r="150">
      <c r="A150" s="5" t="n"/>
      <c r="B150" s="5" t="n"/>
      <c r="C150" s="5" t="n"/>
    </row>
    <row r="151">
      <c r="A151" s="5" t="n"/>
      <c r="B151" s="5" t="n"/>
      <c r="C151" s="5" t="n"/>
    </row>
    <row r="152">
      <c r="A152" s="5" t="n"/>
      <c r="B152" s="5" t="n"/>
      <c r="C152" s="5" t="n"/>
    </row>
    <row r="153">
      <c r="A153" s="5" t="n"/>
      <c r="B153" s="5" t="n"/>
      <c r="C153" s="5" t="n"/>
    </row>
    <row r="154">
      <c r="A154" s="5" t="n"/>
      <c r="B154" s="5" t="n"/>
      <c r="C154" s="5" t="n"/>
    </row>
    <row r="155">
      <c r="A155" s="5" t="n"/>
      <c r="B155" s="5" t="n"/>
      <c r="C155" s="5" t="n"/>
    </row>
    <row r="156">
      <c r="A156" s="5" t="n"/>
      <c r="B156" s="5" t="n"/>
      <c r="C156" s="5" t="n"/>
    </row>
    <row r="157">
      <c r="A157" s="5" t="n"/>
      <c r="B157" s="5" t="n"/>
      <c r="C157" s="5" t="n"/>
    </row>
    <row r="158">
      <c r="A158" s="5" t="n"/>
      <c r="B158" s="5" t="n"/>
      <c r="C158" s="5" t="n"/>
    </row>
    <row r="159">
      <c r="A159" s="5" t="n"/>
      <c r="B159" s="5" t="n"/>
      <c r="C159" s="5" t="n"/>
    </row>
    <row r="160">
      <c r="A160" s="5" t="n"/>
      <c r="B160" s="5" t="n"/>
      <c r="C160" s="5" t="n"/>
    </row>
    <row r="161">
      <c r="A161" s="5" t="n"/>
      <c r="B161" s="5" t="n"/>
      <c r="C161" s="5" t="n"/>
    </row>
    <row r="162">
      <c r="A162" s="5" t="n"/>
      <c r="B162" s="5" t="n"/>
      <c r="C162" s="5" t="n"/>
    </row>
    <row r="163">
      <c r="A163" s="5" t="n"/>
      <c r="B163" s="5" t="n"/>
      <c r="C163" s="5" t="n"/>
    </row>
    <row r="164">
      <c r="A164" s="5" t="n"/>
      <c r="B164" s="5" t="n"/>
      <c r="C164" s="5" t="n"/>
    </row>
    <row r="165">
      <c r="A165" s="5" t="n"/>
      <c r="B165" s="5" t="n"/>
      <c r="C165" s="5" t="n"/>
    </row>
    <row r="166">
      <c r="A166" s="5" t="n"/>
      <c r="B166" s="5" t="n"/>
      <c r="C166" s="5" t="n"/>
    </row>
    <row r="167">
      <c r="A167" s="5" t="n"/>
      <c r="B167" s="5" t="n"/>
      <c r="C167" s="5" t="n"/>
    </row>
    <row r="168">
      <c r="A168" s="5" t="n"/>
      <c r="B168" s="5" t="n"/>
      <c r="C168" s="5" t="n"/>
    </row>
    <row r="169">
      <c r="A169" s="5" t="n"/>
      <c r="B169" s="5" t="n"/>
      <c r="C169" s="5" t="n"/>
    </row>
    <row r="170">
      <c r="A170" s="5" t="n"/>
      <c r="B170" s="5" t="n"/>
      <c r="C170" s="5" t="n"/>
    </row>
    <row r="171">
      <c r="A171" s="5" t="n"/>
      <c r="B171" s="5" t="n"/>
      <c r="C171" s="5" t="n"/>
    </row>
    <row r="172">
      <c r="A172" s="5" t="n"/>
      <c r="B172" s="5" t="n"/>
      <c r="C172" s="5" t="n"/>
    </row>
    <row r="173">
      <c r="A173" s="5" t="n"/>
      <c r="B173" s="5" t="n"/>
      <c r="C173" s="5" t="n"/>
    </row>
    <row r="174">
      <c r="A174" s="5" t="n"/>
      <c r="B174" s="5" t="n"/>
      <c r="C174" s="5" t="n"/>
    </row>
    <row r="175">
      <c r="A175" s="5" t="n"/>
      <c r="B175" s="5" t="n"/>
      <c r="C175" s="5" t="n"/>
    </row>
    <row r="176">
      <c r="A176" s="5" t="n"/>
      <c r="B176" s="5" t="n"/>
      <c r="C176" s="5" t="n"/>
    </row>
    <row r="177">
      <c r="A177" s="5" t="n"/>
      <c r="B177" s="5" t="n"/>
      <c r="C177" s="5" t="n"/>
    </row>
    <row r="178">
      <c r="A178" s="5" t="n"/>
      <c r="B178" s="5" t="n"/>
      <c r="C178" s="5" t="n"/>
    </row>
    <row r="179">
      <c r="A179" s="5" t="n"/>
      <c r="B179" s="5" t="n"/>
      <c r="C179" s="5" t="n"/>
    </row>
    <row r="180">
      <c r="A180" s="5" t="n"/>
      <c r="B180" s="5" t="n"/>
      <c r="C180" s="5" t="n"/>
    </row>
    <row r="181">
      <c r="A181" s="5" t="n"/>
      <c r="B181" s="5" t="n"/>
      <c r="C181" s="5" t="n"/>
    </row>
    <row r="182">
      <c r="A182" s="5" t="n"/>
      <c r="B182" s="5" t="n"/>
      <c r="C182" s="5" t="n"/>
    </row>
    <row r="183">
      <c r="A183" s="5" t="n"/>
      <c r="B183" s="5" t="n"/>
      <c r="C183" s="5" t="n"/>
    </row>
    <row r="184">
      <c r="A184" s="5" t="n"/>
      <c r="B184" s="5" t="n"/>
      <c r="C184" s="5" t="n"/>
    </row>
    <row r="185">
      <c r="A185" s="5" t="n"/>
      <c r="B185" s="5" t="n"/>
      <c r="C185" s="5" t="n"/>
    </row>
    <row r="186">
      <c r="A186" s="5" t="n"/>
      <c r="B186" s="5" t="n"/>
      <c r="C186" s="5" t="n"/>
    </row>
    <row r="187">
      <c r="A187" s="5" t="n"/>
      <c r="B187" s="5" t="n"/>
      <c r="C187" s="5" t="n"/>
    </row>
    <row r="188">
      <c r="A188" s="5" t="n"/>
      <c r="B188" s="5" t="n"/>
      <c r="C188" s="5" t="n"/>
    </row>
    <row r="189">
      <c r="A189" s="5" t="n"/>
      <c r="B189" s="5" t="n"/>
      <c r="C189" s="5" t="n"/>
    </row>
    <row r="190">
      <c r="A190" s="5" t="n"/>
      <c r="B190" s="5" t="n"/>
      <c r="C190" s="5" t="n"/>
    </row>
    <row r="191">
      <c r="A191" s="5" t="n"/>
      <c r="B191" s="5" t="n"/>
      <c r="C191" s="5" t="n"/>
    </row>
    <row r="192">
      <c r="A192" s="5" t="n"/>
      <c r="B192" s="5" t="n"/>
      <c r="C192" s="5" t="n"/>
    </row>
    <row r="193">
      <c r="A193" s="5" t="n"/>
      <c r="B193" s="5" t="n"/>
      <c r="C193" s="5" t="n"/>
    </row>
    <row r="194">
      <c r="A194" s="5" t="n"/>
      <c r="B194" s="5" t="n"/>
      <c r="C194" s="5" t="n"/>
    </row>
    <row r="195">
      <c r="A195" s="5" t="n"/>
      <c r="B195" s="5" t="n"/>
      <c r="C195" s="5" t="n"/>
    </row>
    <row r="196">
      <c r="A196" s="5" t="n"/>
      <c r="B196" s="5" t="n"/>
      <c r="C196" s="5" t="n"/>
    </row>
    <row r="197">
      <c r="A197" s="5" t="n"/>
      <c r="B197" s="5" t="n"/>
      <c r="C197" s="5" t="n"/>
    </row>
    <row r="198">
      <c r="A198" s="5" t="n"/>
      <c r="B198" s="5" t="n"/>
      <c r="C198" s="5" t="n"/>
    </row>
    <row r="199">
      <c r="A199" s="5" t="n"/>
      <c r="B199" s="5" t="n"/>
      <c r="C199" s="5" t="n"/>
    </row>
    <row r="200">
      <c r="A200" s="5" t="n"/>
      <c r="B200" s="5" t="n"/>
      <c r="C200" s="5" t="n"/>
    </row>
    <row r="201">
      <c r="A201" s="5" t="n"/>
      <c r="B201" s="5" t="n"/>
      <c r="C201" s="5" t="n"/>
    </row>
    <row r="202">
      <c r="A202" s="5" t="n"/>
      <c r="B202" s="5" t="n"/>
      <c r="C202" s="5" t="n"/>
    </row>
    <row r="203">
      <c r="A203" s="5" t="n"/>
      <c r="B203" s="5" t="n"/>
      <c r="C203" s="5" t="n"/>
    </row>
    <row r="204">
      <c r="A204" s="5" t="n"/>
      <c r="B204" s="5" t="n"/>
      <c r="C204" s="5" t="n"/>
    </row>
    <row r="205">
      <c r="A205" s="5" t="n"/>
      <c r="B205" s="5" t="n"/>
      <c r="C205" s="5" t="n"/>
    </row>
    <row r="206">
      <c r="A206" s="5" t="n"/>
      <c r="B206" s="5" t="n"/>
      <c r="C206" s="5" t="n"/>
    </row>
    <row r="207">
      <c r="A207" s="5" t="n"/>
      <c r="B207" s="5" t="n"/>
      <c r="C207" s="5" t="n"/>
    </row>
    <row r="208">
      <c r="A208" s="5" t="n"/>
      <c r="B208" s="5" t="n"/>
      <c r="C208" s="5" t="n"/>
    </row>
    <row r="209">
      <c r="A209" s="5" t="n"/>
      <c r="B209" s="5" t="n"/>
      <c r="C209" s="5" t="n"/>
    </row>
    <row r="210">
      <c r="A210" s="5" t="n"/>
      <c r="B210" s="5" t="n"/>
      <c r="C210" s="5" t="n"/>
    </row>
    <row r="211">
      <c r="A211" s="5" t="n"/>
      <c r="B211" s="5" t="n"/>
      <c r="C211" s="5" t="n"/>
    </row>
    <row r="212">
      <c r="A212" s="5" t="n"/>
      <c r="B212" s="5" t="n"/>
      <c r="C212" s="5" t="n"/>
    </row>
    <row r="213">
      <c r="A213" s="5" t="n"/>
      <c r="B213" s="5" t="n"/>
      <c r="C213" s="5" t="n"/>
    </row>
    <row r="214">
      <c r="A214" s="5" t="n"/>
      <c r="B214" s="5" t="n"/>
      <c r="C214" s="5" t="n"/>
    </row>
    <row r="215">
      <c r="A215" s="5" t="n"/>
      <c r="B215" s="5" t="n"/>
      <c r="C215" s="5" t="n"/>
    </row>
    <row r="216">
      <c r="A216" s="5" t="n"/>
      <c r="B216" s="5" t="n"/>
      <c r="C216" s="5" t="n"/>
    </row>
    <row r="217">
      <c r="A217" s="5" t="n"/>
      <c r="B217" s="5" t="n"/>
      <c r="C217" s="5" t="n"/>
    </row>
    <row r="218">
      <c r="A218" s="5" t="n"/>
      <c r="B218" s="5" t="n"/>
      <c r="C218" s="5" t="n"/>
    </row>
    <row r="219">
      <c r="A219" s="5" t="n"/>
      <c r="B219" s="5" t="n"/>
      <c r="C219" s="5" t="n"/>
    </row>
    <row r="220">
      <c r="A220" s="5" t="n"/>
      <c r="B220" s="5" t="n"/>
      <c r="C220" s="5" t="n"/>
    </row>
    <row r="221">
      <c r="A221" s="5" t="n"/>
      <c r="B221" s="5" t="n"/>
      <c r="C221" s="5" t="n"/>
    </row>
    <row r="222">
      <c r="A222" s="5" t="n"/>
      <c r="B222" s="5" t="n"/>
      <c r="C222" s="5" t="n"/>
    </row>
    <row r="223">
      <c r="A223" s="5" t="n"/>
      <c r="B223" s="5" t="n"/>
      <c r="C223" s="5" t="n"/>
    </row>
    <row r="224">
      <c r="A224" s="5" t="n"/>
      <c r="B224" s="5" t="n"/>
      <c r="C224" s="5" t="n"/>
    </row>
    <row r="225">
      <c r="A225" s="5" t="n"/>
      <c r="B225" s="5" t="n"/>
      <c r="C225" s="5" t="n"/>
    </row>
    <row r="226">
      <c r="A226" s="5" t="n"/>
      <c r="B226" s="5" t="n"/>
      <c r="C226" s="5" t="n"/>
    </row>
    <row r="227">
      <c r="A227" s="5" t="n"/>
      <c r="B227" s="5" t="n"/>
      <c r="C227" s="5" t="n"/>
    </row>
    <row r="228">
      <c r="A228" s="5" t="n"/>
      <c r="B228" s="5" t="n"/>
      <c r="C228" s="5" t="n"/>
    </row>
    <row r="229">
      <c r="A229" s="5" t="n"/>
      <c r="B229" s="5" t="n"/>
      <c r="C229" s="5" t="n"/>
    </row>
    <row r="230">
      <c r="A230" s="5" t="n"/>
      <c r="B230" s="5" t="n"/>
      <c r="C230" s="5" t="n"/>
    </row>
    <row r="231">
      <c r="A231" s="5" t="n"/>
      <c r="B231" s="5" t="n"/>
      <c r="C231" s="5" t="n"/>
    </row>
    <row r="232">
      <c r="A232" s="5" t="n"/>
      <c r="B232" s="5" t="n"/>
      <c r="C232" s="5" t="n"/>
    </row>
    <row r="233">
      <c r="A233" s="5" t="n"/>
      <c r="B233" s="5" t="n"/>
      <c r="C233" s="5" t="n"/>
    </row>
    <row r="234">
      <c r="A234" s="5" t="n"/>
      <c r="B234" s="5" t="n"/>
      <c r="C234" s="5" t="n"/>
    </row>
    <row r="235">
      <c r="A235" s="5" t="n"/>
      <c r="B235" s="5" t="n"/>
      <c r="C235" s="5" t="n"/>
    </row>
    <row r="236">
      <c r="A236" s="5" t="n"/>
      <c r="B236" s="5" t="n"/>
      <c r="C236" s="5" t="n"/>
    </row>
    <row r="237">
      <c r="A237" s="5" t="n"/>
      <c r="B237" s="5" t="n"/>
      <c r="C237" s="5" t="n"/>
    </row>
    <row r="238">
      <c r="A238" s="5" t="n"/>
      <c r="B238" s="5" t="n"/>
      <c r="C238" s="5" t="n"/>
    </row>
    <row r="239">
      <c r="A239" s="5" t="n"/>
      <c r="B239" s="5" t="n"/>
      <c r="C239" s="5" t="n"/>
    </row>
    <row r="240">
      <c r="A240" s="5" t="n"/>
      <c r="B240" s="5" t="n"/>
      <c r="C240" s="5" t="n"/>
    </row>
    <row r="241">
      <c r="A241" s="5" t="n"/>
      <c r="B241" s="5" t="n"/>
      <c r="C241" s="5" t="n"/>
    </row>
    <row r="242">
      <c r="A242" s="5" t="n"/>
      <c r="B242" s="5" t="n"/>
      <c r="C242" s="5" t="n"/>
    </row>
    <row r="243">
      <c r="A243" s="5" t="n"/>
      <c r="B243" s="5" t="n"/>
      <c r="C243" s="5" t="n"/>
    </row>
    <row r="244">
      <c r="A244" s="5" t="n"/>
      <c r="B244" s="5" t="n"/>
      <c r="C244" s="5" t="n"/>
    </row>
    <row r="245">
      <c r="A245" s="5" t="n"/>
      <c r="B245" s="5" t="n"/>
      <c r="C245" s="5" t="n"/>
    </row>
    <row r="246">
      <c r="A246" s="5" t="n"/>
      <c r="B246" s="5" t="n"/>
      <c r="C246" s="5" t="n"/>
    </row>
    <row r="247">
      <c r="A247" s="5" t="n"/>
      <c r="B247" s="5" t="n"/>
      <c r="C247" s="5" t="n"/>
    </row>
    <row r="248">
      <c r="A248" s="5" t="n"/>
      <c r="B248" s="5" t="n"/>
      <c r="C248" s="5" t="n"/>
    </row>
    <row r="249">
      <c r="A249" s="5" t="n"/>
      <c r="B249" s="5" t="n"/>
      <c r="C249" s="5" t="n"/>
    </row>
    <row r="250">
      <c r="A250" s="5" t="n"/>
      <c r="B250" s="5" t="n"/>
      <c r="C250" s="5" t="n"/>
    </row>
    <row r="251">
      <c r="A251" s="5" t="n"/>
      <c r="B251" s="5" t="n"/>
      <c r="C251" s="5" t="n"/>
    </row>
    <row r="252">
      <c r="A252" s="5" t="n"/>
      <c r="B252" s="5" t="n"/>
      <c r="C252" s="5" t="n"/>
    </row>
    <row r="253">
      <c r="A253" s="5" t="n"/>
      <c r="B253" s="5" t="n"/>
      <c r="C253" s="5" t="n"/>
    </row>
    <row r="254">
      <c r="A254" s="5" t="n"/>
      <c r="B254" s="5" t="n"/>
      <c r="C254" s="5" t="n"/>
    </row>
    <row r="255">
      <c r="A255" s="5" t="n"/>
      <c r="B255" s="5" t="n"/>
      <c r="C255" s="5" t="n"/>
    </row>
    <row r="256">
      <c r="A256" s="5" t="n"/>
      <c r="B256" s="5" t="n"/>
      <c r="C256" s="5" t="n"/>
    </row>
    <row r="257">
      <c r="A257" s="5" t="n"/>
      <c r="B257" s="5" t="n"/>
      <c r="C257" s="5" t="n"/>
    </row>
    <row r="258">
      <c r="A258" s="5" t="n"/>
      <c r="B258" s="5" t="n"/>
      <c r="C258" s="5" t="n"/>
    </row>
    <row r="259">
      <c r="A259" s="5" t="n"/>
      <c r="B259" s="5" t="n"/>
      <c r="C259" s="5" t="n"/>
    </row>
    <row r="260">
      <c r="A260" s="5" t="n"/>
      <c r="B260" s="5" t="n"/>
      <c r="C260" s="5" t="n"/>
    </row>
    <row r="261">
      <c r="A261" s="5" t="n"/>
      <c r="B261" s="5" t="n"/>
      <c r="C261" s="5" t="n"/>
    </row>
    <row r="262">
      <c r="A262" s="5" t="n"/>
      <c r="B262" s="5" t="n"/>
      <c r="C262" s="5" t="n"/>
    </row>
    <row r="263">
      <c r="A263" s="5" t="n"/>
      <c r="B263" s="5" t="n"/>
      <c r="C263" s="5" t="n"/>
    </row>
    <row r="264">
      <c r="A264" s="5" t="n"/>
      <c r="B264" s="5" t="n"/>
      <c r="C264" s="5" t="n"/>
    </row>
    <row r="265">
      <c r="A265" s="5" t="n"/>
      <c r="B265" s="5" t="n"/>
      <c r="C265" s="5" t="n"/>
    </row>
    <row r="266">
      <c r="A266" s="5" t="n"/>
      <c r="B266" s="5" t="n"/>
      <c r="C266" s="5" t="n"/>
    </row>
    <row r="267">
      <c r="A267" s="5" t="n"/>
      <c r="B267" s="5" t="n"/>
      <c r="C267" s="5" t="n"/>
    </row>
    <row r="268">
      <c r="A268" s="5" t="n"/>
      <c r="B268" s="5" t="n"/>
      <c r="C268" s="5" t="n"/>
    </row>
    <row r="269">
      <c r="A269" s="5" t="n"/>
      <c r="B269" s="5" t="n"/>
      <c r="C269" s="5" t="n"/>
    </row>
    <row r="270">
      <c r="A270" s="5" t="n"/>
      <c r="B270" s="5" t="n"/>
      <c r="C270" s="5" t="n"/>
    </row>
    <row r="271">
      <c r="A271" s="5" t="n"/>
      <c r="B271" s="5" t="n"/>
      <c r="C271" s="5" t="n"/>
    </row>
    <row r="272">
      <c r="A272" s="5" t="n"/>
      <c r="B272" s="5" t="n"/>
      <c r="C272" s="5" t="n"/>
    </row>
    <row r="273">
      <c r="A273" s="5" t="n"/>
      <c r="B273" s="5" t="n"/>
      <c r="C273" s="5" t="n"/>
    </row>
    <row r="274">
      <c r="A274" s="5" t="n"/>
      <c r="B274" s="5" t="n"/>
      <c r="C274" s="5" t="n"/>
    </row>
    <row r="275">
      <c r="A275" s="5" t="n"/>
      <c r="B275" s="5" t="n"/>
      <c r="C275" s="5" t="n"/>
    </row>
    <row r="276">
      <c r="A276" s="5" t="n"/>
      <c r="B276" s="5" t="n"/>
      <c r="C276" s="5" t="n"/>
    </row>
    <row r="277">
      <c r="A277" s="5" t="n"/>
      <c r="B277" s="5" t="n"/>
      <c r="C277" s="5" t="n"/>
    </row>
    <row r="278">
      <c r="A278" s="5" t="n"/>
      <c r="B278" s="5" t="n"/>
      <c r="C278" s="5" t="n"/>
    </row>
    <row r="279">
      <c r="A279" s="5" t="n"/>
      <c r="B279" s="5" t="n"/>
      <c r="C279" s="5" t="n"/>
    </row>
    <row r="280">
      <c r="A280" s="5" t="n"/>
      <c r="B280" s="5" t="n"/>
      <c r="C280" s="5" t="n"/>
    </row>
    <row r="281">
      <c r="A281" s="5" t="n"/>
      <c r="B281" s="5" t="n"/>
      <c r="C281" s="5" t="n"/>
    </row>
    <row r="282">
      <c r="A282" s="5" t="n"/>
      <c r="B282" s="5" t="n"/>
      <c r="C282" s="5" t="n"/>
    </row>
    <row r="283">
      <c r="A283" s="5" t="n"/>
      <c r="B283" s="5" t="n"/>
      <c r="C283" s="5" t="n"/>
    </row>
    <row r="284">
      <c r="A284" s="5" t="n"/>
      <c r="B284" s="5" t="n"/>
      <c r="C284" s="5" t="n"/>
    </row>
    <row r="285">
      <c r="A285" s="5" t="n"/>
      <c r="B285" s="5" t="n"/>
      <c r="C285" s="5" t="n"/>
    </row>
    <row r="286">
      <c r="A286" s="5" t="n"/>
      <c r="B286" s="5" t="n"/>
      <c r="C286" s="5" t="n"/>
    </row>
    <row r="287">
      <c r="A287" s="5" t="n"/>
      <c r="B287" s="5" t="n"/>
      <c r="C287" s="5" t="n"/>
    </row>
    <row r="288">
      <c r="A288" s="5" t="n"/>
      <c r="B288" s="5" t="n"/>
      <c r="C288" s="5" t="n"/>
    </row>
    <row r="289">
      <c r="A289" s="5" t="n"/>
      <c r="B289" s="5" t="n"/>
      <c r="C289" s="5" t="n"/>
    </row>
    <row r="290">
      <c r="A290" s="5" t="n"/>
      <c r="B290" s="5" t="n"/>
      <c r="C290" s="5" t="n"/>
    </row>
    <row r="291">
      <c r="A291" s="5" t="n"/>
      <c r="B291" s="5" t="n"/>
      <c r="C291" s="5" t="n"/>
    </row>
    <row r="292">
      <c r="A292" s="5" t="n"/>
      <c r="B292" s="5" t="n"/>
      <c r="C292" s="5" t="n"/>
    </row>
    <row r="293">
      <c r="A293" s="5" t="n"/>
      <c r="B293" s="5" t="n"/>
      <c r="C293" s="5" t="n"/>
    </row>
    <row r="294">
      <c r="A294" s="5" t="n"/>
      <c r="B294" s="5" t="n"/>
      <c r="C294" s="5" t="n"/>
    </row>
    <row r="295">
      <c r="A295" s="5" t="n"/>
      <c r="B295" s="5" t="n"/>
      <c r="C295" s="5" t="n"/>
    </row>
    <row r="296">
      <c r="A296" s="5" t="n"/>
      <c r="B296" s="5" t="n"/>
      <c r="C296" s="5" t="n"/>
    </row>
    <row r="297">
      <c r="A297" s="5" t="n"/>
      <c r="B297" s="5" t="n"/>
      <c r="C297" s="5" t="n"/>
    </row>
    <row r="298">
      <c r="A298" s="5" t="n"/>
      <c r="B298" s="5" t="n"/>
      <c r="C298" s="5" t="n"/>
    </row>
    <row r="299">
      <c r="A299" s="5" t="n"/>
      <c r="B299" s="5" t="n"/>
      <c r="C299" s="5" t="n"/>
    </row>
    <row r="300">
      <c r="A300" s="5" t="n"/>
      <c r="B300" s="5" t="n"/>
      <c r="C300" s="5" t="n"/>
    </row>
    <row r="301">
      <c r="A301" s="5" t="n"/>
      <c r="B301" s="5" t="n"/>
      <c r="C301" s="5" t="n"/>
    </row>
    <row r="302">
      <c r="A302" s="5" t="n"/>
      <c r="B302" s="5" t="n"/>
      <c r="C302" s="5" t="n"/>
    </row>
    <row r="303">
      <c r="A303" s="5" t="n"/>
      <c r="B303" s="5" t="n"/>
      <c r="C303" s="5" t="n"/>
    </row>
    <row r="304">
      <c r="A304" s="5" t="n"/>
      <c r="B304" s="5" t="n"/>
      <c r="C304" s="5" t="n"/>
    </row>
    <row r="305">
      <c r="A305" s="5" t="n"/>
      <c r="B305" s="5" t="n"/>
      <c r="C305" s="5" t="n"/>
    </row>
    <row r="306">
      <c r="A306" s="5" t="n"/>
      <c r="B306" s="5" t="n"/>
      <c r="C306" s="5" t="n"/>
    </row>
    <row r="307">
      <c r="A307" s="5" t="n"/>
      <c r="B307" s="5" t="n"/>
      <c r="C307" s="5" t="n"/>
    </row>
    <row r="308">
      <c r="A308" s="5" t="n"/>
      <c r="B308" s="5" t="n"/>
      <c r="C308" s="5" t="n"/>
    </row>
    <row r="309">
      <c r="A309" s="5" t="n"/>
      <c r="B309" s="5" t="n"/>
      <c r="C309" s="5" t="n"/>
    </row>
    <row r="310">
      <c r="A310" s="5" t="n"/>
      <c r="B310" s="5" t="n"/>
      <c r="C310" s="5" t="n"/>
    </row>
    <row r="311">
      <c r="A311" s="5" t="n"/>
      <c r="B311" s="5" t="n"/>
      <c r="C311" s="5" t="n"/>
    </row>
    <row r="312">
      <c r="A312" s="5" t="n"/>
      <c r="B312" s="5" t="n"/>
      <c r="C312" s="5" t="n"/>
    </row>
    <row r="313">
      <c r="A313" s="5" t="n"/>
      <c r="B313" s="5" t="n"/>
      <c r="C313" s="5" t="n"/>
    </row>
    <row r="314">
      <c r="A314" s="5" t="n"/>
      <c r="B314" s="5" t="n"/>
      <c r="C314" s="5" t="n"/>
    </row>
    <row r="315">
      <c r="A315" s="5" t="n"/>
      <c r="B315" s="5" t="n"/>
      <c r="C315" s="5" t="n"/>
    </row>
    <row r="316">
      <c r="A316" s="5" t="n"/>
      <c r="B316" s="5" t="n"/>
      <c r="C316" s="5" t="n"/>
    </row>
    <row r="317">
      <c r="A317" s="5" t="n"/>
      <c r="B317" s="5" t="n"/>
      <c r="C317" s="5" t="n"/>
    </row>
    <row r="318">
      <c r="A318" s="5" t="n"/>
      <c r="B318" s="5" t="n"/>
      <c r="C318" s="5" t="n"/>
    </row>
    <row r="319">
      <c r="A319" s="5" t="n"/>
      <c r="B319" s="5" t="n"/>
      <c r="C319" s="5" t="n"/>
    </row>
    <row r="320">
      <c r="A320" s="5" t="n"/>
      <c r="B320" s="5" t="n"/>
      <c r="C320" s="5" t="n"/>
    </row>
    <row r="321">
      <c r="A321" s="5" t="n"/>
      <c r="B321" s="5" t="n"/>
      <c r="C321" s="5" t="n"/>
    </row>
    <row r="322">
      <c r="A322" s="5" t="n"/>
      <c r="B322" s="5" t="n"/>
      <c r="C322" s="5" t="n"/>
    </row>
    <row r="323">
      <c r="A323" s="5" t="n"/>
      <c r="B323" s="5" t="n"/>
      <c r="C323" s="5" t="n"/>
    </row>
    <row r="324">
      <c r="A324" s="5" t="n"/>
      <c r="B324" s="5" t="n"/>
      <c r="C324" s="5" t="n"/>
    </row>
    <row r="325">
      <c r="A325" s="5" t="n"/>
      <c r="B325" s="5" t="n"/>
      <c r="C325" s="5" t="n"/>
    </row>
    <row r="326">
      <c r="A326" s="5" t="n"/>
      <c r="B326" s="5" t="n"/>
      <c r="C326" s="5" t="n"/>
    </row>
    <row r="327">
      <c r="A327" s="5" t="n"/>
      <c r="B327" s="5" t="n"/>
      <c r="C327" s="5" t="n"/>
    </row>
    <row r="328">
      <c r="A328" s="5" t="n"/>
      <c r="B328" s="5" t="n"/>
      <c r="C328" s="5" t="n"/>
    </row>
    <row r="329">
      <c r="A329" s="5" t="n"/>
      <c r="B329" s="5" t="n"/>
      <c r="C329" s="5" t="n"/>
    </row>
    <row r="330">
      <c r="A330" s="5" t="n"/>
      <c r="B330" s="5" t="n"/>
      <c r="C330" s="5" t="n"/>
    </row>
    <row r="331">
      <c r="A331" s="5" t="n"/>
      <c r="B331" s="5" t="n"/>
      <c r="C331" s="5" t="n"/>
    </row>
    <row r="332">
      <c r="A332" s="5" t="n"/>
      <c r="B332" s="5" t="n"/>
      <c r="C332" s="5" t="n"/>
    </row>
    <row r="333">
      <c r="A333" s="5" t="n"/>
      <c r="B333" s="5" t="n"/>
      <c r="C333" s="5" t="n"/>
    </row>
    <row r="334">
      <c r="A334" s="5" t="n"/>
      <c r="B334" s="5" t="n"/>
      <c r="C334" s="5" t="n"/>
    </row>
    <row r="335">
      <c r="A335" s="5" t="n"/>
      <c r="B335" s="5" t="n"/>
      <c r="C335" s="5" t="n"/>
    </row>
    <row r="336">
      <c r="A336" s="5" t="n"/>
      <c r="B336" s="5" t="n"/>
      <c r="C336" s="5" t="n"/>
    </row>
    <row r="337">
      <c r="A337" s="5" t="n"/>
      <c r="B337" s="5" t="n"/>
      <c r="C337" s="5" t="n"/>
    </row>
    <row r="338">
      <c r="A338" s="5" t="n"/>
      <c r="B338" s="5" t="n"/>
      <c r="C338" s="5" t="n"/>
    </row>
    <row r="339">
      <c r="A339" s="5" t="n"/>
      <c r="B339" s="5" t="n"/>
      <c r="C339" s="5" t="n"/>
    </row>
    <row r="340">
      <c r="A340" s="5" t="n"/>
      <c r="B340" s="5" t="n"/>
      <c r="C340" s="5" t="n"/>
    </row>
    <row r="341">
      <c r="A341" s="5" t="n"/>
      <c r="B341" s="5" t="n"/>
      <c r="C341" s="5" t="n"/>
    </row>
    <row r="342">
      <c r="A342" s="5" t="n"/>
      <c r="B342" s="5" t="n"/>
      <c r="C342" s="5" t="n"/>
    </row>
    <row r="343">
      <c r="A343" s="5" t="n"/>
      <c r="B343" s="5" t="n"/>
      <c r="C343" s="5" t="n"/>
    </row>
    <row r="344">
      <c r="A344" s="5" t="n"/>
      <c r="B344" s="5" t="n"/>
      <c r="C344" s="5" t="n"/>
    </row>
    <row r="345">
      <c r="A345" s="5" t="n"/>
      <c r="B345" s="5" t="n"/>
      <c r="C345" s="5" t="n"/>
    </row>
    <row r="346">
      <c r="A346" s="5" t="n"/>
      <c r="B346" s="5" t="n"/>
      <c r="C346" s="5" t="n"/>
    </row>
    <row r="347">
      <c r="A347" s="5" t="n"/>
      <c r="B347" s="5" t="n"/>
      <c r="C347" s="5" t="n"/>
    </row>
    <row r="348">
      <c r="A348" s="5" t="n"/>
      <c r="B348" s="5" t="n"/>
      <c r="C348" s="5" t="n"/>
    </row>
    <row r="349">
      <c r="A349" s="5" t="n"/>
      <c r="B349" s="5" t="n"/>
      <c r="C349" s="5" t="n"/>
    </row>
    <row r="350">
      <c r="A350" s="5" t="n"/>
      <c r="B350" s="5" t="n"/>
      <c r="C350" s="5" t="n"/>
    </row>
    <row r="351">
      <c r="A351" s="5" t="n"/>
      <c r="B351" s="5" t="n"/>
      <c r="C351" s="5" t="n"/>
    </row>
    <row r="352">
      <c r="A352" s="5" t="n"/>
      <c r="B352" s="5" t="n"/>
      <c r="C352" s="5" t="n"/>
    </row>
    <row r="353">
      <c r="A353" s="5" t="n"/>
      <c r="B353" s="5" t="n"/>
      <c r="C353" s="5" t="n"/>
    </row>
    <row r="354">
      <c r="A354" s="5" t="n"/>
      <c r="B354" s="5" t="n"/>
      <c r="C354" s="5" t="n"/>
    </row>
    <row r="355">
      <c r="A355" s="5" t="n"/>
      <c r="B355" s="5" t="n"/>
      <c r="C355" s="5" t="n"/>
    </row>
    <row r="356">
      <c r="A356" s="5" t="n"/>
      <c r="B356" s="5" t="n"/>
      <c r="C356" s="5" t="n"/>
    </row>
    <row r="357">
      <c r="A357" s="5" t="n"/>
      <c r="B357" s="5" t="n"/>
      <c r="C357" s="5" t="n"/>
    </row>
    <row r="358">
      <c r="A358" s="5" t="n"/>
      <c r="B358" s="5" t="n"/>
      <c r="C358" s="5" t="n"/>
    </row>
    <row r="359">
      <c r="A359" s="5" t="n"/>
      <c r="B359" s="5" t="n"/>
      <c r="C359" s="5" t="n"/>
    </row>
    <row r="360">
      <c r="A360" s="5" t="n"/>
      <c r="B360" s="5" t="n"/>
      <c r="C360" s="5" t="n"/>
    </row>
    <row r="361">
      <c r="A361" s="5" t="n"/>
      <c r="B361" s="5" t="n"/>
      <c r="C361" s="5" t="n"/>
    </row>
    <row r="362">
      <c r="A362" s="5" t="n"/>
      <c r="B362" s="5" t="n"/>
      <c r="C362" s="5" t="n"/>
    </row>
    <row r="363">
      <c r="A363" s="5" t="n"/>
      <c r="B363" s="5" t="n"/>
      <c r="C363" s="5" t="n"/>
    </row>
    <row r="364">
      <c r="A364" s="5" t="n"/>
      <c r="B364" s="5" t="n"/>
      <c r="C364" s="5" t="n"/>
    </row>
    <row r="365">
      <c r="A365" s="5" t="n"/>
      <c r="B365" s="5" t="n"/>
      <c r="C365" s="5" t="n"/>
    </row>
    <row r="366">
      <c r="A366" s="5" t="n"/>
      <c r="B366" s="5" t="n"/>
      <c r="C366" s="5" t="n"/>
    </row>
    <row r="367">
      <c r="A367" s="5" t="n"/>
      <c r="B367" s="5" t="n"/>
      <c r="C367" s="5" t="n"/>
    </row>
    <row r="368">
      <c r="A368" s="5" t="n"/>
      <c r="B368" s="5" t="n"/>
      <c r="C368" s="5" t="n"/>
    </row>
    <row r="369">
      <c r="A369" s="5" t="n"/>
      <c r="B369" s="5" t="n"/>
      <c r="C369" s="5" t="n"/>
    </row>
    <row r="370">
      <c r="A370" s="5" t="n"/>
      <c r="B370" s="5" t="n"/>
      <c r="C370" s="5" t="n"/>
    </row>
    <row r="371">
      <c r="A371" s="5" t="n"/>
      <c r="B371" s="5" t="n"/>
      <c r="C371" s="5" t="n"/>
    </row>
    <row r="372">
      <c r="A372" s="5" t="n"/>
      <c r="B372" s="5" t="n"/>
      <c r="C372" s="5" t="n"/>
    </row>
    <row r="373">
      <c r="A373" s="5" t="n"/>
      <c r="B373" s="5" t="n"/>
      <c r="C373" s="5" t="n"/>
    </row>
    <row r="374">
      <c r="A374" s="5" t="n"/>
      <c r="B374" s="5" t="n"/>
      <c r="C374" s="5" t="n"/>
    </row>
    <row r="375">
      <c r="A375" s="5" t="n"/>
      <c r="B375" s="5" t="n"/>
      <c r="C375" s="5" t="n"/>
    </row>
    <row r="376">
      <c r="A376" s="5" t="n"/>
      <c r="B376" s="5" t="n"/>
      <c r="C376" s="5" t="n"/>
    </row>
    <row r="377">
      <c r="A377" s="5" t="n"/>
      <c r="B377" s="5" t="n"/>
      <c r="C377" s="5" t="n"/>
    </row>
    <row r="378">
      <c r="A378" s="5" t="n"/>
      <c r="B378" s="5" t="n"/>
      <c r="C378" s="5" t="n"/>
    </row>
    <row r="379">
      <c r="A379" s="5" t="n"/>
      <c r="B379" s="5" t="n"/>
      <c r="C379" s="5" t="n"/>
    </row>
    <row r="380">
      <c r="A380" s="5" t="n"/>
      <c r="B380" s="5" t="n"/>
      <c r="C380" s="5" t="n"/>
    </row>
    <row r="381">
      <c r="A381" s="5" t="n"/>
      <c r="B381" s="5" t="n"/>
      <c r="C381" s="5" t="n"/>
    </row>
    <row r="382">
      <c r="A382" s="5" t="n"/>
      <c r="B382" s="5" t="n"/>
      <c r="C382" s="5" t="n"/>
    </row>
    <row r="383">
      <c r="A383" s="5" t="n"/>
      <c r="B383" s="5" t="n"/>
      <c r="C383" s="5" t="n"/>
    </row>
    <row r="384">
      <c r="A384" s="5" t="n"/>
      <c r="B384" s="5" t="n"/>
      <c r="C384" s="5" t="n"/>
    </row>
    <row r="385">
      <c r="A385" s="5" t="n"/>
      <c r="B385" s="5" t="n"/>
      <c r="C385" s="5" t="n"/>
    </row>
    <row r="386">
      <c r="A386" s="5" t="n"/>
      <c r="B386" s="5" t="n"/>
      <c r="C386" s="5" t="n"/>
    </row>
    <row r="387">
      <c r="A387" s="5" t="n"/>
      <c r="B387" s="5" t="n"/>
      <c r="C387" s="5" t="n"/>
    </row>
    <row r="388">
      <c r="A388" s="5" t="n"/>
      <c r="B388" s="5" t="n"/>
      <c r="C388" s="5" t="n"/>
    </row>
    <row r="389">
      <c r="A389" s="5" t="n"/>
      <c r="B389" s="5" t="n"/>
      <c r="C389" s="5" t="n"/>
    </row>
    <row r="390">
      <c r="A390" s="5" t="n"/>
      <c r="B390" s="5" t="n"/>
      <c r="C390" s="5" t="n"/>
    </row>
    <row r="391">
      <c r="A391" s="5" t="n"/>
      <c r="B391" s="5" t="n"/>
      <c r="C391" s="5" t="n"/>
    </row>
    <row r="392">
      <c r="A392" s="5" t="n"/>
      <c r="B392" s="5" t="n"/>
      <c r="C392" s="5" t="n"/>
    </row>
    <row r="393">
      <c r="A393" s="5" t="n"/>
      <c r="B393" s="5" t="n"/>
      <c r="C393" s="5" t="n"/>
    </row>
    <row r="394">
      <c r="A394" s="5" t="n"/>
      <c r="B394" s="5" t="n"/>
      <c r="C394" s="5" t="n"/>
    </row>
    <row r="395">
      <c r="A395" s="5" t="n"/>
      <c r="B395" s="5" t="n"/>
      <c r="C395" s="5" t="n"/>
    </row>
    <row r="396">
      <c r="A396" s="5" t="n"/>
      <c r="B396" s="5" t="n"/>
      <c r="C396" s="5" t="n"/>
    </row>
    <row r="397">
      <c r="A397" s="5" t="n"/>
      <c r="B397" s="5" t="n"/>
      <c r="C397" s="5" t="n"/>
    </row>
    <row r="398">
      <c r="A398" s="5" t="n"/>
      <c r="B398" s="5" t="n"/>
      <c r="C398" s="5" t="n"/>
    </row>
    <row r="399">
      <c r="A399" s="5" t="n"/>
      <c r="B399" s="5" t="n"/>
      <c r="C399" s="5" t="n"/>
    </row>
    <row r="400">
      <c r="A400" s="5" t="n"/>
      <c r="B400" s="5" t="n"/>
      <c r="C400" s="5" t="n"/>
    </row>
    <row r="401">
      <c r="A401" s="5" t="n"/>
      <c r="B401" s="5" t="n"/>
      <c r="C401" s="5" t="n"/>
    </row>
    <row r="402">
      <c r="A402" s="5" t="n"/>
      <c r="B402" s="5" t="n"/>
      <c r="C402" s="5" t="n"/>
    </row>
    <row r="403">
      <c r="A403" s="5" t="n"/>
      <c r="B403" s="5" t="n"/>
      <c r="C403" s="5" t="n"/>
    </row>
    <row r="404">
      <c r="A404" s="5" t="n"/>
      <c r="B404" s="5" t="n"/>
      <c r="C404" s="5" t="n"/>
    </row>
    <row r="405">
      <c r="A405" s="5" t="n"/>
      <c r="B405" s="5" t="n"/>
      <c r="C405" s="5" t="n"/>
    </row>
    <row r="406">
      <c r="A406" s="5" t="n"/>
      <c r="B406" s="5" t="n"/>
      <c r="C406" s="5" t="n"/>
    </row>
    <row r="407">
      <c r="A407" s="5" t="n"/>
      <c r="B407" s="5" t="n"/>
      <c r="C407" s="5" t="n"/>
    </row>
    <row r="408">
      <c r="A408" s="5" t="n"/>
      <c r="B408" s="5" t="n"/>
      <c r="C408" s="5" t="n"/>
    </row>
    <row r="409">
      <c r="A409" s="5" t="n"/>
      <c r="B409" s="5" t="n"/>
      <c r="C409" s="5" t="n"/>
    </row>
    <row r="410">
      <c r="A410" s="5" t="n"/>
      <c r="B410" s="5" t="n"/>
      <c r="C410" s="5" t="n"/>
    </row>
    <row r="411">
      <c r="A411" s="5" t="n"/>
      <c r="B411" s="5" t="n"/>
      <c r="C411" s="5" t="n"/>
    </row>
    <row r="412">
      <c r="A412" s="5" t="n"/>
      <c r="B412" s="5" t="n"/>
      <c r="C412" s="5" t="n"/>
    </row>
    <row r="413">
      <c r="A413" s="5" t="n"/>
      <c r="B413" s="5" t="n"/>
      <c r="C413" s="5" t="n"/>
    </row>
    <row r="414">
      <c r="A414" s="5" t="n"/>
      <c r="B414" s="5" t="n"/>
      <c r="C414" s="5" t="n"/>
    </row>
    <row r="415">
      <c r="A415" s="5" t="n"/>
      <c r="B415" s="5" t="n"/>
      <c r="C415" s="5" t="n"/>
    </row>
    <row r="416">
      <c r="A416" s="5" t="n"/>
      <c r="B416" s="5" t="n"/>
      <c r="C416" s="5" t="n"/>
    </row>
    <row r="417">
      <c r="A417" s="5" t="n"/>
      <c r="B417" s="5" t="n"/>
      <c r="C417" s="5" t="n"/>
    </row>
    <row r="418">
      <c r="A418" s="5" t="n"/>
      <c r="B418" s="5" t="n"/>
      <c r="C418" s="5" t="n"/>
    </row>
    <row r="419">
      <c r="A419" s="5" t="n"/>
      <c r="B419" s="5" t="n"/>
      <c r="C419" s="5" t="n"/>
    </row>
    <row r="420">
      <c r="A420" s="5" t="n"/>
      <c r="B420" s="5" t="n"/>
      <c r="C420" s="5" t="n"/>
    </row>
    <row r="421">
      <c r="A421" s="5" t="n"/>
      <c r="B421" s="5" t="n"/>
      <c r="C421" s="5" t="n"/>
    </row>
    <row r="422">
      <c r="A422" s="5" t="n"/>
      <c r="B422" s="5" t="n"/>
      <c r="C422" s="5" t="n"/>
    </row>
    <row r="423">
      <c r="A423" s="5" t="n"/>
      <c r="B423" s="5" t="n"/>
      <c r="C423" s="5" t="n"/>
    </row>
    <row r="424">
      <c r="A424" s="5" t="n"/>
      <c r="B424" s="5" t="n"/>
      <c r="C424" s="5" t="n"/>
    </row>
    <row r="425">
      <c r="A425" s="5" t="n"/>
      <c r="B425" s="5" t="n"/>
      <c r="C425" s="5" t="n"/>
    </row>
    <row r="426">
      <c r="A426" s="5" t="n"/>
      <c r="B426" s="5" t="n"/>
      <c r="C426" s="5" t="n"/>
    </row>
    <row r="427">
      <c r="A427" s="5" t="n"/>
      <c r="B427" s="5" t="n"/>
      <c r="C427" s="5" t="n"/>
    </row>
    <row r="428">
      <c r="A428" s="5" t="n"/>
      <c r="B428" s="5" t="n"/>
      <c r="C428" s="5" t="n"/>
    </row>
    <row r="429">
      <c r="A429" s="5" t="n"/>
      <c r="B429" s="5" t="n"/>
      <c r="C429" s="5" t="n"/>
    </row>
    <row r="430">
      <c r="A430" s="5" t="n"/>
      <c r="B430" s="5" t="n"/>
      <c r="C430" s="5" t="n"/>
    </row>
    <row r="431">
      <c r="A431" s="5" t="n"/>
      <c r="B431" s="5" t="n"/>
      <c r="C431" s="5" t="n"/>
    </row>
    <row r="432">
      <c r="A432" s="5" t="n"/>
      <c r="B432" s="5" t="n"/>
      <c r="C432" s="5" t="n"/>
    </row>
    <row r="433">
      <c r="A433" s="5" t="n"/>
      <c r="B433" s="5" t="n"/>
      <c r="C433" s="5" t="n"/>
    </row>
    <row r="434">
      <c r="A434" s="5" t="n"/>
      <c r="B434" s="5" t="n"/>
      <c r="C434" s="5" t="n"/>
    </row>
    <row r="435">
      <c r="A435" s="5" t="n"/>
      <c r="B435" s="5" t="n"/>
      <c r="C435" s="5" t="n"/>
    </row>
    <row r="436">
      <c r="A436" s="5" t="n"/>
      <c r="B436" s="5" t="n"/>
      <c r="C436" s="5" t="n"/>
    </row>
    <row r="437">
      <c r="A437" s="5" t="n"/>
      <c r="B437" s="5" t="n"/>
      <c r="C437" s="5" t="n"/>
    </row>
    <row r="438">
      <c r="A438" s="5" t="n"/>
      <c r="B438" s="5" t="n"/>
      <c r="C438" s="5" t="n"/>
    </row>
    <row r="439">
      <c r="A439" s="5" t="n"/>
      <c r="B439" s="5" t="n"/>
      <c r="C439" s="5" t="n"/>
    </row>
    <row r="440">
      <c r="A440" s="5" t="n"/>
      <c r="B440" s="5" t="n"/>
      <c r="C440" s="5" t="n"/>
    </row>
    <row r="441">
      <c r="A441" s="5" t="n"/>
      <c r="B441" s="5" t="n"/>
      <c r="C441" s="5" t="n"/>
    </row>
    <row r="442">
      <c r="A442" s="5" t="n"/>
      <c r="B442" s="5" t="n"/>
      <c r="C442" s="5" t="n"/>
    </row>
    <row r="443">
      <c r="A443" s="5" t="n"/>
      <c r="B443" s="5" t="n"/>
      <c r="C443" s="5" t="n"/>
    </row>
    <row r="444">
      <c r="A444" s="5" t="n"/>
      <c r="B444" s="5" t="n"/>
      <c r="C444" s="5" t="n"/>
    </row>
    <row r="445">
      <c r="A445" s="5" t="n"/>
      <c r="B445" s="5" t="n"/>
      <c r="C445" s="5" t="n"/>
    </row>
    <row r="446">
      <c r="A446" s="5" t="n"/>
      <c r="B446" s="5" t="n"/>
      <c r="C446" s="5" t="n"/>
    </row>
    <row r="447">
      <c r="A447" s="5" t="n"/>
      <c r="B447" s="5" t="n"/>
      <c r="C447" s="5" t="n"/>
    </row>
    <row r="448">
      <c r="A448" s="5" t="n"/>
      <c r="B448" s="5" t="n"/>
      <c r="C448" s="5" t="n"/>
    </row>
    <row r="449">
      <c r="A449" s="5" t="n"/>
      <c r="B449" s="5" t="n"/>
      <c r="C449" s="5" t="n"/>
    </row>
    <row r="450">
      <c r="A450" s="5" t="n"/>
      <c r="B450" s="5" t="n"/>
      <c r="C450" s="5" t="n"/>
    </row>
    <row r="451">
      <c r="A451" s="5" t="n"/>
      <c r="B451" s="5" t="n"/>
      <c r="C451" s="5" t="n"/>
    </row>
    <row r="452">
      <c r="A452" s="5" t="n"/>
      <c r="B452" s="5" t="n"/>
      <c r="C452" s="5" t="n"/>
    </row>
    <row r="453">
      <c r="A453" s="5" t="n"/>
      <c r="B453" s="5" t="n"/>
      <c r="C453" s="5" t="n"/>
    </row>
    <row r="454">
      <c r="A454" s="5" t="n"/>
      <c r="B454" s="5" t="n"/>
      <c r="C454" s="5" t="n"/>
    </row>
    <row r="455">
      <c r="A455" s="5" t="n"/>
      <c r="B455" s="5" t="n"/>
      <c r="C455" s="5" t="n"/>
    </row>
    <row r="456">
      <c r="A456" s="5" t="n"/>
      <c r="B456" s="5" t="n"/>
      <c r="C456" s="5" t="n"/>
    </row>
    <row r="457">
      <c r="A457" s="5" t="n"/>
      <c r="B457" s="5" t="n"/>
      <c r="C457" s="5" t="n"/>
    </row>
    <row r="458">
      <c r="A458" s="5" t="n"/>
      <c r="B458" s="5" t="n"/>
      <c r="C458" s="5" t="n"/>
    </row>
    <row r="459">
      <c r="A459" s="5" t="n"/>
      <c r="B459" s="5" t="n"/>
      <c r="C459" s="5" t="n"/>
    </row>
    <row r="460">
      <c r="A460" s="5" t="n"/>
      <c r="B460" s="5" t="n"/>
      <c r="C460" s="5" t="n"/>
    </row>
    <row r="461">
      <c r="A461" s="5" t="n"/>
      <c r="B461" s="5" t="n"/>
      <c r="C461" s="5" t="n"/>
    </row>
    <row r="462">
      <c r="A462" s="5" t="n"/>
      <c r="B462" s="5" t="n"/>
      <c r="C462" s="5" t="n"/>
    </row>
    <row r="463">
      <c r="A463" s="5" t="n"/>
      <c r="B463" s="5" t="n"/>
      <c r="C463" s="5" t="n"/>
    </row>
    <row r="464">
      <c r="A464" s="5" t="n"/>
      <c r="B464" s="5" t="n"/>
      <c r="C464" s="5" t="n"/>
    </row>
    <row r="465">
      <c r="A465" s="5" t="n"/>
      <c r="B465" s="5" t="n"/>
      <c r="C465" s="5" t="n"/>
    </row>
    <row r="466">
      <c r="A466" s="5" t="n"/>
      <c r="B466" s="5" t="n"/>
      <c r="C466" s="5" t="n"/>
    </row>
    <row r="467">
      <c r="A467" s="5" t="n"/>
      <c r="B467" s="5" t="n"/>
      <c r="C467" s="5" t="n"/>
    </row>
    <row r="468">
      <c r="A468" s="5" t="n"/>
      <c r="B468" s="5" t="n"/>
      <c r="C468" s="5" t="n"/>
    </row>
    <row r="469">
      <c r="A469" s="5" t="n"/>
      <c r="B469" s="5" t="n"/>
      <c r="C469" s="5" t="n"/>
    </row>
    <row r="470">
      <c r="A470" s="5" t="n"/>
      <c r="B470" s="5" t="n"/>
      <c r="C470" s="5" t="n"/>
    </row>
    <row r="471">
      <c r="A471" s="5" t="n"/>
      <c r="B471" s="5" t="n"/>
      <c r="C471" s="5" t="n"/>
    </row>
    <row r="472">
      <c r="A472" s="5" t="n"/>
      <c r="B472" s="5" t="n"/>
      <c r="C472" s="5" t="n"/>
    </row>
    <row r="473">
      <c r="A473" s="5" t="n"/>
      <c r="B473" s="5" t="n"/>
      <c r="C473" s="5" t="n"/>
    </row>
    <row r="474">
      <c r="A474" s="5" t="n"/>
      <c r="B474" s="5" t="n"/>
      <c r="C474" s="5" t="n"/>
    </row>
    <row r="475">
      <c r="A475" s="5" t="n"/>
      <c r="B475" s="5" t="n"/>
      <c r="C475" s="5" t="n"/>
    </row>
    <row r="476">
      <c r="A476" s="5" t="n"/>
      <c r="B476" s="5" t="n"/>
      <c r="C476" s="5" t="n"/>
    </row>
    <row r="477">
      <c r="A477" s="5" t="n"/>
      <c r="B477" s="5" t="n"/>
      <c r="C477" s="5" t="n"/>
    </row>
    <row r="478">
      <c r="A478" s="5" t="n"/>
      <c r="B478" s="5" t="n"/>
      <c r="C478" s="5" t="n"/>
    </row>
    <row r="479">
      <c r="A479" s="5" t="n"/>
      <c r="B479" s="5" t="n"/>
      <c r="C479" s="5" t="n"/>
    </row>
    <row r="480">
      <c r="A480" s="5" t="n"/>
      <c r="B480" s="5" t="n"/>
      <c r="C480" s="5" t="n"/>
    </row>
    <row r="481">
      <c r="A481" s="5" t="n"/>
      <c r="B481" s="5" t="n"/>
      <c r="C481" s="5" t="n"/>
    </row>
    <row r="482">
      <c r="A482" s="5" t="n"/>
      <c r="B482" s="5" t="n"/>
      <c r="C482" s="5" t="n"/>
    </row>
    <row r="483">
      <c r="A483" s="5" t="n"/>
      <c r="B483" s="5" t="n"/>
      <c r="C483" s="5" t="n"/>
    </row>
    <row r="484">
      <c r="A484" s="5" t="n"/>
      <c r="B484" s="5" t="n"/>
      <c r="C484" s="5" t="n"/>
    </row>
    <row r="485">
      <c r="A485" s="5" t="n"/>
      <c r="B485" s="5" t="n"/>
      <c r="C485" s="5" t="n"/>
    </row>
    <row r="486">
      <c r="A486" s="5" t="n"/>
      <c r="B486" s="5" t="n"/>
      <c r="C486" s="5" t="n"/>
    </row>
    <row r="487">
      <c r="A487" s="5" t="n"/>
      <c r="B487" s="5" t="n"/>
      <c r="C487" s="5" t="n"/>
    </row>
    <row r="488">
      <c r="A488" s="5" t="n"/>
      <c r="B488" s="5" t="n"/>
      <c r="C488" s="5" t="n"/>
    </row>
    <row r="489">
      <c r="A489" s="5" t="n"/>
      <c r="B489" s="5" t="n"/>
      <c r="C489" s="5" t="n"/>
    </row>
    <row r="490">
      <c r="A490" s="5" t="n"/>
      <c r="B490" s="5" t="n"/>
      <c r="C490" s="5" t="n"/>
    </row>
    <row r="491">
      <c r="A491" s="5" t="n"/>
      <c r="B491" s="5" t="n"/>
      <c r="C491" s="5" t="n"/>
    </row>
    <row r="492">
      <c r="A492" s="5" t="n"/>
      <c r="B492" s="5" t="n"/>
      <c r="C492" s="5" t="n"/>
    </row>
    <row r="493">
      <c r="A493" s="5" t="n"/>
      <c r="B493" s="5" t="n"/>
      <c r="C493" s="5" t="n"/>
    </row>
    <row r="494">
      <c r="A494" s="5" t="n"/>
      <c r="B494" s="5" t="n"/>
      <c r="C494" s="5" t="n"/>
    </row>
    <row r="495">
      <c r="A495" s="5" t="n"/>
      <c r="B495" s="5" t="n"/>
      <c r="C495" s="5" t="n"/>
    </row>
    <row r="496">
      <c r="A496" s="5" t="n"/>
      <c r="B496" s="5" t="n"/>
      <c r="C496" s="5" t="n"/>
    </row>
    <row r="497">
      <c r="A497" s="5" t="n"/>
      <c r="B497" s="5" t="n"/>
      <c r="C497" s="5" t="n"/>
    </row>
    <row r="498">
      <c r="A498" s="5" t="n"/>
      <c r="B498" s="5" t="n"/>
      <c r="C498" s="5" t="n"/>
    </row>
    <row r="499">
      <c r="A499" s="5" t="n"/>
      <c r="B499" s="5" t="n"/>
      <c r="C499" s="5" t="n"/>
    </row>
    <row r="500">
      <c r="A500" s="5" t="n"/>
      <c r="B500" s="5" t="n"/>
      <c r="C500" s="5" t="n"/>
    </row>
    <row r="501">
      <c r="A501" s="5" t="n"/>
      <c r="B501" s="5" t="n"/>
      <c r="C501" s="5" t="n"/>
    </row>
    <row r="502">
      <c r="A502" s="5" t="n"/>
      <c r="B502" s="5" t="n"/>
      <c r="C502" s="5" t="n"/>
    </row>
    <row r="503">
      <c r="A503" s="5" t="n"/>
      <c r="B503" s="5" t="n"/>
      <c r="C503" s="5" t="n"/>
    </row>
    <row r="504">
      <c r="A504" s="5" t="n"/>
      <c r="B504" s="5" t="n"/>
      <c r="C504" s="5" t="n"/>
    </row>
  </sheetData>
  <autoFilter ref="A4:C504"/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44" customWidth="1" min="3" max="3"/>
    <col width="8" customWidth="1" min="4" max="4"/>
    <col width="14" customWidth="1" min="5" max="5"/>
    <col width="34" customWidth="1" min="6" max="6"/>
    <col width="24" customWidth="1" min="7" max="7"/>
    <col width="22" customWidth="1" min="8" max="8"/>
    <col width="30" customWidth="1" min="9" max="9"/>
  </cols>
  <sheetData>
    <row r="1" ht="28" customHeight="1">
      <c r="A1" s="1" t="inlineStr">
        <is>
          <t>FİYAT KAYNAKLARI</t>
        </is>
      </c>
    </row>
    <row r="2" ht="30" customHeight="1">
      <c r="A2" s="2" t="inlineStr">
        <is>
          <t>Her birim fiyatın hangi listeden, hangi sayfadan ve hangi döneme ait olduğu. Kaynağı yazılmayan fiyat rapora girmez.</t>
        </is>
      </c>
    </row>
    <row r="3">
      <c r="A3" s="15" t="inlineStr">
        <is>
          <t>TOPLAM</t>
        </is>
      </c>
      <c r="B3" s="16" t="n"/>
      <c r="C3" s="16" t="n"/>
      <c r="D3" s="16" t="n"/>
      <c r="E3" s="16" t="n"/>
      <c r="F3" s="16" t="n"/>
      <c r="G3" s="16" t="n"/>
      <c r="H3" s="16" t="n"/>
      <c r="I3" s="16" t="n"/>
    </row>
    <row r="4" ht="32" customHeight="1">
      <c r="A4" s="18" t="inlineStr">
        <is>
          <t>Sıra No</t>
        </is>
      </c>
      <c r="B4" s="18" t="inlineStr">
        <is>
          <t>Poz No</t>
        </is>
      </c>
      <c r="C4" s="18" t="inlineStr">
        <is>
          <t>İmalatın Cinsi</t>
        </is>
      </c>
      <c r="D4" s="18" t="inlineStr">
        <is>
          <t>Birim</t>
        </is>
      </c>
      <c r="E4" s="18" t="inlineStr">
        <is>
          <t>Birim Fiyat</t>
        </is>
      </c>
      <c r="F4" s="18" t="inlineStr">
        <is>
          <t>Kaynak Listesi</t>
        </is>
      </c>
      <c r="G4" s="18" t="inlineStr">
        <is>
          <t>Dayanak / Sayfa</t>
        </is>
      </c>
      <c r="H4" s="18" t="inlineStr">
        <is>
          <t>Dönem</t>
        </is>
      </c>
      <c r="I4" s="18" t="inlineStr">
        <is>
          <t>Not</t>
        </is>
      </c>
    </row>
    <row r="5">
      <c r="A5" s="5" t="n"/>
      <c r="B5" s="5" t="n"/>
      <c r="C5" s="5" t="n"/>
      <c r="D5" s="5" t="n"/>
      <c r="E5" s="20" t="n"/>
      <c r="F5" s="5" t="n"/>
      <c r="G5" s="5" t="n"/>
      <c r="H5" s="5" t="n"/>
      <c r="I5" s="5" t="n"/>
    </row>
    <row r="6">
      <c r="A6" s="5" t="n"/>
      <c r="B6" s="5" t="n"/>
      <c r="C6" s="5" t="n"/>
      <c r="D6" s="5" t="n"/>
      <c r="E6" s="20" t="n"/>
      <c r="F6" s="5" t="n"/>
      <c r="G6" s="5" t="n"/>
      <c r="H6" s="5" t="n"/>
      <c r="I6" s="5" t="n"/>
    </row>
    <row r="7">
      <c r="A7" s="5" t="n"/>
      <c r="B7" s="5" t="n"/>
      <c r="C7" s="5" t="n"/>
      <c r="D7" s="5" t="n"/>
      <c r="E7" s="20" t="n"/>
      <c r="F7" s="5" t="n"/>
      <c r="G7" s="5" t="n"/>
      <c r="H7" s="5" t="n"/>
      <c r="I7" s="5" t="n"/>
    </row>
    <row r="8">
      <c r="A8" s="5" t="n"/>
      <c r="B8" s="5" t="n"/>
      <c r="C8" s="5" t="n"/>
      <c r="D8" s="5" t="n"/>
      <c r="E8" s="20" t="n"/>
      <c r="F8" s="5" t="n"/>
      <c r="G8" s="5" t="n"/>
      <c r="H8" s="5" t="n"/>
      <c r="I8" s="5" t="n"/>
    </row>
    <row r="9">
      <c r="A9" s="5" t="n"/>
      <c r="B9" s="5" t="n"/>
      <c r="C9" s="5" t="n"/>
      <c r="D9" s="5" t="n"/>
      <c r="E9" s="20" t="n"/>
      <c r="F9" s="5" t="n"/>
      <c r="G9" s="5" t="n"/>
      <c r="H9" s="5" t="n"/>
      <c r="I9" s="5" t="n"/>
    </row>
    <row r="10">
      <c r="A10" s="5" t="n"/>
      <c r="B10" s="5" t="n"/>
      <c r="C10" s="5" t="n"/>
      <c r="D10" s="5" t="n"/>
      <c r="E10" s="20" t="n"/>
      <c r="F10" s="5" t="n"/>
      <c r="G10" s="5" t="n"/>
      <c r="H10" s="5" t="n"/>
      <c r="I10" s="5" t="n"/>
    </row>
    <row r="11">
      <c r="A11" s="5" t="n"/>
      <c r="B11" s="5" t="n"/>
      <c r="C11" s="5" t="n"/>
      <c r="D11" s="5" t="n"/>
      <c r="E11" s="20" t="n"/>
      <c r="F11" s="5" t="n"/>
      <c r="G11" s="5" t="n"/>
      <c r="H11" s="5" t="n"/>
      <c r="I11" s="5" t="n"/>
    </row>
    <row r="12">
      <c r="A12" s="5" t="n"/>
      <c r="B12" s="5" t="n"/>
      <c r="C12" s="5" t="n"/>
      <c r="D12" s="5" t="n"/>
      <c r="E12" s="20" t="n"/>
      <c r="F12" s="5" t="n"/>
      <c r="G12" s="5" t="n"/>
      <c r="H12" s="5" t="n"/>
      <c r="I12" s="5" t="n"/>
    </row>
    <row r="13">
      <c r="A13" s="5" t="n"/>
      <c r="B13" s="5" t="n"/>
      <c r="C13" s="5" t="n"/>
      <c r="D13" s="5" t="n"/>
      <c r="E13" s="20" t="n"/>
      <c r="F13" s="5" t="n"/>
      <c r="G13" s="5" t="n"/>
      <c r="H13" s="5" t="n"/>
      <c r="I13" s="5" t="n"/>
    </row>
    <row r="14">
      <c r="A14" s="5" t="n"/>
      <c r="B14" s="5" t="n"/>
      <c r="C14" s="5" t="n"/>
      <c r="D14" s="5" t="n"/>
      <c r="E14" s="20" t="n"/>
      <c r="F14" s="5" t="n"/>
      <c r="G14" s="5" t="n"/>
      <c r="H14" s="5" t="n"/>
      <c r="I14" s="5" t="n"/>
    </row>
    <row r="15">
      <c r="A15" s="5" t="n"/>
      <c r="B15" s="5" t="n"/>
      <c r="C15" s="5" t="n"/>
      <c r="D15" s="5" t="n"/>
      <c r="E15" s="20" t="n"/>
      <c r="F15" s="5" t="n"/>
      <c r="G15" s="5" t="n"/>
      <c r="H15" s="5" t="n"/>
      <c r="I15" s="5" t="n"/>
    </row>
    <row r="16">
      <c r="A16" s="5" t="n"/>
      <c r="B16" s="5" t="n"/>
      <c r="C16" s="5" t="n"/>
      <c r="D16" s="5" t="n"/>
      <c r="E16" s="20" t="n"/>
      <c r="F16" s="5" t="n"/>
      <c r="G16" s="5" t="n"/>
      <c r="H16" s="5" t="n"/>
      <c r="I16" s="5" t="n"/>
    </row>
    <row r="17">
      <c r="A17" s="5" t="n"/>
      <c r="B17" s="5" t="n"/>
      <c r="C17" s="5" t="n"/>
      <c r="D17" s="5" t="n"/>
      <c r="E17" s="20" t="n"/>
      <c r="F17" s="5" t="n"/>
      <c r="G17" s="5" t="n"/>
      <c r="H17" s="5" t="n"/>
      <c r="I17" s="5" t="n"/>
    </row>
    <row r="18">
      <c r="A18" s="5" t="n"/>
      <c r="B18" s="5" t="n"/>
      <c r="C18" s="5" t="n"/>
      <c r="D18" s="5" t="n"/>
      <c r="E18" s="20" t="n"/>
      <c r="F18" s="5" t="n"/>
      <c r="G18" s="5" t="n"/>
      <c r="H18" s="5" t="n"/>
      <c r="I18" s="5" t="n"/>
    </row>
    <row r="19">
      <c r="A19" s="5" t="n"/>
      <c r="B19" s="5" t="n"/>
      <c r="C19" s="5" t="n"/>
      <c r="D19" s="5" t="n"/>
      <c r="E19" s="20" t="n"/>
      <c r="F19" s="5" t="n"/>
      <c r="G19" s="5" t="n"/>
      <c r="H19" s="5" t="n"/>
      <c r="I19" s="5" t="n"/>
    </row>
    <row r="20">
      <c r="A20" s="5" t="n"/>
      <c r="B20" s="5" t="n"/>
      <c r="C20" s="5" t="n"/>
      <c r="D20" s="5" t="n"/>
      <c r="E20" s="20" t="n"/>
      <c r="F20" s="5" t="n"/>
      <c r="G20" s="5" t="n"/>
      <c r="H20" s="5" t="n"/>
      <c r="I20" s="5" t="n"/>
    </row>
    <row r="21">
      <c r="A21" s="5" t="n"/>
      <c r="B21" s="5" t="n"/>
      <c r="C21" s="5" t="n"/>
      <c r="D21" s="5" t="n"/>
      <c r="E21" s="20" t="n"/>
      <c r="F21" s="5" t="n"/>
      <c r="G21" s="5" t="n"/>
      <c r="H21" s="5" t="n"/>
      <c r="I21" s="5" t="n"/>
    </row>
    <row r="22">
      <c r="A22" s="5" t="n"/>
      <c r="B22" s="5" t="n"/>
      <c r="C22" s="5" t="n"/>
      <c r="D22" s="5" t="n"/>
      <c r="E22" s="20" t="n"/>
      <c r="F22" s="5" t="n"/>
      <c r="G22" s="5" t="n"/>
      <c r="H22" s="5" t="n"/>
      <c r="I22" s="5" t="n"/>
    </row>
    <row r="23">
      <c r="A23" s="5" t="n"/>
      <c r="B23" s="5" t="n"/>
      <c r="C23" s="5" t="n"/>
      <c r="D23" s="5" t="n"/>
      <c r="E23" s="20" t="n"/>
      <c r="F23" s="5" t="n"/>
      <c r="G23" s="5" t="n"/>
      <c r="H23" s="5" t="n"/>
      <c r="I23" s="5" t="n"/>
    </row>
    <row r="24">
      <c r="A24" s="5" t="n"/>
      <c r="B24" s="5" t="n"/>
      <c r="C24" s="5" t="n"/>
      <c r="D24" s="5" t="n"/>
      <c r="E24" s="20" t="n"/>
      <c r="F24" s="5" t="n"/>
      <c r="G24" s="5" t="n"/>
      <c r="H24" s="5" t="n"/>
      <c r="I24" s="5" t="n"/>
    </row>
    <row r="25">
      <c r="A25" s="5" t="n"/>
      <c r="B25" s="5" t="n"/>
      <c r="C25" s="5" t="n"/>
      <c r="D25" s="5" t="n"/>
      <c r="E25" s="20" t="n"/>
      <c r="F25" s="5" t="n"/>
      <c r="G25" s="5" t="n"/>
      <c r="H25" s="5" t="n"/>
      <c r="I25" s="5" t="n"/>
    </row>
    <row r="26">
      <c r="A26" s="5" t="n"/>
      <c r="B26" s="5" t="n"/>
      <c r="C26" s="5" t="n"/>
      <c r="D26" s="5" t="n"/>
      <c r="E26" s="20" t="n"/>
      <c r="F26" s="5" t="n"/>
      <c r="G26" s="5" t="n"/>
      <c r="H26" s="5" t="n"/>
      <c r="I26" s="5" t="n"/>
    </row>
    <row r="27">
      <c r="A27" s="5" t="n"/>
      <c r="B27" s="5" t="n"/>
      <c r="C27" s="5" t="n"/>
      <c r="D27" s="5" t="n"/>
      <c r="E27" s="20" t="n"/>
      <c r="F27" s="5" t="n"/>
      <c r="G27" s="5" t="n"/>
      <c r="H27" s="5" t="n"/>
      <c r="I27" s="5" t="n"/>
    </row>
    <row r="28">
      <c r="A28" s="5" t="n"/>
      <c r="B28" s="5" t="n"/>
      <c r="C28" s="5" t="n"/>
      <c r="D28" s="5" t="n"/>
      <c r="E28" s="20" t="n"/>
      <c r="F28" s="5" t="n"/>
      <c r="G28" s="5" t="n"/>
      <c r="H28" s="5" t="n"/>
      <c r="I28" s="5" t="n"/>
    </row>
    <row r="29">
      <c r="A29" s="5" t="n"/>
      <c r="B29" s="5" t="n"/>
      <c r="C29" s="5" t="n"/>
      <c r="D29" s="5" t="n"/>
      <c r="E29" s="20" t="n"/>
      <c r="F29" s="5" t="n"/>
      <c r="G29" s="5" t="n"/>
      <c r="H29" s="5" t="n"/>
      <c r="I29" s="5" t="n"/>
    </row>
    <row r="30">
      <c r="A30" s="5" t="n"/>
      <c r="B30" s="5" t="n"/>
      <c r="C30" s="5" t="n"/>
      <c r="D30" s="5" t="n"/>
      <c r="E30" s="20" t="n"/>
      <c r="F30" s="5" t="n"/>
      <c r="G30" s="5" t="n"/>
      <c r="H30" s="5" t="n"/>
      <c r="I30" s="5" t="n"/>
    </row>
    <row r="31">
      <c r="A31" s="5" t="n"/>
      <c r="B31" s="5" t="n"/>
      <c r="C31" s="5" t="n"/>
      <c r="D31" s="5" t="n"/>
      <c r="E31" s="20" t="n"/>
      <c r="F31" s="5" t="n"/>
      <c r="G31" s="5" t="n"/>
      <c r="H31" s="5" t="n"/>
      <c r="I31" s="5" t="n"/>
    </row>
    <row r="32">
      <c r="A32" s="5" t="n"/>
      <c r="B32" s="5" t="n"/>
      <c r="C32" s="5" t="n"/>
      <c r="D32" s="5" t="n"/>
      <c r="E32" s="20" t="n"/>
      <c r="F32" s="5" t="n"/>
      <c r="G32" s="5" t="n"/>
      <c r="H32" s="5" t="n"/>
      <c r="I32" s="5" t="n"/>
    </row>
    <row r="33">
      <c r="A33" s="5" t="n"/>
      <c r="B33" s="5" t="n"/>
      <c r="C33" s="5" t="n"/>
      <c r="D33" s="5" t="n"/>
      <c r="E33" s="20" t="n"/>
      <c r="F33" s="5" t="n"/>
      <c r="G33" s="5" t="n"/>
      <c r="H33" s="5" t="n"/>
      <c r="I33" s="5" t="n"/>
    </row>
    <row r="34">
      <c r="A34" s="5" t="n"/>
      <c r="B34" s="5" t="n"/>
      <c r="C34" s="5" t="n"/>
      <c r="D34" s="5" t="n"/>
      <c r="E34" s="20" t="n"/>
      <c r="F34" s="5" t="n"/>
      <c r="G34" s="5" t="n"/>
      <c r="H34" s="5" t="n"/>
      <c r="I34" s="5" t="n"/>
    </row>
    <row r="35">
      <c r="A35" s="5" t="n"/>
      <c r="B35" s="5" t="n"/>
      <c r="C35" s="5" t="n"/>
      <c r="D35" s="5" t="n"/>
      <c r="E35" s="20" t="n"/>
      <c r="F35" s="5" t="n"/>
      <c r="G35" s="5" t="n"/>
      <c r="H35" s="5" t="n"/>
      <c r="I35" s="5" t="n"/>
    </row>
    <row r="36">
      <c r="A36" s="5" t="n"/>
      <c r="B36" s="5" t="n"/>
      <c r="C36" s="5" t="n"/>
      <c r="D36" s="5" t="n"/>
      <c r="E36" s="20" t="n"/>
      <c r="F36" s="5" t="n"/>
      <c r="G36" s="5" t="n"/>
      <c r="H36" s="5" t="n"/>
      <c r="I36" s="5" t="n"/>
    </row>
    <row r="37">
      <c r="A37" s="5" t="n"/>
      <c r="B37" s="5" t="n"/>
      <c r="C37" s="5" t="n"/>
      <c r="D37" s="5" t="n"/>
      <c r="E37" s="20" t="n"/>
      <c r="F37" s="5" t="n"/>
      <c r="G37" s="5" t="n"/>
      <c r="H37" s="5" t="n"/>
      <c r="I37" s="5" t="n"/>
    </row>
    <row r="38">
      <c r="A38" s="5" t="n"/>
      <c r="B38" s="5" t="n"/>
      <c r="C38" s="5" t="n"/>
      <c r="D38" s="5" t="n"/>
      <c r="E38" s="20" t="n"/>
      <c r="F38" s="5" t="n"/>
      <c r="G38" s="5" t="n"/>
      <c r="H38" s="5" t="n"/>
      <c r="I38" s="5" t="n"/>
    </row>
    <row r="39">
      <c r="A39" s="5" t="n"/>
      <c r="B39" s="5" t="n"/>
      <c r="C39" s="5" t="n"/>
      <c r="D39" s="5" t="n"/>
      <c r="E39" s="20" t="n"/>
      <c r="F39" s="5" t="n"/>
      <c r="G39" s="5" t="n"/>
      <c r="H39" s="5" t="n"/>
      <c r="I39" s="5" t="n"/>
    </row>
    <row r="40">
      <c r="A40" s="5" t="n"/>
      <c r="B40" s="5" t="n"/>
      <c r="C40" s="5" t="n"/>
      <c r="D40" s="5" t="n"/>
      <c r="E40" s="20" t="n"/>
      <c r="F40" s="5" t="n"/>
      <c r="G40" s="5" t="n"/>
      <c r="H40" s="5" t="n"/>
      <c r="I40" s="5" t="n"/>
    </row>
    <row r="41">
      <c r="A41" s="5" t="n"/>
      <c r="B41" s="5" t="n"/>
      <c r="C41" s="5" t="n"/>
      <c r="D41" s="5" t="n"/>
      <c r="E41" s="20" t="n"/>
      <c r="F41" s="5" t="n"/>
      <c r="G41" s="5" t="n"/>
      <c r="H41" s="5" t="n"/>
      <c r="I41" s="5" t="n"/>
    </row>
    <row r="42">
      <c r="A42" s="5" t="n"/>
      <c r="B42" s="5" t="n"/>
      <c r="C42" s="5" t="n"/>
      <c r="D42" s="5" t="n"/>
      <c r="E42" s="20" t="n"/>
      <c r="F42" s="5" t="n"/>
      <c r="G42" s="5" t="n"/>
      <c r="H42" s="5" t="n"/>
      <c r="I42" s="5" t="n"/>
    </row>
    <row r="43">
      <c r="A43" s="5" t="n"/>
      <c r="B43" s="5" t="n"/>
      <c r="C43" s="5" t="n"/>
      <c r="D43" s="5" t="n"/>
      <c r="E43" s="20" t="n"/>
      <c r="F43" s="5" t="n"/>
      <c r="G43" s="5" t="n"/>
      <c r="H43" s="5" t="n"/>
      <c r="I43" s="5" t="n"/>
    </row>
    <row r="44">
      <c r="A44" s="5" t="n"/>
      <c r="B44" s="5" t="n"/>
      <c r="C44" s="5" t="n"/>
      <c r="D44" s="5" t="n"/>
      <c r="E44" s="20" t="n"/>
      <c r="F44" s="5" t="n"/>
      <c r="G44" s="5" t="n"/>
      <c r="H44" s="5" t="n"/>
      <c r="I44" s="5" t="n"/>
    </row>
    <row r="45">
      <c r="A45" s="5" t="n"/>
      <c r="B45" s="5" t="n"/>
      <c r="C45" s="5" t="n"/>
      <c r="D45" s="5" t="n"/>
      <c r="E45" s="20" t="n"/>
      <c r="F45" s="5" t="n"/>
      <c r="G45" s="5" t="n"/>
      <c r="H45" s="5" t="n"/>
      <c r="I45" s="5" t="n"/>
    </row>
    <row r="46">
      <c r="A46" s="5" t="n"/>
      <c r="B46" s="5" t="n"/>
      <c r="C46" s="5" t="n"/>
      <c r="D46" s="5" t="n"/>
      <c r="E46" s="20" t="n"/>
      <c r="F46" s="5" t="n"/>
      <c r="G46" s="5" t="n"/>
      <c r="H46" s="5" t="n"/>
      <c r="I46" s="5" t="n"/>
    </row>
    <row r="47">
      <c r="A47" s="5" t="n"/>
      <c r="B47" s="5" t="n"/>
      <c r="C47" s="5" t="n"/>
      <c r="D47" s="5" t="n"/>
      <c r="E47" s="20" t="n"/>
      <c r="F47" s="5" t="n"/>
      <c r="G47" s="5" t="n"/>
      <c r="H47" s="5" t="n"/>
      <c r="I47" s="5" t="n"/>
    </row>
    <row r="48">
      <c r="A48" s="5" t="n"/>
      <c r="B48" s="5" t="n"/>
      <c r="C48" s="5" t="n"/>
      <c r="D48" s="5" t="n"/>
      <c r="E48" s="20" t="n"/>
      <c r="F48" s="5" t="n"/>
      <c r="G48" s="5" t="n"/>
      <c r="H48" s="5" t="n"/>
      <c r="I48" s="5" t="n"/>
    </row>
    <row r="49">
      <c r="A49" s="5" t="n"/>
      <c r="B49" s="5" t="n"/>
      <c r="C49" s="5" t="n"/>
      <c r="D49" s="5" t="n"/>
      <c r="E49" s="20" t="n"/>
      <c r="F49" s="5" t="n"/>
      <c r="G49" s="5" t="n"/>
      <c r="H49" s="5" t="n"/>
      <c r="I49" s="5" t="n"/>
    </row>
    <row r="50">
      <c r="A50" s="5" t="n"/>
      <c r="B50" s="5" t="n"/>
      <c r="C50" s="5" t="n"/>
      <c r="D50" s="5" t="n"/>
      <c r="E50" s="20" t="n"/>
      <c r="F50" s="5" t="n"/>
      <c r="G50" s="5" t="n"/>
      <c r="H50" s="5" t="n"/>
      <c r="I50" s="5" t="n"/>
    </row>
    <row r="51">
      <c r="A51" s="5" t="n"/>
      <c r="B51" s="5" t="n"/>
      <c r="C51" s="5" t="n"/>
      <c r="D51" s="5" t="n"/>
      <c r="E51" s="20" t="n"/>
      <c r="F51" s="5" t="n"/>
      <c r="G51" s="5" t="n"/>
      <c r="H51" s="5" t="n"/>
      <c r="I51" s="5" t="n"/>
    </row>
    <row r="52">
      <c r="A52" s="5" t="n"/>
      <c r="B52" s="5" t="n"/>
      <c r="C52" s="5" t="n"/>
      <c r="D52" s="5" t="n"/>
      <c r="E52" s="20" t="n"/>
      <c r="F52" s="5" t="n"/>
      <c r="G52" s="5" t="n"/>
      <c r="H52" s="5" t="n"/>
      <c r="I52" s="5" t="n"/>
    </row>
    <row r="53">
      <c r="A53" s="5" t="n"/>
      <c r="B53" s="5" t="n"/>
      <c r="C53" s="5" t="n"/>
      <c r="D53" s="5" t="n"/>
      <c r="E53" s="20" t="n"/>
      <c r="F53" s="5" t="n"/>
      <c r="G53" s="5" t="n"/>
      <c r="H53" s="5" t="n"/>
      <c r="I53" s="5" t="n"/>
    </row>
    <row r="54">
      <c r="A54" s="5" t="n"/>
      <c r="B54" s="5" t="n"/>
      <c r="C54" s="5" t="n"/>
      <c r="D54" s="5" t="n"/>
      <c r="E54" s="20" t="n"/>
      <c r="F54" s="5" t="n"/>
      <c r="G54" s="5" t="n"/>
      <c r="H54" s="5" t="n"/>
      <c r="I54" s="5" t="n"/>
    </row>
    <row r="55">
      <c r="A55" s="5" t="n"/>
      <c r="B55" s="5" t="n"/>
      <c r="C55" s="5" t="n"/>
      <c r="D55" s="5" t="n"/>
      <c r="E55" s="20" t="n"/>
      <c r="F55" s="5" t="n"/>
      <c r="G55" s="5" t="n"/>
      <c r="H55" s="5" t="n"/>
      <c r="I55" s="5" t="n"/>
    </row>
    <row r="56">
      <c r="A56" s="5" t="n"/>
      <c r="B56" s="5" t="n"/>
      <c r="C56" s="5" t="n"/>
      <c r="D56" s="5" t="n"/>
      <c r="E56" s="20" t="n"/>
      <c r="F56" s="5" t="n"/>
      <c r="G56" s="5" t="n"/>
      <c r="H56" s="5" t="n"/>
      <c r="I56" s="5" t="n"/>
    </row>
    <row r="57">
      <c r="A57" s="5" t="n"/>
      <c r="B57" s="5" t="n"/>
      <c r="C57" s="5" t="n"/>
      <c r="D57" s="5" t="n"/>
      <c r="E57" s="20" t="n"/>
      <c r="F57" s="5" t="n"/>
      <c r="G57" s="5" t="n"/>
      <c r="H57" s="5" t="n"/>
      <c r="I57" s="5" t="n"/>
    </row>
    <row r="58">
      <c r="A58" s="5" t="n"/>
      <c r="B58" s="5" t="n"/>
      <c r="C58" s="5" t="n"/>
      <c r="D58" s="5" t="n"/>
      <c r="E58" s="20" t="n"/>
      <c r="F58" s="5" t="n"/>
      <c r="G58" s="5" t="n"/>
      <c r="H58" s="5" t="n"/>
      <c r="I58" s="5" t="n"/>
    </row>
    <row r="59">
      <c r="A59" s="5" t="n"/>
      <c r="B59" s="5" t="n"/>
      <c r="C59" s="5" t="n"/>
      <c r="D59" s="5" t="n"/>
      <c r="E59" s="20" t="n"/>
      <c r="F59" s="5" t="n"/>
      <c r="G59" s="5" t="n"/>
      <c r="H59" s="5" t="n"/>
      <c r="I59" s="5" t="n"/>
    </row>
    <row r="60">
      <c r="A60" s="5" t="n"/>
      <c r="B60" s="5" t="n"/>
      <c r="C60" s="5" t="n"/>
      <c r="D60" s="5" t="n"/>
      <c r="E60" s="20" t="n"/>
      <c r="F60" s="5" t="n"/>
      <c r="G60" s="5" t="n"/>
      <c r="H60" s="5" t="n"/>
      <c r="I60" s="5" t="n"/>
    </row>
    <row r="61">
      <c r="A61" s="5" t="n"/>
      <c r="B61" s="5" t="n"/>
      <c r="C61" s="5" t="n"/>
      <c r="D61" s="5" t="n"/>
      <c r="E61" s="20" t="n"/>
      <c r="F61" s="5" t="n"/>
      <c r="G61" s="5" t="n"/>
      <c r="H61" s="5" t="n"/>
      <c r="I61" s="5" t="n"/>
    </row>
    <row r="62">
      <c r="A62" s="5" t="n"/>
      <c r="B62" s="5" t="n"/>
      <c r="C62" s="5" t="n"/>
      <c r="D62" s="5" t="n"/>
      <c r="E62" s="20" t="n"/>
      <c r="F62" s="5" t="n"/>
      <c r="G62" s="5" t="n"/>
      <c r="H62" s="5" t="n"/>
      <c r="I62" s="5" t="n"/>
    </row>
    <row r="63">
      <c r="A63" s="5" t="n"/>
      <c r="B63" s="5" t="n"/>
      <c r="C63" s="5" t="n"/>
      <c r="D63" s="5" t="n"/>
      <c r="E63" s="20" t="n"/>
      <c r="F63" s="5" t="n"/>
      <c r="G63" s="5" t="n"/>
      <c r="H63" s="5" t="n"/>
      <c r="I63" s="5" t="n"/>
    </row>
    <row r="64">
      <c r="A64" s="5" t="n"/>
      <c r="B64" s="5" t="n"/>
      <c r="C64" s="5" t="n"/>
      <c r="D64" s="5" t="n"/>
      <c r="E64" s="20" t="n"/>
      <c r="F64" s="5" t="n"/>
      <c r="G64" s="5" t="n"/>
      <c r="H64" s="5" t="n"/>
      <c r="I64" s="5" t="n"/>
    </row>
    <row r="65">
      <c r="A65" s="5" t="n"/>
      <c r="B65" s="5" t="n"/>
      <c r="C65" s="5" t="n"/>
      <c r="D65" s="5" t="n"/>
      <c r="E65" s="20" t="n"/>
      <c r="F65" s="5" t="n"/>
      <c r="G65" s="5" t="n"/>
      <c r="H65" s="5" t="n"/>
      <c r="I65" s="5" t="n"/>
    </row>
    <row r="66">
      <c r="A66" s="5" t="n"/>
      <c r="B66" s="5" t="n"/>
      <c r="C66" s="5" t="n"/>
      <c r="D66" s="5" t="n"/>
      <c r="E66" s="20" t="n"/>
      <c r="F66" s="5" t="n"/>
      <c r="G66" s="5" t="n"/>
      <c r="H66" s="5" t="n"/>
      <c r="I66" s="5" t="n"/>
    </row>
    <row r="67">
      <c r="A67" s="5" t="n"/>
      <c r="B67" s="5" t="n"/>
      <c r="C67" s="5" t="n"/>
      <c r="D67" s="5" t="n"/>
      <c r="E67" s="20" t="n"/>
      <c r="F67" s="5" t="n"/>
      <c r="G67" s="5" t="n"/>
      <c r="H67" s="5" t="n"/>
      <c r="I67" s="5" t="n"/>
    </row>
    <row r="68">
      <c r="A68" s="5" t="n"/>
      <c r="B68" s="5" t="n"/>
      <c r="C68" s="5" t="n"/>
      <c r="D68" s="5" t="n"/>
      <c r="E68" s="20" t="n"/>
      <c r="F68" s="5" t="n"/>
      <c r="G68" s="5" t="n"/>
      <c r="H68" s="5" t="n"/>
      <c r="I68" s="5" t="n"/>
    </row>
    <row r="69">
      <c r="A69" s="5" t="n"/>
      <c r="B69" s="5" t="n"/>
      <c r="C69" s="5" t="n"/>
      <c r="D69" s="5" t="n"/>
      <c r="E69" s="20" t="n"/>
      <c r="F69" s="5" t="n"/>
      <c r="G69" s="5" t="n"/>
      <c r="H69" s="5" t="n"/>
      <c r="I69" s="5" t="n"/>
    </row>
    <row r="70">
      <c r="A70" s="5" t="n"/>
      <c r="B70" s="5" t="n"/>
      <c r="C70" s="5" t="n"/>
      <c r="D70" s="5" t="n"/>
      <c r="E70" s="20" t="n"/>
      <c r="F70" s="5" t="n"/>
      <c r="G70" s="5" t="n"/>
      <c r="H70" s="5" t="n"/>
      <c r="I70" s="5" t="n"/>
    </row>
    <row r="71">
      <c r="A71" s="5" t="n"/>
      <c r="B71" s="5" t="n"/>
      <c r="C71" s="5" t="n"/>
      <c r="D71" s="5" t="n"/>
      <c r="E71" s="20" t="n"/>
      <c r="F71" s="5" t="n"/>
      <c r="G71" s="5" t="n"/>
      <c r="H71" s="5" t="n"/>
      <c r="I71" s="5" t="n"/>
    </row>
    <row r="72">
      <c r="A72" s="5" t="n"/>
      <c r="B72" s="5" t="n"/>
      <c r="C72" s="5" t="n"/>
      <c r="D72" s="5" t="n"/>
      <c r="E72" s="20" t="n"/>
      <c r="F72" s="5" t="n"/>
      <c r="G72" s="5" t="n"/>
      <c r="H72" s="5" t="n"/>
      <c r="I72" s="5" t="n"/>
    </row>
    <row r="73">
      <c r="A73" s="5" t="n"/>
      <c r="B73" s="5" t="n"/>
      <c r="C73" s="5" t="n"/>
      <c r="D73" s="5" t="n"/>
      <c r="E73" s="20" t="n"/>
      <c r="F73" s="5" t="n"/>
      <c r="G73" s="5" t="n"/>
      <c r="H73" s="5" t="n"/>
      <c r="I73" s="5" t="n"/>
    </row>
    <row r="74">
      <c r="A74" s="5" t="n"/>
      <c r="B74" s="5" t="n"/>
      <c r="C74" s="5" t="n"/>
      <c r="D74" s="5" t="n"/>
      <c r="E74" s="20" t="n"/>
      <c r="F74" s="5" t="n"/>
      <c r="G74" s="5" t="n"/>
      <c r="H74" s="5" t="n"/>
      <c r="I74" s="5" t="n"/>
    </row>
    <row r="75">
      <c r="A75" s="5" t="n"/>
      <c r="B75" s="5" t="n"/>
      <c r="C75" s="5" t="n"/>
      <c r="D75" s="5" t="n"/>
      <c r="E75" s="20" t="n"/>
      <c r="F75" s="5" t="n"/>
      <c r="G75" s="5" t="n"/>
      <c r="H75" s="5" t="n"/>
      <c r="I75" s="5" t="n"/>
    </row>
    <row r="76">
      <c r="A76" s="5" t="n"/>
      <c r="B76" s="5" t="n"/>
      <c r="C76" s="5" t="n"/>
      <c r="D76" s="5" t="n"/>
      <c r="E76" s="20" t="n"/>
      <c r="F76" s="5" t="n"/>
      <c r="G76" s="5" t="n"/>
      <c r="H76" s="5" t="n"/>
      <c r="I76" s="5" t="n"/>
    </row>
    <row r="77">
      <c r="A77" s="5" t="n"/>
      <c r="B77" s="5" t="n"/>
      <c r="C77" s="5" t="n"/>
      <c r="D77" s="5" t="n"/>
      <c r="E77" s="20" t="n"/>
      <c r="F77" s="5" t="n"/>
      <c r="G77" s="5" t="n"/>
      <c r="H77" s="5" t="n"/>
      <c r="I77" s="5" t="n"/>
    </row>
    <row r="78">
      <c r="A78" s="5" t="n"/>
      <c r="B78" s="5" t="n"/>
      <c r="C78" s="5" t="n"/>
      <c r="D78" s="5" t="n"/>
      <c r="E78" s="20" t="n"/>
      <c r="F78" s="5" t="n"/>
      <c r="G78" s="5" t="n"/>
      <c r="H78" s="5" t="n"/>
      <c r="I78" s="5" t="n"/>
    </row>
    <row r="79">
      <c r="A79" s="5" t="n"/>
      <c r="B79" s="5" t="n"/>
      <c r="C79" s="5" t="n"/>
      <c r="D79" s="5" t="n"/>
      <c r="E79" s="20" t="n"/>
      <c r="F79" s="5" t="n"/>
      <c r="G79" s="5" t="n"/>
      <c r="H79" s="5" t="n"/>
      <c r="I79" s="5" t="n"/>
    </row>
    <row r="80">
      <c r="A80" s="5" t="n"/>
      <c r="B80" s="5" t="n"/>
      <c r="C80" s="5" t="n"/>
      <c r="D80" s="5" t="n"/>
      <c r="E80" s="20" t="n"/>
      <c r="F80" s="5" t="n"/>
      <c r="G80" s="5" t="n"/>
      <c r="H80" s="5" t="n"/>
      <c r="I80" s="5" t="n"/>
    </row>
    <row r="81">
      <c r="A81" s="5" t="n"/>
      <c r="B81" s="5" t="n"/>
      <c r="C81" s="5" t="n"/>
      <c r="D81" s="5" t="n"/>
      <c r="E81" s="20" t="n"/>
      <c r="F81" s="5" t="n"/>
      <c r="G81" s="5" t="n"/>
      <c r="H81" s="5" t="n"/>
      <c r="I81" s="5" t="n"/>
    </row>
    <row r="82">
      <c r="A82" s="5" t="n"/>
      <c r="B82" s="5" t="n"/>
      <c r="C82" s="5" t="n"/>
      <c r="D82" s="5" t="n"/>
      <c r="E82" s="20" t="n"/>
      <c r="F82" s="5" t="n"/>
      <c r="G82" s="5" t="n"/>
      <c r="H82" s="5" t="n"/>
      <c r="I82" s="5" t="n"/>
    </row>
    <row r="83">
      <c r="A83" s="5" t="n"/>
      <c r="B83" s="5" t="n"/>
      <c r="C83" s="5" t="n"/>
      <c r="D83" s="5" t="n"/>
      <c r="E83" s="20" t="n"/>
      <c r="F83" s="5" t="n"/>
      <c r="G83" s="5" t="n"/>
      <c r="H83" s="5" t="n"/>
      <c r="I83" s="5" t="n"/>
    </row>
    <row r="84">
      <c r="A84" s="5" t="n"/>
      <c r="B84" s="5" t="n"/>
      <c r="C84" s="5" t="n"/>
      <c r="D84" s="5" t="n"/>
      <c r="E84" s="20" t="n"/>
      <c r="F84" s="5" t="n"/>
      <c r="G84" s="5" t="n"/>
      <c r="H84" s="5" t="n"/>
      <c r="I84" s="5" t="n"/>
    </row>
    <row r="85">
      <c r="A85" s="5" t="n"/>
      <c r="B85" s="5" t="n"/>
      <c r="C85" s="5" t="n"/>
      <c r="D85" s="5" t="n"/>
      <c r="E85" s="20" t="n"/>
      <c r="F85" s="5" t="n"/>
      <c r="G85" s="5" t="n"/>
      <c r="H85" s="5" t="n"/>
      <c r="I85" s="5" t="n"/>
    </row>
    <row r="86">
      <c r="A86" s="5" t="n"/>
      <c r="B86" s="5" t="n"/>
      <c r="C86" s="5" t="n"/>
      <c r="D86" s="5" t="n"/>
      <c r="E86" s="20" t="n"/>
      <c r="F86" s="5" t="n"/>
      <c r="G86" s="5" t="n"/>
      <c r="H86" s="5" t="n"/>
      <c r="I86" s="5" t="n"/>
    </row>
    <row r="87">
      <c r="A87" s="5" t="n"/>
      <c r="B87" s="5" t="n"/>
      <c r="C87" s="5" t="n"/>
      <c r="D87" s="5" t="n"/>
      <c r="E87" s="20" t="n"/>
      <c r="F87" s="5" t="n"/>
      <c r="G87" s="5" t="n"/>
      <c r="H87" s="5" t="n"/>
      <c r="I87" s="5" t="n"/>
    </row>
    <row r="88">
      <c r="A88" s="5" t="n"/>
      <c r="B88" s="5" t="n"/>
      <c r="C88" s="5" t="n"/>
      <c r="D88" s="5" t="n"/>
      <c r="E88" s="20" t="n"/>
      <c r="F88" s="5" t="n"/>
      <c r="G88" s="5" t="n"/>
      <c r="H88" s="5" t="n"/>
      <c r="I88" s="5" t="n"/>
    </row>
    <row r="89">
      <c r="A89" s="5" t="n"/>
      <c r="B89" s="5" t="n"/>
      <c r="C89" s="5" t="n"/>
      <c r="D89" s="5" t="n"/>
      <c r="E89" s="20" t="n"/>
      <c r="F89" s="5" t="n"/>
      <c r="G89" s="5" t="n"/>
      <c r="H89" s="5" t="n"/>
      <c r="I89" s="5" t="n"/>
    </row>
    <row r="90">
      <c r="A90" s="5" t="n"/>
      <c r="B90" s="5" t="n"/>
      <c r="C90" s="5" t="n"/>
      <c r="D90" s="5" t="n"/>
      <c r="E90" s="20" t="n"/>
      <c r="F90" s="5" t="n"/>
      <c r="G90" s="5" t="n"/>
      <c r="H90" s="5" t="n"/>
      <c r="I90" s="5" t="n"/>
    </row>
    <row r="91">
      <c r="A91" s="5" t="n"/>
      <c r="B91" s="5" t="n"/>
      <c r="C91" s="5" t="n"/>
      <c r="D91" s="5" t="n"/>
      <c r="E91" s="20" t="n"/>
      <c r="F91" s="5" t="n"/>
      <c r="G91" s="5" t="n"/>
      <c r="H91" s="5" t="n"/>
      <c r="I91" s="5" t="n"/>
    </row>
    <row r="92">
      <c r="A92" s="5" t="n"/>
      <c r="B92" s="5" t="n"/>
      <c r="C92" s="5" t="n"/>
      <c r="D92" s="5" t="n"/>
      <c r="E92" s="20" t="n"/>
      <c r="F92" s="5" t="n"/>
      <c r="G92" s="5" t="n"/>
      <c r="H92" s="5" t="n"/>
      <c r="I92" s="5" t="n"/>
    </row>
    <row r="93">
      <c r="A93" s="5" t="n"/>
      <c r="B93" s="5" t="n"/>
      <c r="C93" s="5" t="n"/>
      <c r="D93" s="5" t="n"/>
      <c r="E93" s="20" t="n"/>
      <c r="F93" s="5" t="n"/>
      <c r="G93" s="5" t="n"/>
      <c r="H93" s="5" t="n"/>
      <c r="I93" s="5" t="n"/>
    </row>
    <row r="94">
      <c r="A94" s="5" t="n"/>
      <c r="B94" s="5" t="n"/>
      <c r="C94" s="5" t="n"/>
      <c r="D94" s="5" t="n"/>
      <c r="E94" s="20" t="n"/>
      <c r="F94" s="5" t="n"/>
      <c r="G94" s="5" t="n"/>
      <c r="H94" s="5" t="n"/>
      <c r="I94" s="5" t="n"/>
    </row>
    <row r="95">
      <c r="A95" s="5" t="n"/>
      <c r="B95" s="5" t="n"/>
      <c r="C95" s="5" t="n"/>
      <c r="D95" s="5" t="n"/>
      <c r="E95" s="20" t="n"/>
      <c r="F95" s="5" t="n"/>
      <c r="G95" s="5" t="n"/>
      <c r="H95" s="5" t="n"/>
      <c r="I95" s="5" t="n"/>
    </row>
    <row r="96">
      <c r="A96" s="5" t="n"/>
      <c r="B96" s="5" t="n"/>
      <c r="C96" s="5" t="n"/>
      <c r="D96" s="5" t="n"/>
      <c r="E96" s="20" t="n"/>
      <c r="F96" s="5" t="n"/>
      <c r="G96" s="5" t="n"/>
      <c r="H96" s="5" t="n"/>
      <c r="I96" s="5" t="n"/>
    </row>
    <row r="97">
      <c r="A97" s="5" t="n"/>
      <c r="B97" s="5" t="n"/>
      <c r="C97" s="5" t="n"/>
      <c r="D97" s="5" t="n"/>
      <c r="E97" s="20" t="n"/>
      <c r="F97" s="5" t="n"/>
      <c r="G97" s="5" t="n"/>
      <c r="H97" s="5" t="n"/>
      <c r="I97" s="5" t="n"/>
    </row>
    <row r="98">
      <c r="A98" s="5" t="n"/>
      <c r="B98" s="5" t="n"/>
      <c r="C98" s="5" t="n"/>
      <c r="D98" s="5" t="n"/>
      <c r="E98" s="20" t="n"/>
      <c r="F98" s="5" t="n"/>
      <c r="G98" s="5" t="n"/>
      <c r="H98" s="5" t="n"/>
      <c r="I98" s="5" t="n"/>
    </row>
    <row r="99">
      <c r="A99" s="5" t="n"/>
      <c r="B99" s="5" t="n"/>
      <c r="C99" s="5" t="n"/>
      <c r="D99" s="5" t="n"/>
      <c r="E99" s="20" t="n"/>
      <c r="F99" s="5" t="n"/>
      <c r="G99" s="5" t="n"/>
      <c r="H99" s="5" t="n"/>
      <c r="I99" s="5" t="n"/>
    </row>
    <row r="100">
      <c r="A100" s="5" t="n"/>
      <c r="B100" s="5" t="n"/>
      <c r="C100" s="5" t="n"/>
      <c r="D100" s="5" t="n"/>
      <c r="E100" s="20" t="n"/>
      <c r="F100" s="5" t="n"/>
      <c r="G100" s="5" t="n"/>
      <c r="H100" s="5" t="n"/>
      <c r="I100" s="5" t="n"/>
    </row>
    <row r="101">
      <c r="A101" s="5" t="n"/>
      <c r="B101" s="5" t="n"/>
      <c r="C101" s="5" t="n"/>
      <c r="D101" s="5" t="n"/>
      <c r="E101" s="20" t="n"/>
      <c r="F101" s="5" t="n"/>
      <c r="G101" s="5" t="n"/>
      <c r="H101" s="5" t="n"/>
      <c r="I101" s="5" t="n"/>
    </row>
    <row r="102">
      <c r="A102" s="5" t="n"/>
      <c r="B102" s="5" t="n"/>
      <c r="C102" s="5" t="n"/>
      <c r="D102" s="5" t="n"/>
      <c r="E102" s="20" t="n"/>
      <c r="F102" s="5" t="n"/>
      <c r="G102" s="5" t="n"/>
      <c r="H102" s="5" t="n"/>
      <c r="I102" s="5" t="n"/>
    </row>
    <row r="103">
      <c r="A103" s="5" t="n"/>
      <c r="B103" s="5" t="n"/>
      <c r="C103" s="5" t="n"/>
      <c r="D103" s="5" t="n"/>
      <c r="E103" s="20" t="n"/>
      <c r="F103" s="5" t="n"/>
      <c r="G103" s="5" t="n"/>
      <c r="H103" s="5" t="n"/>
      <c r="I103" s="5" t="n"/>
    </row>
    <row r="104">
      <c r="A104" s="5" t="n"/>
      <c r="B104" s="5" t="n"/>
      <c r="C104" s="5" t="n"/>
      <c r="D104" s="5" t="n"/>
      <c r="E104" s="20" t="n"/>
      <c r="F104" s="5" t="n"/>
      <c r="G104" s="5" t="n"/>
      <c r="H104" s="5" t="n"/>
      <c r="I104" s="5" t="n"/>
    </row>
    <row r="105">
      <c r="A105" s="5" t="n"/>
      <c r="B105" s="5" t="n"/>
      <c r="C105" s="5" t="n"/>
      <c r="D105" s="5" t="n"/>
      <c r="E105" s="20" t="n"/>
      <c r="F105" s="5" t="n"/>
      <c r="G105" s="5" t="n"/>
      <c r="H105" s="5" t="n"/>
      <c r="I105" s="5" t="n"/>
    </row>
    <row r="106">
      <c r="A106" s="5" t="n"/>
      <c r="B106" s="5" t="n"/>
      <c r="C106" s="5" t="n"/>
      <c r="D106" s="5" t="n"/>
      <c r="E106" s="20" t="n"/>
      <c r="F106" s="5" t="n"/>
      <c r="G106" s="5" t="n"/>
      <c r="H106" s="5" t="n"/>
      <c r="I106" s="5" t="n"/>
    </row>
    <row r="107">
      <c r="A107" s="5" t="n"/>
      <c r="B107" s="5" t="n"/>
      <c r="C107" s="5" t="n"/>
      <c r="D107" s="5" t="n"/>
      <c r="E107" s="20" t="n"/>
      <c r="F107" s="5" t="n"/>
      <c r="G107" s="5" t="n"/>
      <c r="H107" s="5" t="n"/>
      <c r="I107" s="5" t="n"/>
    </row>
    <row r="108">
      <c r="A108" s="5" t="n"/>
      <c r="B108" s="5" t="n"/>
      <c r="C108" s="5" t="n"/>
      <c r="D108" s="5" t="n"/>
      <c r="E108" s="20" t="n"/>
      <c r="F108" s="5" t="n"/>
      <c r="G108" s="5" t="n"/>
      <c r="H108" s="5" t="n"/>
      <c r="I108" s="5" t="n"/>
    </row>
    <row r="109">
      <c r="A109" s="5" t="n"/>
      <c r="B109" s="5" t="n"/>
      <c r="C109" s="5" t="n"/>
      <c r="D109" s="5" t="n"/>
      <c r="E109" s="20" t="n"/>
      <c r="F109" s="5" t="n"/>
      <c r="G109" s="5" t="n"/>
      <c r="H109" s="5" t="n"/>
      <c r="I109" s="5" t="n"/>
    </row>
    <row r="110">
      <c r="A110" s="5" t="n"/>
      <c r="B110" s="5" t="n"/>
      <c r="C110" s="5" t="n"/>
      <c r="D110" s="5" t="n"/>
      <c r="E110" s="20" t="n"/>
      <c r="F110" s="5" t="n"/>
      <c r="G110" s="5" t="n"/>
      <c r="H110" s="5" t="n"/>
      <c r="I110" s="5" t="n"/>
    </row>
    <row r="111">
      <c r="A111" s="5" t="n"/>
      <c r="B111" s="5" t="n"/>
      <c r="C111" s="5" t="n"/>
      <c r="D111" s="5" t="n"/>
      <c r="E111" s="20" t="n"/>
      <c r="F111" s="5" t="n"/>
      <c r="G111" s="5" t="n"/>
      <c r="H111" s="5" t="n"/>
      <c r="I111" s="5" t="n"/>
    </row>
    <row r="112">
      <c r="A112" s="5" t="n"/>
      <c r="B112" s="5" t="n"/>
      <c r="C112" s="5" t="n"/>
      <c r="D112" s="5" t="n"/>
      <c r="E112" s="20" t="n"/>
      <c r="F112" s="5" t="n"/>
      <c r="G112" s="5" t="n"/>
      <c r="H112" s="5" t="n"/>
      <c r="I112" s="5" t="n"/>
    </row>
    <row r="113">
      <c r="A113" s="5" t="n"/>
      <c r="B113" s="5" t="n"/>
      <c r="C113" s="5" t="n"/>
      <c r="D113" s="5" t="n"/>
      <c r="E113" s="20" t="n"/>
      <c r="F113" s="5" t="n"/>
      <c r="G113" s="5" t="n"/>
      <c r="H113" s="5" t="n"/>
      <c r="I113" s="5" t="n"/>
    </row>
    <row r="114">
      <c r="A114" s="5" t="n"/>
      <c r="B114" s="5" t="n"/>
      <c r="C114" s="5" t="n"/>
      <c r="D114" s="5" t="n"/>
      <c r="E114" s="20" t="n"/>
      <c r="F114" s="5" t="n"/>
      <c r="G114" s="5" t="n"/>
      <c r="H114" s="5" t="n"/>
      <c r="I114" s="5" t="n"/>
    </row>
    <row r="115">
      <c r="A115" s="5" t="n"/>
      <c r="B115" s="5" t="n"/>
      <c r="C115" s="5" t="n"/>
      <c r="D115" s="5" t="n"/>
      <c r="E115" s="20" t="n"/>
      <c r="F115" s="5" t="n"/>
      <c r="G115" s="5" t="n"/>
      <c r="H115" s="5" t="n"/>
      <c r="I115" s="5" t="n"/>
    </row>
    <row r="116">
      <c r="A116" s="5" t="n"/>
      <c r="B116" s="5" t="n"/>
      <c r="C116" s="5" t="n"/>
      <c r="D116" s="5" t="n"/>
      <c r="E116" s="20" t="n"/>
      <c r="F116" s="5" t="n"/>
      <c r="G116" s="5" t="n"/>
      <c r="H116" s="5" t="n"/>
      <c r="I116" s="5" t="n"/>
    </row>
    <row r="117">
      <c r="A117" s="5" t="n"/>
      <c r="B117" s="5" t="n"/>
      <c r="C117" s="5" t="n"/>
      <c r="D117" s="5" t="n"/>
      <c r="E117" s="20" t="n"/>
      <c r="F117" s="5" t="n"/>
      <c r="G117" s="5" t="n"/>
      <c r="H117" s="5" t="n"/>
      <c r="I117" s="5" t="n"/>
    </row>
    <row r="118">
      <c r="A118" s="5" t="n"/>
      <c r="B118" s="5" t="n"/>
      <c r="C118" s="5" t="n"/>
      <c r="D118" s="5" t="n"/>
      <c r="E118" s="20" t="n"/>
      <c r="F118" s="5" t="n"/>
      <c r="G118" s="5" t="n"/>
      <c r="H118" s="5" t="n"/>
      <c r="I118" s="5" t="n"/>
    </row>
    <row r="119">
      <c r="A119" s="5" t="n"/>
      <c r="B119" s="5" t="n"/>
      <c r="C119" s="5" t="n"/>
      <c r="D119" s="5" t="n"/>
      <c r="E119" s="20" t="n"/>
      <c r="F119" s="5" t="n"/>
      <c r="G119" s="5" t="n"/>
      <c r="H119" s="5" t="n"/>
      <c r="I119" s="5" t="n"/>
    </row>
    <row r="120">
      <c r="A120" s="5" t="n"/>
      <c r="B120" s="5" t="n"/>
      <c r="C120" s="5" t="n"/>
      <c r="D120" s="5" t="n"/>
      <c r="E120" s="20" t="n"/>
      <c r="F120" s="5" t="n"/>
      <c r="G120" s="5" t="n"/>
      <c r="H120" s="5" t="n"/>
      <c r="I120" s="5" t="n"/>
    </row>
    <row r="121">
      <c r="A121" s="5" t="n"/>
      <c r="B121" s="5" t="n"/>
      <c r="C121" s="5" t="n"/>
      <c r="D121" s="5" t="n"/>
      <c r="E121" s="20" t="n"/>
      <c r="F121" s="5" t="n"/>
      <c r="G121" s="5" t="n"/>
      <c r="H121" s="5" t="n"/>
      <c r="I121" s="5" t="n"/>
    </row>
    <row r="122">
      <c r="A122" s="5" t="n"/>
      <c r="B122" s="5" t="n"/>
      <c r="C122" s="5" t="n"/>
      <c r="D122" s="5" t="n"/>
      <c r="E122" s="20" t="n"/>
      <c r="F122" s="5" t="n"/>
      <c r="G122" s="5" t="n"/>
      <c r="H122" s="5" t="n"/>
      <c r="I122" s="5" t="n"/>
    </row>
    <row r="123">
      <c r="A123" s="5" t="n"/>
      <c r="B123" s="5" t="n"/>
      <c r="C123" s="5" t="n"/>
      <c r="D123" s="5" t="n"/>
      <c r="E123" s="20" t="n"/>
      <c r="F123" s="5" t="n"/>
      <c r="G123" s="5" t="n"/>
      <c r="H123" s="5" t="n"/>
      <c r="I123" s="5" t="n"/>
    </row>
    <row r="124">
      <c r="A124" s="5" t="n"/>
      <c r="B124" s="5" t="n"/>
      <c r="C124" s="5" t="n"/>
      <c r="D124" s="5" t="n"/>
      <c r="E124" s="20" t="n"/>
      <c r="F124" s="5" t="n"/>
      <c r="G124" s="5" t="n"/>
      <c r="H124" s="5" t="n"/>
      <c r="I124" s="5" t="n"/>
    </row>
    <row r="125">
      <c r="A125" s="5" t="n"/>
      <c r="B125" s="5" t="n"/>
      <c r="C125" s="5" t="n"/>
      <c r="D125" s="5" t="n"/>
      <c r="E125" s="20" t="n"/>
      <c r="F125" s="5" t="n"/>
      <c r="G125" s="5" t="n"/>
      <c r="H125" s="5" t="n"/>
      <c r="I125" s="5" t="n"/>
    </row>
    <row r="126">
      <c r="A126" s="5" t="n"/>
      <c r="B126" s="5" t="n"/>
      <c r="C126" s="5" t="n"/>
      <c r="D126" s="5" t="n"/>
      <c r="E126" s="20" t="n"/>
      <c r="F126" s="5" t="n"/>
      <c r="G126" s="5" t="n"/>
      <c r="H126" s="5" t="n"/>
      <c r="I126" s="5" t="n"/>
    </row>
    <row r="127">
      <c r="A127" s="5" t="n"/>
      <c r="B127" s="5" t="n"/>
      <c r="C127" s="5" t="n"/>
      <c r="D127" s="5" t="n"/>
      <c r="E127" s="20" t="n"/>
      <c r="F127" s="5" t="n"/>
      <c r="G127" s="5" t="n"/>
      <c r="H127" s="5" t="n"/>
      <c r="I127" s="5" t="n"/>
    </row>
    <row r="128">
      <c r="A128" s="5" t="n"/>
      <c r="B128" s="5" t="n"/>
      <c r="C128" s="5" t="n"/>
      <c r="D128" s="5" t="n"/>
      <c r="E128" s="20" t="n"/>
      <c r="F128" s="5" t="n"/>
      <c r="G128" s="5" t="n"/>
      <c r="H128" s="5" t="n"/>
      <c r="I128" s="5" t="n"/>
    </row>
    <row r="129">
      <c r="A129" s="5" t="n"/>
      <c r="B129" s="5" t="n"/>
      <c r="C129" s="5" t="n"/>
      <c r="D129" s="5" t="n"/>
      <c r="E129" s="20" t="n"/>
      <c r="F129" s="5" t="n"/>
      <c r="G129" s="5" t="n"/>
      <c r="H129" s="5" t="n"/>
      <c r="I129" s="5" t="n"/>
    </row>
    <row r="130">
      <c r="A130" s="5" t="n"/>
      <c r="B130" s="5" t="n"/>
      <c r="C130" s="5" t="n"/>
      <c r="D130" s="5" t="n"/>
      <c r="E130" s="20" t="n"/>
      <c r="F130" s="5" t="n"/>
      <c r="G130" s="5" t="n"/>
      <c r="H130" s="5" t="n"/>
      <c r="I130" s="5" t="n"/>
    </row>
    <row r="131">
      <c r="A131" s="5" t="n"/>
      <c r="B131" s="5" t="n"/>
      <c r="C131" s="5" t="n"/>
      <c r="D131" s="5" t="n"/>
      <c r="E131" s="20" t="n"/>
      <c r="F131" s="5" t="n"/>
      <c r="G131" s="5" t="n"/>
      <c r="H131" s="5" t="n"/>
      <c r="I131" s="5" t="n"/>
    </row>
    <row r="132">
      <c r="A132" s="5" t="n"/>
      <c r="B132" s="5" t="n"/>
      <c r="C132" s="5" t="n"/>
      <c r="D132" s="5" t="n"/>
      <c r="E132" s="20" t="n"/>
      <c r="F132" s="5" t="n"/>
      <c r="G132" s="5" t="n"/>
      <c r="H132" s="5" t="n"/>
      <c r="I132" s="5" t="n"/>
    </row>
    <row r="133">
      <c r="A133" s="5" t="n"/>
      <c r="B133" s="5" t="n"/>
      <c r="C133" s="5" t="n"/>
      <c r="D133" s="5" t="n"/>
      <c r="E133" s="20" t="n"/>
      <c r="F133" s="5" t="n"/>
      <c r="G133" s="5" t="n"/>
      <c r="H133" s="5" t="n"/>
      <c r="I133" s="5" t="n"/>
    </row>
    <row r="134">
      <c r="A134" s="5" t="n"/>
      <c r="B134" s="5" t="n"/>
      <c r="C134" s="5" t="n"/>
      <c r="D134" s="5" t="n"/>
      <c r="E134" s="20" t="n"/>
      <c r="F134" s="5" t="n"/>
      <c r="G134" s="5" t="n"/>
      <c r="H134" s="5" t="n"/>
      <c r="I134" s="5" t="n"/>
    </row>
    <row r="135">
      <c r="A135" s="5" t="n"/>
      <c r="B135" s="5" t="n"/>
      <c r="C135" s="5" t="n"/>
      <c r="D135" s="5" t="n"/>
      <c r="E135" s="20" t="n"/>
      <c r="F135" s="5" t="n"/>
      <c r="G135" s="5" t="n"/>
      <c r="H135" s="5" t="n"/>
      <c r="I135" s="5" t="n"/>
    </row>
    <row r="136">
      <c r="A136" s="5" t="n"/>
      <c r="B136" s="5" t="n"/>
      <c r="C136" s="5" t="n"/>
      <c r="D136" s="5" t="n"/>
      <c r="E136" s="20" t="n"/>
      <c r="F136" s="5" t="n"/>
      <c r="G136" s="5" t="n"/>
      <c r="H136" s="5" t="n"/>
      <c r="I136" s="5" t="n"/>
    </row>
    <row r="137">
      <c r="A137" s="5" t="n"/>
      <c r="B137" s="5" t="n"/>
      <c r="C137" s="5" t="n"/>
      <c r="D137" s="5" t="n"/>
      <c r="E137" s="20" t="n"/>
      <c r="F137" s="5" t="n"/>
      <c r="G137" s="5" t="n"/>
      <c r="H137" s="5" t="n"/>
      <c r="I137" s="5" t="n"/>
    </row>
    <row r="138">
      <c r="A138" s="5" t="n"/>
      <c r="B138" s="5" t="n"/>
      <c r="C138" s="5" t="n"/>
      <c r="D138" s="5" t="n"/>
      <c r="E138" s="20" t="n"/>
      <c r="F138" s="5" t="n"/>
      <c r="G138" s="5" t="n"/>
      <c r="H138" s="5" t="n"/>
      <c r="I138" s="5" t="n"/>
    </row>
    <row r="139">
      <c r="A139" s="5" t="n"/>
      <c r="B139" s="5" t="n"/>
      <c r="C139" s="5" t="n"/>
      <c r="D139" s="5" t="n"/>
      <c r="E139" s="20" t="n"/>
      <c r="F139" s="5" t="n"/>
      <c r="G139" s="5" t="n"/>
      <c r="H139" s="5" t="n"/>
      <c r="I139" s="5" t="n"/>
    </row>
    <row r="140">
      <c r="A140" s="5" t="n"/>
      <c r="B140" s="5" t="n"/>
      <c r="C140" s="5" t="n"/>
      <c r="D140" s="5" t="n"/>
      <c r="E140" s="20" t="n"/>
      <c r="F140" s="5" t="n"/>
      <c r="G140" s="5" t="n"/>
      <c r="H140" s="5" t="n"/>
      <c r="I140" s="5" t="n"/>
    </row>
    <row r="141">
      <c r="A141" s="5" t="n"/>
      <c r="B141" s="5" t="n"/>
      <c r="C141" s="5" t="n"/>
      <c r="D141" s="5" t="n"/>
      <c r="E141" s="20" t="n"/>
      <c r="F141" s="5" t="n"/>
      <c r="G141" s="5" t="n"/>
      <c r="H141" s="5" t="n"/>
      <c r="I141" s="5" t="n"/>
    </row>
    <row r="142">
      <c r="A142" s="5" t="n"/>
      <c r="B142" s="5" t="n"/>
      <c r="C142" s="5" t="n"/>
      <c r="D142" s="5" t="n"/>
      <c r="E142" s="20" t="n"/>
      <c r="F142" s="5" t="n"/>
      <c r="G142" s="5" t="n"/>
      <c r="H142" s="5" t="n"/>
      <c r="I142" s="5" t="n"/>
    </row>
    <row r="143">
      <c r="A143" s="5" t="n"/>
      <c r="B143" s="5" t="n"/>
      <c r="C143" s="5" t="n"/>
      <c r="D143" s="5" t="n"/>
      <c r="E143" s="20" t="n"/>
      <c r="F143" s="5" t="n"/>
      <c r="G143" s="5" t="n"/>
      <c r="H143" s="5" t="n"/>
      <c r="I143" s="5" t="n"/>
    </row>
    <row r="144">
      <c r="A144" s="5" t="n"/>
      <c r="B144" s="5" t="n"/>
      <c r="C144" s="5" t="n"/>
      <c r="D144" s="5" t="n"/>
      <c r="E144" s="20" t="n"/>
      <c r="F144" s="5" t="n"/>
      <c r="G144" s="5" t="n"/>
      <c r="H144" s="5" t="n"/>
      <c r="I144" s="5" t="n"/>
    </row>
    <row r="145">
      <c r="A145" s="5" t="n"/>
      <c r="B145" s="5" t="n"/>
      <c r="C145" s="5" t="n"/>
      <c r="D145" s="5" t="n"/>
      <c r="E145" s="20" t="n"/>
      <c r="F145" s="5" t="n"/>
      <c r="G145" s="5" t="n"/>
      <c r="H145" s="5" t="n"/>
      <c r="I145" s="5" t="n"/>
    </row>
    <row r="146">
      <c r="A146" s="5" t="n"/>
      <c r="B146" s="5" t="n"/>
      <c r="C146" s="5" t="n"/>
      <c r="D146" s="5" t="n"/>
      <c r="E146" s="20" t="n"/>
      <c r="F146" s="5" t="n"/>
      <c r="G146" s="5" t="n"/>
      <c r="H146" s="5" t="n"/>
      <c r="I146" s="5" t="n"/>
    </row>
    <row r="147">
      <c r="A147" s="5" t="n"/>
      <c r="B147" s="5" t="n"/>
      <c r="C147" s="5" t="n"/>
      <c r="D147" s="5" t="n"/>
      <c r="E147" s="20" t="n"/>
      <c r="F147" s="5" t="n"/>
      <c r="G147" s="5" t="n"/>
      <c r="H147" s="5" t="n"/>
      <c r="I147" s="5" t="n"/>
    </row>
    <row r="148">
      <c r="A148" s="5" t="n"/>
      <c r="B148" s="5" t="n"/>
      <c r="C148" s="5" t="n"/>
      <c r="D148" s="5" t="n"/>
      <c r="E148" s="20" t="n"/>
      <c r="F148" s="5" t="n"/>
      <c r="G148" s="5" t="n"/>
      <c r="H148" s="5" t="n"/>
      <c r="I148" s="5" t="n"/>
    </row>
    <row r="149">
      <c r="A149" s="5" t="n"/>
      <c r="B149" s="5" t="n"/>
      <c r="C149" s="5" t="n"/>
      <c r="D149" s="5" t="n"/>
      <c r="E149" s="20" t="n"/>
      <c r="F149" s="5" t="n"/>
      <c r="G149" s="5" t="n"/>
      <c r="H149" s="5" t="n"/>
      <c r="I149" s="5" t="n"/>
    </row>
    <row r="150">
      <c r="A150" s="5" t="n"/>
      <c r="B150" s="5" t="n"/>
      <c r="C150" s="5" t="n"/>
      <c r="D150" s="5" t="n"/>
      <c r="E150" s="20" t="n"/>
      <c r="F150" s="5" t="n"/>
      <c r="G150" s="5" t="n"/>
      <c r="H150" s="5" t="n"/>
      <c r="I150" s="5" t="n"/>
    </row>
    <row r="151">
      <c r="A151" s="5" t="n"/>
      <c r="B151" s="5" t="n"/>
      <c r="C151" s="5" t="n"/>
      <c r="D151" s="5" t="n"/>
      <c r="E151" s="20" t="n"/>
      <c r="F151" s="5" t="n"/>
      <c r="G151" s="5" t="n"/>
      <c r="H151" s="5" t="n"/>
      <c r="I151" s="5" t="n"/>
    </row>
    <row r="152">
      <c r="A152" s="5" t="n"/>
      <c r="B152" s="5" t="n"/>
      <c r="C152" s="5" t="n"/>
      <c r="D152" s="5" t="n"/>
      <c r="E152" s="20" t="n"/>
      <c r="F152" s="5" t="n"/>
      <c r="G152" s="5" t="n"/>
      <c r="H152" s="5" t="n"/>
      <c r="I152" s="5" t="n"/>
    </row>
    <row r="153">
      <c r="A153" s="5" t="n"/>
      <c r="B153" s="5" t="n"/>
      <c r="C153" s="5" t="n"/>
      <c r="D153" s="5" t="n"/>
      <c r="E153" s="20" t="n"/>
      <c r="F153" s="5" t="n"/>
      <c r="G153" s="5" t="n"/>
      <c r="H153" s="5" t="n"/>
      <c r="I153" s="5" t="n"/>
    </row>
    <row r="154">
      <c r="A154" s="5" t="n"/>
      <c r="B154" s="5" t="n"/>
      <c r="C154" s="5" t="n"/>
      <c r="D154" s="5" t="n"/>
      <c r="E154" s="20" t="n"/>
      <c r="F154" s="5" t="n"/>
      <c r="G154" s="5" t="n"/>
      <c r="H154" s="5" t="n"/>
      <c r="I154" s="5" t="n"/>
    </row>
    <row r="155">
      <c r="A155" s="5" t="n"/>
      <c r="B155" s="5" t="n"/>
      <c r="C155" s="5" t="n"/>
      <c r="D155" s="5" t="n"/>
      <c r="E155" s="20" t="n"/>
      <c r="F155" s="5" t="n"/>
      <c r="G155" s="5" t="n"/>
      <c r="H155" s="5" t="n"/>
      <c r="I155" s="5" t="n"/>
    </row>
    <row r="156">
      <c r="A156" s="5" t="n"/>
      <c r="B156" s="5" t="n"/>
      <c r="C156" s="5" t="n"/>
      <c r="D156" s="5" t="n"/>
      <c r="E156" s="20" t="n"/>
      <c r="F156" s="5" t="n"/>
      <c r="G156" s="5" t="n"/>
      <c r="H156" s="5" t="n"/>
      <c r="I156" s="5" t="n"/>
    </row>
    <row r="157">
      <c r="A157" s="5" t="n"/>
      <c r="B157" s="5" t="n"/>
      <c r="C157" s="5" t="n"/>
      <c r="D157" s="5" t="n"/>
      <c r="E157" s="20" t="n"/>
      <c r="F157" s="5" t="n"/>
      <c r="G157" s="5" t="n"/>
      <c r="H157" s="5" t="n"/>
      <c r="I157" s="5" t="n"/>
    </row>
    <row r="158">
      <c r="A158" s="5" t="n"/>
      <c r="B158" s="5" t="n"/>
      <c r="C158" s="5" t="n"/>
      <c r="D158" s="5" t="n"/>
      <c r="E158" s="20" t="n"/>
      <c r="F158" s="5" t="n"/>
      <c r="G158" s="5" t="n"/>
      <c r="H158" s="5" t="n"/>
      <c r="I158" s="5" t="n"/>
    </row>
    <row r="159">
      <c r="A159" s="5" t="n"/>
      <c r="B159" s="5" t="n"/>
      <c r="C159" s="5" t="n"/>
      <c r="D159" s="5" t="n"/>
      <c r="E159" s="20" t="n"/>
      <c r="F159" s="5" t="n"/>
      <c r="G159" s="5" t="n"/>
      <c r="H159" s="5" t="n"/>
      <c r="I159" s="5" t="n"/>
    </row>
    <row r="160">
      <c r="A160" s="5" t="n"/>
      <c r="B160" s="5" t="n"/>
      <c r="C160" s="5" t="n"/>
      <c r="D160" s="5" t="n"/>
      <c r="E160" s="20" t="n"/>
      <c r="F160" s="5" t="n"/>
      <c r="G160" s="5" t="n"/>
      <c r="H160" s="5" t="n"/>
      <c r="I160" s="5" t="n"/>
    </row>
    <row r="161">
      <c r="A161" s="5" t="n"/>
      <c r="B161" s="5" t="n"/>
      <c r="C161" s="5" t="n"/>
      <c r="D161" s="5" t="n"/>
      <c r="E161" s="20" t="n"/>
      <c r="F161" s="5" t="n"/>
      <c r="G161" s="5" t="n"/>
      <c r="H161" s="5" t="n"/>
      <c r="I161" s="5" t="n"/>
    </row>
    <row r="162">
      <c r="A162" s="5" t="n"/>
      <c r="B162" s="5" t="n"/>
      <c r="C162" s="5" t="n"/>
      <c r="D162" s="5" t="n"/>
      <c r="E162" s="20" t="n"/>
      <c r="F162" s="5" t="n"/>
      <c r="G162" s="5" t="n"/>
      <c r="H162" s="5" t="n"/>
      <c r="I162" s="5" t="n"/>
    </row>
    <row r="163">
      <c r="A163" s="5" t="n"/>
      <c r="B163" s="5" t="n"/>
      <c r="C163" s="5" t="n"/>
      <c r="D163" s="5" t="n"/>
      <c r="E163" s="20" t="n"/>
      <c r="F163" s="5" t="n"/>
      <c r="G163" s="5" t="n"/>
      <c r="H163" s="5" t="n"/>
      <c r="I163" s="5" t="n"/>
    </row>
    <row r="164">
      <c r="A164" s="5" t="n"/>
      <c r="B164" s="5" t="n"/>
      <c r="C164" s="5" t="n"/>
      <c r="D164" s="5" t="n"/>
      <c r="E164" s="20" t="n"/>
      <c r="F164" s="5" t="n"/>
      <c r="G164" s="5" t="n"/>
      <c r="H164" s="5" t="n"/>
      <c r="I164" s="5" t="n"/>
    </row>
    <row r="165">
      <c r="A165" s="5" t="n"/>
      <c r="B165" s="5" t="n"/>
      <c r="C165" s="5" t="n"/>
      <c r="D165" s="5" t="n"/>
      <c r="E165" s="20" t="n"/>
      <c r="F165" s="5" t="n"/>
      <c r="G165" s="5" t="n"/>
      <c r="H165" s="5" t="n"/>
      <c r="I165" s="5" t="n"/>
    </row>
    <row r="166">
      <c r="A166" s="5" t="n"/>
      <c r="B166" s="5" t="n"/>
      <c r="C166" s="5" t="n"/>
      <c r="D166" s="5" t="n"/>
      <c r="E166" s="20" t="n"/>
      <c r="F166" s="5" t="n"/>
      <c r="G166" s="5" t="n"/>
      <c r="H166" s="5" t="n"/>
      <c r="I166" s="5" t="n"/>
    </row>
    <row r="167">
      <c r="A167" s="5" t="n"/>
      <c r="B167" s="5" t="n"/>
      <c r="C167" s="5" t="n"/>
      <c r="D167" s="5" t="n"/>
      <c r="E167" s="20" t="n"/>
      <c r="F167" s="5" t="n"/>
      <c r="G167" s="5" t="n"/>
      <c r="H167" s="5" t="n"/>
      <c r="I167" s="5" t="n"/>
    </row>
    <row r="168">
      <c r="A168" s="5" t="n"/>
      <c r="B168" s="5" t="n"/>
      <c r="C168" s="5" t="n"/>
      <c r="D168" s="5" t="n"/>
      <c r="E168" s="20" t="n"/>
      <c r="F168" s="5" t="n"/>
      <c r="G168" s="5" t="n"/>
      <c r="H168" s="5" t="n"/>
      <c r="I168" s="5" t="n"/>
    </row>
    <row r="169">
      <c r="A169" s="5" t="n"/>
      <c r="B169" s="5" t="n"/>
      <c r="C169" s="5" t="n"/>
      <c r="D169" s="5" t="n"/>
      <c r="E169" s="20" t="n"/>
      <c r="F169" s="5" t="n"/>
      <c r="G169" s="5" t="n"/>
      <c r="H169" s="5" t="n"/>
      <c r="I169" s="5" t="n"/>
    </row>
    <row r="170">
      <c r="A170" s="5" t="n"/>
      <c r="B170" s="5" t="n"/>
      <c r="C170" s="5" t="n"/>
      <c r="D170" s="5" t="n"/>
      <c r="E170" s="20" t="n"/>
      <c r="F170" s="5" t="n"/>
      <c r="G170" s="5" t="n"/>
      <c r="H170" s="5" t="n"/>
      <c r="I170" s="5" t="n"/>
    </row>
    <row r="171">
      <c r="A171" s="5" t="n"/>
      <c r="B171" s="5" t="n"/>
      <c r="C171" s="5" t="n"/>
      <c r="D171" s="5" t="n"/>
      <c r="E171" s="20" t="n"/>
      <c r="F171" s="5" t="n"/>
      <c r="G171" s="5" t="n"/>
      <c r="H171" s="5" t="n"/>
      <c r="I171" s="5" t="n"/>
    </row>
    <row r="172">
      <c r="A172" s="5" t="n"/>
      <c r="B172" s="5" t="n"/>
      <c r="C172" s="5" t="n"/>
      <c r="D172" s="5" t="n"/>
      <c r="E172" s="20" t="n"/>
      <c r="F172" s="5" t="n"/>
      <c r="G172" s="5" t="n"/>
      <c r="H172" s="5" t="n"/>
      <c r="I172" s="5" t="n"/>
    </row>
    <row r="173">
      <c r="A173" s="5" t="n"/>
      <c r="B173" s="5" t="n"/>
      <c r="C173" s="5" t="n"/>
      <c r="D173" s="5" t="n"/>
      <c r="E173" s="20" t="n"/>
      <c r="F173" s="5" t="n"/>
      <c r="G173" s="5" t="n"/>
      <c r="H173" s="5" t="n"/>
      <c r="I173" s="5" t="n"/>
    </row>
    <row r="174">
      <c r="A174" s="5" t="n"/>
      <c r="B174" s="5" t="n"/>
      <c r="C174" s="5" t="n"/>
      <c r="D174" s="5" t="n"/>
      <c r="E174" s="20" t="n"/>
      <c r="F174" s="5" t="n"/>
      <c r="G174" s="5" t="n"/>
      <c r="H174" s="5" t="n"/>
      <c r="I174" s="5" t="n"/>
    </row>
    <row r="175">
      <c r="A175" s="5" t="n"/>
      <c r="B175" s="5" t="n"/>
      <c r="C175" s="5" t="n"/>
      <c r="D175" s="5" t="n"/>
      <c r="E175" s="20" t="n"/>
      <c r="F175" s="5" t="n"/>
      <c r="G175" s="5" t="n"/>
      <c r="H175" s="5" t="n"/>
      <c r="I175" s="5" t="n"/>
    </row>
    <row r="176">
      <c r="A176" s="5" t="n"/>
      <c r="B176" s="5" t="n"/>
      <c r="C176" s="5" t="n"/>
      <c r="D176" s="5" t="n"/>
      <c r="E176" s="20" t="n"/>
      <c r="F176" s="5" t="n"/>
      <c r="G176" s="5" t="n"/>
      <c r="H176" s="5" t="n"/>
      <c r="I176" s="5" t="n"/>
    </row>
    <row r="177">
      <c r="A177" s="5" t="n"/>
      <c r="B177" s="5" t="n"/>
      <c r="C177" s="5" t="n"/>
      <c r="D177" s="5" t="n"/>
      <c r="E177" s="20" t="n"/>
      <c r="F177" s="5" t="n"/>
      <c r="G177" s="5" t="n"/>
      <c r="H177" s="5" t="n"/>
      <c r="I177" s="5" t="n"/>
    </row>
    <row r="178">
      <c r="A178" s="5" t="n"/>
      <c r="B178" s="5" t="n"/>
      <c r="C178" s="5" t="n"/>
      <c r="D178" s="5" t="n"/>
      <c r="E178" s="20" t="n"/>
      <c r="F178" s="5" t="n"/>
      <c r="G178" s="5" t="n"/>
      <c r="H178" s="5" t="n"/>
      <c r="I178" s="5" t="n"/>
    </row>
    <row r="179">
      <c r="A179" s="5" t="n"/>
      <c r="B179" s="5" t="n"/>
      <c r="C179" s="5" t="n"/>
      <c r="D179" s="5" t="n"/>
      <c r="E179" s="20" t="n"/>
      <c r="F179" s="5" t="n"/>
      <c r="G179" s="5" t="n"/>
      <c r="H179" s="5" t="n"/>
      <c r="I179" s="5" t="n"/>
    </row>
    <row r="180">
      <c r="A180" s="5" t="n"/>
      <c r="B180" s="5" t="n"/>
      <c r="C180" s="5" t="n"/>
      <c r="D180" s="5" t="n"/>
      <c r="E180" s="20" t="n"/>
      <c r="F180" s="5" t="n"/>
      <c r="G180" s="5" t="n"/>
      <c r="H180" s="5" t="n"/>
      <c r="I180" s="5" t="n"/>
    </row>
    <row r="181">
      <c r="A181" s="5" t="n"/>
      <c r="B181" s="5" t="n"/>
      <c r="C181" s="5" t="n"/>
      <c r="D181" s="5" t="n"/>
      <c r="E181" s="20" t="n"/>
      <c r="F181" s="5" t="n"/>
      <c r="G181" s="5" t="n"/>
      <c r="H181" s="5" t="n"/>
      <c r="I181" s="5" t="n"/>
    </row>
    <row r="182">
      <c r="A182" s="5" t="n"/>
      <c r="B182" s="5" t="n"/>
      <c r="C182" s="5" t="n"/>
      <c r="D182" s="5" t="n"/>
      <c r="E182" s="20" t="n"/>
      <c r="F182" s="5" t="n"/>
      <c r="G182" s="5" t="n"/>
      <c r="H182" s="5" t="n"/>
      <c r="I182" s="5" t="n"/>
    </row>
    <row r="183">
      <c r="A183" s="5" t="n"/>
      <c r="B183" s="5" t="n"/>
      <c r="C183" s="5" t="n"/>
      <c r="D183" s="5" t="n"/>
      <c r="E183" s="20" t="n"/>
      <c r="F183" s="5" t="n"/>
      <c r="G183" s="5" t="n"/>
      <c r="H183" s="5" t="n"/>
      <c r="I183" s="5" t="n"/>
    </row>
    <row r="184">
      <c r="A184" s="5" t="n"/>
      <c r="B184" s="5" t="n"/>
      <c r="C184" s="5" t="n"/>
      <c r="D184" s="5" t="n"/>
      <c r="E184" s="20" t="n"/>
      <c r="F184" s="5" t="n"/>
      <c r="G184" s="5" t="n"/>
      <c r="H184" s="5" t="n"/>
      <c r="I184" s="5" t="n"/>
    </row>
    <row r="185">
      <c r="A185" s="5" t="n"/>
      <c r="B185" s="5" t="n"/>
      <c r="C185" s="5" t="n"/>
      <c r="D185" s="5" t="n"/>
      <c r="E185" s="20" t="n"/>
      <c r="F185" s="5" t="n"/>
      <c r="G185" s="5" t="n"/>
      <c r="H185" s="5" t="n"/>
      <c r="I185" s="5" t="n"/>
    </row>
    <row r="186">
      <c r="A186" s="5" t="n"/>
      <c r="B186" s="5" t="n"/>
      <c r="C186" s="5" t="n"/>
      <c r="D186" s="5" t="n"/>
      <c r="E186" s="20" t="n"/>
      <c r="F186" s="5" t="n"/>
      <c r="G186" s="5" t="n"/>
      <c r="H186" s="5" t="n"/>
      <c r="I186" s="5" t="n"/>
    </row>
    <row r="187">
      <c r="A187" s="5" t="n"/>
      <c r="B187" s="5" t="n"/>
      <c r="C187" s="5" t="n"/>
      <c r="D187" s="5" t="n"/>
      <c r="E187" s="20" t="n"/>
      <c r="F187" s="5" t="n"/>
      <c r="G187" s="5" t="n"/>
      <c r="H187" s="5" t="n"/>
      <c r="I187" s="5" t="n"/>
    </row>
    <row r="188">
      <c r="A188" s="5" t="n"/>
      <c r="B188" s="5" t="n"/>
      <c r="C188" s="5" t="n"/>
      <c r="D188" s="5" t="n"/>
      <c r="E188" s="20" t="n"/>
      <c r="F188" s="5" t="n"/>
      <c r="G188" s="5" t="n"/>
      <c r="H188" s="5" t="n"/>
      <c r="I188" s="5" t="n"/>
    </row>
    <row r="189">
      <c r="A189" s="5" t="n"/>
      <c r="B189" s="5" t="n"/>
      <c r="C189" s="5" t="n"/>
      <c r="D189" s="5" t="n"/>
      <c r="E189" s="20" t="n"/>
      <c r="F189" s="5" t="n"/>
      <c r="G189" s="5" t="n"/>
      <c r="H189" s="5" t="n"/>
      <c r="I189" s="5" t="n"/>
    </row>
    <row r="190">
      <c r="A190" s="5" t="n"/>
      <c r="B190" s="5" t="n"/>
      <c r="C190" s="5" t="n"/>
      <c r="D190" s="5" t="n"/>
      <c r="E190" s="20" t="n"/>
      <c r="F190" s="5" t="n"/>
      <c r="G190" s="5" t="n"/>
      <c r="H190" s="5" t="n"/>
      <c r="I190" s="5" t="n"/>
    </row>
    <row r="191">
      <c r="A191" s="5" t="n"/>
      <c r="B191" s="5" t="n"/>
      <c r="C191" s="5" t="n"/>
      <c r="D191" s="5" t="n"/>
      <c r="E191" s="20" t="n"/>
      <c r="F191" s="5" t="n"/>
      <c r="G191" s="5" t="n"/>
      <c r="H191" s="5" t="n"/>
      <c r="I191" s="5" t="n"/>
    </row>
    <row r="192">
      <c r="A192" s="5" t="n"/>
      <c r="B192" s="5" t="n"/>
      <c r="C192" s="5" t="n"/>
      <c r="D192" s="5" t="n"/>
      <c r="E192" s="20" t="n"/>
      <c r="F192" s="5" t="n"/>
      <c r="G192" s="5" t="n"/>
      <c r="H192" s="5" t="n"/>
      <c r="I192" s="5" t="n"/>
    </row>
    <row r="193">
      <c r="A193" s="5" t="n"/>
      <c r="B193" s="5" t="n"/>
      <c r="C193" s="5" t="n"/>
      <c r="D193" s="5" t="n"/>
      <c r="E193" s="20" t="n"/>
      <c r="F193" s="5" t="n"/>
      <c r="G193" s="5" t="n"/>
      <c r="H193" s="5" t="n"/>
      <c r="I193" s="5" t="n"/>
    </row>
    <row r="194">
      <c r="A194" s="5" t="n"/>
      <c r="B194" s="5" t="n"/>
      <c r="C194" s="5" t="n"/>
      <c r="D194" s="5" t="n"/>
      <c r="E194" s="20" t="n"/>
      <c r="F194" s="5" t="n"/>
      <c r="G194" s="5" t="n"/>
      <c r="H194" s="5" t="n"/>
      <c r="I194" s="5" t="n"/>
    </row>
    <row r="195">
      <c r="A195" s="5" t="n"/>
      <c r="B195" s="5" t="n"/>
      <c r="C195" s="5" t="n"/>
      <c r="D195" s="5" t="n"/>
      <c r="E195" s="20" t="n"/>
      <c r="F195" s="5" t="n"/>
      <c r="G195" s="5" t="n"/>
      <c r="H195" s="5" t="n"/>
      <c r="I195" s="5" t="n"/>
    </row>
    <row r="196">
      <c r="A196" s="5" t="n"/>
      <c r="B196" s="5" t="n"/>
      <c r="C196" s="5" t="n"/>
      <c r="D196" s="5" t="n"/>
      <c r="E196" s="20" t="n"/>
      <c r="F196" s="5" t="n"/>
      <c r="G196" s="5" t="n"/>
      <c r="H196" s="5" t="n"/>
      <c r="I196" s="5" t="n"/>
    </row>
    <row r="197">
      <c r="A197" s="5" t="n"/>
      <c r="B197" s="5" t="n"/>
      <c r="C197" s="5" t="n"/>
      <c r="D197" s="5" t="n"/>
      <c r="E197" s="20" t="n"/>
      <c r="F197" s="5" t="n"/>
      <c r="G197" s="5" t="n"/>
      <c r="H197" s="5" t="n"/>
      <c r="I197" s="5" t="n"/>
    </row>
    <row r="198">
      <c r="A198" s="5" t="n"/>
      <c r="B198" s="5" t="n"/>
      <c r="C198" s="5" t="n"/>
      <c r="D198" s="5" t="n"/>
      <c r="E198" s="20" t="n"/>
      <c r="F198" s="5" t="n"/>
      <c r="G198" s="5" t="n"/>
      <c r="H198" s="5" t="n"/>
      <c r="I198" s="5" t="n"/>
    </row>
    <row r="199">
      <c r="A199" s="5" t="n"/>
      <c r="B199" s="5" t="n"/>
      <c r="C199" s="5" t="n"/>
      <c r="D199" s="5" t="n"/>
      <c r="E199" s="20" t="n"/>
      <c r="F199" s="5" t="n"/>
      <c r="G199" s="5" t="n"/>
      <c r="H199" s="5" t="n"/>
      <c r="I199" s="5" t="n"/>
    </row>
    <row r="200">
      <c r="A200" s="5" t="n"/>
      <c r="B200" s="5" t="n"/>
      <c r="C200" s="5" t="n"/>
      <c r="D200" s="5" t="n"/>
      <c r="E200" s="20" t="n"/>
      <c r="F200" s="5" t="n"/>
      <c r="G200" s="5" t="n"/>
      <c r="H200" s="5" t="n"/>
      <c r="I200" s="5" t="n"/>
    </row>
    <row r="201">
      <c r="A201" s="5" t="n"/>
      <c r="B201" s="5" t="n"/>
      <c r="C201" s="5" t="n"/>
      <c r="D201" s="5" t="n"/>
      <c r="E201" s="20" t="n"/>
      <c r="F201" s="5" t="n"/>
      <c r="G201" s="5" t="n"/>
      <c r="H201" s="5" t="n"/>
      <c r="I201" s="5" t="n"/>
    </row>
    <row r="202">
      <c r="A202" s="5" t="n"/>
      <c r="B202" s="5" t="n"/>
      <c r="C202" s="5" t="n"/>
      <c r="D202" s="5" t="n"/>
      <c r="E202" s="20" t="n"/>
      <c r="F202" s="5" t="n"/>
      <c r="G202" s="5" t="n"/>
      <c r="H202" s="5" t="n"/>
      <c r="I202" s="5" t="n"/>
    </row>
    <row r="203">
      <c r="A203" s="5" t="n"/>
      <c r="B203" s="5" t="n"/>
      <c r="C203" s="5" t="n"/>
      <c r="D203" s="5" t="n"/>
      <c r="E203" s="20" t="n"/>
      <c r="F203" s="5" t="n"/>
      <c r="G203" s="5" t="n"/>
      <c r="H203" s="5" t="n"/>
      <c r="I203" s="5" t="n"/>
    </row>
    <row r="204">
      <c r="A204" s="5" t="n"/>
      <c r="B204" s="5" t="n"/>
      <c r="C204" s="5" t="n"/>
      <c r="D204" s="5" t="n"/>
      <c r="E204" s="20" t="n"/>
      <c r="F204" s="5" t="n"/>
      <c r="G204" s="5" t="n"/>
      <c r="H204" s="5" t="n"/>
      <c r="I204" s="5" t="n"/>
    </row>
    <row r="205">
      <c r="A205" s="5" t="n"/>
      <c r="B205" s="5" t="n"/>
      <c r="C205" s="5" t="n"/>
      <c r="D205" s="5" t="n"/>
      <c r="E205" s="20" t="n"/>
      <c r="F205" s="5" t="n"/>
      <c r="G205" s="5" t="n"/>
      <c r="H205" s="5" t="n"/>
      <c r="I205" s="5" t="n"/>
    </row>
    <row r="206">
      <c r="A206" s="5" t="n"/>
      <c r="B206" s="5" t="n"/>
      <c r="C206" s="5" t="n"/>
      <c r="D206" s="5" t="n"/>
      <c r="E206" s="20" t="n"/>
      <c r="F206" s="5" t="n"/>
      <c r="G206" s="5" t="n"/>
      <c r="H206" s="5" t="n"/>
      <c r="I206" s="5" t="n"/>
    </row>
    <row r="207">
      <c r="A207" s="5" t="n"/>
      <c r="B207" s="5" t="n"/>
      <c r="C207" s="5" t="n"/>
      <c r="D207" s="5" t="n"/>
      <c r="E207" s="20" t="n"/>
      <c r="F207" s="5" t="n"/>
      <c r="G207" s="5" t="n"/>
      <c r="H207" s="5" t="n"/>
      <c r="I207" s="5" t="n"/>
    </row>
    <row r="208">
      <c r="A208" s="5" t="n"/>
      <c r="B208" s="5" t="n"/>
      <c r="C208" s="5" t="n"/>
      <c r="D208" s="5" t="n"/>
      <c r="E208" s="20" t="n"/>
      <c r="F208" s="5" t="n"/>
      <c r="G208" s="5" t="n"/>
      <c r="H208" s="5" t="n"/>
      <c r="I208" s="5" t="n"/>
    </row>
    <row r="209">
      <c r="A209" s="5" t="n"/>
      <c r="B209" s="5" t="n"/>
      <c r="C209" s="5" t="n"/>
      <c r="D209" s="5" t="n"/>
      <c r="E209" s="20" t="n"/>
      <c r="F209" s="5" t="n"/>
      <c r="G209" s="5" t="n"/>
      <c r="H209" s="5" t="n"/>
      <c r="I209" s="5" t="n"/>
    </row>
    <row r="210">
      <c r="A210" s="5" t="n"/>
      <c r="B210" s="5" t="n"/>
      <c r="C210" s="5" t="n"/>
      <c r="D210" s="5" t="n"/>
      <c r="E210" s="20" t="n"/>
      <c r="F210" s="5" t="n"/>
      <c r="G210" s="5" t="n"/>
      <c r="H210" s="5" t="n"/>
      <c r="I210" s="5" t="n"/>
    </row>
    <row r="211">
      <c r="A211" s="5" t="n"/>
      <c r="B211" s="5" t="n"/>
      <c r="C211" s="5" t="n"/>
      <c r="D211" s="5" t="n"/>
      <c r="E211" s="20" t="n"/>
      <c r="F211" s="5" t="n"/>
      <c r="G211" s="5" t="n"/>
      <c r="H211" s="5" t="n"/>
      <c r="I211" s="5" t="n"/>
    </row>
    <row r="212">
      <c r="A212" s="5" t="n"/>
      <c r="B212" s="5" t="n"/>
      <c r="C212" s="5" t="n"/>
      <c r="D212" s="5" t="n"/>
      <c r="E212" s="20" t="n"/>
      <c r="F212" s="5" t="n"/>
      <c r="G212" s="5" t="n"/>
      <c r="H212" s="5" t="n"/>
      <c r="I212" s="5" t="n"/>
    </row>
    <row r="213">
      <c r="A213" s="5" t="n"/>
      <c r="B213" s="5" t="n"/>
      <c r="C213" s="5" t="n"/>
      <c r="D213" s="5" t="n"/>
      <c r="E213" s="20" t="n"/>
      <c r="F213" s="5" t="n"/>
      <c r="G213" s="5" t="n"/>
      <c r="H213" s="5" t="n"/>
      <c r="I213" s="5" t="n"/>
    </row>
    <row r="214">
      <c r="A214" s="5" t="n"/>
      <c r="B214" s="5" t="n"/>
      <c r="C214" s="5" t="n"/>
      <c r="D214" s="5" t="n"/>
      <c r="E214" s="20" t="n"/>
      <c r="F214" s="5" t="n"/>
      <c r="G214" s="5" t="n"/>
      <c r="H214" s="5" t="n"/>
      <c r="I214" s="5" t="n"/>
    </row>
    <row r="215">
      <c r="A215" s="5" t="n"/>
      <c r="B215" s="5" t="n"/>
      <c r="C215" s="5" t="n"/>
      <c r="D215" s="5" t="n"/>
      <c r="E215" s="20" t="n"/>
      <c r="F215" s="5" t="n"/>
      <c r="G215" s="5" t="n"/>
      <c r="H215" s="5" t="n"/>
      <c r="I215" s="5" t="n"/>
    </row>
    <row r="216">
      <c r="A216" s="5" t="n"/>
      <c r="B216" s="5" t="n"/>
      <c r="C216" s="5" t="n"/>
      <c r="D216" s="5" t="n"/>
      <c r="E216" s="20" t="n"/>
      <c r="F216" s="5" t="n"/>
      <c r="G216" s="5" t="n"/>
      <c r="H216" s="5" t="n"/>
      <c r="I216" s="5" t="n"/>
    </row>
    <row r="217">
      <c r="A217" s="5" t="n"/>
      <c r="B217" s="5" t="n"/>
      <c r="C217" s="5" t="n"/>
      <c r="D217" s="5" t="n"/>
      <c r="E217" s="20" t="n"/>
      <c r="F217" s="5" t="n"/>
      <c r="G217" s="5" t="n"/>
      <c r="H217" s="5" t="n"/>
      <c r="I217" s="5" t="n"/>
    </row>
    <row r="218">
      <c r="A218" s="5" t="n"/>
      <c r="B218" s="5" t="n"/>
      <c r="C218" s="5" t="n"/>
      <c r="D218" s="5" t="n"/>
      <c r="E218" s="20" t="n"/>
      <c r="F218" s="5" t="n"/>
      <c r="G218" s="5" t="n"/>
      <c r="H218" s="5" t="n"/>
      <c r="I218" s="5" t="n"/>
    </row>
    <row r="219">
      <c r="A219" s="5" t="n"/>
      <c r="B219" s="5" t="n"/>
      <c r="C219" s="5" t="n"/>
      <c r="D219" s="5" t="n"/>
      <c r="E219" s="20" t="n"/>
      <c r="F219" s="5" t="n"/>
      <c r="G219" s="5" t="n"/>
      <c r="H219" s="5" t="n"/>
      <c r="I219" s="5" t="n"/>
    </row>
    <row r="220">
      <c r="A220" s="5" t="n"/>
      <c r="B220" s="5" t="n"/>
      <c r="C220" s="5" t="n"/>
      <c r="D220" s="5" t="n"/>
      <c r="E220" s="20" t="n"/>
      <c r="F220" s="5" t="n"/>
      <c r="G220" s="5" t="n"/>
      <c r="H220" s="5" t="n"/>
      <c r="I220" s="5" t="n"/>
    </row>
    <row r="221">
      <c r="A221" s="5" t="n"/>
      <c r="B221" s="5" t="n"/>
      <c r="C221" s="5" t="n"/>
      <c r="D221" s="5" t="n"/>
      <c r="E221" s="20" t="n"/>
      <c r="F221" s="5" t="n"/>
      <c r="G221" s="5" t="n"/>
      <c r="H221" s="5" t="n"/>
      <c r="I221" s="5" t="n"/>
    </row>
    <row r="222">
      <c r="A222" s="5" t="n"/>
      <c r="B222" s="5" t="n"/>
      <c r="C222" s="5" t="n"/>
      <c r="D222" s="5" t="n"/>
      <c r="E222" s="20" t="n"/>
      <c r="F222" s="5" t="n"/>
      <c r="G222" s="5" t="n"/>
      <c r="H222" s="5" t="n"/>
      <c r="I222" s="5" t="n"/>
    </row>
    <row r="223">
      <c r="A223" s="5" t="n"/>
      <c r="B223" s="5" t="n"/>
      <c r="C223" s="5" t="n"/>
      <c r="D223" s="5" t="n"/>
      <c r="E223" s="20" t="n"/>
      <c r="F223" s="5" t="n"/>
      <c r="G223" s="5" t="n"/>
      <c r="H223" s="5" t="n"/>
      <c r="I223" s="5" t="n"/>
    </row>
    <row r="224">
      <c r="A224" s="5" t="n"/>
      <c r="B224" s="5" t="n"/>
      <c r="C224" s="5" t="n"/>
      <c r="D224" s="5" t="n"/>
      <c r="E224" s="20" t="n"/>
      <c r="F224" s="5" t="n"/>
      <c r="G224" s="5" t="n"/>
      <c r="H224" s="5" t="n"/>
      <c r="I224" s="5" t="n"/>
    </row>
    <row r="225">
      <c r="A225" s="5" t="n"/>
      <c r="B225" s="5" t="n"/>
      <c r="C225" s="5" t="n"/>
      <c r="D225" s="5" t="n"/>
      <c r="E225" s="20" t="n"/>
      <c r="F225" s="5" t="n"/>
      <c r="G225" s="5" t="n"/>
      <c r="H225" s="5" t="n"/>
      <c r="I225" s="5" t="n"/>
    </row>
    <row r="226">
      <c r="A226" s="5" t="n"/>
      <c r="B226" s="5" t="n"/>
      <c r="C226" s="5" t="n"/>
      <c r="D226" s="5" t="n"/>
      <c r="E226" s="20" t="n"/>
      <c r="F226" s="5" t="n"/>
      <c r="G226" s="5" t="n"/>
      <c r="H226" s="5" t="n"/>
      <c r="I226" s="5" t="n"/>
    </row>
    <row r="227">
      <c r="A227" s="5" t="n"/>
      <c r="B227" s="5" t="n"/>
      <c r="C227" s="5" t="n"/>
      <c r="D227" s="5" t="n"/>
      <c r="E227" s="20" t="n"/>
      <c r="F227" s="5" t="n"/>
      <c r="G227" s="5" t="n"/>
      <c r="H227" s="5" t="n"/>
      <c r="I227" s="5" t="n"/>
    </row>
    <row r="228">
      <c r="A228" s="5" t="n"/>
      <c r="B228" s="5" t="n"/>
      <c r="C228" s="5" t="n"/>
      <c r="D228" s="5" t="n"/>
      <c r="E228" s="20" t="n"/>
      <c r="F228" s="5" t="n"/>
      <c r="G228" s="5" t="n"/>
      <c r="H228" s="5" t="n"/>
      <c r="I228" s="5" t="n"/>
    </row>
    <row r="229">
      <c r="A229" s="5" t="n"/>
      <c r="B229" s="5" t="n"/>
      <c r="C229" s="5" t="n"/>
      <c r="D229" s="5" t="n"/>
      <c r="E229" s="20" t="n"/>
      <c r="F229" s="5" t="n"/>
      <c r="G229" s="5" t="n"/>
      <c r="H229" s="5" t="n"/>
      <c r="I229" s="5" t="n"/>
    </row>
    <row r="230">
      <c r="A230" s="5" t="n"/>
      <c r="B230" s="5" t="n"/>
      <c r="C230" s="5" t="n"/>
      <c r="D230" s="5" t="n"/>
      <c r="E230" s="20" t="n"/>
      <c r="F230" s="5" t="n"/>
      <c r="G230" s="5" t="n"/>
      <c r="H230" s="5" t="n"/>
      <c r="I230" s="5" t="n"/>
    </row>
    <row r="231">
      <c r="A231" s="5" t="n"/>
      <c r="B231" s="5" t="n"/>
      <c r="C231" s="5" t="n"/>
      <c r="D231" s="5" t="n"/>
      <c r="E231" s="20" t="n"/>
      <c r="F231" s="5" t="n"/>
      <c r="G231" s="5" t="n"/>
      <c r="H231" s="5" t="n"/>
      <c r="I231" s="5" t="n"/>
    </row>
    <row r="232">
      <c r="A232" s="5" t="n"/>
      <c r="B232" s="5" t="n"/>
      <c r="C232" s="5" t="n"/>
      <c r="D232" s="5" t="n"/>
      <c r="E232" s="20" t="n"/>
      <c r="F232" s="5" t="n"/>
      <c r="G232" s="5" t="n"/>
      <c r="H232" s="5" t="n"/>
      <c r="I232" s="5" t="n"/>
    </row>
    <row r="233">
      <c r="A233" s="5" t="n"/>
      <c r="B233" s="5" t="n"/>
      <c r="C233" s="5" t="n"/>
      <c r="D233" s="5" t="n"/>
      <c r="E233" s="20" t="n"/>
      <c r="F233" s="5" t="n"/>
      <c r="G233" s="5" t="n"/>
      <c r="H233" s="5" t="n"/>
      <c r="I233" s="5" t="n"/>
    </row>
    <row r="234">
      <c r="A234" s="5" t="n"/>
      <c r="B234" s="5" t="n"/>
      <c r="C234" s="5" t="n"/>
      <c r="D234" s="5" t="n"/>
      <c r="E234" s="20" t="n"/>
      <c r="F234" s="5" t="n"/>
      <c r="G234" s="5" t="n"/>
      <c r="H234" s="5" t="n"/>
      <c r="I234" s="5" t="n"/>
    </row>
    <row r="235">
      <c r="A235" s="5" t="n"/>
      <c r="B235" s="5" t="n"/>
      <c r="C235" s="5" t="n"/>
      <c r="D235" s="5" t="n"/>
      <c r="E235" s="20" t="n"/>
      <c r="F235" s="5" t="n"/>
      <c r="G235" s="5" t="n"/>
      <c r="H235" s="5" t="n"/>
      <c r="I235" s="5" t="n"/>
    </row>
    <row r="236">
      <c r="A236" s="5" t="n"/>
      <c r="B236" s="5" t="n"/>
      <c r="C236" s="5" t="n"/>
      <c r="D236" s="5" t="n"/>
      <c r="E236" s="20" t="n"/>
      <c r="F236" s="5" t="n"/>
      <c r="G236" s="5" t="n"/>
      <c r="H236" s="5" t="n"/>
      <c r="I236" s="5" t="n"/>
    </row>
    <row r="237">
      <c r="A237" s="5" t="n"/>
      <c r="B237" s="5" t="n"/>
      <c r="C237" s="5" t="n"/>
      <c r="D237" s="5" t="n"/>
      <c r="E237" s="20" t="n"/>
      <c r="F237" s="5" t="n"/>
      <c r="G237" s="5" t="n"/>
      <c r="H237" s="5" t="n"/>
      <c r="I237" s="5" t="n"/>
    </row>
    <row r="238">
      <c r="A238" s="5" t="n"/>
      <c r="B238" s="5" t="n"/>
      <c r="C238" s="5" t="n"/>
      <c r="D238" s="5" t="n"/>
      <c r="E238" s="20" t="n"/>
      <c r="F238" s="5" t="n"/>
      <c r="G238" s="5" t="n"/>
      <c r="H238" s="5" t="n"/>
      <c r="I238" s="5" t="n"/>
    </row>
    <row r="239">
      <c r="A239" s="5" t="n"/>
      <c r="B239" s="5" t="n"/>
      <c r="C239" s="5" t="n"/>
      <c r="D239" s="5" t="n"/>
      <c r="E239" s="20" t="n"/>
      <c r="F239" s="5" t="n"/>
      <c r="G239" s="5" t="n"/>
      <c r="H239" s="5" t="n"/>
      <c r="I239" s="5" t="n"/>
    </row>
    <row r="240">
      <c r="A240" s="5" t="n"/>
      <c r="B240" s="5" t="n"/>
      <c r="C240" s="5" t="n"/>
      <c r="D240" s="5" t="n"/>
      <c r="E240" s="20" t="n"/>
      <c r="F240" s="5" t="n"/>
      <c r="G240" s="5" t="n"/>
      <c r="H240" s="5" t="n"/>
      <c r="I240" s="5" t="n"/>
    </row>
    <row r="241">
      <c r="A241" s="5" t="n"/>
      <c r="B241" s="5" t="n"/>
      <c r="C241" s="5" t="n"/>
      <c r="D241" s="5" t="n"/>
      <c r="E241" s="20" t="n"/>
      <c r="F241" s="5" t="n"/>
      <c r="G241" s="5" t="n"/>
      <c r="H241" s="5" t="n"/>
      <c r="I241" s="5" t="n"/>
    </row>
    <row r="242">
      <c r="A242" s="5" t="n"/>
      <c r="B242" s="5" t="n"/>
      <c r="C242" s="5" t="n"/>
      <c r="D242" s="5" t="n"/>
      <c r="E242" s="20" t="n"/>
      <c r="F242" s="5" t="n"/>
      <c r="G242" s="5" t="n"/>
      <c r="H242" s="5" t="n"/>
      <c r="I242" s="5" t="n"/>
    </row>
    <row r="243">
      <c r="A243" s="5" t="n"/>
      <c r="B243" s="5" t="n"/>
      <c r="C243" s="5" t="n"/>
      <c r="D243" s="5" t="n"/>
      <c r="E243" s="20" t="n"/>
      <c r="F243" s="5" t="n"/>
      <c r="G243" s="5" t="n"/>
      <c r="H243" s="5" t="n"/>
      <c r="I243" s="5" t="n"/>
    </row>
    <row r="244">
      <c r="A244" s="5" t="n"/>
      <c r="B244" s="5" t="n"/>
      <c r="C244" s="5" t="n"/>
      <c r="D244" s="5" t="n"/>
      <c r="E244" s="20" t="n"/>
      <c r="F244" s="5" t="n"/>
      <c r="G244" s="5" t="n"/>
      <c r="H244" s="5" t="n"/>
      <c r="I244" s="5" t="n"/>
    </row>
    <row r="245">
      <c r="A245" s="5" t="n"/>
      <c r="B245" s="5" t="n"/>
      <c r="C245" s="5" t="n"/>
      <c r="D245" s="5" t="n"/>
      <c r="E245" s="20" t="n"/>
      <c r="F245" s="5" t="n"/>
      <c r="G245" s="5" t="n"/>
      <c r="H245" s="5" t="n"/>
      <c r="I245" s="5" t="n"/>
    </row>
    <row r="246">
      <c r="A246" s="5" t="n"/>
      <c r="B246" s="5" t="n"/>
      <c r="C246" s="5" t="n"/>
      <c r="D246" s="5" t="n"/>
      <c r="E246" s="20" t="n"/>
      <c r="F246" s="5" t="n"/>
      <c r="G246" s="5" t="n"/>
      <c r="H246" s="5" t="n"/>
      <c r="I246" s="5" t="n"/>
    </row>
    <row r="247">
      <c r="A247" s="5" t="n"/>
      <c r="B247" s="5" t="n"/>
      <c r="C247" s="5" t="n"/>
      <c r="D247" s="5" t="n"/>
      <c r="E247" s="20" t="n"/>
      <c r="F247" s="5" t="n"/>
      <c r="G247" s="5" t="n"/>
      <c r="H247" s="5" t="n"/>
      <c r="I247" s="5" t="n"/>
    </row>
    <row r="248">
      <c r="A248" s="5" t="n"/>
      <c r="B248" s="5" t="n"/>
      <c r="C248" s="5" t="n"/>
      <c r="D248" s="5" t="n"/>
      <c r="E248" s="20" t="n"/>
      <c r="F248" s="5" t="n"/>
      <c r="G248" s="5" t="n"/>
      <c r="H248" s="5" t="n"/>
      <c r="I248" s="5" t="n"/>
    </row>
    <row r="249">
      <c r="A249" s="5" t="n"/>
      <c r="B249" s="5" t="n"/>
      <c r="C249" s="5" t="n"/>
      <c r="D249" s="5" t="n"/>
      <c r="E249" s="20" t="n"/>
      <c r="F249" s="5" t="n"/>
      <c r="G249" s="5" t="n"/>
      <c r="H249" s="5" t="n"/>
      <c r="I249" s="5" t="n"/>
    </row>
    <row r="250">
      <c r="A250" s="5" t="n"/>
      <c r="B250" s="5" t="n"/>
      <c r="C250" s="5" t="n"/>
      <c r="D250" s="5" t="n"/>
      <c r="E250" s="20" t="n"/>
      <c r="F250" s="5" t="n"/>
      <c r="G250" s="5" t="n"/>
      <c r="H250" s="5" t="n"/>
      <c r="I250" s="5" t="n"/>
    </row>
    <row r="251">
      <c r="A251" s="5" t="n"/>
      <c r="B251" s="5" t="n"/>
      <c r="C251" s="5" t="n"/>
      <c r="D251" s="5" t="n"/>
      <c r="E251" s="20" t="n"/>
      <c r="F251" s="5" t="n"/>
      <c r="G251" s="5" t="n"/>
      <c r="H251" s="5" t="n"/>
      <c r="I251" s="5" t="n"/>
    </row>
    <row r="252">
      <c r="A252" s="5" t="n"/>
      <c r="B252" s="5" t="n"/>
      <c r="C252" s="5" t="n"/>
      <c r="D252" s="5" t="n"/>
      <c r="E252" s="20" t="n"/>
      <c r="F252" s="5" t="n"/>
      <c r="G252" s="5" t="n"/>
      <c r="H252" s="5" t="n"/>
      <c r="I252" s="5" t="n"/>
    </row>
    <row r="253">
      <c r="A253" s="5" t="n"/>
      <c r="B253" s="5" t="n"/>
      <c r="C253" s="5" t="n"/>
      <c r="D253" s="5" t="n"/>
      <c r="E253" s="20" t="n"/>
      <c r="F253" s="5" t="n"/>
      <c r="G253" s="5" t="n"/>
      <c r="H253" s="5" t="n"/>
      <c r="I253" s="5" t="n"/>
    </row>
    <row r="254">
      <c r="A254" s="5" t="n"/>
      <c r="B254" s="5" t="n"/>
      <c r="C254" s="5" t="n"/>
      <c r="D254" s="5" t="n"/>
      <c r="E254" s="20" t="n"/>
      <c r="F254" s="5" t="n"/>
      <c r="G254" s="5" t="n"/>
      <c r="H254" s="5" t="n"/>
      <c r="I254" s="5" t="n"/>
    </row>
    <row r="255">
      <c r="A255" s="5" t="n"/>
      <c r="B255" s="5" t="n"/>
      <c r="C255" s="5" t="n"/>
      <c r="D255" s="5" t="n"/>
      <c r="E255" s="20" t="n"/>
      <c r="F255" s="5" t="n"/>
      <c r="G255" s="5" t="n"/>
      <c r="H255" s="5" t="n"/>
      <c r="I255" s="5" t="n"/>
    </row>
    <row r="256">
      <c r="A256" s="5" t="n"/>
      <c r="B256" s="5" t="n"/>
      <c r="C256" s="5" t="n"/>
      <c r="D256" s="5" t="n"/>
      <c r="E256" s="20" t="n"/>
      <c r="F256" s="5" t="n"/>
      <c r="G256" s="5" t="n"/>
      <c r="H256" s="5" t="n"/>
      <c r="I256" s="5" t="n"/>
    </row>
    <row r="257">
      <c r="A257" s="5" t="n"/>
      <c r="B257" s="5" t="n"/>
      <c r="C257" s="5" t="n"/>
      <c r="D257" s="5" t="n"/>
      <c r="E257" s="20" t="n"/>
      <c r="F257" s="5" t="n"/>
      <c r="G257" s="5" t="n"/>
      <c r="H257" s="5" t="n"/>
      <c r="I257" s="5" t="n"/>
    </row>
    <row r="258">
      <c r="A258" s="5" t="n"/>
      <c r="B258" s="5" t="n"/>
      <c r="C258" s="5" t="n"/>
      <c r="D258" s="5" t="n"/>
      <c r="E258" s="20" t="n"/>
      <c r="F258" s="5" t="n"/>
      <c r="G258" s="5" t="n"/>
      <c r="H258" s="5" t="n"/>
      <c r="I258" s="5" t="n"/>
    </row>
    <row r="259">
      <c r="A259" s="5" t="n"/>
      <c r="B259" s="5" t="n"/>
      <c r="C259" s="5" t="n"/>
      <c r="D259" s="5" t="n"/>
      <c r="E259" s="20" t="n"/>
      <c r="F259" s="5" t="n"/>
      <c r="G259" s="5" t="n"/>
      <c r="H259" s="5" t="n"/>
      <c r="I259" s="5" t="n"/>
    </row>
    <row r="260">
      <c r="A260" s="5" t="n"/>
      <c r="B260" s="5" t="n"/>
      <c r="C260" s="5" t="n"/>
      <c r="D260" s="5" t="n"/>
      <c r="E260" s="20" t="n"/>
      <c r="F260" s="5" t="n"/>
      <c r="G260" s="5" t="n"/>
      <c r="H260" s="5" t="n"/>
      <c r="I260" s="5" t="n"/>
    </row>
    <row r="261">
      <c r="A261" s="5" t="n"/>
      <c r="B261" s="5" t="n"/>
      <c r="C261" s="5" t="n"/>
      <c r="D261" s="5" t="n"/>
      <c r="E261" s="20" t="n"/>
      <c r="F261" s="5" t="n"/>
      <c r="G261" s="5" t="n"/>
      <c r="H261" s="5" t="n"/>
      <c r="I261" s="5" t="n"/>
    </row>
    <row r="262">
      <c r="A262" s="5" t="n"/>
      <c r="B262" s="5" t="n"/>
      <c r="C262" s="5" t="n"/>
      <c r="D262" s="5" t="n"/>
      <c r="E262" s="20" t="n"/>
      <c r="F262" s="5" t="n"/>
      <c r="G262" s="5" t="n"/>
      <c r="H262" s="5" t="n"/>
      <c r="I262" s="5" t="n"/>
    </row>
    <row r="263">
      <c r="A263" s="5" t="n"/>
      <c r="B263" s="5" t="n"/>
      <c r="C263" s="5" t="n"/>
      <c r="D263" s="5" t="n"/>
      <c r="E263" s="20" t="n"/>
      <c r="F263" s="5" t="n"/>
      <c r="G263" s="5" t="n"/>
      <c r="H263" s="5" t="n"/>
      <c r="I263" s="5" t="n"/>
    </row>
    <row r="264">
      <c r="A264" s="5" t="n"/>
      <c r="B264" s="5" t="n"/>
      <c r="C264" s="5" t="n"/>
      <c r="D264" s="5" t="n"/>
      <c r="E264" s="20" t="n"/>
      <c r="F264" s="5" t="n"/>
      <c r="G264" s="5" t="n"/>
      <c r="H264" s="5" t="n"/>
      <c r="I264" s="5" t="n"/>
    </row>
    <row r="265">
      <c r="A265" s="5" t="n"/>
      <c r="B265" s="5" t="n"/>
      <c r="C265" s="5" t="n"/>
      <c r="D265" s="5" t="n"/>
      <c r="E265" s="20" t="n"/>
      <c r="F265" s="5" t="n"/>
      <c r="G265" s="5" t="n"/>
      <c r="H265" s="5" t="n"/>
      <c r="I265" s="5" t="n"/>
    </row>
    <row r="266">
      <c r="A266" s="5" t="n"/>
      <c r="B266" s="5" t="n"/>
      <c r="C266" s="5" t="n"/>
      <c r="D266" s="5" t="n"/>
      <c r="E266" s="20" t="n"/>
      <c r="F266" s="5" t="n"/>
      <c r="G266" s="5" t="n"/>
      <c r="H266" s="5" t="n"/>
      <c r="I266" s="5" t="n"/>
    </row>
    <row r="267">
      <c r="A267" s="5" t="n"/>
      <c r="B267" s="5" t="n"/>
      <c r="C267" s="5" t="n"/>
      <c r="D267" s="5" t="n"/>
      <c r="E267" s="20" t="n"/>
      <c r="F267" s="5" t="n"/>
      <c r="G267" s="5" t="n"/>
      <c r="H267" s="5" t="n"/>
      <c r="I267" s="5" t="n"/>
    </row>
    <row r="268">
      <c r="A268" s="5" t="n"/>
      <c r="B268" s="5" t="n"/>
      <c r="C268" s="5" t="n"/>
      <c r="D268" s="5" t="n"/>
      <c r="E268" s="20" t="n"/>
      <c r="F268" s="5" t="n"/>
      <c r="G268" s="5" t="n"/>
      <c r="H268" s="5" t="n"/>
      <c r="I268" s="5" t="n"/>
    </row>
    <row r="269">
      <c r="A269" s="5" t="n"/>
      <c r="B269" s="5" t="n"/>
      <c r="C269" s="5" t="n"/>
      <c r="D269" s="5" t="n"/>
      <c r="E269" s="20" t="n"/>
      <c r="F269" s="5" t="n"/>
      <c r="G269" s="5" t="n"/>
      <c r="H269" s="5" t="n"/>
      <c r="I269" s="5" t="n"/>
    </row>
    <row r="270">
      <c r="A270" s="5" t="n"/>
      <c r="B270" s="5" t="n"/>
      <c r="C270" s="5" t="n"/>
      <c r="D270" s="5" t="n"/>
      <c r="E270" s="20" t="n"/>
      <c r="F270" s="5" t="n"/>
      <c r="G270" s="5" t="n"/>
      <c r="H270" s="5" t="n"/>
      <c r="I270" s="5" t="n"/>
    </row>
    <row r="271">
      <c r="A271" s="5" t="n"/>
      <c r="B271" s="5" t="n"/>
      <c r="C271" s="5" t="n"/>
      <c r="D271" s="5" t="n"/>
      <c r="E271" s="20" t="n"/>
      <c r="F271" s="5" t="n"/>
      <c r="G271" s="5" t="n"/>
      <c r="H271" s="5" t="n"/>
      <c r="I271" s="5" t="n"/>
    </row>
    <row r="272">
      <c r="A272" s="5" t="n"/>
      <c r="B272" s="5" t="n"/>
      <c r="C272" s="5" t="n"/>
      <c r="D272" s="5" t="n"/>
      <c r="E272" s="20" t="n"/>
      <c r="F272" s="5" t="n"/>
      <c r="G272" s="5" t="n"/>
      <c r="H272" s="5" t="n"/>
      <c r="I272" s="5" t="n"/>
    </row>
    <row r="273">
      <c r="A273" s="5" t="n"/>
      <c r="B273" s="5" t="n"/>
      <c r="C273" s="5" t="n"/>
      <c r="D273" s="5" t="n"/>
      <c r="E273" s="20" t="n"/>
      <c r="F273" s="5" t="n"/>
      <c r="G273" s="5" t="n"/>
      <c r="H273" s="5" t="n"/>
      <c r="I273" s="5" t="n"/>
    </row>
    <row r="274">
      <c r="A274" s="5" t="n"/>
      <c r="B274" s="5" t="n"/>
      <c r="C274" s="5" t="n"/>
      <c r="D274" s="5" t="n"/>
      <c r="E274" s="20" t="n"/>
      <c r="F274" s="5" t="n"/>
      <c r="G274" s="5" t="n"/>
      <c r="H274" s="5" t="n"/>
      <c r="I274" s="5" t="n"/>
    </row>
    <row r="275">
      <c r="A275" s="5" t="n"/>
      <c r="B275" s="5" t="n"/>
      <c r="C275" s="5" t="n"/>
      <c r="D275" s="5" t="n"/>
      <c r="E275" s="20" t="n"/>
      <c r="F275" s="5" t="n"/>
      <c r="G275" s="5" t="n"/>
      <c r="H275" s="5" t="n"/>
      <c r="I275" s="5" t="n"/>
    </row>
    <row r="276">
      <c r="A276" s="5" t="n"/>
      <c r="B276" s="5" t="n"/>
      <c r="C276" s="5" t="n"/>
      <c r="D276" s="5" t="n"/>
      <c r="E276" s="20" t="n"/>
      <c r="F276" s="5" t="n"/>
      <c r="G276" s="5" t="n"/>
      <c r="H276" s="5" t="n"/>
      <c r="I276" s="5" t="n"/>
    </row>
    <row r="277">
      <c r="A277" s="5" t="n"/>
      <c r="B277" s="5" t="n"/>
      <c r="C277" s="5" t="n"/>
      <c r="D277" s="5" t="n"/>
      <c r="E277" s="20" t="n"/>
      <c r="F277" s="5" t="n"/>
      <c r="G277" s="5" t="n"/>
      <c r="H277" s="5" t="n"/>
      <c r="I277" s="5" t="n"/>
    </row>
    <row r="278">
      <c r="A278" s="5" t="n"/>
      <c r="B278" s="5" t="n"/>
      <c r="C278" s="5" t="n"/>
      <c r="D278" s="5" t="n"/>
      <c r="E278" s="20" t="n"/>
      <c r="F278" s="5" t="n"/>
      <c r="G278" s="5" t="n"/>
      <c r="H278" s="5" t="n"/>
      <c r="I278" s="5" t="n"/>
    </row>
    <row r="279">
      <c r="A279" s="5" t="n"/>
      <c r="B279" s="5" t="n"/>
      <c r="C279" s="5" t="n"/>
      <c r="D279" s="5" t="n"/>
      <c r="E279" s="20" t="n"/>
      <c r="F279" s="5" t="n"/>
      <c r="G279" s="5" t="n"/>
      <c r="H279" s="5" t="n"/>
      <c r="I279" s="5" t="n"/>
    </row>
    <row r="280">
      <c r="A280" s="5" t="n"/>
      <c r="B280" s="5" t="n"/>
      <c r="C280" s="5" t="n"/>
      <c r="D280" s="5" t="n"/>
      <c r="E280" s="20" t="n"/>
      <c r="F280" s="5" t="n"/>
      <c r="G280" s="5" t="n"/>
      <c r="H280" s="5" t="n"/>
      <c r="I280" s="5" t="n"/>
    </row>
    <row r="281">
      <c r="A281" s="5" t="n"/>
      <c r="B281" s="5" t="n"/>
      <c r="C281" s="5" t="n"/>
      <c r="D281" s="5" t="n"/>
      <c r="E281" s="20" t="n"/>
      <c r="F281" s="5" t="n"/>
      <c r="G281" s="5" t="n"/>
      <c r="H281" s="5" t="n"/>
      <c r="I281" s="5" t="n"/>
    </row>
    <row r="282">
      <c r="A282" s="5" t="n"/>
      <c r="B282" s="5" t="n"/>
      <c r="C282" s="5" t="n"/>
      <c r="D282" s="5" t="n"/>
      <c r="E282" s="20" t="n"/>
      <c r="F282" s="5" t="n"/>
      <c r="G282" s="5" t="n"/>
      <c r="H282" s="5" t="n"/>
      <c r="I282" s="5" t="n"/>
    </row>
    <row r="283">
      <c r="A283" s="5" t="n"/>
      <c r="B283" s="5" t="n"/>
      <c r="C283" s="5" t="n"/>
      <c r="D283" s="5" t="n"/>
      <c r="E283" s="20" t="n"/>
      <c r="F283" s="5" t="n"/>
      <c r="G283" s="5" t="n"/>
      <c r="H283" s="5" t="n"/>
      <c r="I283" s="5" t="n"/>
    </row>
    <row r="284">
      <c r="A284" s="5" t="n"/>
      <c r="B284" s="5" t="n"/>
      <c r="C284" s="5" t="n"/>
      <c r="D284" s="5" t="n"/>
      <c r="E284" s="20" t="n"/>
      <c r="F284" s="5" t="n"/>
      <c r="G284" s="5" t="n"/>
      <c r="H284" s="5" t="n"/>
      <c r="I284" s="5" t="n"/>
    </row>
    <row r="285">
      <c r="A285" s="5" t="n"/>
      <c r="B285" s="5" t="n"/>
      <c r="C285" s="5" t="n"/>
      <c r="D285" s="5" t="n"/>
      <c r="E285" s="20" t="n"/>
      <c r="F285" s="5" t="n"/>
      <c r="G285" s="5" t="n"/>
      <c r="H285" s="5" t="n"/>
      <c r="I285" s="5" t="n"/>
    </row>
    <row r="286">
      <c r="A286" s="5" t="n"/>
      <c r="B286" s="5" t="n"/>
      <c r="C286" s="5" t="n"/>
      <c r="D286" s="5" t="n"/>
      <c r="E286" s="20" t="n"/>
      <c r="F286" s="5" t="n"/>
      <c r="G286" s="5" t="n"/>
      <c r="H286" s="5" t="n"/>
      <c r="I286" s="5" t="n"/>
    </row>
    <row r="287">
      <c r="A287" s="5" t="n"/>
      <c r="B287" s="5" t="n"/>
      <c r="C287" s="5" t="n"/>
      <c r="D287" s="5" t="n"/>
      <c r="E287" s="20" t="n"/>
      <c r="F287" s="5" t="n"/>
      <c r="G287" s="5" t="n"/>
      <c r="H287" s="5" t="n"/>
      <c r="I287" s="5" t="n"/>
    </row>
    <row r="288">
      <c r="A288" s="5" t="n"/>
      <c r="B288" s="5" t="n"/>
      <c r="C288" s="5" t="n"/>
      <c r="D288" s="5" t="n"/>
      <c r="E288" s="20" t="n"/>
      <c r="F288" s="5" t="n"/>
      <c r="G288" s="5" t="n"/>
      <c r="H288" s="5" t="n"/>
      <c r="I288" s="5" t="n"/>
    </row>
    <row r="289">
      <c r="A289" s="5" t="n"/>
      <c r="B289" s="5" t="n"/>
      <c r="C289" s="5" t="n"/>
      <c r="D289" s="5" t="n"/>
      <c r="E289" s="20" t="n"/>
      <c r="F289" s="5" t="n"/>
      <c r="G289" s="5" t="n"/>
      <c r="H289" s="5" t="n"/>
      <c r="I289" s="5" t="n"/>
    </row>
    <row r="290">
      <c r="A290" s="5" t="n"/>
      <c r="B290" s="5" t="n"/>
      <c r="C290" s="5" t="n"/>
      <c r="D290" s="5" t="n"/>
      <c r="E290" s="20" t="n"/>
      <c r="F290" s="5" t="n"/>
      <c r="G290" s="5" t="n"/>
      <c r="H290" s="5" t="n"/>
      <c r="I290" s="5" t="n"/>
    </row>
    <row r="291">
      <c r="A291" s="5" t="n"/>
      <c r="B291" s="5" t="n"/>
      <c r="C291" s="5" t="n"/>
      <c r="D291" s="5" t="n"/>
      <c r="E291" s="20" t="n"/>
      <c r="F291" s="5" t="n"/>
      <c r="G291" s="5" t="n"/>
      <c r="H291" s="5" t="n"/>
      <c r="I291" s="5" t="n"/>
    </row>
    <row r="292">
      <c r="A292" s="5" t="n"/>
      <c r="B292" s="5" t="n"/>
      <c r="C292" s="5" t="n"/>
      <c r="D292" s="5" t="n"/>
      <c r="E292" s="20" t="n"/>
      <c r="F292" s="5" t="n"/>
      <c r="G292" s="5" t="n"/>
      <c r="H292" s="5" t="n"/>
      <c r="I292" s="5" t="n"/>
    </row>
    <row r="293">
      <c r="A293" s="5" t="n"/>
      <c r="B293" s="5" t="n"/>
      <c r="C293" s="5" t="n"/>
      <c r="D293" s="5" t="n"/>
      <c r="E293" s="20" t="n"/>
      <c r="F293" s="5" t="n"/>
      <c r="G293" s="5" t="n"/>
      <c r="H293" s="5" t="n"/>
      <c r="I293" s="5" t="n"/>
    </row>
    <row r="294">
      <c r="A294" s="5" t="n"/>
      <c r="B294" s="5" t="n"/>
      <c r="C294" s="5" t="n"/>
      <c r="D294" s="5" t="n"/>
      <c r="E294" s="20" t="n"/>
      <c r="F294" s="5" t="n"/>
      <c r="G294" s="5" t="n"/>
      <c r="H294" s="5" t="n"/>
      <c r="I294" s="5" t="n"/>
    </row>
    <row r="295">
      <c r="A295" s="5" t="n"/>
      <c r="B295" s="5" t="n"/>
      <c r="C295" s="5" t="n"/>
      <c r="D295" s="5" t="n"/>
      <c r="E295" s="20" t="n"/>
      <c r="F295" s="5" t="n"/>
      <c r="G295" s="5" t="n"/>
      <c r="H295" s="5" t="n"/>
      <c r="I295" s="5" t="n"/>
    </row>
    <row r="296">
      <c r="A296" s="5" t="n"/>
      <c r="B296" s="5" t="n"/>
      <c r="C296" s="5" t="n"/>
      <c r="D296" s="5" t="n"/>
      <c r="E296" s="20" t="n"/>
      <c r="F296" s="5" t="n"/>
      <c r="G296" s="5" t="n"/>
      <c r="H296" s="5" t="n"/>
      <c r="I296" s="5" t="n"/>
    </row>
    <row r="297">
      <c r="A297" s="5" t="n"/>
      <c r="B297" s="5" t="n"/>
      <c r="C297" s="5" t="n"/>
      <c r="D297" s="5" t="n"/>
      <c r="E297" s="20" t="n"/>
      <c r="F297" s="5" t="n"/>
      <c r="G297" s="5" t="n"/>
      <c r="H297" s="5" t="n"/>
      <c r="I297" s="5" t="n"/>
    </row>
    <row r="298">
      <c r="A298" s="5" t="n"/>
      <c r="B298" s="5" t="n"/>
      <c r="C298" s="5" t="n"/>
      <c r="D298" s="5" t="n"/>
      <c r="E298" s="20" t="n"/>
      <c r="F298" s="5" t="n"/>
      <c r="G298" s="5" t="n"/>
      <c r="H298" s="5" t="n"/>
      <c r="I298" s="5" t="n"/>
    </row>
    <row r="299">
      <c r="A299" s="5" t="n"/>
      <c r="B299" s="5" t="n"/>
      <c r="C299" s="5" t="n"/>
      <c r="D299" s="5" t="n"/>
      <c r="E299" s="20" t="n"/>
      <c r="F299" s="5" t="n"/>
      <c r="G299" s="5" t="n"/>
      <c r="H299" s="5" t="n"/>
      <c r="I299" s="5" t="n"/>
    </row>
    <row r="300">
      <c r="A300" s="5" t="n"/>
      <c r="B300" s="5" t="n"/>
      <c r="C300" s="5" t="n"/>
      <c r="D300" s="5" t="n"/>
      <c r="E300" s="20" t="n"/>
      <c r="F300" s="5" t="n"/>
      <c r="G300" s="5" t="n"/>
      <c r="H300" s="5" t="n"/>
      <c r="I300" s="5" t="n"/>
    </row>
    <row r="301">
      <c r="A301" s="5" t="n"/>
      <c r="B301" s="5" t="n"/>
      <c r="C301" s="5" t="n"/>
      <c r="D301" s="5" t="n"/>
      <c r="E301" s="20" t="n"/>
      <c r="F301" s="5" t="n"/>
      <c r="G301" s="5" t="n"/>
      <c r="H301" s="5" t="n"/>
      <c r="I301" s="5" t="n"/>
    </row>
    <row r="302">
      <c r="A302" s="5" t="n"/>
      <c r="B302" s="5" t="n"/>
      <c r="C302" s="5" t="n"/>
      <c r="D302" s="5" t="n"/>
      <c r="E302" s="20" t="n"/>
      <c r="F302" s="5" t="n"/>
      <c r="G302" s="5" t="n"/>
      <c r="H302" s="5" t="n"/>
      <c r="I302" s="5" t="n"/>
    </row>
    <row r="303">
      <c r="A303" s="5" t="n"/>
      <c r="B303" s="5" t="n"/>
      <c r="C303" s="5" t="n"/>
      <c r="D303" s="5" t="n"/>
      <c r="E303" s="20" t="n"/>
      <c r="F303" s="5" t="n"/>
      <c r="G303" s="5" t="n"/>
      <c r="H303" s="5" t="n"/>
      <c r="I303" s="5" t="n"/>
    </row>
    <row r="304">
      <c r="A304" s="5" t="n"/>
      <c r="B304" s="5" t="n"/>
      <c r="C304" s="5" t="n"/>
      <c r="D304" s="5" t="n"/>
      <c r="E304" s="20" t="n"/>
      <c r="F304" s="5" t="n"/>
      <c r="G304" s="5" t="n"/>
      <c r="H304" s="5" t="n"/>
      <c r="I304" s="5" t="n"/>
    </row>
    <row r="305">
      <c r="A305" s="5" t="n"/>
      <c r="B305" s="5" t="n"/>
      <c r="C305" s="5" t="n"/>
      <c r="D305" s="5" t="n"/>
      <c r="E305" s="20" t="n"/>
      <c r="F305" s="5" t="n"/>
      <c r="G305" s="5" t="n"/>
      <c r="H305" s="5" t="n"/>
      <c r="I305" s="5" t="n"/>
    </row>
    <row r="306">
      <c r="A306" s="5" t="n"/>
      <c r="B306" s="5" t="n"/>
      <c r="C306" s="5" t="n"/>
      <c r="D306" s="5" t="n"/>
      <c r="E306" s="20" t="n"/>
      <c r="F306" s="5" t="n"/>
      <c r="G306" s="5" t="n"/>
      <c r="H306" s="5" t="n"/>
      <c r="I306" s="5" t="n"/>
    </row>
    <row r="307">
      <c r="A307" s="5" t="n"/>
      <c r="B307" s="5" t="n"/>
      <c r="C307" s="5" t="n"/>
      <c r="D307" s="5" t="n"/>
      <c r="E307" s="20" t="n"/>
      <c r="F307" s="5" t="n"/>
      <c r="G307" s="5" t="n"/>
      <c r="H307" s="5" t="n"/>
      <c r="I307" s="5" t="n"/>
    </row>
    <row r="308">
      <c r="A308" s="5" t="n"/>
      <c r="B308" s="5" t="n"/>
      <c r="C308" s="5" t="n"/>
      <c r="D308" s="5" t="n"/>
      <c r="E308" s="20" t="n"/>
      <c r="F308" s="5" t="n"/>
      <c r="G308" s="5" t="n"/>
      <c r="H308" s="5" t="n"/>
      <c r="I308" s="5" t="n"/>
    </row>
    <row r="309">
      <c r="A309" s="5" t="n"/>
      <c r="B309" s="5" t="n"/>
      <c r="C309" s="5" t="n"/>
      <c r="D309" s="5" t="n"/>
      <c r="E309" s="20" t="n"/>
      <c r="F309" s="5" t="n"/>
      <c r="G309" s="5" t="n"/>
      <c r="H309" s="5" t="n"/>
      <c r="I309" s="5" t="n"/>
    </row>
    <row r="310">
      <c r="A310" s="5" t="n"/>
      <c r="B310" s="5" t="n"/>
      <c r="C310" s="5" t="n"/>
      <c r="D310" s="5" t="n"/>
      <c r="E310" s="20" t="n"/>
      <c r="F310" s="5" t="n"/>
      <c r="G310" s="5" t="n"/>
      <c r="H310" s="5" t="n"/>
      <c r="I310" s="5" t="n"/>
    </row>
    <row r="311">
      <c r="A311" s="5" t="n"/>
      <c r="B311" s="5" t="n"/>
      <c r="C311" s="5" t="n"/>
      <c r="D311" s="5" t="n"/>
      <c r="E311" s="20" t="n"/>
      <c r="F311" s="5" t="n"/>
      <c r="G311" s="5" t="n"/>
      <c r="H311" s="5" t="n"/>
      <c r="I311" s="5" t="n"/>
    </row>
    <row r="312">
      <c r="A312" s="5" t="n"/>
      <c r="B312" s="5" t="n"/>
      <c r="C312" s="5" t="n"/>
      <c r="D312" s="5" t="n"/>
      <c r="E312" s="20" t="n"/>
      <c r="F312" s="5" t="n"/>
      <c r="G312" s="5" t="n"/>
      <c r="H312" s="5" t="n"/>
      <c r="I312" s="5" t="n"/>
    </row>
    <row r="313">
      <c r="A313" s="5" t="n"/>
      <c r="B313" s="5" t="n"/>
      <c r="C313" s="5" t="n"/>
      <c r="D313" s="5" t="n"/>
      <c r="E313" s="20" t="n"/>
      <c r="F313" s="5" t="n"/>
      <c r="G313" s="5" t="n"/>
      <c r="H313" s="5" t="n"/>
      <c r="I313" s="5" t="n"/>
    </row>
    <row r="314">
      <c r="A314" s="5" t="n"/>
      <c r="B314" s="5" t="n"/>
      <c r="C314" s="5" t="n"/>
      <c r="D314" s="5" t="n"/>
      <c r="E314" s="20" t="n"/>
      <c r="F314" s="5" t="n"/>
      <c r="G314" s="5" t="n"/>
      <c r="H314" s="5" t="n"/>
      <c r="I314" s="5" t="n"/>
    </row>
    <row r="315">
      <c r="A315" s="5" t="n"/>
      <c r="B315" s="5" t="n"/>
      <c r="C315" s="5" t="n"/>
      <c r="D315" s="5" t="n"/>
      <c r="E315" s="20" t="n"/>
      <c r="F315" s="5" t="n"/>
      <c r="G315" s="5" t="n"/>
      <c r="H315" s="5" t="n"/>
      <c r="I315" s="5" t="n"/>
    </row>
    <row r="316">
      <c r="A316" s="5" t="n"/>
      <c r="B316" s="5" t="n"/>
      <c r="C316" s="5" t="n"/>
      <c r="D316" s="5" t="n"/>
      <c r="E316" s="20" t="n"/>
      <c r="F316" s="5" t="n"/>
      <c r="G316" s="5" t="n"/>
      <c r="H316" s="5" t="n"/>
      <c r="I316" s="5" t="n"/>
    </row>
    <row r="317">
      <c r="A317" s="5" t="n"/>
      <c r="B317" s="5" t="n"/>
      <c r="C317" s="5" t="n"/>
      <c r="D317" s="5" t="n"/>
      <c r="E317" s="20" t="n"/>
      <c r="F317" s="5" t="n"/>
      <c r="G317" s="5" t="n"/>
      <c r="H317" s="5" t="n"/>
      <c r="I317" s="5" t="n"/>
    </row>
    <row r="318">
      <c r="A318" s="5" t="n"/>
      <c r="B318" s="5" t="n"/>
      <c r="C318" s="5" t="n"/>
      <c r="D318" s="5" t="n"/>
      <c r="E318" s="20" t="n"/>
      <c r="F318" s="5" t="n"/>
      <c r="G318" s="5" t="n"/>
      <c r="H318" s="5" t="n"/>
      <c r="I318" s="5" t="n"/>
    </row>
    <row r="319">
      <c r="A319" s="5" t="n"/>
      <c r="B319" s="5" t="n"/>
      <c r="C319" s="5" t="n"/>
      <c r="D319" s="5" t="n"/>
      <c r="E319" s="20" t="n"/>
      <c r="F319" s="5" t="n"/>
      <c r="G319" s="5" t="n"/>
      <c r="H319" s="5" t="n"/>
      <c r="I319" s="5" t="n"/>
    </row>
    <row r="320">
      <c r="A320" s="5" t="n"/>
      <c r="B320" s="5" t="n"/>
      <c r="C320" s="5" t="n"/>
      <c r="D320" s="5" t="n"/>
      <c r="E320" s="20" t="n"/>
      <c r="F320" s="5" t="n"/>
      <c r="G320" s="5" t="n"/>
      <c r="H320" s="5" t="n"/>
      <c r="I320" s="5" t="n"/>
    </row>
    <row r="321">
      <c r="A321" s="5" t="n"/>
      <c r="B321" s="5" t="n"/>
      <c r="C321" s="5" t="n"/>
      <c r="D321" s="5" t="n"/>
      <c r="E321" s="20" t="n"/>
      <c r="F321" s="5" t="n"/>
      <c r="G321" s="5" t="n"/>
      <c r="H321" s="5" t="n"/>
      <c r="I321" s="5" t="n"/>
    </row>
    <row r="322">
      <c r="A322" s="5" t="n"/>
      <c r="B322" s="5" t="n"/>
      <c r="C322" s="5" t="n"/>
      <c r="D322" s="5" t="n"/>
      <c r="E322" s="20" t="n"/>
      <c r="F322" s="5" t="n"/>
      <c r="G322" s="5" t="n"/>
      <c r="H322" s="5" t="n"/>
      <c r="I322" s="5" t="n"/>
    </row>
    <row r="323">
      <c r="A323" s="5" t="n"/>
      <c r="B323" s="5" t="n"/>
      <c r="C323" s="5" t="n"/>
      <c r="D323" s="5" t="n"/>
      <c r="E323" s="20" t="n"/>
      <c r="F323" s="5" t="n"/>
      <c r="G323" s="5" t="n"/>
      <c r="H323" s="5" t="n"/>
      <c r="I323" s="5" t="n"/>
    </row>
    <row r="324">
      <c r="A324" s="5" t="n"/>
      <c r="B324" s="5" t="n"/>
      <c r="C324" s="5" t="n"/>
      <c r="D324" s="5" t="n"/>
      <c r="E324" s="20" t="n"/>
      <c r="F324" s="5" t="n"/>
      <c r="G324" s="5" t="n"/>
      <c r="H324" s="5" t="n"/>
      <c r="I324" s="5" t="n"/>
    </row>
    <row r="325">
      <c r="A325" s="5" t="n"/>
      <c r="B325" s="5" t="n"/>
      <c r="C325" s="5" t="n"/>
      <c r="D325" s="5" t="n"/>
      <c r="E325" s="20" t="n"/>
      <c r="F325" s="5" t="n"/>
      <c r="G325" s="5" t="n"/>
      <c r="H325" s="5" t="n"/>
      <c r="I325" s="5" t="n"/>
    </row>
    <row r="326">
      <c r="A326" s="5" t="n"/>
      <c r="B326" s="5" t="n"/>
      <c r="C326" s="5" t="n"/>
      <c r="D326" s="5" t="n"/>
      <c r="E326" s="20" t="n"/>
      <c r="F326" s="5" t="n"/>
      <c r="G326" s="5" t="n"/>
      <c r="H326" s="5" t="n"/>
      <c r="I326" s="5" t="n"/>
    </row>
    <row r="327">
      <c r="A327" s="5" t="n"/>
      <c r="B327" s="5" t="n"/>
      <c r="C327" s="5" t="n"/>
      <c r="D327" s="5" t="n"/>
      <c r="E327" s="20" t="n"/>
      <c r="F327" s="5" t="n"/>
      <c r="G327" s="5" t="n"/>
      <c r="H327" s="5" t="n"/>
      <c r="I327" s="5" t="n"/>
    </row>
    <row r="328">
      <c r="A328" s="5" t="n"/>
      <c r="B328" s="5" t="n"/>
      <c r="C328" s="5" t="n"/>
      <c r="D328" s="5" t="n"/>
      <c r="E328" s="20" t="n"/>
      <c r="F328" s="5" t="n"/>
      <c r="G328" s="5" t="n"/>
      <c r="H328" s="5" t="n"/>
      <c r="I328" s="5" t="n"/>
    </row>
    <row r="329">
      <c r="A329" s="5" t="n"/>
      <c r="B329" s="5" t="n"/>
      <c r="C329" s="5" t="n"/>
      <c r="D329" s="5" t="n"/>
      <c r="E329" s="20" t="n"/>
      <c r="F329" s="5" t="n"/>
      <c r="G329" s="5" t="n"/>
      <c r="H329" s="5" t="n"/>
      <c r="I329" s="5" t="n"/>
    </row>
    <row r="330">
      <c r="A330" s="5" t="n"/>
      <c r="B330" s="5" t="n"/>
      <c r="C330" s="5" t="n"/>
      <c r="D330" s="5" t="n"/>
      <c r="E330" s="20" t="n"/>
      <c r="F330" s="5" t="n"/>
      <c r="G330" s="5" t="n"/>
      <c r="H330" s="5" t="n"/>
      <c r="I330" s="5" t="n"/>
    </row>
    <row r="331">
      <c r="A331" s="5" t="n"/>
      <c r="B331" s="5" t="n"/>
      <c r="C331" s="5" t="n"/>
      <c r="D331" s="5" t="n"/>
      <c r="E331" s="20" t="n"/>
      <c r="F331" s="5" t="n"/>
      <c r="G331" s="5" t="n"/>
      <c r="H331" s="5" t="n"/>
      <c r="I331" s="5" t="n"/>
    </row>
    <row r="332">
      <c r="A332" s="5" t="n"/>
      <c r="B332" s="5" t="n"/>
      <c r="C332" s="5" t="n"/>
      <c r="D332" s="5" t="n"/>
      <c r="E332" s="20" t="n"/>
      <c r="F332" s="5" t="n"/>
      <c r="G332" s="5" t="n"/>
      <c r="H332" s="5" t="n"/>
      <c r="I332" s="5" t="n"/>
    </row>
    <row r="333">
      <c r="A333" s="5" t="n"/>
      <c r="B333" s="5" t="n"/>
      <c r="C333" s="5" t="n"/>
      <c r="D333" s="5" t="n"/>
      <c r="E333" s="20" t="n"/>
      <c r="F333" s="5" t="n"/>
      <c r="G333" s="5" t="n"/>
      <c r="H333" s="5" t="n"/>
      <c r="I333" s="5" t="n"/>
    </row>
    <row r="334">
      <c r="A334" s="5" t="n"/>
      <c r="B334" s="5" t="n"/>
      <c r="C334" s="5" t="n"/>
      <c r="D334" s="5" t="n"/>
      <c r="E334" s="20" t="n"/>
      <c r="F334" s="5" t="n"/>
      <c r="G334" s="5" t="n"/>
      <c r="H334" s="5" t="n"/>
      <c r="I334" s="5" t="n"/>
    </row>
    <row r="335">
      <c r="A335" s="5" t="n"/>
      <c r="B335" s="5" t="n"/>
      <c r="C335" s="5" t="n"/>
      <c r="D335" s="5" t="n"/>
      <c r="E335" s="20" t="n"/>
      <c r="F335" s="5" t="n"/>
      <c r="G335" s="5" t="n"/>
      <c r="H335" s="5" t="n"/>
      <c r="I335" s="5" t="n"/>
    </row>
    <row r="336">
      <c r="A336" s="5" t="n"/>
      <c r="B336" s="5" t="n"/>
      <c r="C336" s="5" t="n"/>
      <c r="D336" s="5" t="n"/>
      <c r="E336" s="20" t="n"/>
      <c r="F336" s="5" t="n"/>
      <c r="G336" s="5" t="n"/>
      <c r="H336" s="5" t="n"/>
      <c r="I336" s="5" t="n"/>
    </row>
    <row r="337">
      <c r="A337" s="5" t="n"/>
      <c r="B337" s="5" t="n"/>
      <c r="C337" s="5" t="n"/>
      <c r="D337" s="5" t="n"/>
      <c r="E337" s="20" t="n"/>
      <c r="F337" s="5" t="n"/>
      <c r="G337" s="5" t="n"/>
      <c r="H337" s="5" t="n"/>
      <c r="I337" s="5" t="n"/>
    </row>
    <row r="338">
      <c r="A338" s="5" t="n"/>
      <c r="B338" s="5" t="n"/>
      <c r="C338" s="5" t="n"/>
      <c r="D338" s="5" t="n"/>
      <c r="E338" s="20" t="n"/>
      <c r="F338" s="5" t="n"/>
      <c r="G338" s="5" t="n"/>
      <c r="H338" s="5" t="n"/>
      <c r="I338" s="5" t="n"/>
    </row>
    <row r="339">
      <c r="A339" s="5" t="n"/>
      <c r="B339" s="5" t="n"/>
      <c r="C339" s="5" t="n"/>
      <c r="D339" s="5" t="n"/>
      <c r="E339" s="20" t="n"/>
      <c r="F339" s="5" t="n"/>
      <c r="G339" s="5" t="n"/>
      <c r="H339" s="5" t="n"/>
      <c r="I339" s="5" t="n"/>
    </row>
    <row r="340">
      <c r="A340" s="5" t="n"/>
      <c r="B340" s="5" t="n"/>
      <c r="C340" s="5" t="n"/>
      <c r="D340" s="5" t="n"/>
      <c r="E340" s="20" t="n"/>
      <c r="F340" s="5" t="n"/>
      <c r="G340" s="5" t="n"/>
      <c r="H340" s="5" t="n"/>
      <c r="I340" s="5" t="n"/>
    </row>
    <row r="341">
      <c r="A341" s="5" t="n"/>
      <c r="B341" s="5" t="n"/>
      <c r="C341" s="5" t="n"/>
      <c r="D341" s="5" t="n"/>
      <c r="E341" s="20" t="n"/>
      <c r="F341" s="5" t="n"/>
      <c r="G341" s="5" t="n"/>
      <c r="H341" s="5" t="n"/>
      <c r="I341" s="5" t="n"/>
    </row>
    <row r="342">
      <c r="A342" s="5" t="n"/>
      <c r="B342" s="5" t="n"/>
      <c r="C342" s="5" t="n"/>
      <c r="D342" s="5" t="n"/>
      <c r="E342" s="20" t="n"/>
      <c r="F342" s="5" t="n"/>
      <c r="G342" s="5" t="n"/>
      <c r="H342" s="5" t="n"/>
      <c r="I342" s="5" t="n"/>
    </row>
    <row r="343">
      <c r="A343" s="5" t="n"/>
      <c r="B343" s="5" t="n"/>
      <c r="C343" s="5" t="n"/>
      <c r="D343" s="5" t="n"/>
      <c r="E343" s="20" t="n"/>
      <c r="F343" s="5" t="n"/>
      <c r="G343" s="5" t="n"/>
      <c r="H343" s="5" t="n"/>
      <c r="I343" s="5" t="n"/>
    </row>
    <row r="344">
      <c r="A344" s="5" t="n"/>
      <c r="B344" s="5" t="n"/>
      <c r="C344" s="5" t="n"/>
      <c r="D344" s="5" t="n"/>
      <c r="E344" s="20" t="n"/>
      <c r="F344" s="5" t="n"/>
      <c r="G344" s="5" t="n"/>
      <c r="H344" s="5" t="n"/>
      <c r="I344" s="5" t="n"/>
    </row>
    <row r="345">
      <c r="A345" s="5" t="n"/>
      <c r="B345" s="5" t="n"/>
      <c r="C345" s="5" t="n"/>
      <c r="D345" s="5" t="n"/>
      <c r="E345" s="20" t="n"/>
      <c r="F345" s="5" t="n"/>
      <c r="G345" s="5" t="n"/>
      <c r="H345" s="5" t="n"/>
      <c r="I345" s="5" t="n"/>
    </row>
    <row r="346">
      <c r="A346" s="5" t="n"/>
      <c r="B346" s="5" t="n"/>
      <c r="C346" s="5" t="n"/>
      <c r="D346" s="5" t="n"/>
      <c r="E346" s="20" t="n"/>
      <c r="F346" s="5" t="n"/>
      <c r="G346" s="5" t="n"/>
      <c r="H346" s="5" t="n"/>
      <c r="I346" s="5" t="n"/>
    </row>
    <row r="347">
      <c r="A347" s="5" t="n"/>
      <c r="B347" s="5" t="n"/>
      <c r="C347" s="5" t="n"/>
      <c r="D347" s="5" t="n"/>
      <c r="E347" s="20" t="n"/>
      <c r="F347" s="5" t="n"/>
      <c r="G347" s="5" t="n"/>
      <c r="H347" s="5" t="n"/>
      <c r="I347" s="5" t="n"/>
    </row>
    <row r="348">
      <c r="A348" s="5" t="n"/>
      <c r="B348" s="5" t="n"/>
      <c r="C348" s="5" t="n"/>
      <c r="D348" s="5" t="n"/>
      <c r="E348" s="20" t="n"/>
      <c r="F348" s="5" t="n"/>
      <c r="G348" s="5" t="n"/>
      <c r="H348" s="5" t="n"/>
      <c r="I348" s="5" t="n"/>
    </row>
    <row r="349">
      <c r="A349" s="5" t="n"/>
      <c r="B349" s="5" t="n"/>
      <c r="C349" s="5" t="n"/>
      <c r="D349" s="5" t="n"/>
      <c r="E349" s="20" t="n"/>
      <c r="F349" s="5" t="n"/>
      <c r="G349" s="5" t="n"/>
      <c r="H349" s="5" t="n"/>
      <c r="I349" s="5" t="n"/>
    </row>
    <row r="350">
      <c r="A350" s="5" t="n"/>
      <c r="B350" s="5" t="n"/>
      <c r="C350" s="5" t="n"/>
      <c r="D350" s="5" t="n"/>
      <c r="E350" s="20" t="n"/>
      <c r="F350" s="5" t="n"/>
      <c r="G350" s="5" t="n"/>
      <c r="H350" s="5" t="n"/>
      <c r="I350" s="5" t="n"/>
    </row>
    <row r="351">
      <c r="A351" s="5" t="n"/>
      <c r="B351" s="5" t="n"/>
      <c r="C351" s="5" t="n"/>
      <c r="D351" s="5" t="n"/>
      <c r="E351" s="20" t="n"/>
      <c r="F351" s="5" t="n"/>
      <c r="G351" s="5" t="n"/>
      <c r="H351" s="5" t="n"/>
      <c r="I351" s="5" t="n"/>
    </row>
    <row r="352">
      <c r="A352" s="5" t="n"/>
      <c r="B352" s="5" t="n"/>
      <c r="C352" s="5" t="n"/>
      <c r="D352" s="5" t="n"/>
      <c r="E352" s="20" t="n"/>
      <c r="F352" s="5" t="n"/>
      <c r="G352" s="5" t="n"/>
      <c r="H352" s="5" t="n"/>
      <c r="I352" s="5" t="n"/>
    </row>
    <row r="353">
      <c r="A353" s="5" t="n"/>
      <c r="B353" s="5" t="n"/>
      <c r="C353" s="5" t="n"/>
      <c r="D353" s="5" t="n"/>
      <c r="E353" s="20" t="n"/>
      <c r="F353" s="5" t="n"/>
      <c r="G353" s="5" t="n"/>
      <c r="H353" s="5" t="n"/>
      <c r="I353" s="5" t="n"/>
    </row>
    <row r="354">
      <c r="A354" s="5" t="n"/>
      <c r="B354" s="5" t="n"/>
      <c r="C354" s="5" t="n"/>
      <c r="D354" s="5" t="n"/>
      <c r="E354" s="20" t="n"/>
      <c r="F354" s="5" t="n"/>
      <c r="G354" s="5" t="n"/>
      <c r="H354" s="5" t="n"/>
      <c r="I354" s="5" t="n"/>
    </row>
    <row r="355">
      <c r="A355" s="5" t="n"/>
      <c r="B355" s="5" t="n"/>
      <c r="C355" s="5" t="n"/>
      <c r="D355" s="5" t="n"/>
      <c r="E355" s="20" t="n"/>
      <c r="F355" s="5" t="n"/>
      <c r="G355" s="5" t="n"/>
      <c r="H355" s="5" t="n"/>
      <c r="I355" s="5" t="n"/>
    </row>
    <row r="356">
      <c r="A356" s="5" t="n"/>
      <c r="B356" s="5" t="n"/>
      <c r="C356" s="5" t="n"/>
      <c r="D356" s="5" t="n"/>
      <c r="E356" s="20" t="n"/>
      <c r="F356" s="5" t="n"/>
      <c r="G356" s="5" t="n"/>
      <c r="H356" s="5" t="n"/>
      <c r="I356" s="5" t="n"/>
    </row>
    <row r="357">
      <c r="A357" s="5" t="n"/>
      <c r="B357" s="5" t="n"/>
      <c r="C357" s="5" t="n"/>
      <c r="D357" s="5" t="n"/>
      <c r="E357" s="20" t="n"/>
      <c r="F357" s="5" t="n"/>
      <c r="G357" s="5" t="n"/>
      <c r="H357" s="5" t="n"/>
      <c r="I357" s="5" t="n"/>
    </row>
    <row r="358">
      <c r="A358" s="5" t="n"/>
      <c r="B358" s="5" t="n"/>
      <c r="C358" s="5" t="n"/>
      <c r="D358" s="5" t="n"/>
      <c r="E358" s="20" t="n"/>
      <c r="F358" s="5" t="n"/>
      <c r="G358" s="5" t="n"/>
      <c r="H358" s="5" t="n"/>
      <c r="I358" s="5" t="n"/>
    </row>
    <row r="359">
      <c r="A359" s="5" t="n"/>
      <c r="B359" s="5" t="n"/>
      <c r="C359" s="5" t="n"/>
      <c r="D359" s="5" t="n"/>
      <c r="E359" s="20" t="n"/>
      <c r="F359" s="5" t="n"/>
      <c r="G359" s="5" t="n"/>
      <c r="H359" s="5" t="n"/>
      <c r="I359" s="5" t="n"/>
    </row>
    <row r="360">
      <c r="A360" s="5" t="n"/>
      <c r="B360" s="5" t="n"/>
      <c r="C360" s="5" t="n"/>
      <c r="D360" s="5" t="n"/>
      <c r="E360" s="20" t="n"/>
      <c r="F360" s="5" t="n"/>
      <c r="G360" s="5" t="n"/>
      <c r="H360" s="5" t="n"/>
      <c r="I360" s="5" t="n"/>
    </row>
    <row r="361">
      <c r="A361" s="5" t="n"/>
      <c r="B361" s="5" t="n"/>
      <c r="C361" s="5" t="n"/>
      <c r="D361" s="5" t="n"/>
      <c r="E361" s="20" t="n"/>
      <c r="F361" s="5" t="n"/>
      <c r="G361" s="5" t="n"/>
      <c r="H361" s="5" t="n"/>
      <c r="I361" s="5" t="n"/>
    </row>
    <row r="362">
      <c r="A362" s="5" t="n"/>
      <c r="B362" s="5" t="n"/>
      <c r="C362" s="5" t="n"/>
      <c r="D362" s="5" t="n"/>
      <c r="E362" s="20" t="n"/>
      <c r="F362" s="5" t="n"/>
      <c r="G362" s="5" t="n"/>
      <c r="H362" s="5" t="n"/>
      <c r="I362" s="5" t="n"/>
    </row>
    <row r="363">
      <c r="A363" s="5" t="n"/>
      <c r="B363" s="5" t="n"/>
      <c r="C363" s="5" t="n"/>
      <c r="D363" s="5" t="n"/>
      <c r="E363" s="20" t="n"/>
      <c r="F363" s="5" t="n"/>
      <c r="G363" s="5" t="n"/>
      <c r="H363" s="5" t="n"/>
      <c r="I363" s="5" t="n"/>
    </row>
    <row r="364">
      <c r="A364" s="5" t="n"/>
      <c r="B364" s="5" t="n"/>
      <c r="C364" s="5" t="n"/>
      <c r="D364" s="5" t="n"/>
      <c r="E364" s="20" t="n"/>
      <c r="F364" s="5" t="n"/>
      <c r="G364" s="5" t="n"/>
      <c r="H364" s="5" t="n"/>
      <c r="I364" s="5" t="n"/>
    </row>
    <row r="365">
      <c r="A365" s="5" t="n"/>
      <c r="B365" s="5" t="n"/>
      <c r="C365" s="5" t="n"/>
      <c r="D365" s="5" t="n"/>
      <c r="E365" s="20" t="n"/>
      <c r="F365" s="5" t="n"/>
      <c r="G365" s="5" t="n"/>
      <c r="H365" s="5" t="n"/>
      <c r="I365" s="5" t="n"/>
    </row>
    <row r="366">
      <c r="A366" s="5" t="n"/>
      <c r="B366" s="5" t="n"/>
      <c r="C366" s="5" t="n"/>
      <c r="D366" s="5" t="n"/>
      <c r="E366" s="20" t="n"/>
      <c r="F366" s="5" t="n"/>
      <c r="G366" s="5" t="n"/>
      <c r="H366" s="5" t="n"/>
      <c r="I366" s="5" t="n"/>
    </row>
    <row r="367">
      <c r="A367" s="5" t="n"/>
      <c r="B367" s="5" t="n"/>
      <c r="C367" s="5" t="n"/>
      <c r="D367" s="5" t="n"/>
      <c r="E367" s="20" t="n"/>
      <c r="F367" s="5" t="n"/>
      <c r="G367" s="5" t="n"/>
      <c r="H367" s="5" t="n"/>
      <c r="I367" s="5" t="n"/>
    </row>
    <row r="368">
      <c r="A368" s="5" t="n"/>
      <c r="B368" s="5" t="n"/>
      <c r="C368" s="5" t="n"/>
      <c r="D368" s="5" t="n"/>
      <c r="E368" s="20" t="n"/>
      <c r="F368" s="5" t="n"/>
      <c r="G368" s="5" t="n"/>
      <c r="H368" s="5" t="n"/>
      <c r="I368" s="5" t="n"/>
    </row>
    <row r="369">
      <c r="A369" s="5" t="n"/>
      <c r="B369" s="5" t="n"/>
      <c r="C369" s="5" t="n"/>
      <c r="D369" s="5" t="n"/>
      <c r="E369" s="20" t="n"/>
      <c r="F369" s="5" t="n"/>
      <c r="G369" s="5" t="n"/>
      <c r="H369" s="5" t="n"/>
      <c r="I369" s="5" t="n"/>
    </row>
    <row r="370">
      <c r="A370" s="5" t="n"/>
      <c r="B370" s="5" t="n"/>
      <c r="C370" s="5" t="n"/>
      <c r="D370" s="5" t="n"/>
      <c r="E370" s="20" t="n"/>
      <c r="F370" s="5" t="n"/>
      <c r="G370" s="5" t="n"/>
      <c r="H370" s="5" t="n"/>
      <c r="I370" s="5" t="n"/>
    </row>
    <row r="371">
      <c r="A371" s="5" t="n"/>
      <c r="B371" s="5" t="n"/>
      <c r="C371" s="5" t="n"/>
      <c r="D371" s="5" t="n"/>
      <c r="E371" s="20" t="n"/>
      <c r="F371" s="5" t="n"/>
      <c r="G371" s="5" t="n"/>
      <c r="H371" s="5" t="n"/>
      <c r="I371" s="5" t="n"/>
    </row>
    <row r="372">
      <c r="A372" s="5" t="n"/>
      <c r="B372" s="5" t="n"/>
      <c r="C372" s="5" t="n"/>
      <c r="D372" s="5" t="n"/>
      <c r="E372" s="20" t="n"/>
      <c r="F372" s="5" t="n"/>
      <c r="G372" s="5" t="n"/>
      <c r="H372" s="5" t="n"/>
      <c r="I372" s="5" t="n"/>
    </row>
    <row r="373">
      <c r="A373" s="5" t="n"/>
      <c r="B373" s="5" t="n"/>
      <c r="C373" s="5" t="n"/>
      <c r="D373" s="5" t="n"/>
      <c r="E373" s="20" t="n"/>
      <c r="F373" s="5" t="n"/>
      <c r="G373" s="5" t="n"/>
      <c r="H373" s="5" t="n"/>
      <c r="I373" s="5" t="n"/>
    </row>
    <row r="374">
      <c r="A374" s="5" t="n"/>
      <c r="B374" s="5" t="n"/>
      <c r="C374" s="5" t="n"/>
      <c r="D374" s="5" t="n"/>
      <c r="E374" s="20" t="n"/>
      <c r="F374" s="5" t="n"/>
      <c r="G374" s="5" t="n"/>
      <c r="H374" s="5" t="n"/>
      <c r="I374" s="5" t="n"/>
    </row>
    <row r="375">
      <c r="A375" s="5" t="n"/>
      <c r="B375" s="5" t="n"/>
      <c r="C375" s="5" t="n"/>
      <c r="D375" s="5" t="n"/>
      <c r="E375" s="20" t="n"/>
      <c r="F375" s="5" t="n"/>
      <c r="G375" s="5" t="n"/>
      <c r="H375" s="5" t="n"/>
      <c r="I375" s="5" t="n"/>
    </row>
    <row r="376">
      <c r="A376" s="5" t="n"/>
      <c r="B376" s="5" t="n"/>
      <c r="C376" s="5" t="n"/>
      <c r="D376" s="5" t="n"/>
      <c r="E376" s="20" t="n"/>
      <c r="F376" s="5" t="n"/>
      <c r="G376" s="5" t="n"/>
      <c r="H376" s="5" t="n"/>
      <c r="I376" s="5" t="n"/>
    </row>
    <row r="377">
      <c r="A377" s="5" t="n"/>
      <c r="B377" s="5" t="n"/>
      <c r="C377" s="5" t="n"/>
      <c r="D377" s="5" t="n"/>
      <c r="E377" s="20" t="n"/>
      <c r="F377" s="5" t="n"/>
      <c r="G377" s="5" t="n"/>
      <c r="H377" s="5" t="n"/>
      <c r="I377" s="5" t="n"/>
    </row>
    <row r="378">
      <c r="A378" s="5" t="n"/>
      <c r="B378" s="5" t="n"/>
      <c r="C378" s="5" t="n"/>
      <c r="D378" s="5" t="n"/>
      <c r="E378" s="20" t="n"/>
      <c r="F378" s="5" t="n"/>
      <c r="G378" s="5" t="n"/>
      <c r="H378" s="5" t="n"/>
      <c r="I378" s="5" t="n"/>
    </row>
    <row r="379">
      <c r="A379" s="5" t="n"/>
      <c r="B379" s="5" t="n"/>
      <c r="C379" s="5" t="n"/>
      <c r="D379" s="5" t="n"/>
      <c r="E379" s="20" t="n"/>
      <c r="F379" s="5" t="n"/>
      <c r="G379" s="5" t="n"/>
      <c r="H379" s="5" t="n"/>
      <c r="I379" s="5" t="n"/>
    </row>
    <row r="380">
      <c r="A380" s="5" t="n"/>
      <c r="B380" s="5" t="n"/>
      <c r="C380" s="5" t="n"/>
      <c r="D380" s="5" t="n"/>
      <c r="E380" s="20" t="n"/>
      <c r="F380" s="5" t="n"/>
      <c r="G380" s="5" t="n"/>
      <c r="H380" s="5" t="n"/>
      <c r="I380" s="5" t="n"/>
    </row>
    <row r="381">
      <c r="A381" s="5" t="n"/>
      <c r="B381" s="5" t="n"/>
      <c r="C381" s="5" t="n"/>
      <c r="D381" s="5" t="n"/>
      <c r="E381" s="20" t="n"/>
      <c r="F381" s="5" t="n"/>
      <c r="G381" s="5" t="n"/>
      <c r="H381" s="5" t="n"/>
      <c r="I381" s="5" t="n"/>
    </row>
    <row r="382">
      <c r="A382" s="5" t="n"/>
      <c r="B382" s="5" t="n"/>
      <c r="C382" s="5" t="n"/>
      <c r="D382" s="5" t="n"/>
      <c r="E382" s="20" t="n"/>
      <c r="F382" s="5" t="n"/>
      <c r="G382" s="5" t="n"/>
      <c r="H382" s="5" t="n"/>
      <c r="I382" s="5" t="n"/>
    </row>
    <row r="383">
      <c r="A383" s="5" t="n"/>
      <c r="B383" s="5" t="n"/>
      <c r="C383" s="5" t="n"/>
      <c r="D383" s="5" t="n"/>
      <c r="E383" s="20" t="n"/>
      <c r="F383" s="5" t="n"/>
      <c r="G383" s="5" t="n"/>
      <c r="H383" s="5" t="n"/>
      <c r="I383" s="5" t="n"/>
    </row>
    <row r="384">
      <c r="A384" s="5" t="n"/>
      <c r="B384" s="5" t="n"/>
      <c r="C384" s="5" t="n"/>
      <c r="D384" s="5" t="n"/>
      <c r="E384" s="20" t="n"/>
      <c r="F384" s="5" t="n"/>
      <c r="G384" s="5" t="n"/>
      <c r="H384" s="5" t="n"/>
      <c r="I384" s="5" t="n"/>
    </row>
    <row r="385">
      <c r="A385" s="5" t="n"/>
      <c r="B385" s="5" t="n"/>
      <c r="C385" s="5" t="n"/>
      <c r="D385" s="5" t="n"/>
      <c r="E385" s="20" t="n"/>
      <c r="F385" s="5" t="n"/>
      <c r="G385" s="5" t="n"/>
      <c r="H385" s="5" t="n"/>
      <c r="I385" s="5" t="n"/>
    </row>
    <row r="386">
      <c r="A386" s="5" t="n"/>
      <c r="B386" s="5" t="n"/>
      <c r="C386" s="5" t="n"/>
      <c r="D386" s="5" t="n"/>
      <c r="E386" s="20" t="n"/>
      <c r="F386" s="5" t="n"/>
      <c r="G386" s="5" t="n"/>
      <c r="H386" s="5" t="n"/>
      <c r="I386" s="5" t="n"/>
    </row>
    <row r="387">
      <c r="A387" s="5" t="n"/>
      <c r="B387" s="5" t="n"/>
      <c r="C387" s="5" t="n"/>
      <c r="D387" s="5" t="n"/>
      <c r="E387" s="20" t="n"/>
      <c r="F387" s="5" t="n"/>
      <c r="G387" s="5" t="n"/>
      <c r="H387" s="5" t="n"/>
      <c r="I387" s="5" t="n"/>
    </row>
    <row r="388">
      <c r="A388" s="5" t="n"/>
      <c r="B388" s="5" t="n"/>
      <c r="C388" s="5" t="n"/>
      <c r="D388" s="5" t="n"/>
      <c r="E388" s="20" t="n"/>
      <c r="F388" s="5" t="n"/>
      <c r="G388" s="5" t="n"/>
      <c r="H388" s="5" t="n"/>
      <c r="I388" s="5" t="n"/>
    </row>
    <row r="389">
      <c r="A389" s="5" t="n"/>
      <c r="B389" s="5" t="n"/>
      <c r="C389" s="5" t="n"/>
      <c r="D389" s="5" t="n"/>
      <c r="E389" s="20" t="n"/>
      <c r="F389" s="5" t="n"/>
      <c r="G389" s="5" t="n"/>
      <c r="H389" s="5" t="n"/>
      <c r="I389" s="5" t="n"/>
    </row>
    <row r="390">
      <c r="A390" s="5" t="n"/>
      <c r="B390" s="5" t="n"/>
      <c r="C390" s="5" t="n"/>
      <c r="D390" s="5" t="n"/>
      <c r="E390" s="20" t="n"/>
      <c r="F390" s="5" t="n"/>
      <c r="G390" s="5" t="n"/>
      <c r="H390" s="5" t="n"/>
      <c r="I390" s="5" t="n"/>
    </row>
    <row r="391">
      <c r="A391" s="5" t="n"/>
      <c r="B391" s="5" t="n"/>
      <c r="C391" s="5" t="n"/>
      <c r="D391" s="5" t="n"/>
      <c r="E391" s="20" t="n"/>
      <c r="F391" s="5" t="n"/>
      <c r="G391" s="5" t="n"/>
      <c r="H391" s="5" t="n"/>
      <c r="I391" s="5" t="n"/>
    </row>
    <row r="392">
      <c r="A392" s="5" t="n"/>
      <c r="B392" s="5" t="n"/>
      <c r="C392" s="5" t="n"/>
      <c r="D392" s="5" t="n"/>
      <c r="E392" s="20" t="n"/>
      <c r="F392" s="5" t="n"/>
      <c r="G392" s="5" t="n"/>
      <c r="H392" s="5" t="n"/>
      <c r="I392" s="5" t="n"/>
    </row>
    <row r="393">
      <c r="A393" s="5" t="n"/>
      <c r="B393" s="5" t="n"/>
      <c r="C393" s="5" t="n"/>
      <c r="D393" s="5" t="n"/>
      <c r="E393" s="20" t="n"/>
      <c r="F393" s="5" t="n"/>
      <c r="G393" s="5" t="n"/>
      <c r="H393" s="5" t="n"/>
      <c r="I393" s="5" t="n"/>
    </row>
    <row r="394">
      <c r="A394" s="5" t="n"/>
      <c r="B394" s="5" t="n"/>
      <c r="C394" s="5" t="n"/>
      <c r="D394" s="5" t="n"/>
      <c r="E394" s="20" t="n"/>
      <c r="F394" s="5" t="n"/>
      <c r="G394" s="5" t="n"/>
      <c r="H394" s="5" t="n"/>
      <c r="I394" s="5" t="n"/>
    </row>
    <row r="395">
      <c r="A395" s="5" t="n"/>
      <c r="B395" s="5" t="n"/>
      <c r="C395" s="5" t="n"/>
      <c r="D395" s="5" t="n"/>
      <c r="E395" s="20" t="n"/>
      <c r="F395" s="5" t="n"/>
      <c r="G395" s="5" t="n"/>
      <c r="H395" s="5" t="n"/>
      <c r="I395" s="5" t="n"/>
    </row>
    <row r="396">
      <c r="A396" s="5" t="n"/>
      <c r="B396" s="5" t="n"/>
      <c r="C396" s="5" t="n"/>
      <c r="D396" s="5" t="n"/>
      <c r="E396" s="20" t="n"/>
      <c r="F396" s="5" t="n"/>
      <c r="G396" s="5" t="n"/>
      <c r="H396" s="5" t="n"/>
      <c r="I396" s="5" t="n"/>
    </row>
    <row r="397">
      <c r="A397" s="5" t="n"/>
      <c r="B397" s="5" t="n"/>
      <c r="C397" s="5" t="n"/>
      <c r="D397" s="5" t="n"/>
      <c r="E397" s="20" t="n"/>
      <c r="F397" s="5" t="n"/>
      <c r="G397" s="5" t="n"/>
      <c r="H397" s="5" t="n"/>
      <c r="I397" s="5" t="n"/>
    </row>
    <row r="398">
      <c r="A398" s="5" t="n"/>
      <c r="B398" s="5" t="n"/>
      <c r="C398" s="5" t="n"/>
      <c r="D398" s="5" t="n"/>
      <c r="E398" s="20" t="n"/>
      <c r="F398" s="5" t="n"/>
      <c r="G398" s="5" t="n"/>
      <c r="H398" s="5" t="n"/>
      <c r="I398" s="5" t="n"/>
    </row>
    <row r="399">
      <c r="A399" s="5" t="n"/>
      <c r="B399" s="5" t="n"/>
      <c r="C399" s="5" t="n"/>
      <c r="D399" s="5" t="n"/>
      <c r="E399" s="20" t="n"/>
      <c r="F399" s="5" t="n"/>
      <c r="G399" s="5" t="n"/>
      <c r="H399" s="5" t="n"/>
      <c r="I399" s="5" t="n"/>
    </row>
    <row r="400">
      <c r="A400" s="5" t="n"/>
      <c r="B400" s="5" t="n"/>
      <c r="C400" s="5" t="n"/>
      <c r="D400" s="5" t="n"/>
      <c r="E400" s="20" t="n"/>
      <c r="F400" s="5" t="n"/>
      <c r="G400" s="5" t="n"/>
      <c r="H400" s="5" t="n"/>
      <c r="I400" s="5" t="n"/>
    </row>
    <row r="401">
      <c r="A401" s="5" t="n"/>
      <c r="B401" s="5" t="n"/>
      <c r="C401" s="5" t="n"/>
      <c r="D401" s="5" t="n"/>
      <c r="E401" s="20" t="n"/>
      <c r="F401" s="5" t="n"/>
      <c r="G401" s="5" t="n"/>
      <c r="H401" s="5" t="n"/>
      <c r="I401" s="5" t="n"/>
    </row>
    <row r="402">
      <c r="A402" s="5" t="n"/>
      <c r="B402" s="5" t="n"/>
      <c r="C402" s="5" t="n"/>
      <c r="D402" s="5" t="n"/>
      <c r="E402" s="20" t="n"/>
      <c r="F402" s="5" t="n"/>
      <c r="G402" s="5" t="n"/>
      <c r="H402" s="5" t="n"/>
      <c r="I402" s="5" t="n"/>
    </row>
    <row r="403">
      <c r="A403" s="5" t="n"/>
      <c r="B403" s="5" t="n"/>
      <c r="C403" s="5" t="n"/>
      <c r="D403" s="5" t="n"/>
      <c r="E403" s="20" t="n"/>
      <c r="F403" s="5" t="n"/>
      <c r="G403" s="5" t="n"/>
      <c r="H403" s="5" t="n"/>
      <c r="I403" s="5" t="n"/>
    </row>
    <row r="404">
      <c r="A404" s="5" t="n"/>
      <c r="B404" s="5" t="n"/>
      <c r="C404" s="5" t="n"/>
      <c r="D404" s="5" t="n"/>
      <c r="E404" s="20" t="n"/>
      <c r="F404" s="5" t="n"/>
      <c r="G404" s="5" t="n"/>
      <c r="H404" s="5" t="n"/>
      <c r="I404" s="5" t="n"/>
    </row>
    <row r="405">
      <c r="A405" s="5" t="n"/>
      <c r="B405" s="5" t="n"/>
      <c r="C405" s="5" t="n"/>
      <c r="D405" s="5" t="n"/>
      <c r="E405" s="20" t="n"/>
      <c r="F405" s="5" t="n"/>
      <c r="G405" s="5" t="n"/>
      <c r="H405" s="5" t="n"/>
      <c r="I405" s="5" t="n"/>
    </row>
    <row r="406">
      <c r="A406" s="5" t="n"/>
      <c r="B406" s="5" t="n"/>
      <c r="C406" s="5" t="n"/>
      <c r="D406" s="5" t="n"/>
      <c r="E406" s="20" t="n"/>
      <c r="F406" s="5" t="n"/>
      <c r="G406" s="5" t="n"/>
      <c r="H406" s="5" t="n"/>
      <c r="I406" s="5" t="n"/>
    </row>
    <row r="407">
      <c r="A407" s="5" t="n"/>
      <c r="B407" s="5" t="n"/>
      <c r="C407" s="5" t="n"/>
      <c r="D407" s="5" t="n"/>
      <c r="E407" s="20" t="n"/>
      <c r="F407" s="5" t="n"/>
      <c r="G407" s="5" t="n"/>
      <c r="H407" s="5" t="n"/>
      <c r="I407" s="5" t="n"/>
    </row>
    <row r="408">
      <c r="A408" s="5" t="n"/>
      <c r="B408" s="5" t="n"/>
      <c r="C408" s="5" t="n"/>
      <c r="D408" s="5" t="n"/>
      <c r="E408" s="20" t="n"/>
      <c r="F408" s="5" t="n"/>
      <c r="G408" s="5" t="n"/>
      <c r="H408" s="5" t="n"/>
      <c r="I408" s="5" t="n"/>
    </row>
    <row r="409">
      <c r="A409" s="5" t="n"/>
      <c r="B409" s="5" t="n"/>
      <c r="C409" s="5" t="n"/>
      <c r="D409" s="5" t="n"/>
      <c r="E409" s="20" t="n"/>
      <c r="F409" s="5" t="n"/>
      <c r="G409" s="5" t="n"/>
      <c r="H409" s="5" t="n"/>
      <c r="I409" s="5" t="n"/>
    </row>
    <row r="410">
      <c r="A410" s="5" t="n"/>
      <c r="B410" s="5" t="n"/>
      <c r="C410" s="5" t="n"/>
      <c r="D410" s="5" t="n"/>
      <c r="E410" s="20" t="n"/>
      <c r="F410" s="5" t="n"/>
      <c r="G410" s="5" t="n"/>
      <c r="H410" s="5" t="n"/>
      <c r="I410" s="5" t="n"/>
    </row>
    <row r="411">
      <c r="A411" s="5" t="n"/>
      <c r="B411" s="5" t="n"/>
      <c r="C411" s="5" t="n"/>
      <c r="D411" s="5" t="n"/>
      <c r="E411" s="20" t="n"/>
      <c r="F411" s="5" t="n"/>
      <c r="G411" s="5" t="n"/>
      <c r="H411" s="5" t="n"/>
      <c r="I411" s="5" t="n"/>
    </row>
    <row r="412">
      <c r="A412" s="5" t="n"/>
      <c r="B412" s="5" t="n"/>
      <c r="C412" s="5" t="n"/>
      <c r="D412" s="5" t="n"/>
      <c r="E412" s="20" t="n"/>
      <c r="F412" s="5" t="n"/>
      <c r="G412" s="5" t="n"/>
      <c r="H412" s="5" t="n"/>
      <c r="I412" s="5" t="n"/>
    </row>
    <row r="413">
      <c r="A413" s="5" t="n"/>
      <c r="B413" s="5" t="n"/>
      <c r="C413" s="5" t="n"/>
      <c r="D413" s="5" t="n"/>
      <c r="E413" s="20" t="n"/>
      <c r="F413" s="5" t="n"/>
      <c r="G413" s="5" t="n"/>
      <c r="H413" s="5" t="n"/>
      <c r="I413" s="5" t="n"/>
    </row>
    <row r="414">
      <c r="A414" s="5" t="n"/>
      <c r="B414" s="5" t="n"/>
      <c r="C414" s="5" t="n"/>
      <c r="D414" s="5" t="n"/>
      <c r="E414" s="20" t="n"/>
      <c r="F414" s="5" t="n"/>
      <c r="G414" s="5" t="n"/>
      <c r="H414" s="5" t="n"/>
      <c r="I414" s="5" t="n"/>
    </row>
    <row r="415">
      <c r="A415" s="5" t="n"/>
      <c r="B415" s="5" t="n"/>
      <c r="C415" s="5" t="n"/>
      <c r="D415" s="5" t="n"/>
      <c r="E415" s="20" t="n"/>
      <c r="F415" s="5" t="n"/>
      <c r="G415" s="5" t="n"/>
      <c r="H415" s="5" t="n"/>
      <c r="I415" s="5" t="n"/>
    </row>
    <row r="416">
      <c r="A416" s="5" t="n"/>
      <c r="B416" s="5" t="n"/>
      <c r="C416" s="5" t="n"/>
      <c r="D416" s="5" t="n"/>
      <c r="E416" s="20" t="n"/>
      <c r="F416" s="5" t="n"/>
      <c r="G416" s="5" t="n"/>
      <c r="H416" s="5" t="n"/>
      <c r="I416" s="5" t="n"/>
    </row>
    <row r="417">
      <c r="A417" s="5" t="n"/>
      <c r="B417" s="5" t="n"/>
      <c r="C417" s="5" t="n"/>
      <c r="D417" s="5" t="n"/>
      <c r="E417" s="20" t="n"/>
      <c r="F417" s="5" t="n"/>
      <c r="G417" s="5" t="n"/>
      <c r="H417" s="5" t="n"/>
      <c r="I417" s="5" t="n"/>
    </row>
    <row r="418">
      <c r="A418" s="5" t="n"/>
      <c r="B418" s="5" t="n"/>
      <c r="C418" s="5" t="n"/>
      <c r="D418" s="5" t="n"/>
      <c r="E418" s="20" t="n"/>
      <c r="F418" s="5" t="n"/>
      <c r="G418" s="5" t="n"/>
      <c r="H418" s="5" t="n"/>
      <c r="I418" s="5" t="n"/>
    </row>
    <row r="419">
      <c r="A419" s="5" t="n"/>
      <c r="B419" s="5" t="n"/>
      <c r="C419" s="5" t="n"/>
      <c r="D419" s="5" t="n"/>
      <c r="E419" s="20" t="n"/>
      <c r="F419" s="5" t="n"/>
      <c r="G419" s="5" t="n"/>
      <c r="H419" s="5" t="n"/>
      <c r="I419" s="5" t="n"/>
    </row>
    <row r="420">
      <c r="A420" s="5" t="n"/>
      <c r="B420" s="5" t="n"/>
      <c r="C420" s="5" t="n"/>
      <c r="D420" s="5" t="n"/>
      <c r="E420" s="20" t="n"/>
      <c r="F420" s="5" t="n"/>
      <c r="G420" s="5" t="n"/>
      <c r="H420" s="5" t="n"/>
      <c r="I420" s="5" t="n"/>
    </row>
    <row r="421">
      <c r="A421" s="5" t="n"/>
      <c r="B421" s="5" t="n"/>
      <c r="C421" s="5" t="n"/>
      <c r="D421" s="5" t="n"/>
      <c r="E421" s="20" t="n"/>
      <c r="F421" s="5" t="n"/>
      <c r="G421" s="5" t="n"/>
      <c r="H421" s="5" t="n"/>
      <c r="I421" s="5" t="n"/>
    </row>
    <row r="422">
      <c r="A422" s="5" t="n"/>
      <c r="B422" s="5" t="n"/>
      <c r="C422" s="5" t="n"/>
      <c r="D422" s="5" t="n"/>
      <c r="E422" s="20" t="n"/>
      <c r="F422" s="5" t="n"/>
      <c r="G422" s="5" t="n"/>
      <c r="H422" s="5" t="n"/>
      <c r="I422" s="5" t="n"/>
    </row>
    <row r="423">
      <c r="A423" s="5" t="n"/>
      <c r="B423" s="5" t="n"/>
      <c r="C423" s="5" t="n"/>
      <c r="D423" s="5" t="n"/>
      <c r="E423" s="20" t="n"/>
      <c r="F423" s="5" t="n"/>
      <c r="G423" s="5" t="n"/>
      <c r="H423" s="5" t="n"/>
      <c r="I423" s="5" t="n"/>
    </row>
    <row r="424">
      <c r="A424" s="5" t="n"/>
      <c r="B424" s="5" t="n"/>
      <c r="C424" s="5" t="n"/>
      <c r="D424" s="5" t="n"/>
      <c r="E424" s="20" t="n"/>
      <c r="F424" s="5" t="n"/>
      <c r="G424" s="5" t="n"/>
      <c r="H424" s="5" t="n"/>
      <c r="I424" s="5" t="n"/>
    </row>
    <row r="425">
      <c r="A425" s="5" t="n"/>
      <c r="B425" s="5" t="n"/>
      <c r="C425" s="5" t="n"/>
      <c r="D425" s="5" t="n"/>
      <c r="E425" s="20" t="n"/>
      <c r="F425" s="5" t="n"/>
      <c r="G425" s="5" t="n"/>
      <c r="H425" s="5" t="n"/>
      <c r="I425" s="5" t="n"/>
    </row>
    <row r="426">
      <c r="A426" s="5" t="n"/>
      <c r="B426" s="5" t="n"/>
      <c r="C426" s="5" t="n"/>
      <c r="D426" s="5" t="n"/>
      <c r="E426" s="20" t="n"/>
      <c r="F426" s="5" t="n"/>
      <c r="G426" s="5" t="n"/>
      <c r="H426" s="5" t="n"/>
      <c r="I426" s="5" t="n"/>
    </row>
    <row r="427">
      <c r="A427" s="5" t="n"/>
      <c r="B427" s="5" t="n"/>
      <c r="C427" s="5" t="n"/>
      <c r="D427" s="5" t="n"/>
      <c r="E427" s="20" t="n"/>
      <c r="F427" s="5" t="n"/>
      <c r="G427" s="5" t="n"/>
      <c r="H427" s="5" t="n"/>
      <c r="I427" s="5" t="n"/>
    </row>
    <row r="428">
      <c r="A428" s="5" t="n"/>
      <c r="B428" s="5" t="n"/>
      <c r="C428" s="5" t="n"/>
      <c r="D428" s="5" t="n"/>
      <c r="E428" s="20" t="n"/>
      <c r="F428" s="5" t="n"/>
      <c r="G428" s="5" t="n"/>
      <c r="H428" s="5" t="n"/>
      <c r="I428" s="5" t="n"/>
    </row>
    <row r="429">
      <c r="A429" s="5" t="n"/>
      <c r="B429" s="5" t="n"/>
      <c r="C429" s="5" t="n"/>
      <c r="D429" s="5" t="n"/>
      <c r="E429" s="20" t="n"/>
      <c r="F429" s="5" t="n"/>
      <c r="G429" s="5" t="n"/>
      <c r="H429" s="5" t="n"/>
      <c r="I429" s="5" t="n"/>
    </row>
    <row r="430">
      <c r="A430" s="5" t="n"/>
      <c r="B430" s="5" t="n"/>
      <c r="C430" s="5" t="n"/>
      <c r="D430" s="5" t="n"/>
      <c r="E430" s="20" t="n"/>
      <c r="F430" s="5" t="n"/>
      <c r="G430" s="5" t="n"/>
      <c r="H430" s="5" t="n"/>
      <c r="I430" s="5" t="n"/>
    </row>
    <row r="431">
      <c r="A431" s="5" t="n"/>
      <c r="B431" s="5" t="n"/>
      <c r="C431" s="5" t="n"/>
      <c r="D431" s="5" t="n"/>
      <c r="E431" s="20" t="n"/>
      <c r="F431" s="5" t="n"/>
      <c r="G431" s="5" t="n"/>
      <c r="H431" s="5" t="n"/>
      <c r="I431" s="5" t="n"/>
    </row>
    <row r="432">
      <c r="A432" s="5" t="n"/>
      <c r="B432" s="5" t="n"/>
      <c r="C432" s="5" t="n"/>
      <c r="D432" s="5" t="n"/>
      <c r="E432" s="20" t="n"/>
      <c r="F432" s="5" t="n"/>
      <c r="G432" s="5" t="n"/>
      <c r="H432" s="5" t="n"/>
      <c r="I432" s="5" t="n"/>
    </row>
    <row r="433">
      <c r="A433" s="5" t="n"/>
      <c r="B433" s="5" t="n"/>
      <c r="C433" s="5" t="n"/>
      <c r="D433" s="5" t="n"/>
      <c r="E433" s="20" t="n"/>
      <c r="F433" s="5" t="n"/>
      <c r="G433" s="5" t="n"/>
      <c r="H433" s="5" t="n"/>
      <c r="I433" s="5" t="n"/>
    </row>
    <row r="434">
      <c r="A434" s="5" t="n"/>
      <c r="B434" s="5" t="n"/>
      <c r="C434" s="5" t="n"/>
      <c r="D434" s="5" t="n"/>
      <c r="E434" s="20" t="n"/>
      <c r="F434" s="5" t="n"/>
      <c r="G434" s="5" t="n"/>
      <c r="H434" s="5" t="n"/>
      <c r="I434" s="5" t="n"/>
    </row>
    <row r="435">
      <c r="A435" s="5" t="n"/>
      <c r="B435" s="5" t="n"/>
      <c r="C435" s="5" t="n"/>
      <c r="D435" s="5" t="n"/>
      <c r="E435" s="20" t="n"/>
      <c r="F435" s="5" t="n"/>
      <c r="G435" s="5" t="n"/>
      <c r="H435" s="5" t="n"/>
      <c r="I435" s="5" t="n"/>
    </row>
    <row r="436">
      <c r="A436" s="5" t="n"/>
      <c r="B436" s="5" t="n"/>
      <c r="C436" s="5" t="n"/>
      <c r="D436" s="5" t="n"/>
      <c r="E436" s="20" t="n"/>
      <c r="F436" s="5" t="n"/>
      <c r="G436" s="5" t="n"/>
      <c r="H436" s="5" t="n"/>
      <c r="I436" s="5" t="n"/>
    </row>
    <row r="437">
      <c r="A437" s="5" t="n"/>
      <c r="B437" s="5" t="n"/>
      <c r="C437" s="5" t="n"/>
      <c r="D437" s="5" t="n"/>
      <c r="E437" s="20" t="n"/>
      <c r="F437" s="5" t="n"/>
      <c r="G437" s="5" t="n"/>
      <c r="H437" s="5" t="n"/>
      <c r="I437" s="5" t="n"/>
    </row>
    <row r="438">
      <c r="A438" s="5" t="n"/>
      <c r="B438" s="5" t="n"/>
      <c r="C438" s="5" t="n"/>
      <c r="D438" s="5" t="n"/>
      <c r="E438" s="20" t="n"/>
      <c r="F438" s="5" t="n"/>
      <c r="G438" s="5" t="n"/>
      <c r="H438" s="5" t="n"/>
      <c r="I438" s="5" t="n"/>
    </row>
    <row r="439">
      <c r="A439" s="5" t="n"/>
      <c r="B439" s="5" t="n"/>
      <c r="C439" s="5" t="n"/>
      <c r="D439" s="5" t="n"/>
      <c r="E439" s="20" t="n"/>
      <c r="F439" s="5" t="n"/>
      <c r="G439" s="5" t="n"/>
      <c r="H439" s="5" t="n"/>
      <c r="I439" s="5" t="n"/>
    </row>
    <row r="440">
      <c r="A440" s="5" t="n"/>
      <c r="B440" s="5" t="n"/>
      <c r="C440" s="5" t="n"/>
      <c r="D440" s="5" t="n"/>
      <c r="E440" s="20" t="n"/>
      <c r="F440" s="5" t="n"/>
      <c r="G440" s="5" t="n"/>
      <c r="H440" s="5" t="n"/>
      <c r="I440" s="5" t="n"/>
    </row>
    <row r="441">
      <c r="A441" s="5" t="n"/>
      <c r="B441" s="5" t="n"/>
      <c r="C441" s="5" t="n"/>
      <c r="D441" s="5" t="n"/>
      <c r="E441" s="20" t="n"/>
      <c r="F441" s="5" t="n"/>
      <c r="G441" s="5" t="n"/>
      <c r="H441" s="5" t="n"/>
      <c r="I441" s="5" t="n"/>
    </row>
    <row r="442">
      <c r="A442" s="5" t="n"/>
      <c r="B442" s="5" t="n"/>
      <c r="C442" s="5" t="n"/>
      <c r="D442" s="5" t="n"/>
      <c r="E442" s="20" t="n"/>
      <c r="F442" s="5" t="n"/>
      <c r="G442" s="5" t="n"/>
      <c r="H442" s="5" t="n"/>
      <c r="I442" s="5" t="n"/>
    </row>
    <row r="443">
      <c r="A443" s="5" t="n"/>
      <c r="B443" s="5" t="n"/>
      <c r="C443" s="5" t="n"/>
      <c r="D443" s="5" t="n"/>
      <c r="E443" s="20" t="n"/>
      <c r="F443" s="5" t="n"/>
      <c r="G443" s="5" t="n"/>
      <c r="H443" s="5" t="n"/>
      <c r="I443" s="5" t="n"/>
    </row>
    <row r="444">
      <c r="A444" s="5" t="n"/>
      <c r="B444" s="5" t="n"/>
      <c r="C444" s="5" t="n"/>
      <c r="D444" s="5" t="n"/>
      <c r="E444" s="20" t="n"/>
      <c r="F444" s="5" t="n"/>
      <c r="G444" s="5" t="n"/>
      <c r="H444" s="5" t="n"/>
      <c r="I444" s="5" t="n"/>
    </row>
    <row r="445">
      <c r="A445" s="5" t="n"/>
      <c r="B445" s="5" t="n"/>
      <c r="C445" s="5" t="n"/>
      <c r="D445" s="5" t="n"/>
      <c r="E445" s="20" t="n"/>
      <c r="F445" s="5" t="n"/>
      <c r="G445" s="5" t="n"/>
      <c r="H445" s="5" t="n"/>
      <c r="I445" s="5" t="n"/>
    </row>
    <row r="446">
      <c r="A446" s="5" t="n"/>
      <c r="B446" s="5" t="n"/>
      <c r="C446" s="5" t="n"/>
      <c r="D446" s="5" t="n"/>
      <c r="E446" s="20" t="n"/>
      <c r="F446" s="5" t="n"/>
      <c r="G446" s="5" t="n"/>
      <c r="H446" s="5" t="n"/>
      <c r="I446" s="5" t="n"/>
    </row>
    <row r="447">
      <c r="A447" s="5" t="n"/>
      <c r="B447" s="5" t="n"/>
      <c r="C447" s="5" t="n"/>
      <c r="D447" s="5" t="n"/>
      <c r="E447" s="20" t="n"/>
      <c r="F447" s="5" t="n"/>
      <c r="G447" s="5" t="n"/>
      <c r="H447" s="5" t="n"/>
      <c r="I447" s="5" t="n"/>
    </row>
    <row r="448">
      <c r="A448" s="5" t="n"/>
      <c r="B448" s="5" t="n"/>
      <c r="C448" s="5" t="n"/>
      <c r="D448" s="5" t="n"/>
      <c r="E448" s="20" t="n"/>
      <c r="F448" s="5" t="n"/>
      <c r="G448" s="5" t="n"/>
      <c r="H448" s="5" t="n"/>
      <c r="I448" s="5" t="n"/>
    </row>
    <row r="449">
      <c r="A449" s="5" t="n"/>
      <c r="B449" s="5" t="n"/>
      <c r="C449" s="5" t="n"/>
      <c r="D449" s="5" t="n"/>
      <c r="E449" s="20" t="n"/>
      <c r="F449" s="5" t="n"/>
      <c r="G449" s="5" t="n"/>
      <c r="H449" s="5" t="n"/>
      <c r="I449" s="5" t="n"/>
    </row>
    <row r="450">
      <c r="A450" s="5" t="n"/>
      <c r="B450" s="5" t="n"/>
      <c r="C450" s="5" t="n"/>
      <c r="D450" s="5" t="n"/>
      <c r="E450" s="20" t="n"/>
      <c r="F450" s="5" t="n"/>
      <c r="G450" s="5" t="n"/>
      <c r="H450" s="5" t="n"/>
      <c r="I450" s="5" t="n"/>
    </row>
    <row r="451">
      <c r="A451" s="5" t="n"/>
      <c r="B451" s="5" t="n"/>
      <c r="C451" s="5" t="n"/>
      <c r="D451" s="5" t="n"/>
      <c r="E451" s="20" t="n"/>
      <c r="F451" s="5" t="n"/>
      <c r="G451" s="5" t="n"/>
      <c r="H451" s="5" t="n"/>
      <c r="I451" s="5" t="n"/>
    </row>
    <row r="452">
      <c r="A452" s="5" t="n"/>
      <c r="B452" s="5" t="n"/>
      <c r="C452" s="5" t="n"/>
      <c r="D452" s="5" t="n"/>
      <c r="E452" s="20" t="n"/>
      <c r="F452" s="5" t="n"/>
      <c r="G452" s="5" t="n"/>
      <c r="H452" s="5" t="n"/>
      <c r="I452" s="5" t="n"/>
    </row>
    <row r="453">
      <c r="A453" s="5" t="n"/>
      <c r="B453" s="5" t="n"/>
      <c r="C453" s="5" t="n"/>
      <c r="D453" s="5" t="n"/>
      <c r="E453" s="20" t="n"/>
      <c r="F453" s="5" t="n"/>
      <c r="G453" s="5" t="n"/>
      <c r="H453" s="5" t="n"/>
      <c r="I453" s="5" t="n"/>
    </row>
    <row r="454">
      <c r="A454" s="5" t="n"/>
      <c r="B454" s="5" t="n"/>
      <c r="C454" s="5" t="n"/>
      <c r="D454" s="5" t="n"/>
      <c r="E454" s="20" t="n"/>
      <c r="F454" s="5" t="n"/>
      <c r="G454" s="5" t="n"/>
      <c r="H454" s="5" t="n"/>
      <c r="I454" s="5" t="n"/>
    </row>
    <row r="455">
      <c r="A455" s="5" t="n"/>
      <c r="B455" s="5" t="n"/>
      <c r="C455" s="5" t="n"/>
      <c r="D455" s="5" t="n"/>
      <c r="E455" s="20" t="n"/>
      <c r="F455" s="5" t="n"/>
      <c r="G455" s="5" t="n"/>
      <c r="H455" s="5" t="n"/>
      <c r="I455" s="5" t="n"/>
    </row>
    <row r="456">
      <c r="A456" s="5" t="n"/>
      <c r="B456" s="5" t="n"/>
      <c r="C456" s="5" t="n"/>
      <c r="D456" s="5" t="n"/>
      <c r="E456" s="20" t="n"/>
      <c r="F456" s="5" t="n"/>
      <c r="G456" s="5" t="n"/>
      <c r="H456" s="5" t="n"/>
      <c r="I456" s="5" t="n"/>
    </row>
    <row r="457">
      <c r="A457" s="5" t="n"/>
      <c r="B457" s="5" t="n"/>
      <c r="C457" s="5" t="n"/>
      <c r="D457" s="5" t="n"/>
      <c r="E457" s="20" t="n"/>
      <c r="F457" s="5" t="n"/>
      <c r="G457" s="5" t="n"/>
      <c r="H457" s="5" t="n"/>
      <c r="I457" s="5" t="n"/>
    </row>
    <row r="458">
      <c r="A458" s="5" t="n"/>
      <c r="B458" s="5" t="n"/>
      <c r="C458" s="5" t="n"/>
      <c r="D458" s="5" t="n"/>
      <c r="E458" s="20" t="n"/>
      <c r="F458" s="5" t="n"/>
      <c r="G458" s="5" t="n"/>
      <c r="H458" s="5" t="n"/>
      <c r="I458" s="5" t="n"/>
    </row>
    <row r="459">
      <c r="A459" s="5" t="n"/>
      <c r="B459" s="5" t="n"/>
      <c r="C459" s="5" t="n"/>
      <c r="D459" s="5" t="n"/>
      <c r="E459" s="20" t="n"/>
      <c r="F459" s="5" t="n"/>
      <c r="G459" s="5" t="n"/>
      <c r="H459" s="5" t="n"/>
      <c r="I459" s="5" t="n"/>
    </row>
    <row r="460">
      <c r="A460" s="5" t="n"/>
      <c r="B460" s="5" t="n"/>
      <c r="C460" s="5" t="n"/>
      <c r="D460" s="5" t="n"/>
      <c r="E460" s="20" t="n"/>
      <c r="F460" s="5" t="n"/>
      <c r="G460" s="5" t="n"/>
      <c r="H460" s="5" t="n"/>
      <c r="I460" s="5" t="n"/>
    </row>
    <row r="461">
      <c r="A461" s="5" t="n"/>
      <c r="B461" s="5" t="n"/>
      <c r="C461" s="5" t="n"/>
      <c r="D461" s="5" t="n"/>
      <c r="E461" s="20" t="n"/>
      <c r="F461" s="5" t="n"/>
      <c r="G461" s="5" t="n"/>
      <c r="H461" s="5" t="n"/>
      <c r="I461" s="5" t="n"/>
    </row>
    <row r="462">
      <c r="A462" s="5" t="n"/>
      <c r="B462" s="5" t="n"/>
      <c r="C462" s="5" t="n"/>
      <c r="D462" s="5" t="n"/>
      <c r="E462" s="20" t="n"/>
      <c r="F462" s="5" t="n"/>
      <c r="G462" s="5" t="n"/>
      <c r="H462" s="5" t="n"/>
      <c r="I462" s="5" t="n"/>
    </row>
    <row r="463">
      <c r="A463" s="5" t="n"/>
      <c r="B463" s="5" t="n"/>
      <c r="C463" s="5" t="n"/>
      <c r="D463" s="5" t="n"/>
      <c r="E463" s="20" t="n"/>
      <c r="F463" s="5" t="n"/>
      <c r="G463" s="5" t="n"/>
      <c r="H463" s="5" t="n"/>
      <c r="I463" s="5" t="n"/>
    </row>
    <row r="464">
      <c r="A464" s="5" t="n"/>
      <c r="B464" s="5" t="n"/>
      <c r="C464" s="5" t="n"/>
      <c r="D464" s="5" t="n"/>
      <c r="E464" s="20" t="n"/>
      <c r="F464" s="5" t="n"/>
      <c r="G464" s="5" t="n"/>
      <c r="H464" s="5" t="n"/>
      <c r="I464" s="5" t="n"/>
    </row>
    <row r="465">
      <c r="A465" s="5" t="n"/>
      <c r="B465" s="5" t="n"/>
      <c r="C465" s="5" t="n"/>
      <c r="D465" s="5" t="n"/>
      <c r="E465" s="20" t="n"/>
      <c r="F465" s="5" t="n"/>
      <c r="G465" s="5" t="n"/>
      <c r="H465" s="5" t="n"/>
      <c r="I465" s="5" t="n"/>
    </row>
    <row r="466">
      <c r="A466" s="5" t="n"/>
      <c r="B466" s="5" t="n"/>
      <c r="C466" s="5" t="n"/>
      <c r="D466" s="5" t="n"/>
      <c r="E466" s="20" t="n"/>
      <c r="F466" s="5" t="n"/>
      <c r="G466" s="5" t="n"/>
      <c r="H466" s="5" t="n"/>
      <c r="I466" s="5" t="n"/>
    </row>
    <row r="467">
      <c r="A467" s="5" t="n"/>
      <c r="B467" s="5" t="n"/>
      <c r="C467" s="5" t="n"/>
      <c r="D467" s="5" t="n"/>
      <c r="E467" s="20" t="n"/>
      <c r="F467" s="5" t="n"/>
      <c r="G467" s="5" t="n"/>
      <c r="H467" s="5" t="n"/>
      <c r="I467" s="5" t="n"/>
    </row>
    <row r="468">
      <c r="A468" s="5" t="n"/>
      <c r="B468" s="5" t="n"/>
      <c r="C468" s="5" t="n"/>
      <c r="D468" s="5" t="n"/>
      <c r="E468" s="20" t="n"/>
      <c r="F468" s="5" t="n"/>
      <c r="G468" s="5" t="n"/>
      <c r="H468" s="5" t="n"/>
      <c r="I468" s="5" t="n"/>
    </row>
    <row r="469">
      <c r="A469" s="5" t="n"/>
      <c r="B469" s="5" t="n"/>
      <c r="C469" s="5" t="n"/>
      <c r="D469" s="5" t="n"/>
      <c r="E469" s="20" t="n"/>
      <c r="F469" s="5" t="n"/>
      <c r="G469" s="5" t="n"/>
      <c r="H469" s="5" t="n"/>
      <c r="I469" s="5" t="n"/>
    </row>
    <row r="470">
      <c r="A470" s="5" t="n"/>
      <c r="B470" s="5" t="n"/>
      <c r="C470" s="5" t="n"/>
      <c r="D470" s="5" t="n"/>
      <c r="E470" s="20" t="n"/>
      <c r="F470" s="5" t="n"/>
      <c r="G470" s="5" t="n"/>
      <c r="H470" s="5" t="n"/>
      <c r="I470" s="5" t="n"/>
    </row>
    <row r="471">
      <c r="A471" s="5" t="n"/>
      <c r="B471" s="5" t="n"/>
      <c r="C471" s="5" t="n"/>
      <c r="D471" s="5" t="n"/>
      <c r="E471" s="20" t="n"/>
      <c r="F471" s="5" t="n"/>
      <c r="G471" s="5" t="n"/>
      <c r="H471" s="5" t="n"/>
      <c r="I471" s="5" t="n"/>
    </row>
    <row r="472">
      <c r="A472" s="5" t="n"/>
      <c r="B472" s="5" t="n"/>
      <c r="C472" s="5" t="n"/>
      <c r="D472" s="5" t="n"/>
      <c r="E472" s="20" t="n"/>
      <c r="F472" s="5" t="n"/>
      <c r="G472" s="5" t="n"/>
      <c r="H472" s="5" t="n"/>
      <c r="I472" s="5" t="n"/>
    </row>
    <row r="473">
      <c r="A473" s="5" t="n"/>
      <c r="B473" s="5" t="n"/>
      <c r="C473" s="5" t="n"/>
      <c r="D473" s="5" t="n"/>
      <c r="E473" s="20" t="n"/>
      <c r="F473" s="5" t="n"/>
      <c r="G473" s="5" t="n"/>
      <c r="H473" s="5" t="n"/>
      <c r="I473" s="5" t="n"/>
    </row>
    <row r="474">
      <c r="A474" s="5" t="n"/>
      <c r="B474" s="5" t="n"/>
      <c r="C474" s="5" t="n"/>
      <c r="D474" s="5" t="n"/>
      <c r="E474" s="20" t="n"/>
      <c r="F474" s="5" t="n"/>
      <c r="G474" s="5" t="n"/>
      <c r="H474" s="5" t="n"/>
      <c r="I474" s="5" t="n"/>
    </row>
    <row r="475">
      <c r="A475" s="5" t="n"/>
      <c r="B475" s="5" t="n"/>
      <c r="C475" s="5" t="n"/>
      <c r="D475" s="5" t="n"/>
      <c r="E475" s="20" t="n"/>
      <c r="F475" s="5" t="n"/>
      <c r="G475" s="5" t="n"/>
      <c r="H475" s="5" t="n"/>
      <c r="I475" s="5" t="n"/>
    </row>
    <row r="476">
      <c r="A476" s="5" t="n"/>
      <c r="B476" s="5" t="n"/>
      <c r="C476" s="5" t="n"/>
      <c r="D476" s="5" t="n"/>
      <c r="E476" s="20" t="n"/>
      <c r="F476" s="5" t="n"/>
      <c r="G476" s="5" t="n"/>
      <c r="H476" s="5" t="n"/>
      <c r="I476" s="5" t="n"/>
    </row>
    <row r="477">
      <c r="A477" s="5" t="n"/>
      <c r="B477" s="5" t="n"/>
      <c r="C477" s="5" t="n"/>
      <c r="D477" s="5" t="n"/>
      <c r="E477" s="20" t="n"/>
      <c r="F477" s="5" t="n"/>
      <c r="G477" s="5" t="n"/>
      <c r="H477" s="5" t="n"/>
      <c r="I477" s="5" t="n"/>
    </row>
    <row r="478">
      <c r="A478" s="5" t="n"/>
      <c r="B478" s="5" t="n"/>
      <c r="C478" s="5" t="n"/>
      <c r="D478" s="5" t="n"/>
      <c r="E478" s="20" t="n"/>
      <c r="F478" s="5" t="n"/>
      <c r="G478" s="5" t="n"/>
      <c r="H478" s="5" t="n"/>
      <c r="I478" s="5" t="n"/>
    </row>
    <row r="479">
      <c r="A479" s="5" t="n"/>
      <c r="B479" s="5" t="n"/>
      <c r="C479" s="5" t="n"/>
      <c r="D479" s="5" t="n"/>
      <c r="E479" s="20" t="n"/>
      <c r="F479" s="5" t="n"/>
      <c r="G479" s="5" t="n"/>
      <c r="H479" s="5" t="n"/>
      <c r="I479" s="5" t="n"/>
    </row>
    <row r="480">
      <c r="A480" s="5" t="n"/>
      <c r="B480" s="5" t="n"/>
      <c r="C480" s="5" t="n"/>
      <c r="D480" s="5" t="n"/>
      <c r="E480" s="20" t="n"/>
      <c r="F480" s="5" t="n"/>
      <c r="G480" s="5" t="n"/>
      <c r="H480" s="5" t="n"/>
      <c r="I480" s="5" t="n"/>
    </row>
    <row r="481">
      <c r="A481" s="5" t="n"/>
      <c r="B481" s="5" t="n"/>
      <c r="C481" s="5" t="n"/>
      <c r="D481" s="5" t="n"/>
      <c r="E481" s="20" t="n"/>
      <c r="F481" s="5" t="n"/>
      <c r="G481" s="5" t="n"/>
      <c r="H481" s="5" t="n"/>
      <c r="I481" s="5" t="n"/>
    </row>
    <row r="482">
      <c r="A482" s="5" t="n"/>
      <c r="B482" s="5" t="n"/>
      <c r="C482" s="5" t="n"/>
      <c r="D482" s="5" t="n"/>
      <c r="E482" s="20" t="n"/>
      <c r="F482" s="5" t="n"/>
      <c r="G482" s="5" t="n"/>
      <c r="H482" s="5" t="n"/>
      <c r="I482" s="5" t="n"/>
    </row>
    <row r="483">
      <c r="A483" s="5" t="n"/>
      <c r="B483" s="5" t="n"/>
      <c r="C483" s="5" t="n"/>
      <c r="D483" s="5" t="n"/>
      <c r="E483" s="20" t="n"/>
      <c r="F483" s="5" t="n"/>
      <c r="G483" s="5" t="n"/>
      <c r="H483" s="5" t="n"/>
      <c r="I483" s="5" t="n"/>
    </row>
    <row r="484">
      <c r="A484" s="5" t="n"/>
      <c r="B484" s="5" t="n"/>
      <c r="C484" s="5" t="n"/>
      <c r="D484" s="5" t="n"/>
      <c r="E484" s="20" t="n"/>
      <c r="F484" s="5" t="n"/>
      <c r="G484" s="5" t="n"/>
      <c r="H484" s="5" t="n"/>
      <c r="I484" s="5" t="n"/>
    </row>
    <row r="485">
      <c r="A485" s="5" t="n"/>
      <c r="B485" s="5" t="n"/>
      <c r="C485" s="5" t="n"/>
      <c r="D485" s="5" t="n"/>
      <c r="E485" s="20" t="n"/>
      <c r="F485" s="5" t="n"/>
      <c r="G485" s="5" t="n"/>
      <c r="H485" s="5" t="n"/>
      <c r="I485" s="5" t="n"/>
    </row>
    <row r="486">
      <c r="A486" s="5" t="n"/>
      <c r="B486" s="5" t="n"/>
      <c r="C486" s="5" t="n"/>
      <c r="D486" s="5" t="n"/>
      <c r="E486" s="20" t="n"/>
      <c r="F486" s="5" t="n"/>
      <c r="G486" s="5" t="n"/>
      <c r="H486" s="5" t="n"/>
      <c r="I486" s="5" t="n"/>
    </row>
    <row r="487">
      <c r="A487" s="5" t="n"/>
      <c r="B487" s="5" t="n"/>
      <c r="C487" s="5" t="n"/>
      <c r="D487" s="5" t="n"/>
      <c r="E487" s="20" t="n"/>
      <c r="F487" s="5" t="n"/>
      <c r="G487" s="5" t="n"/>
      <c r="H487" s="5" t="n"/>
      <c r="I487" s="5" t="n"/>
    </row>
    <row r="488">
      <c r="A488" s="5" t="n"/>
      <c r="B488" s="5" t="n"/>
      <c r="C488" s="5" t="n"/>
      <c r="D488" s="5" t="n"/>
      <c r="E488" s="20" t="n"/>
      <c r="F488" s="5" t="n"/>
      <c r="G488" s="5" t="n"/>
      <c r="H488" s="5" t="n"/>
      <c r="I488" s="5" t="n"/>
    </row>
    <row r="489">
      <c r="A489" s="5" t="n"/>
      <c r="B489" s="5" t="n"/>
      <c r="C489" s="5" t="n"/>
      <c r="D489" s="5" t="n"/>
      <c r="E489" s="20" t="n"/>
      <c r="F489" s="5" t="n"/>
      <c r="G489" s="5" t="n"/>
      <c r="H489" s="5" t="n"/>
      <c r="I489" s="5" t="n"/>
    </row>
    <row r="490">
      <c r="A490" s="5" t="n"/>
      <c r="B490" s="5" t="n"/>
      <c r="C490" s="5" t="n"/>
      <c r="D490" s="5" t="n"/>
      <c r="E490" s="20" t="n"/>
      <c r="F490" s="5" t="n"/>
      <c r="G490" s="5" t="n"/>
      <c r="H490" s="5" t="n"/>
      <c r="I490" s="5" t="n"/>
    </row>
    <row r="491">
      <c r="A491" s="5" t="n"/>
      <c r="B491" s="5" t="n"/>
      <c r="C491" s="5" t="n"/>
      <c r="D491" s="5" t="n"/>
      <c r="E491" s="20" t="n"/>
      <c r="F491" s="5" t="n"/>
      <c r="G491" s="5" t="n"/>
      <c r="H491" s="5" t="n"/>
      <c r="I491" s="5" t="n"/>
    </row>
    <row r="492">
      <c r="A492" s="5" t="n"/>
      <c r="B492" s="5" t="n"/>
      <c r="C492" s="5" t="n"/>
      <c r="D492" s="5" t="n"/>
      <c r="E492" s="20" t="n"/>
      <c r="F492" s="5" t="n"/>
      <c r="G492" s="5" t="n"/>
      <c r="H492" s="5" t="n"/>
      <c r="I492" s="5" t="n"/>
    </row>
    <row r="493">
      <c r="A493" s="5" t="n"/>
      <c r="B493" s="5" t="n"/>
      <c r="C493" s="5" t="n"/>
      <c r="D493" s="5" t="n"/>
      <c r="E493" s="20" t="n"/>
      <c r="F493" s="5" t="n"/>
      <c r="G493" s="5" t="n"/>
      <c r="H493" s="5" t="n"/>
      <c r="I493" s="5" t="n"/>
    </row>
    <row r="494">
      <c r="A494" s="5" t="n"/>
      <c r="B494" s="5" t="n"/>
      <c r="C494" s="5" t="n"/>
      <c r="D494" s="5" t="n"/>
      <c r="E494" s="20" t="n"/>
      <c r="F494" s="5" t="n"/>
      <c r="G494" s="5" t="n"/>
      <c r="H494" s="5" t="n"/>
      <c r="I494" s="5" t="n"/>
    </row>
    <row r="495">
      <c r="A495" s="5" t="n"/>
      <c r="B495" s="5" t="n"/>
      <c r="C495" s="5" t="n"/>
      <c r="D495" s="5" t="n"/>
      <c r="E495" s="20" t="n"/>
      <c r="F495" s="5" t="n"/>
      <c r="G495" s="5" t="n"/>
      <c r="H495" s="5" t="n"/>
      <c r="I495" s="5" t="n"/>
    </row>
    <row r="496">
      <c r="A496" s="5" t="n"/>
      <c r="B496" s="5" t="n"/>
      <c r="C496" s="5" t="n"/>
      <c r="D496" s="5" t="n"/>
      <c r="E496" s="20" t="n"/>
      <c r="F496" s="5" t="n"/>
      <c r="G496" s="5" t="n"/>
      <c r="H496" s="5" t="n"/>
      <c r="I496" s="5" t="n"/>
    </row>
    <row r="497">
      <c r="A497" s="5" t="n"/>
      <c r="B497" s="5" t="n"/>
      <c r="C497" s="5" t="n"/>
      <c r="D497" s="5" t="n"/>
      <c r="E497" s="20" t="n"/>
      <c r="F497" s="5" t="n"/>
      <c r="G497" s="5" t="n"/>
      <c r="H497" s="5" t="n"/>
      <c r="I497" s="5" t="n"/>
    </row>
    <row r="498">
      <c r="A498" s="5" t="n"/>
      <c r="B498" s="5" t="n"/>
      <c r="C498" s="5" t="n"/>
      <c r="D498" s="5" t="n"/>
      <c r="E498" s="20" t="n"/>
      <c r="F498" s="5" t="n"/>
      <c r="G498" s="5" t="n"/>
      <c r="H498" s="5" t="n"/>
      <c r="I498" s="5" t="n"/>
    </row>
    <row r="499">
      <c r="A499" s="5" t="n"/>
      <c r="B499" s="5" t="n"/>
      <c r="C499" s="5" t="n"/>
      <c r="D499" s="5" t="n"/>
      <c r="E499" s="20" t="n"/>
      <c r="F499" s="5" t="n"/>
      <c r="G499" s="5" t="n"/>
      <c r="H499" s="5" t="n"/>
      <c r="I499" s="5" t="n"/>
    </row>
    <row r="500">
      <c r="A500" s="5" t="n"/>
      <c r="B500" s="5" t="n"/>
      <c r="C500" s="5" t="n"/>
      <c r="D500" s="5" t="n"/>
      <c r="E500" s="20" t="n"/>
      <c r="F500" s="5" t="n"/>
      <c r="G500" s="5" t="n"/>
      <c r="H500" s="5" t="n"/>
      <c r="I500" s="5" t="n"/>
    </row>
    <row r="501">
      <c r="A501" s="5" t="n"/>
      <c r="B501" s="5" t="n"/>
      <c r="C501" s="5" t="n"/>
      <c r="D501" s="5" t="n"/>
      <c r="E501" s="20" t="n"/>
      <c r="F501" s="5" t="n"/>
      <c r="G501" s="5" t="n"/>
      <c r="H501" s="5" t="n"/>
      <c r="I501" s="5" t="n"/>
    </row>
    <row r="502">
      <c r="A502" s="5" t="n"/>
      <c r="B502" s="5" t="n"/>
      <c r="C502" s="5" t="n"/>
      <c r="D502" s="5" t="n"/>
      <c r="E502" s="20" t="n"/>
      <c r="F502" s="5" t="n"/>
      <c r="G502" s="5" t="n"/>
      <c r="H502" s="5" t="n"/>
      <c r="I502" s="5" t="n"/>
    </row>
    <row r="503">
      <c r="A503" s="5" t="n"/>
      <c r="B503" s="5" t="n"/>
      <c r="C503" s="5" t="n"/>
      <c r="D503" s="5" t="n"/>
      <c r="E503" s="20" t="n"/>
      <c r="F503" s="5" t="n"/>
      <c r="G503" s="5" t="n"/>
      <c r="H503" s="5" t="n"/>
      <c r="I503" s="5" t="n"/>
    </row>
    <row r="504">
      <c r="A504" s="5" t="n"/>
      <c r="B504" s="5" t="n"/>
      <c r="C504" s="5" t="n"/>
      <c r="D504" s="5" t="n"/>
      <c r="E504" s="20" t="n"/>
      <c r="F504" s="5" t="n"/>
      <c r="G504" s="5" t="n"/>
      <c r="H504" s="5" t="n"/>
      <c r="I504" s="5" t="n"/>
    </row>
  </sheetData>
  <autoFilter ref="A4:I504"/>
  <mergeCells count="2">
    <mergeCell ref="A1:I1"/>
    <mergeCell ref="A2:I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5" customWidth="1" min="3" max="3"/>
    <col width="40" customWidth="1" min="4" max="4"/>
    <col width="7" customWidth="1" min="5" max="5"/>
    <col width="13" customWidth="1" min="6" max="6"/>
    <col width="34" customWidth="1" min="7" max="7"/>
    <col width="34" customWidth="1" min="8" max="8"/>
    <col width="24" customWidth="1" min="9" max="9"/>
    <col width="14" customWidth="1" min="10" max="10"/>
    <col width="16" customWidth="1" min="11" max="11"/>
  </cols>
  <sheetData>
    <row r="1" ht="28" customHeight="1">
      <c r="A1" s="1" t="inlineStr">
        <is>
          <t>METRAJ MAHAL LİSTESİ</t>
        </is>
      </c>
    </row>
    <row r="2" ht="30" customHeight="1">
      <c r="A2" s="2" t="inlineStr">
        <is>
          <t>Her satır bir pozun bir iş grubundaki miktarıdır; kaynağı (çizim, katman, etiket) ve hesap kuralı yazılır. BFTC miktarları ve pursantaj payları buradan hesaplanır. Durum'da 'BEKLİYOR' geçen satırlar eksik sayılır; Durum'u 'KAPSAM DIŞI' ya da 'DAHİL DEĞİL' ile başlayan satırlar tutara ve BFTC miktarına girmez. Poz No'su '—' ile başlayan satırlar bilgi/not satırıdır, eksik sayılmaz.</t>
        </is>
      </c>
    </row>
    <row r="3">
      <c r="A3" s="15" t="inlineStr">
        <is>
          <t>TOPLAM</t>
        </is>
      </c>
      <c r="B3" s="16" t="n"/>
      <c r="C3" s="16" t="n"/>
      <c r="D3" s="16" t="n"/>
      <c r="E3" s="16" t="n"/>
      <c r="F3" s="16" t="n"/>
      <c r="G3" s="16" t="n"/>
      <c r="H3" s="16" t="n"/>
      <c r="I3" s="16" t="n"/>
      <c r="J3" s="16" t="n"/>
      <c r="K3" s="22">
        <f>SUM(K5:K504)</f>
        <v/>
      </c>
    </row>
    <row r="4" ht="32" customHeight="1">
      <c r="A4" s="18" t="inlineStr">
        <is>
          <t>İş Grubu</t>
        </is>
      </c>
      <c r="B4" s="18" t="inlineStr">
        <is>
          <t>Alt Başlık</t>
        </is>
      </c>
      <c r="C4" s="18" t="inlineStr">
        <is>
          <t>Poz No</t>
        </is>
      </c>
      <c r="D4" s="18" t="inlineStr">
        <is>
          <t>İmalatın Cinsi</t>
        </is>
      </c>
      <c r="E4" s="18" t="inlineStr">
        <is>
          <t>Birim</t>
        </is>
      </c>
      <c r="F4" s="18" t="inlineStr">
        <is>
          <t>Miktar</t>
        </is>
      </c>
      <c r="G4" s="18" t="inlineStr">
        <is>
          <t>Kaynak (çizim / katman / etiket)</t>
        </is>
      </c>
      <c r="H4" s="18" t="inlineStr">
        <is>
          <t>Hesap (ölçü kuralı)</t>
        </is>
      </c>
      <c r="I4" s="18" t="inlineStr">
        <is>
          <t>Durum</t>
        </is>
      </c>
      <c r="J4" s="18" t="inlineStr">
        <is>
          <t>Birim Fiyat (BFTC'den)</t>
        </is>
      </c>
      <c r="K4" s="18" t="inlineStr">
        <is>
          <t>Satır Tutarı</t>
        </is>
      </c>
    </row>
    <row r="5">
      <c r="A5" s="5" t="n"/>
      <c r="B5" s="5" t="n"/>
      <c r="C5" s="5" t="n"/>
      <c r="D5" s="5" t="n"/>
      <c r="E5" s="5" t="n"/>
      <c r="F5" s="23" t="n"/>
      <c r="G5" s="5" t="n"/>
      <c r="H5" s="5" t="n"/>
      <c r="I5" s="5" t="n"/>
      <c r="J5" s="24">
        <f>IF(C5="",0,IFERROR(VLOOKUP(C5,BFTC!$B$5:$F$504,5,FALSE),0))</f>
        <v/>
      </c>
      <c r="K5" s="24">
        <f>IF(OR(F5="",J5=0,LEFT(I5,11)="KAPSAM DIŞI",LEFT(I5,11)="DAHİL DEĞİL"),0,F5*J5)</f>
        <v/>
      </c>
    </row>
    <row r="6">
      <c r="A6" s="5" t="n"/>
      <c r="B6" s="5" t="n"/>
      <c r="C6" s="5" t="n"/>
      <c r="D6" s="5" t="n"/>
      <c r="E6" s="5" t="n"/>
      <c r="F6" s="23" t="n"/>
      <c r="G6" s="5" t="n"/>
      <c r="H6" s="5" t="n"/>
      <c r="I6" s="5" t="n"/>
      <c r="J6" s="24">
        <f>IF(C6="",0,IFERROR(VLOOKUP(C6,BFTC!$B$5:$F$504,5,FALSE),0))</f>
        <v/>
      </c>
      <c r="K6" s="24">
        <f>IF(OR(F6="",J6=0,LEFT(I6,11)="KAPSAM DIŞI",LEFT(I6,11)="DAHİL DEĞİL"),0,F6*J6)</f>
        <v/>
      </c>
    </row>
    <row r="7">
      <c r="A7" s="5" t="n"/>
      <c r="B7" s="5" t="n"/>
      <c r="C7" s="5" t="n"/>
      <c r="D7" s="5" t="n"/>
      <c r="E7" s="5" t="n"/>
      <c r="F7" s="23" t="n"/>
      <c r="G7" s="5" t="n"/>
      <c r="H7" s="5" t="n"/>
      <c r="I7" s="5" t="n"/>
      <c r="J7" s="24">
        <f>IF(C7="",0,IFERROR(VLOOKUP(C7,BFTC!$B$5:$F$504,5,FALSE),0))</f>
        <v/>
      </c>
      <c r="K7" s="24">
        <f>IF(OR(F7="",J7=0,LEFT(I7,11)="KAPSAM DIŞI",LEFT(I7,11)="DAHİL DEĞİL"),0,F7*J7)</f>
        <v/>
      </c>
    </row>
    <row r="8">
      <c r="A8" s="5" t="n"/>
      <c r="B8" s="5" t="n"/>
      <c r="C8" s="5" t="n"/>
      <c r="D8" s="5" t="n"/>
      <c r="E8" s="5" t="n"/>
      <c r="F8" s="23" t="n"/>
      <c r="G8" s="5" t="n"/>
      <c r="H8" s="5" t="n"/>
      <c r="I8" s="5" t="n"/>
      <c r="J8" s="24">
        <f>IF(C8="",0,IFERROR(VLOOKUP(C8,BFTC!$B$5:$F$504,5,FALSE),0))</f>
        <v/>
      </c>
      <c r="K8" s="24">
        <f>IF(OR(F8="",J8=0,LEFT(I8,11)="KAPSAM DIŞI",LEFT(I8,11)="DAHİL DEĞİL"),0,F8*J8)</f>
        <v/>
      </c>
    </row>
    <row r="9">
      <c r="A9" s="5" t="n"/>
      <c r="B9" s="5" t="n"/>
      <c r="C9" s="5" t="n"/>
      <c r="D9" s="5" t="n"/>
      <c r="E9" s="5" t="n"/>
      <c r="F9" s="23" t="n"/>
      <c r="G9" s="5" t="n"/>
      <c r="H9" s="5" t="n"/>
      <c r="I9" s="5" t="n"/>
      <c r="J9" s="24">
        <f>IF(C9="",0,IFERROR(VLOOKUP(C9,BFTC!$B$5:$F$504,5,FALSE),0))</f>
        <v/>
      </c>
      <c r="K9" s="24">
        <f>IF(OR(F9="",J9=0,LEFT(I9,11)="KAPSAM DIŞI",LEFT(I9,11)="DAHİL DEĞİL"),0,F9*J9)</f>
        <v/>
      </c>
    </row>
    <row r="10">
      <c r="A10" s="5" t="n"/>
      <c r="B10" s="5" t="n"/>
      <c r="C10" s="5" t="n"/>
      <c r="D10" s="5" t="n"/>
      <c r="E10" s="5" t="n"/>
      <c r="F10" s="23" t="n"/>
      <c r="G10" s="5" t="n"/>
      <c r="H10" s="5" t="n"/>
      <c r="I10" s="5" t="n"/>
      <c r="J10" s="24">
        <f>IF(C10="",0,IFERROR(VLOOKUP(C10,BFTC!$B$5:$F$504,5,FALSE),0))</f>
        <v/>
      </c>
      <c r="K10" s="24">
        <f>IF(OR(F10="",J10=0,LEFT(I10,11)="KAPSAM DIŞI",LEFT(I10,11)="DAHİL DEĞİL"),0,F10*J10)</f>
        <v/>
      </c>
    </row>
    <row r="11">
      <c r="A11" s="5" t="n"/>
      <c r="B11" s="5" t="n"/>
      <c r="C11" s="5" t="n"/>
      <c r="D11" s="5" t="n"/>
      <c r="E11" s="5" t="n"/>
      <c r="F11" s="23" t="n"/>
      <c r="G11" s="5" t="n"/>
      <c r="H11" s="5" t="n"/>
      <c r="I11" s="5" t="n"/>
      <c r="J11" s="24">
        <f>IF(C11="",0,IFERROR(VLOOKUP(C11,BFTC!$B$5:$F$504,5,FALSE),0))</f>
        <v/>
      </c>
      <c r="K11" s="24">
        <f>IF(OR(F11="",J11=0,LEFT(I11,11)="KAPSAM DIŞI",LEFT(I11,11)="DAHİL DEĞİL"),0,F11*J11)</f>
        <v/>
      </c>
    </row>
    <row r="12">
      <c r="A12" s="5" t="n"/>
      <c r="B12" s="5" t="n"/>
      <c r="C12" s="5" t="n"/>
      <c r="D12" s="5" t="n"/>
      <c r="E12" s="5" t="n"/>
      <c r="F12" s="23" t="n"/>
      <c r="G12" s="5" t="n"/>
      <c r="H12" s="5" t="n"/>
      <c r="I12" s="5" t="n"/>
      <c r="J12" s="24">
        <f>IF(C12="",0,IFERROR(VLOOKUP(C12,BFTC!$B$5:$F$504,5,FALSE),0))</f>
        <v/>
      </c>
      <c r="K12" s="24">
        <f>IF(OR(F12="",J12=0,LEFT(I12,11)="KAPSAM DIŞI",LEFT(I12,11)="DAHİL DEĞİL"),0,F12*J12)</f>
        <v/>
      </c>
    </row>
    <row r="13">
      <c r="A13" s="5" t="n"/>
      <c r="B13" s="5" t="n"/>
      <c r="C13" s="5" t="n"/>
      <c r="D13" s="5" t="n"/>
      <c r="E13" s="5" t="n"/>
      <c r="F13" s="23" t="n"/>
      <c r="G13" s="5" t="n"/>
      <c r="H13" s="5" t="n"/>
      <c r="I13" s="5" t="n"/>
      <c r="J13" s="24">
        <f>IF(C13="",0,IFERROR(VLOOKUP(C13,BFTC!$B$5:$F$504,5,FALSE),0))</f>
        <v/>
      </c>
      <c r="K13" s="24">
        <f>IF(OR(F13="",J13=0,LEFT(I13,11)="KAPSAM DIŞI",LEFT(I13,11)="DAHİL DEĞİL"),0,F13*J13)</f>
        <v/>
      </c>
    </row>
    <row r="14">
      <c r="A14" s="5" t="n"/>
      <c r="B14" s="5" t="n"/>
      <c r="C14" s="5" t="n"/>
      <c r="D14" s="5" t="n"/>
      <c r="E14" s="5" t="n"/>
      <c r="F14" s="23" t="n"/>
      <c r="G14" s="5" t="n"/>
      <c r="H14" s="5" t="n"/>
      <c r="I14" s="5" t="n"/>
      <c r="J14" s="24">
        <f>IF(C14="",0,IFERROR(VLOOKUP(C14,BFTC!$B$5:$F$504,5,FALSE),0))</f>
        <v/>
      </c>
      <c r="K14" s="24">
        <f>IF(OR(F14="",J14=0,LEFT(I14,11)="KAPSAM DIŞI",LEFT(I14,11)="DAHİL DEĞİL"),0,F14*J14)</f>
        <v/>
      </c>
    </row>
    <row r="15">
      <c r="A15" s="5" t="n"/>
      <c r="B15" s="5" t="n"/>
      <c r="C15" s="5" t="n"/>
      <c r="D15" s="5" t="n"/>
      <c r="E15" s="5" t="n"/>
      <c r="F15" s="23" t="n"/>
      <c r="G15" s="5" t="n"/>
      <c r="H15" s="5" t="n"/>
      <c r="I15" s="5" t="n"/>
      <c r="J15" s="24">
        <f>IF(C15="",0,IFERROR(VLOOKUP(C15,BFTC!$B$5:$F$504,5,FALSE),0))</f>
        <v/>
      </c>
      <c r="K15" s="24">
        <f>IF(OR(F15="",J15=0,LEFT(I15,11)="KAPSAM DIŞI",LEFT(I15,11)="DAHİL DEĞİL"),0,F15*J15)</f>
        <v/>
      </c>
    </row>
    <row r="16">
      <c r="A16" s="5" t="n"/>
      <c r="B16" s="5" t="n"/>
      <c r="C16" s="5" t="n"/>
      <c r="D16" s="5" t="n"/>
      <c r="E16" s="5" t="n"/>
      <c r="F16" s="23" t="n"/>
      <c r="G16" s="5" t="n"/>
      <c r="H16" s="5" t="n"/>
      <c r="I16" s="5" t="n"/>
      <c r="J16" s="24">
        <f>IF(C16="",0,IFERROR(VLOOKUP(C16,BFTC!$B$5:$F$504,5,FALSE),0))</f>
        <v/>
      </c>
      <c r="K16" s="24">
        <f>IF(OR(F16="",J16=0,LEFT(I16,11)="KAPSAM DIŞI",LEFT(I16,11)="DAHİL DEĞİL"),0,F16*J16)</f>
        <v/>
      </c>
    </row>
    <row r="17">
      <c r="A17" s="5" t="n"/>
      <c r="B17" s="5" t="n"/>
      <c r="C17" s="5" t="n"/>
      <c r="D17" s="5" t="n"/>
      <c r="E17" s="5" t="n"/>
      <c r="F17" s="23" t="n"/>
      <c r="G17" s="5" t="n"/>
      <c r="H17" s="5" t="n"/>
      <c r="I17" s="5" t="n"/>
      <c r="J17" s="24">
        <f>IF(C17="",0,IFERROR(VLOOKUP(C17,BFTC!$B$5:$F$504,5,FALSE),0))</f>
        <v/>
      </c>
      <c r="K17" s="24">
        <f>IF(OR(F17="",J17=0,LEFT(I17,11)="KAPSAM DIŞI",LEFT(I17,11)="DAHİL DEĞİL"),0,F17*J17)</f>
        <v/>
      </c>
    </row>
    <row r="18">
      <c r="A18" s="5" t="n"/>
      <c r="B18" s="5" t="n"/>
      <c r="C18" s="5" t="n"/>
      <c r="D18" s="5" t="n"/>
      <c r="E18" s="5" t="n"/>
      <c r="F18" s="23" t="n"/>
      <c r="G18" s="5" t="n"/>
      <c r="H18" s="5" t="n"/>
      <c r="I18" s="5" t="n"/>
      <c r="J18" s="24">
        <f>IF(C18="",0,IFERROR(VLOOKUP(C18,BFTC!$B$5:$F$504,5,FALSE),0))</f>
        <v/>
      </c>
      <c r="K18" s="24">
        <f>IF(OR(F18="",J18=0,LEFT(I18,11)="KAPSAM DIŞI",LEFT(I18,11)="DAHİL DEĞİL"),0,F18*J18)</f>
        <v/>
      </c>
    </row>
    <row r="19">
      <c r="A19" s="5" t="n"/>
      <c r="B19" s="5" t="n"/>
      <c r="C19" s="5" t="n"/>
      <c r="D19" s="5" t="n"/>
      <c r="E19" s="5" t="n"/>
      <c r="F19" s="23" t="n"/>
      <c r="G19" s="5" t="n"/>
      <c r="H19" s="5" t="n"/>
      <c r="I19" s="5" t="n"/>
      <c r="J19" s="24">
        <f>IF(C19="",0,IFERROR(VLOOKUP(C19,BFTC!$B$5:$F$504,5,FALSE),0))</f>
        <v/>
      </c>
      <c r="K19" s="24">
        <f>IF(OR(F19="",J19=0,LEFT(I19,11)="KAPSAM DIŞI",LEFT(I19,11)="DAHİL DEĞİL"),0,F19*J19)</f>
        <v/>
      </c>
    </row>
    <row r="20">
      <c r="A20" s="5" t="n"/>
      <c r="B20" s="5" t="n"/>
      <c r="C20" s="5" t="n"/>
      <c r="D20" s="5" t="n"/>
      <c r="E20" s="5" t="n"/>
      <c r="F20" s="23" t="n"/>
      <c r="G20" s="5" t="n"/>
      <c r="H20" s="5" t="n"/>
      <c r="I20" s="5" t="n"/>
      <c r="J20" s="24">
        <f>IF(C20="",0,IFERROR(VLOOKUP(C20,BFTC!$B$5:$F$504,5,FALSE),0))</f>
        <v/>
      </c>
      <c r="K20" s="24">
        <f>IF(OR(F20="",J20=0,LEFT(I20,11)="KAPSAM DIŞI",LEFT(I20,11)="DAHİL DEĞİL"),0,F20*J20)</f>
        <v/>
      </c>
    </row>
    <row r="21">
      <c r="A21" s="5" t="n"/>
      <c r="B21" s="5" t="n"/>
      <c r="C21" s="5" t="n"/>
      <c r="D21" s="5" t="n"/>
      <c r="E21" s="5" t="n"/>
      <c r="F21" s="23" t="n"/>
      <c r="G21" s="5" t="n"/>
      <c r="H21" s="5" t="n"/>
      <c r="I21" s="5" t="n"/>
      <c r="J21" s="24">
        <f>IF(C21="",0,IFERROR(VLOOKUP(C21,BFTC!$B$5:$F$504,5,FALSE),0))</f>
        <v/>
      </c>
      <c r="K21" s="24">
        <f>IF(OR(F21="",J21=0,LEFT(I21,11)="KAPSAM DIŞI",LEFT(I21,11)="DAHİL DEĞİL"),0,F21*J21)</f>
        <v/>
      </c>
    </row>
    <row r="22">
      <c r="A22" s="5" t="n"/>
      <c r="B22" s="5" t="n"/>
      <c r="C22" s="5" t="n"/>
      <c r="D22" s="5" t="n"/>
      <c r="E22" s="5" t="n"/>
      <c r="F22" s="23" t="n"/>
      <c r="G22" s="5" t="n"/>
      <c r="H22" s="5" t="n"/>
      <c r="I22" s="5" t="n"/>
      <c r="J22" s="24">
        <f>IF(C22="",0,IFERROR(VLOOKUP(C22,BFTC!$B$5:$F$504,5,FALSE),0))</f>
        <v/>
      </c>
      <c r="K22" s="24">
        <f>IF(OR(F22="",J22=0,LEFT(I22,11)="KAPSAM DIŞI",LEFT(I22,11)="DAHİL DEĞİL"),0,F22*J22)</f>
        <v/>
      </c>
    </row>
    <row r="23">
      <c r="A23" s="5" t="n"/>
      <c r="B23" s="5" t="n"/>
      <c r="C23" s="5" t="n"/>
      <c r="D23" s="5" t="n"/>
      <c r="E23" s="5" t="n"/>
      <c r="F23" s="23" t="n"/>
      <c r="G23" s="5" t="n"/>
      <c r="H23" s="5" t="n"/>
      <c r="I23" s="5" t="n"/>
      <c r="J23" s="24">
        <f>IF(C23="",0,IFERROR(VLOOKUP(C23,BFTC!$B$5:$F$504,5,FALSE),0))</f>
        <v/>
      </c>
      <c r="K23" s="24">
        <f>IF(OR(F23="",J23=0,LEFT(I23,11)="KAPSAM DIŞI",LEFT(I23,11)="DAHİL DEĞİL"),0,F23*J23)</f>
        <v/>
      </c>
    </row>
    <row r="24">
      <c r="A24" s="5" t="n"/>
      <c r="B24" s="5" t="n"/>
      <c r="C24" s="5" t="n"/>
      <c r="D24" s="5" t="n"/>
      <c r="E24" s="5" t="n"/>
      <c r="F24" s="23" t="n"/>
      <c r="G24" s="5" t="n"/>
      <c r="H24" s="5" t="n"/>
      <c r="I24" s="5" t="n"/>
      <c r="J24" s="24">
        <f>IF(C24="",0,IFERROR(VLOOKUP(C24,BFTC!$B$5:$F$504,5,FALSE),0))</f>
        <v/>
      </c>
      <c r="K24" s="24">
        <f>IF(OR(F24="",J24=0,LEFT(I24,11)="KAPSAM DIŞI",LEFT(I24,11)="DAHİL DEĞİL"),0,F24*J24)</f>
        <v/>
      </c>
    </row>
    <row r="25">
      <c r="A25" s="5" t="n"/>
      <c r="B25" s="5" t="n"/>
      <c r="C25" s="5" t="n"/>
      <c r="D25" s="5" t="n"/>
      <c r="E25" s="5" t="n"/>
      <c r="F25" s="23" t="n"/>
      <c r="G25" s="5" t="n"/>
      <c r="H25" s="5" t="n"/>
      <c r="I25" s="5" t="n"/>
      <c r="J25" s="24">
        <f>IF(C25="",0,IFERROR(VLOOKUP(C25,BFTC!$B$5:$F$504,5,FALSE),0))</f>
        <v/>
      </c>
      <c r="K25" s="24">
        <f>IF(OR(F25="",J25=0,LEFT(I25,11)="KAPSAM DIŞI",LEFT(I25,11)="DAHİL DEĞİL"),0,F25*J25)</f>
        <v/>
      </c>
    </row>
    <row r="26">
      <c r="A26" s="5" t="n"/>
      <c r="B26" s="5" t="n"/>
      <c r="C26" s="5" t="n"/>
      <c r="D26" s="5" t="n"/>
      <c r="E26" s="5" t="n"/>
      <c r="F26" s="23" t="n"/>
      <c r="G26" s="5" t="n"/>
      <c r="H26" s="5" t="n"/>
      <c r="I26" s="5" t="n"/>
      <c r="J26" s="24">
        <f>IF(C26="",0,IFERROR(VLOOKUP(C26,BFTC!$B$5:$F$504,5,FALSE),0))</f>
        <v/>
      </c>
      <c r="K26" s="24">
        <f>IF(OR(F26="",J26=0,LEFT(I26,11)="KAPSAM DIŞI",LEFT(I26,11)="DAHİL DEĞİL"),0,F26*J26)</f>
        <v/>
      </c>
    </row>
    <row r="27">
      <c r="A27" s="5" t="n"/>
      <c r="B27" s="5" t="n"/>
      <c r="C27" s="5" t="n"/>
      <c r="D27" s="5" t="n"/>
      <c r="E27" s="5" t="n"/>
      <c r="F27" s="23" t="n"/>
      <c r="G27" s="5" t="n"/>
      <c r="H27" s="5" t="n"/>
      <c r="I27" s="5" t="n"/>
      <c r="J27" s="24">
        <f>IF(C27="",0,IFERROR(VLOOKUP(C27,BFTC!$B$5:$F$504,5,FALSE),0))</f>
        <v/>
      </c>
      <c r="K27" s="24">
        <f>IF(OR(F27="",J27=0,LEFT(I27,11)="KAPSAM DIŞI",LEFT(I27,11)="DAHİL DEĞİL"),0,F27*J27)</f>
        <v/>
      </c>
    </row>
    <row r="28">
      <c r="A28" s="5" t="n"/>
      <c r="B28" s="5" t="n"/>
      <c r="C28" s="5" t="n"/>
      <c r="D28" s="5" t="n"/>
      <c r="E28" s="5" t="n"/>
      <c r="F28" s="23" t="n"/>
      <c r="G28" s="5" t="n"/>
      <c r="H28" s="5" t="n"/>
      <c r="I28" s="5" t="n"/>
      <c r="J28" s="24">
        <f>IF(C28="",0,IFERROR(VLOOKUP(C28,BFTC!$B$5:$F$504,5,FALSE),0))</f>
        <v/>
      </c>
      <c r="K28" s="24">
        <f>IF(OR(F28="",J28=0,LEFT(I28,11)="KAPSAM DIŞI",LEFT(I28,11)="DAHİL DEĞİL"),0,F28*J28)</f>
        <v/>
      </c>
    </row>
    <row r="29">
      <c r="A29" s="5" t="n"/>
      <c r="B29" s="5" t="n"/>
      <c r="C29" s="5" t="n"/>
      <c r="D29" s="5" t="n"/>
      <c r="E29" s="5" t="n"/>
      <c r="F29" s="23" t="n"/>
      <c r="G29" s="5" t="n"/>
      <c r="H29" s="5" t="n"/>
      <c r="I29" s="5" t="n"/>
      <c r="J29" s="24">
        <f>IF(C29="",0,IFERROR(VLOOKUP(C29,BFTC!$B$5:$F$504,5,FALSE),0))</f>
        <v/>
      </c>
      <c r="K29" s="24">
        <f>IF(OR(F29="",J29=0,LEFT(I29,11)="KAPSAM DIŞI",LEFT(I29,11)="DAHİL DEĞİL"),0,F29*J29)</f>
        <v/>
      </c>
    </row>
    <row r="30">
      <c r="A30" s="5" t="n"/>
      <c r="B30" s="5" t="n"/>
      <c r="C30" s="5" t="n"/>
      <c r="D30" s="5" t="n"/>
      <c r="E30" s="5" t="n"/>
      <c r="F30" s="23" t="n"/>
      <c r="G30" s="5" t="n"/>
      <c r="H30" s="5" t="n"/>
      <c r="I30" s="5" t="n"/>
      <c r="J30" s="24">
        <f>IF(C30="",0,IFERROR(VLOOKUP(C30,BFTC!$B$5:$F$504,5,FALSE),0))</f>
        <v/>
      </c>
      <c r="K30" s="24">
        <f>IF(OR(F30="",J30=0,LEFT(I30,11)="KAPSAM DIŞI",LEFT(I30,11)="DAHİL DEĞİL"),0,F30*J30)</f>
        <v/>
      </c>
    </row>
    <row r="31">
      <c r="A31" s="5" t="n"/>
      <c r="B31" s="5" t="n"/>
      <c r="C31" s="5" t="n"/>
      <c r="D31" s="5" t="n"/>
      <c r="E31" s="5" t="n"/>
      <c r="F31" s="23" t="n"/>
      <c r="G31" s="5" t="n"/>
      <c r="H31" s="5" t="n"/>
      <c r="I31" s="5" t="n"/>
      <c r="J31" s="24">
        <f>IF(C31="",0,IFERROR(VLOOKUP(C31,BFTC!$B$5:$F$504,5,FALSE),0))</f>
        <v/>
      </c>
      <c r="K31" s="24">
        <f>IF(OR(F31="",J31=0,LEFT(I31,11)="KAPSAM DIŞI",LEFT(I31,11)="DAHİL DEĞİL"),0,F31*J31)</f>
        <v/>
      </c>
    </row>
    <row r="32">
      <c r="A32" s="5" t="n"/>
      <c r="B32" s="5" t="n"/>
      <c r="C32" s="5" t="n"/>
      <c r="D32" s="5" t="n"/>
      <c r="E32" s="5" t="n"/>
      <c r="F32" s="23" t="n"/>
      <c r="G32" s="5" t="n"/>
      <c r="H32" s="5" t="n"/>
      <c r="I32" s="5" t="n"/>
      <c r="J32" s="24">
        <f>IF(C32="",0,IFERROR(VLOOKUP(C32,BFTC!$B$5:$F$504,5,FALSE),0))</f>
        <v/>
      </c>
      <c r="K32" s="24">
        <f>IF(OR(F32="",J32=0,LEFT(I32,11)="KAPSAM DIŞI",LEFT(I32,11)="DAHİL DEĞİL"),0,F32*J32)</f>
        <v/>
      </c>
    </row>
    <row r="33">
      <c r="A33" s="5" t="n"/>
      <c r="B33" s="5" t="n"/>
      <c r="C33" s="5" t="n"/>
      <c r="D33" s="5" t="n"/>
      <c r="E33" s="5" t="n"/>
      <c r="F33" s="23" t="n"/>
      <c r="G33" s="5" t="n"/>
      <c r="H33" s="5" t="n"/>
      <c r="I33" s="5" t="n"/>
      <c r="J33" s="24">
        <f>IF(C33="",0,IFERROR(VLOOKUP(C33,BFTC!$B$5:$F$504,5,FALSE),0))</f>
        <v/>
      </c>
      <c r="K33" s="24">
        <f>IF(OR(F33="",J33=0,LEFT(I33,11)="KAPSAM DIŞI",LEFT(I33,11)="DAHİL DEĞİL"),0,F33*J33)</f>
        <v/>
      </c>
    </row>
    <row r="34">
      <c r="A34" s="5" t="n"/>
      <c r="B34" s="5" t="n"/>
      <c r="C34" s="5" t="n"/>
      <c r="D34" s="5" t="n"/>
      <c r="E34" s="5" t="n"/>
      <c r="F34" s="23" t="n"/>
      <c r="G34" s="5" t="n"/>
      <c r="H34" s="5" t="n"/>
      <c r="I34" s="5" t="n"/>
      <c r="J34" s="24">
        <f>IF(C34="",0,IFERROR(VLOOKUP(C34,BFTC!$B$5:$F$504,5,FALSE),0))</f>
        <v/>
      </c>
      <c r="K34" s="24">
        <f>IF(OR(F34="",J34=0,LEFT(I34,11)="KAPSAM DIŞI",LEFT(I34,11)="DAHİL DEĞİL"),0,F34*J34)</f>
        <v/>
      </c>
    </row>
    <row r="35">
      <c r="A35" s="5" t="n"/>
      <c r="B35" s="5" t="n"/>
      <c r="C35" s="5" t="n"/>
      <c r="D35" s="5" t="n"/>
      <c r="E35" s="5" t="n"/>
      <c r="F35" s="23" t="n"/>
      <c r="G35" s="5" t="n"/>
      <c r="H35" s="5" t="n"/>
      <c r="I35" s="5" t="n"/>
      <c r="J35" s="24">
        <f>IF(C35="",0,IFERROR(VLOOKUP(C35,BFTC!$B$5:$F$504,5,FALSE),0))</f>
        <v/>
      </c>
      <c r="K35" s="24">
        <f>IF(OR(F35="",J35=0,LEFT(I35,11)="KAPSAM DIŞI",LEFT(I35,11)="DAHİL DEĞİL"),0,F35*J35)</f>
        <v/>
      </c>
    </row>
    <row r="36">
      <c r="A36" s="5" t="n"/>
      <c r="B36" s="5" t="n"/>
      <c r="C36" s="5" t="n"/>
      <c r="D36" s="5" t="n"/>
      <c r="E36" s="5" t="n"/>
      <c r="F36" s="23" t="n"/>
      <c r="G36" s="5" t="n"/>
      <c r="H36" s="5" t="n"/>
      <c r="I36" s="5" t="n"/>
      <c r="J36" s="24">
        <f>IF(C36="",0,IFERROR(VLOOKUP(C36,BFTC!$B$5:$F$504,5,FALSE),0))</f>
        <v/>
      </c>
      <c r="K36" s="24">
        <f>IF(OR(F36="",J36=0,LEFT(I36,11)="KAPSAM DIŞI",LEFT(I36,11)="DAHİL DEĞİL"),0,F36*J36)</f>
        <v/>
      </c>
    </row>
    <row r="37">
      <c r="A37" s="5" t="n"/>
      <c r="B37" s="5" t="n"/>
      <c r="C37" s="5" t="n"/>
      <c r="D37" s="5" t="n"/>
      <c r="E37" s="5" t="n"/>
      <c r="F37" s="23" t="n"/>
      <c r="G37" s="5" t="n"/>
      <c r="H37" s="5" t="n"/>
      <c r="I37" s="5" t="n"/>
      <c r="J37" s="24">
        <f>IF(C37="",0,IFERROR(VLOOKUP(C37,BFTC!$B$5:$F$504,5,FALSE),0))</f>
        <v/>
      </c>
      <c r="K37" s="24">
        <f>IF(OR(F37="",J37=0,LEFT(I37,11)="KAPSAM DIŞI",LEFT(I37,11)="DAHİL DEĞİL"),0,F37*J37)</f>
        <v/>
      </c>
    </row>
    <row r="38">
      <c r="A38" s="5" t="n"/>
      <c r="B38" s="5" t="n"/>
      <c r="C38" s="5" t="n"/>
      <c r="D38" s="5" t="n"/>
      <c r="E38" s="5" t="n"/>
      <c r="F38" s="23" t="n"/>
      <c r="G38" s="5" t="n"/>
      <c r="H38" s="5" t="n"/>
      <c r="I38" s="5" t="n"/>
      <c r="J38" s="24">
        <f>IF(C38="",0,IFERROR(VLOOKUP(C38,BFTC!$B$5:$F$504,5,FALSE),0))</f>
        <v/>
      </c>
      <c r="K38" s="24">
        <f>IF(OR(F38="",J38=0,LEFT(I38,11)="KAPSAM DIŞI",LEFT(I38,11)="DAHİL DEĞİL"),0,F38*J38)</f>
        <v/>
      </c>
    </row>
    <row r="39">
      <c r="A39" s="5" t="n"/>
      <c r="B39" s="5" t="n"/>
      <c r="C39" s="5" t="n"/>
      <c r="D39" s="5" t="n"/>
      <c r="E39" s="5" t="n"/>
      <c r="F39" s="23" t="n"/>
      <c r="G39" s="5" t="n"/>
      <c r="H39" s="5" t="n"/>
      <c r="I39" s="5" t="n"/>
      <c r="J39" s="24">
        <f>IF(C39="",0,IFERROR(VLOOKUP(C39,BFTC!$B$5:$F$504,5,FALSE),0))</f>
        <v/>
      </c>
      <c r="K39" s="24">
        <f>IF(OR(F39="",J39=0,LEFT(I39,11)="KAPSAM DIŞI",LEFT(I39,11)="DAHİL DEĞİL"),0,F39*J39)</f>
        <v/>
      </c>
    </row>
    <row r="40">
      <c r="A40" s="5" t="n"/>
      <c r="B40" s="5" t="n"/>
      <c r="C40" s="5" t="n"/>
      <c r="D40" s="5" t="n"/>
      <c r="E40" s="5" t="n"/>
      <c r="F40" s="23" t="n"/>
      <c r="G40" s="5" t="n"/>
      <c r="H40" s="5" t="n"/>
      <c r="I40" s="5" t="n"/>
      <c r="J40" s="24">
        <f>IF(C40="",0,IFERROR(VLOOKUP(C40,BFTC!$B$5:$F$504,5,FALSE),0))</f>
        <v/>
      </c>
      <c r="K40" s="24">
        <f>IF(OR(F40="",J40=0,LEFT(I40,11)="KAPSAM DIŞI",LEFT(I40,11)="DAHİL DEĞİL"),0,F40*J40)</f>
        <v/>
      </c>
    </row>
    <row r="41">
      <c r="A41" s="5" t="n"/>
      <c r="B41" s="5" t="n"/>
      <c r="C41" s="5" t="n"/>
      <c r="D41" s="5" t="n"/>
      <c r="E41" s="5" t="n"/>
      <c r="F41" s="23" t="n"/>
      <c r="G41" s="5" t="n"/>
      <c r="H41" s="5" t="n"/>
      <c r="I41" s="5" t="n"/>
      <c r="J41" s="24">
        <f>IF(C41="",0,IFERROR(VLOOKUP(C41,BFTC!$B$5:$F$504,5,FALSE),0))</f>
        <v/>
      </c>
      <c r="K41" s="24">
        <f>IF(OR(F41="",J41=0,LEFT(I41,11)="KAPSAM DIŞI",LEFT(I41,11)="DAHİL DEĞİL"),0,F41*J41)</f>
        <v/>
      </c>
    </row>
    <row r="42">
      <c r="A42" s="5" t="n"/>
      <c r="B42" s="5" t="n"/>
      <c r="C42" s="5" t="n"/>
      <c r="D42" s="5" t="n"/>
      <c r="E42" s="5" t="n"/>
      <c r="F42" s="23" t="n"/>
      <c r="G42" s="5" t="n"/>
      <c r="H42" s="5" t="n"/>
      <c r="I42" s="5" t="n"/>
      <c r="J42" s="24">
        <f>IF(C42="",0,IFERROR(VLOOKUP(C42,BFTC!$B$5:$F$504,5,FALSE),0))</f>
        <v/>
      </c>
      <c r="K42" s="24">
        <f>IF(OR(F42="",J42=0,LEFT(I42,11)="KAPSAM DIŞI",LEFT(I42,11)="DAHİL DEĞİL"),0,F42*J42)</f>
        <v/>
      </c>
    </row>
    <row r="43">
      <c r="A43" s="5" t="n"/>
      <c r="B43" s="5" t="n"/>
      <c r="C43" s="5" t="n"/>
      <c r="D43" s="5" t="n"/>
      <c r="E43" s="5" t="n"/>
      <c r="F43" s="23" t="n"/>
      <c r="G43" s="5" t="n"/>
      <c r="H43" s="5" t="n"/>
      <c r="I43" s="5" t="n"/>
      <c r="J43" s="24">
        <f>IF(C43="",0,IFERROR(VLOOKUP(C43,BFTC!$B$5:$F$504,5,FALSE),0))</f>
        <v/>
      </c>
      <c r="K43" s="24">
        <f>IF(OR(F43="",J43=0,LEFT(I43,11)="KAPSAM DIŞI",LEFT(I43,11)="DAHİL DEĞİL"),0,F43*J43)</f>
        <v/>
      </c>
    </row>
    <row r="44">
      <c r="A44" s="5" t="n"/>
      <c r="B44" s="5" t="n"/>
      <c r="C44" s="5" t="n"/>
      <c r="D44" s="5" t="n"/>
      <c r="E44" s="5" t="n"/>
      <c r="F44" s="23" t="n"/>
      <c r="G44" s="5" t="n"/>
      <c r="H44" s="5" t="n"/>
      <c r="I44" s="5" t="n"/>
      <c r="J44" s="24">
        <f>IF(C44="",0,IFERROR(VLOOKUP(C44,BFTC!$B$5:$F$504,5,FALSE),0))</f>
        <v/>
      </c>
      <c r="K44" s="24">
        <f>IF(OR(F44="",J44=0,LEFT(I44,11)="KAPSAM DIŞI",LEFT(I44,11)="DAHİL DEĞİL"),0,F44*J44)</f>
        <v/>
      </c>
    </row>
    <row r="45">
      <c r="A45" s="5" t="n"/>
      <c r="B45" s="5" t="n"/>
      <c r="C45" s="5" t="n"/>
      <c r="D45" s="5" t="n"/>
      <c r="E45" s="5" t="n"/>
      <c r="F45" s="23" t="n"/>
      <c r="G45" s="5" t="n"/>
      <c r="H45" s="5" t="n"/>
      <c r="I45" s="5" t="n"/>
      <c r="J45" s="24">
        <f>IF(C45="",0,IFERROR(VLOOKUP(C45,BFTC!$B$5:$F$504,5,FALSE),0))</f>
        <v/>
      </c>
      <c r="K45" s="24">
        <f>IF(OR(F45="",J45=0,LEFT(I45,11)="KAPSAM DIŞI",LEFT(I45,11)="DAHİL DEĞİL"),0,F45*J45)</f>
        <v/>
      </c>
    </row>
    <row r="46">
      <c r="A46" s="5" t="n"/>
      <c r="B46" s="5" t="n"/>
      <c r="C46" s="5" t="n"/>
      <c r="D46" s="5" t="n"/>
      <c r="E46" s="5" t="n"/>
      <c r="F46" s="23" t="n"/>
      <c r="G46" s="5" t="n"/>
      <c r="H46" s="5" t="n"/>
      <c r="I46" s="5" t="n"/>
      <c r="J46" s="24">
        <f>IF(C46="",0,IFERROR(VLOOKUP(C46,BFTC!$B$5:$F$504,5,FALSE),0))</f>
        <v/>
      </c>
      <c r="K46" s="24">
        <f>IF(OR(F46="",J46=0,LEFT(I46,11)="KAPSAM DIŞI",LEFT(I46,11)="DAHİL DEĞİL"),0,F46*J46)</f>
        <v/>
      </c>
    </row>
    <row r="47">
      <c r="A47" s="5" t="n"/>
      <c r="B47" s="5" t="n"/>
      <c r="C47" s="5" t="n"/>
      <c r="D47" s="5" t="n"/>
      <c r="E47" s="5" t="n"/>
      <c r="F47" s="23" t="n"/>
      <c r="G47" s="5" t="n"/>
      <c r="H47" s="5" t="n"/>
      <c r="I47" s="5" t="n"/>
      <c r="J47" s="24">
        <f>IF(C47="",0,IFERROR(VLOOKUP(C47,BFTC!$B$5:$F$504,5,FALSE),0))</f>
        <v/>
      </c>
      <c r="K47" s="24">
        <f>IF(OR(F47="",J47=0,LEFT(I47,11)="KAPSAM DIŞI",LEFT(I47,11)="DAHİL DEĞİL"),0,F47*J47)</f>
        <v/>
      </c>
    </row>
    <row r="48">
      <c r="A48" s="5" t="n"/>
      <c r="B48" s="5" t="n"/>
      <c r="C48" s="5" t="n"/>
      <c r="D48" s="5" t="n"/>
      <c r="E48" s="5" t="n"/>
      <c r="F48" s="23" t="n"/>
      <c r="G48" s="5" t="n"/>
      <c r="H48" s="5" t="n"/>
      <c r="I48" s="5" t="n"/>
      <c r="J48" s="24">
        <f>IF(C48="",0,IFERROR(VLOOKUP(C48,BFTC!$B$5:$F$504,5,FALSE),0))</f>
        <v/>
      </c>
      <c r="K48" s="24">
        <f>IF(OR(F48="",J48=0,LEFT(I48,11)="KAPSAM DIŞI",LEFT(I48,11)="DAHİL DEĞİL"),0,F48*J48)</f>
        <v/>
      </c>
    </row>
    <row r="49">
      <c r="A49" s="5" t="n"/>
      <c r="B49" s="5" t="n"/>
      <c r="C49" s="5" t="n"/>
      <c r="D49" s="5" t="n"/>
      <c r="E49" s="5" t="n"/>
      <c r="F49" s="23" t="n"/>
      <c r="G49" s="5" t="n"/>
      <c r="H49" s="5" t="n"/>
      <c r="I49" s="5" t="n"/>
      <c r="J49" s="24">
        <f>IF(C49="",0,IFERROR(VLOOKUP(C49,BFTC!$B$5:$F$504,5,FALSE),0))</f>
        <v/>
      </c>
      <c r="K49" s="24">
        <f>IF(OR(F49="",J49=0,LEFT(I49,11)="KAPSAM DIŞI",LEFT(I49,11)="DAHİL DEĞİL"),0,F49*J49)</f>
        <v/>
      </c>
    </row>
    <row r="50">
      <c r="A50" s="5" t="n"/>
      <c r="B50" s="5" t="n"/>
      <c r="C50" s="5" t="n"/>
      <c r="D50" s="5" t="n"/>
      <c r="E50" s="5" t="n"/>
      <c r="F50" s="23" t="n"/>
      <c r="G50" s="5" t="n"/>
      <c r="H50" s="5" t="n"/>
      <c r="I50" s="5" t="n"/>
      <c r="J50" s="24">
        <f>IF(C50="",0,IFERROR(VLOOKUP(C50,BFTC!$B$5:$F$504,5,FALSE),0))</f>
        <v/>
      </c>
      <c r="K50" s="24">
        <f>IF(OR(F50="",J50=0,LEFT(I50,11)="KAPSAM DIŞI",LEFT(I50,11)="DAHİL DEĞİL"),0,F50*J50)</f>
        <v/>
      </c>
    </row>
    <row r="51">
      <c r="A51" s="5" t="n"/>
      <c r="B51" s="5" t="n"/>
      <c r="C51" s="5" t="n"/>
      <c r="D51" s="5" t="n"/>
      <c r="E51" s="5" t="n"/>
      <c r="F51" s="23" t="n"/>
      <c r="G51" s="5" t="n"/>
      <c r="H51" s="5" t="n"/>
      <c r="I51" s="5" t="n"/>
      <c r="J51" s="24">
        <f>IF(C51="",0,IFERROR(VLOOKUP(C51,BFTC!$B$5:$F$504,5,FALSE),0))</f>
        <v/>
      </c>
      <c r="K51" s="24">
        <f>IF(OR(F51="",J51=0,LEFT(I51,11)="KAPSAM DIŞI",LEFT(I51,11)="DAHİL DEĞİL"),0,F51*J51)</f>
        <v/>
      </c>
    </row>
    <row r="52">
      <c r="A52" s="5" t="n"/>
      <c r="B52" s="5" t="n"/>
      <c r="C52" s="5" t="n"/>
      <c r="D52" s="5" t="n"/>
      <c r="E52" s="5" t="n"/>
      <c r="F52" s="23" t="n"/>
      <c r="G52" s="5" t="n"/>
      <c r="H52" s="5" t="n"/>
      <c r="I52" s="5" t="n"/>
      <c r="J52" s="24">
        <f>IF(C52="",0,IFERROR(VLOOKUP(C52,BFTC!$B$5:$F$504,5,FALSE),0))</f>
        <v/>
      </c>
      <c r="K52" s="24">
        <f>IF(OR(F52="",J52=0,LEFT(I52,11)="KAPSAM DIŞI",LEFT(I52,11)="DAHİL DEĞİL"),0,F52*J52)</f>
        <v/>
      </c>
    </row>
    <row r="53">
      <c r="A53" s="5" t="n"/>
      <c r="B53" s="5" t="n"/>
      <c r="C53" s="5" t="n"/>
      <c r="D53" s="5" t="n"/>
      <c r="E53" s="5" t="n"/>
      <c r="F53" s="23" t="n"/>
      <c r="G53" s="5" t="n"/>
      <c r="H53" s="5" t="n"/>
      <c r="I53" s="5" t="n"/>
      <c r="J53" s="24">
        <f>IF(C53="",0,IFERROR(VLOOKUP(C53,BFTC!$B$5:$F$504,5,FALSE),0))</f>
        <v/>
      </c>
      <c r="K53" s="24">
        <f>IF(OR(F53="",J53=0,LEFT(I53,11)="KAPSAM DIŞI",LEFT(I53,11)="DAHİL DEĞİL"),0,F53*J53)</f>
        <v/>
      </c>
    </row>
    <row r="54">
      <c r="A54" s="5" t="n"/>
      <c r="B54" s="5" t="n"/>
      <c r="C54" s="5" t="n"/>
      <c r="D54" s="5" t="n"/>
      <c r="E54" s="5" t="n"/>
      <c r="F54" s="23" t="n"/>
      <c r="G54" s="5" t="n"/>
      <c r="H54" s="5" t="n"/>
      <c r="I54" s="5" t="n"/>
      <c r="J54" s="24">
        <f>IF(C54="",0,IFERROR(VLOOKUP(C54,BFTC!$B$5:$F$504,5,FALSE),0))</f>
        <v/>
      </c>
      <c r="K54" s="24">
        <f>IF(OR(F54="",J54=0,LEFT(I54,11)="KAPSAM DIŞI",LEFT(I54,11)="DAHİL DEĞİL"),0,F54*J54)</f>
        <v/>
      </c>
    </row>
    <row r="55">
      <c r="A55" s="5" t="n"/>
      <c r="B55" s="5" t="n"/>
      <c r="C55" s="5" t="n"/>
      <c r="D55" s="5" t="n"/>
      <c r="E55" s="5" t="n"/>
      <c r="F55" s="23" t="n"/>
      <c r="G55" s="5" t="n"/>
      <c r="H55" s="5" t="n"/>
      <c r="I55" s="5" t="n"/>
      <c r="J55" s="24">
        <f>IF(C55="",0,IFERROR(VLOOKUP(C55,BFTC!$B$5:$F$504,5,FALSE),0))</f>
        <v/>
      </c>
      <c r="K55" s="24">
        <f>IF(OR(F55="",J55=0,LEFT(I55,11)="KAPSAM DIŞI",LEFT(I55,11)="DAHİL DEĞİL"),0,F55*J55)</f>
        <v/>
      </c>
    </row>
    <row r="56">
      <c r="A56" s="5" t="n"/>
      <c r="B56" s="5" t="n"/>
      <c r="C56" s="5" t="n"/>
      <c r="D56" s="5" t="n"/>
      <c r="E56" s="5" t="n"/>
      <c r="F56" s="23" t="n"/>
      <c r="G56" s="5" t="n"/>
      <c r="H56" s="5" t="n"/>
      <c r="I56" s="5" t="n"/>
      <c r="J56" s="24">
        <f>IF(C56="",0,IFERROR(VLOOKUP(C56,BFTC!$B$5:$F$504,5,FALSE),0))</f>
        <v/>
      </c>
      <c r="K56" s="24">
        <f>IF(OR(F56="",J56=0,LEFT(I56,11)="KAPSAM DIŞI",LEFT(I56,11)="DAHİL DEĞİL"),0,F56*J56)</f>
        <v/>
      </c>
    </row>
    <row r="57">
      <c r="A57" s="5" t="n"/>
      <c r="B57" s="5" t="n"/>
      <c r="C57" s="5" t="n"/>
      <c r="D57" s="5" t="n"/>
      <c r="E57" s="5" t="n"/>
      <c r="F57" s="23" t="n"/>
      <c r="G57" s="5" t="n"/>
      <c r="H57" s="5" t="n"/>
      <c r="I57" s="5" t="n"/>
      <c r="J57" s="24">
        <f>IF(C57="",0,IFERROR(VLOOKUP(C57,BFTC!$B$5:$F$504,5,FALSE),0))</f>
        <v/>
      </c>
      <c r="K57" s="24">
        <f>IF(OR(F57="",J57=0,LEFT(I57,11)="KAPSAM DIŞI",LEFT(I57,11)="DAHİL DEĞİL"),0,F57*J57)</f>
        <v/>
      </c>
    </row>
    <row r="58">
      <c r="A58" s="5" t="n"/>
      <c r="B58" s="5" t="n"/>
      <c r="C58" s="5" t="n"/>
      <c r="D58" s="5" t="n"/>
      <c r="E58" s="5" t="n"/>
      <c r="F58" s="23" t="n"/>
      <c r="G58" s="5" t="n"/>
      <c r="H58" s="5" t="n"/>
      <c r="I58" s="5" t="n"/>
      <c r="J58" s="24">
        <f>IF(C58="",0,IFERROR(VLOOKUP(C58,BFTC!$B$5:$F$504,5,FALSE),0))</f>
        <v/>
      </c>
      <c r="K58" s="24">
        <f>IF(OR(F58="",J58=0,LEFT(I58,11)="KAPSAM DIŞI",LEFT(I58,11)="DAHİL DEĞİL"),0,F58*J58)</f>
        <v/>
      </c>
    </row>
    <row r="59">
      <c r="A59" s="5" t="n"/>
      <c r="B59" s="5" t="n"/>
      <c r="C59" s="5" t="n"/>
      <c r="D59" s="5" t="n"/>
      <c r="E59" s="5" t="n"/>
      <c r="F59" s="23" t="n"/>
      <c r="G59" s="5" t="n"/>
      <c r="H59" s="5" t="n"/>
      <c r="I59" s="5" t="n"/>
      <c r="J59" s="24">
        <f>IF(C59="",0,IFERROR(VLOOKUP(C59,BFTC!$B$5:$F$504,5,FALSE),0))</f>
        <v/>
      </c>
      <c r="K59" s="24">
        <f>IF(OR(F59="",J59=0,LEFT(I59,11)="KAPSAM DIŞI",LEFT(I59,11)="DAHİL DEĞİL"),0,F59*J59)</f>
        <v/>
      </c>
    </row>
    <row r="60">
      <c r="A60" s="5" t="n"/>
      <c r="B60" s="5" t="n"/>
      <c r="C60" s="5" t="n"/>
      <c r="D60" s="5" t="n"/>
      <c r="E60" s="5" t="n"/>
      <c r="F60" s="23" t="n"/>
      <c r="G60" s="5" t="n"/>
      <c r="H60" s="5" t="n"/>
      <c r="I60" s="5" t="n"/>
      <c r="J60" s="24">
        <f>IF(C60="",0,IFERROR(VLOOKUP(C60,BFTC!$B$5:$F$504,5,FALSE),0))</f>
        <v/>
      </c>
      <c r="K60" s="24">
        <f>IF(OR(F60="",J60=0,LEFT(I60,11)="KAPSAM DIŞI",LEFT(I60,11)="DAHİL DEĞİL"),0,F60*J60)</f>
        <v/>
      </c>
    </row>
    <row r="61">
      <c r="A61" s="5" t="n"/>
      <c r="B61" s="5" t="n"/>
      <c r="C61" s="5" t="n"/>
      <c r="D61" s="5" t="n"/>
      <c r="E61" s="5" t="n"/>
      <c r="F61" s="23" t="n"/>
      <c r="G61" s="5" t="n"/>
      <c r="H61" s="5" t="n"/>
      <c r="I61" s="5" t="n"/>
      <c r="J61" s="24">
        <f>IF(C61="",0,IFERROR(VLOOKUP(C61,BFTC!$B$5:$F$504,5,FALSE),0))</f>
        <v/>
      </c>
      <c r="K61" s="24">
        <f>IF(OR(F61="",J61=0,LEFT(I61,11)="KAPSAM DIŞI",LEFT(I61,11)="DAHİL DEĞİL"),0,F61*J61)</f>
        <v/>
      </c>
    </row>
    <row r="62">
      <c r="A62" s="5" t="n"/>
      <c r="B62" s="5" t="n"/>
      <c r="C62" s="5" t="n"/>
      <c r="D62" s="5" t="n"/>
      <c r="E62" s="5" t="n"/>
      <c r="F62" s="23" t="n"/>
      <c r="G62" s="5" t="n"/>
      <c r="H62" s="5" t="n"/>
      <c r="I62" s="5" t="n"/>
      <c r="J62" s="24">
        <f>IF(C62="",0,IFERROR(VLOOKUP(C62,BFTC!$B$5:$F$504,5,FALSE),0))</f>
        <v/>
      </c>
      <c r="K62" s="24">
        <f>IF(OR(F62="",J62=0,LEFT(I62,11)="KAPSAM DIŞI",LEFT(I62,11)="DAHİL DEĞİL"),0,F62*J62)</f>
        <v/>
      </c>
    </row>
    <row r="63">
      <c r="A63" s="5" t="n"/>
      <c r="B63" s="5" t="n"/>
      <c r="C63" s="5" t="n"/>
      <c r="D63" s="5" t="n"/>
      <c r="E63" s="5" t="n"/>
      <c r="F63" s="23" t="n"/>
      <c r="G63" s="5" t="n"/>
      <c r="H63" s="5" t="n"/>
      <c r="I63" s="5" t="n"/>
      <c r="J63" s="24">
        <f>IF(C63="",0,IFERROR(VLOOKUP(C63,BFTC!$B$5:$F$504,5,FALSE),0))</f>
        <v/>
      </c>
      <c r="K63" s="24">
        <f>IF(OR(F63="",J63=0,LEFT(I63,11)="KAPSAM DIŞI",LEFT(I63,11)="DAHİL DEĞİL"),0,F63*J63)</f>
        <v/>
      </c>
    </row>
    <row r="64">
      <c r="A64" s="5" t="n"/>
      <c r="B64" s="5" t="n"/>
      <c r="C64" s="5" t="n"/>
      <c r="D64" s="5" t="n"/>
      <c r="E64" s="5" t="n"/>
      <c r="F64" s="23" t="n"/>
      <c r="G64" s="5" t="n"/>
      <c r="H64" s="5" t="n"/>
      <c r="I64" s="5" t="n"/>
      <c r="J64" s="24">
        <f>IF(C64="",0,IFERROR(VLOOKUP(C64,BFTC!$B$5:$F$504,5,FALSE),0))</f>
        <v/>
      </c>
      <c r="K64" s="24">
        <f>IF(OR(F64="",J64=0,LEFT(I64,11)="KAPSAM DIŞI",LEFT(I64,11)="DAHİL DEĞİL"),0,F64*J64)</f>
        <v/>
      </c>
    </row>
    <row r="65">
      <c r="A65" s="5" t="n"/>
      <c r="B65" s="5" t="n"/>
      <c r="C65" s="5" t="n"/>
      <c r="D65" s="5" t="n"/>
      <c r="E65" s="5" t="n"/>
      <c r="F65" s="23" t="n"/>
      <c r="G65" s="5" t="n"/>
      <c r="H65" s="5" t="n"/>
      <c r="I65" s="5" t="n"/>
      <c r="J65" s="24">
        <f>IF(C65="",0,IFERROR(VLOOKUP(C65,BFTC!$B$5:$F$504,5,FALSE),0))</f>
        <v/>
      </c>
      <c r="K65" s="24">
        <f>IF(OR(F65="",J65=0,LEFT(I65,11)="KAPSAM DIŞI",LEFT(I65,11)="DAHİL DEĞİL"),0,F65*J65)</f>
        <v/>
      </c>
    </row>
    <row r="66">
      <c r="A66" s="5" t="n"/>
      <c r="B66" s="5" t="n"/>
      <c r="C66" s="5" t="n"/>
      <c r="D66" s="5" t="n"/>
      <c r="E66" s="5" t="n"/>
      <c r="F66" s="23" t="n"/>
      <c r="G66" s="5" t="n"/>
      <c r="H66" s="5" t="n"/>
      <c r="I66" s="5" t="n"/>
      <c r="J66" s="24">
        <f>IF(C66="",0,IFERROR(VLOOKUP(C66,BFTC!$B$5:$F$504,5,FALSE),0))</f>
        <v/>
      </c>
      <c r="K66" s="24">
        <f>IF(OR(F66="",J66=0,LEFT(I66,11)="KAPSAM DIŞI",LEFT(I66,11)="DAHİL DEĞİL"),0,F66*J66)</f>
        <v/>
      </c>
    </row>
    <row r="67">
      <c r="A67" s="5" t="n"/>
      <c r="B67" s="5" t="n"/>
      <c r="C67" s="5" t="n"/>
      <c r="D67" s="5" t="n"/>
      <c r="E67" s="5" t="n"/>
      <c r="F67" s="23" t="n"/>
      <c r="G67" s="5" t="n"/>
      <c r="H67" s="5" t="n"/>
      <c r="I67" s="5" t="n"/>
      <c r="J67" s="24">
        <f>IF(C67="",0,IFERROR(VLOOKUP(C67,BFTC!$B$5:$F$504,5,FALSE),0))</f>
        <v/>
      </c>
      <c r="K67" s="24">
        <f>IF(OR(F67="",J67=0,LEFT(I67,11)="KAPSAM DIŞI",LEFT(I67,11)="DAHİL DEĞİL"),0,F67*J67)</f>
        <v/>
      </c>
    </row>
    <row r="68">
      <c r="A68" s="5" t="n"/>
      <c r="B68" s="5" t="n"/>
      <c r="C68" s="5" t="n"/>
      <c r="D68" s="5" t="n"/>
      <c r="E68" s="5" t="n"/>
      <c r="F68" s="23" t="n"/>
      <c r="G68" s="5" t="n"/>
      <c r="H68" s="5" t="n"/>
      <c r="I68" s="5" t="n"/>
      <c r="J68" s="24">
        <f>IF(C68="",0,IFERROR(VLOOKUP(C68,BFTC!$B$5:$F$504,5,FALSE),0))</f>
        <v/>
      </c>
      <c r="K68" s="24">
        <f>IF(OR(F68="",J68=0,LEFT(I68,11)="KAPSAM DIŞI",LEFT(I68,11)="DAHİL DEĞİL"),0,F68*J68)</f>
        <v/>
      </c>
    </row>
    <row r="69">
      <c r="A69" s="5" t="n"/>
      <c r="B69" s="5" t="n"/>
      <c r="C69" s="5" t="n"/>
      <c r="D69" s="5" t="n"/>
      <c r="E69" s="5" t="n"/>
      <c r="F69" s="23" t="n"/>
      <c r="G69" s="5" t="n"/>
      <c r="H69" s="5" t="n"/>
      <c r="I69" s="5" t="n"/>
      <c r="J69" s="24">
        <f>IF(C69="",0,IFERROR(VLOOKUP(C69,BFTC!$B$5:$F$504,5,FALSE),0))</f>
        <v/>
      </c>
      <c r="K69" s="24">
        <f>IF(OR(F69="",J69=0,LEFT(I69,11)="KAPSAM DIŞI",LEFT(I69,11)="DAHİL DEĞİL"),0,F69*J69)</f>
        <v/>
      </c>
    </row>
    <row r="70">
      <c r="A70" s="5" t="n"/>
      <c r="B70" s="5" t="n"/>
      <c r="C70" s="5" t="n"/>
      <c r="D70" s="5" t="n"/>
      <c r="E70" s="5" t="n"/>
      <c r="F70" s="23" t="n"/>
      <c r="G70" s="5" t="n"/>
      <c r="H70" s="5" t="n"/>
      <c r="I70" s="5" t="n"/>
      <c r="J70" s="24">
        <f>IF(C70="",0,IFERROR(VLOOKUP(C70,BFTC!$B$5:$F$504,5,FALSE),0))</f>
        <v/>
      </c>
      <c r="K70" s="24">
        <f>IF(OR(F70="",J70=0,LEFT(I70,11)="KAPSAM DIŞI",LEFT(I70,11)="DAHİL DEĞİL"),0,F70*J70)</f>
        <v/>
      </c>
    </row>
    <row r="71">
      <c r="A71" s="5" t="n"/>
      <c r="B71" s="5" t="n"/>
      <c r="C71" s="5" t="n"/>
      <c r="D71" s="5" t="n"/>
      <c r="E71" s="5" t="n"/>
      <c r="F71" s="23" t="n"/>
      <c r="G71" s="5" t="n"/>
      <c r="H71" s="5" t="n"/>
      <c r="I71" s="5" t="n"/>
      <c r="J71" s="24">
        <f>IF(C71="",0,IFERROR(VLOOKUP(C71,BFTC!$B$5:$F$504,5,FALSE),0))</f>
        <v/>
      </c>
      <c r="K71" s="24">
        <f>IF(OR(F71="",J71=0,LEFT(I71,11)="KAPSAM DIŞI",LEFT(I71,11)="DAHİL DEĞİL"),0,F71*J71)</f>
        <v/>
      </c>
    </row>
    <row r="72">
      <c r="A72" s="5" t="n"/>
      <c r="B72" s="5" t="n"/>
      <c r="C72" s="5" t="n"/>
      <c r="D72" s="5" t="n"/>
      <c r="E72" s="5" t="n"/>
      <c r="F72" s="23" t="n"/>
      <c r="G72" s="5" t="n"/>
      <c r="H72" s="5" t="n"/>
      <c r="I72" s="5" t="n"/>
      <c r="J72" s="24">
        <f>IF(C72="",0,IFERROR(VLOOKUP(C72,BFTC!$B$5:$F$504,5,FALSE),0))</f>
        <v/>
      </c>
      <c r="K72" s="24">
        <f>IF(OR(F72="",J72=0,LEFT(I72,11)="KAPSAM DIŞI",LEFT(I72,11)="DAHİL DEĞİL"),0,F72*J72)</f>
        <v/>
      </c>
    </row>
    <row r="73">
      <c r="A73" s="5" t="n"/>
      <c r="B73" s="5" t="n"/>
      <c r="C73" s="5" t="n"/>
      <c r="D73" s="5" t="n"/>
      <c r="E73" s="5" t="n"/>
      <c r="F73" s="23" t="n"/>
      <c r="G73" s="5" t="n"/>
      <c r="H73" s="5" t="n"/>
      <c r="I73" s="5" t="n"/>
      <c r="J73" s="24">
        <f>IF(C73="",0,IFERROR(VLOOKUP(C73,BFTC!$B$5:$F$504,5,FALSE),0))</f>
        <v/>
      </c>
      <c r="K73" s="24">
        <f>IF(OR(F73="",J73=0,LEFT(I73,11)="KAPSAM DIŞI",LEFT(I73,11)="DAHİL DEĞİL"),0,F73*J73)</f>
        <v/>
      </c>
    </row>
    <row r="74">
      <c r="A74" s="5" t="n"/>
      <c r="B74" s="5" t="n"/>
      <c r="C74" s="5" t="n"/>
      <c r="D74" s="5" t="n"/>
      <c r="E74" s="5" t="n"/>
      <c r="F74" s="23" t="n"/>
      <c r="G74" s="5" t="n"/>
      <c r="H74" s="5" t="n"/>
      <c r="I74" s="5" t="n"/>
      <c r="J74" s="24">
        <f>IF(C74="",0,IFERROR(VLOOKUP(C74,BFTC!$B$5:$F$504,5,FALSE),0))</f>
        <v/>
      </c>
      <c r="K74" s="24">
        <f>IF(OR(F74="",J74=0,LEFT(I74,11)="KAPSAM DIŞI",LEFT(I74,11)="DAHİL DEĞİL"),0,F74*J74)</f>
        <v/>
      </c>
    </row>
    <row r="75">
      <c r="A75" s="5" t="n"/>
      <c r="B75" s="5" t="n"/>
      <c r="C75" s="5" t="n"/>
      <c r="D75" s="5" t="n"/>
      <c r="E75" s="5" t="n"/>
      <c r="F75" s="23" t="n"/>
      <c r="G75" s="5" t="n"/>
      <c r="H75" s="5" t="n"/>
      <c r="I75" s="5" t="n"/>
      <c r="J75" s="24">
        <f>IF(C75="",0,IFERROR(VLOOKUP(C75,BFTC!$B$5:$F$504,5,FALSE),0))</f>
        <v/>
      </c>
      <c r="K75" s="24">
        <f>IF(OR(F75="",J75=0,LEFT(I75,11)="KAPSAM DIŞI",LEFT(I75,11)="DAHİL DEĞİL"),0,F75*J75)</f>
        <v/>
      </c>
    </row>
    <row r="76">
      <c r="A76" s="5" t="n"/>
      <c r="B76" s="5" t="n"/>
      <c r="C76" s="5" t="n"/>
      <c r="D76" s="5" t="n"/>
      <c r="E76" s="5" t="n"/>
      <c r="F76" s="23" t="n"/>
      <c r="G76" s="5" t="n"/>
      <c r="H76" s="5" t="n"/>
      <c r="I76" s="5" t="n"/>
      <c r="J76" s="24">
        <f>IF(C76="",0,IFERROR(VLOOKUP(C76,BFTC!$B$5:$F$504,5,FALSE),0))</f>
        <v/>
      </c>
      <c r="K76" s="24">
        <f>IF(OR(F76="",J76=0,LEFT(I76,11)="KAPSAM DIŞI",LEFT(I76,11)="DAHİL DEĞİL"),0,F76*J76)</f>
        <v/>
      </c>
    </row>
    <row r="77">
      <c r="A77" s="5" t="n"/>
      <c r="B77" s="5" t="n"/>
      <c r="C77" s="5" t="n"/>
      <c r="D77" s="5" t="n"/>
      <c r="E77" s="5" t="n"/>
      <c r="F77" s="23" t="n"/>
      <c r="G77" s="5" t="n"/>
      <c r="H77" s="5" t="n"/>
      <c r="I77" s="5" t="n"/>
      <c r="J77" s="24">
        <f>IF(C77="",0,IFERROR(VLOOKUP(C77,BFTC!$B$5:$F$504,5,FALSE),0))</f>
        <v/>
      </c>
      <c r="K77" s="24">
        <f>IF(OR(F77="",J77=0,LEFT(I77,11)="KAPSAM DIŞI",LEFT(I77,11)="DAHİL DEĞİL"),0,F77*J77)</f>
        <v/>
      </c>
    </row>
    <row r="78">
      <c r="A78" s="5" t="n"/>
      <c r="B78" s="5" t="n"/>
      <c r="C78" s="5" t="n"/>
      <c r="D78" s="5" t="n"/>
      <c r="E78" s="5" t="n"/>
      <c r="F78" s="23" t="n"/>
      <c r="G78" s="5" t="n"/>
      <c r="H78" s="5" t="n"/>
      <c r="I78" s="5" t="n"/>
      <c r="J78" s="24">
        <f>IF(C78="",0,IFERROR(VLOOKUP(C78,BFTC!$B$5:$F$504,5,FALSE),0))</f>
        <v/>
      </c>
      <c r="K78" s="24">
        <f>IF(OR(F78="",J78=0,LEFT(I78,11)="KAPSAM DIŞI",LEFT(I78,11)="DAHİL DEĞİL"),0,F78*J78)</f>
        <v/>
      </c>
    </row>
    <row r="79">
      <c r="A79" s="5" t="n"/>
      <c r="B79" s="5" t="n"/>
      <c r="C79" s="5" t="n"/>
      <c r="D79" s="5" t="n"/>
      <c r="E79" s="5" t="n"/>
      <c r="F79" s="23" t="n"/>
      <c r="G79" s="5" t="n"/>
      <c r="H79" s="5" t="n"/>
      <c r="I79" s="5" t="n"/>
      <c r="J79" s="24">
        <f>IF(C79="",0,IFERROR(VLOOKUP(C79,BFTC!$B$5:$F$504,5,FALSE),0))</f>
        <v/>
      </c>
      <c r="K79" s="24">
        <f>IF(OR(F79="",J79=0,LEFT(I79,11)="KAPSAM DIŞI",LEFT(I79,11)="DAHİL DEĞİL"),0,F79*J79)</f>
        <v/>
      </c>
    </row>
    <row r="80">
      <c r="A80" s="5" t="n"/>
      <c r="B80" s="5" t="n"/>
      <c r="C80" s="5" t="n"/>
      <c r="D80" s="5" t="n"/>
      <c r="E80" s="5" t="n"/>
      <c r="F80" s="23" t="n"/>
      <c r="G80" s="5" t="n"/>
      <c r="H80" s="5" t="n"/>
      <c r="I80" s="5" t="n"/>
      <c r="J80" s="24">
        <f>IF(C80="",0,IFERROR(VLOOKUP(C80,BFTC!$B$5:$F$504,5,FALSE),0))</f>
        <v/>
      </c>
      <c r="K80" s="24">
        <f>IF(OR(F80="",J80=0,LEFT(I80,11)="KAPSAM DIŞI",LEFT(I80,11)="DAHİL DEĞİL"),0,F80*J80)</f>
        <v/>
      </c>
    </row>
    <row r="81">
      <c r="A81" s="5" t="n"/>
      <c r="B81" s="5" t="n"/>
      <c r="C81" s="5" t="n"/>
      <c r="D81" s="5" t="n"/>
      <c r="E81" s="5" t="n"/>
      <c r="F81" s="23" t="n"/>
      <c r="G81" s="5" t="n"/>
      <c r="H81" s="5" t="n"/>
      <c r="I81" s="5" t="n"/>
      <c r="J81" s="24">
        <f>IF(C81="",0,IFERROR(VLOOKUP(C81,BFTC!$B$5:$F$504,5,FALSE),0))</f>
        <v/>
      </c>
      <c r="K81" s="24">
        <f>IF(OR(F81="",J81=0,LEFT(I81,11)="KAPSAM DIŞI",LEFT(I81,11)="DAHİL DEĞİL"),0,F81*J81)</f>
        <v/>
      </c>
    </row>
    <row r="82">
      <c r="A82" s="5" t="n"/>
      <c r="B82" s="5" t="n"/>
      <c r="C82" s="5" t="n"/>
      <c r="D82" s="5" t="n"/>
      <c r="E82" s="5" t="n"/>
      <c r="F82" s="23" t="n"/>
      <c r="G82" s="5" t="n"/>
      <c r="H82" s="5" t="n"/>
      <c r="I82" s="5" t="n"/>
      <c r="J82" s="24">
        <f>IF(C82="",0,IFERROR(VLOOKUP(C82,BFTC!$B$5:$F$504,5,FALSE),0))</f>
        <v/>
      </c>
      <c r="K82" s="24">
        <f>IF(OR(F82="",J82=0,LEFT(I82,11)="KAPSAM DIŞI",LEFT(I82,11)="DAHİL DEĞİL"),0,F82*J82)</f>
        <v/>
      </c>
    </row>
    <row r="83">
      <c r="A83" s="5" t="n"/>
      <c r="B83" s="5" t="n"/>
      <c r="C83" s="5" t="n"/>
      <c r="D83" s="5" t="n"/>
      <c r="E83" s="5" t="n"/>
      <c r="F83" s="23" t="n"/>
      <c r="G83" s="5" t="n"/>
      <c r="H83" s="5" t="n"/>
      <c r="I83" s="5" t="n"/>
      <c r="J83" s="24">
        <f>IF(C83="",0,IFERROR(VLOOKUP(C83,BFTC!$B$5:$F$504,5,FALSE),0))</f>
        <v/>
      </c>
      <c r="K83" s="24">
        <f>IF(OR(F83="",J83=0,LEFT(I83,11)="KAPSAM DIŞI",LEFT(I83,11)="DAHİL DEĞİL"),0,F83*J83)</f>
        <v/>
      </c>
    </row>
    <row r="84">
      <c r="A84" s="5" t="n"/>
      <c r="B84" s="5" t="n"/>
      <c r="C84" s="5" t="n"/>
      <c r="D84" s="5" t="n"/>
      <c r="E84" s="5" t="n"/>
      <c r="F84" s="23" t="n"/>
      <c r="G84" s="5" t="n"/>
      <c r="H84" s="5" t="n"/>
      <c r="I84" s="5" t="n"/>
      <c r="J84" s="24">
        <f>IF(C84="",0,IFERROR(VLOOKUP(C84,BFTC!$B$5:$F$504,5,FALSE),0))</f>
        <v/>
      </c>
      <c r="K84" s="24">
        <f>IF(OR(F84="",J84=0,LEFT(I84,11)="KAPSAM DIŞI",LEFT(I84,11)="DAHİL DEĞİL"),0,F84*J84)</f>
        <v/>
      </c>
    </row>
    <row r="85">
      <c r="A85" s="5" t="n"/>
      <c r="B85" s="5" t="n"/>
      <c r="C85" s="5" t="n"/>
      <c r="D85" s="5" t="n"/>
      <c r="E85" s="5" t="n"/>
      <c r="F85" s="23" t="n"/>
      <c r="G85" s="5" t="n"/>
      <c r="H85" s="5" t="n"/>
      <c r="I85" s="5" t="n"/>
      <c r="J85" s="24">
        <f>IF(C85="",0,IFERROR(VLOOKUP(C85,BFTC!$B$5:$F$504,5,FALSE),0))</f>
        <v/>
      </c>
      <c r="K85" s="24">
        <f>IF(OR(F85="",J85=0,LEFT(I85,11)="KAPSAM DIŞI",LEFT(I85,11)="DAHİL DEĞİL"),0,F85*J85)</f>
        <v/>
      </c>
    </row>
    <row r="86">
      <c r="A86" s="5" t="n"/>
      <c r="B86" s="5" t="n"/>
      <c r="C86" s="5" t="n"/>
      <c r="D86" s="5" t="n"/>
      <c r="E86" s="5" t="n"/>
      <c r="F86" s="23" t="n"/>
      <c r="G86" s="5" t="n"/>
      <c r="H86" s="5" t="n"/>
      <c r="I86" s="5" t="n"/>
      <c r="J86" s="24">
        <f>IF(C86="",0,IFERROR(VLOOKUP(C86,BFTC!$B$5:$F$504,5,FALSE),0))</f>
        <v/>
      </c>
      <c r="K86" s="24">
        <f>IF(OR(F86="",J86=0,LEFT(I86,11)="KAPSAM DIŞI",LEFT(I86,11)="DAHİL DEĞİL"),0,F86*J86)</f>
        <v/>
      </c>
    </row>
    <row r="87">
      <c r="A87" s="5" t="n"/>
      <c r="B87" s="5" t="n"/>
      <c r="C87" s="5" t="n"/>
      <c r="D87" s="5" t="n"/>
      <c r="E87" s="5" t="n"/>
      <c r="F87" s="23" t="n"/>
      <c r="G87" s="5" t="n"/>
      <c r="H87" s="5" t="n"/>
      <c r="I87" s="5" t="n"/>
      <c r="J87" s="24">
        <f>IF(C87="",0,IFERROR(VLOOKUP(C87,BFTC!$B$5:$F$504,5,FALSE),0))</f>
        <v/>
      </c>
      <c r="K87" s="24">
        <f>IF(OR(F87="",J87=0,LEFT(I87,11)="KAPSAM DIŞI",LEFT(I87,11)="DAHİL DEĞİL"),0,F87*J87)</f>
        <v/>
      </c>
    </row>
    <row r="88">
      <c r="A88" s="5" t="n"/>
      <c r="B88" s="5" t="n"/>
      <c r="C88" s="5" t="n"/>
      <c r="D88" s="5" t="n"/>
      <c r="E88" s="5" t="n"/>
      <c r="F88" s="23" t="n"/>
      <c r="G88" s="5" t="n"/>
      <c r="H88" s="5" t="n"/>
      <c r="I88" s="5" t="n"/>
      <c r="J88" s="24">
        <f>IF(C88="",0,IFERROR(VLOOKUP(C88,BFTC!$B$5:$F$504,5,FALSE),0))</f>
        <v/>
      </c>
      <c r="K88" s="24">
        <f>IF(OR(F88="",J88=0,LEFT(I88,11)="KAPSAM DIŞI",LEFT(I88,11)="DAHİL DEĞİL"),0,F88*J88)</f>
        <v/>
      </c>
    </row>
    <row r="89">
      <c r="A89" s="5" t="n"/>
      <c r="B89" s="5" t="n"/>
      <c r="C89" s="5" t="n"/>
      <c r="D89" s="5" t="n"/>
      <c r="E89" s="5" t="n"/>
      <c r="F89" s="23" t="n"/>
      <c r="G89" s="5" t="n"/>
      <c r="H89" s="5" t="n"/>
      <c r="I89" s="5" t="n"/>
      <c r="J89" s="24">
        <f>IF(C89="",0,IFERROR(VLOOKUP(C89,BFTC!$B$5:$F$504,5,FALSE),0))</f>
        <v/>
      </c>
      <c r="K89" s="24">
        <f>IF(OR(F89="",J89=0,LEFT(I89,11)="KAPSAM DIŞI",LEFT(I89,11)="DAHİL DEĞİL"),0,F89*J89)</f>
        <v/>
      </c>
    </row>
    <row r="90">
      <c r="A90" s="5" t="n"/>
      <c r="B90" s="5" t="n"/>
      <c r="C90" s="5" t="n"/>
      <c r="D90" s="5" t="n"/>
      <c r="E90" s="5" t="n"/>
      <c r="F90" s="23" t="n"/>
      <c r="G90" s="5" t="n"/>
      <c r="H90" s="5" t="n"/>
      <c r="I90" s="5" t="n"/>
      <c r="J90" s="24">
        <f>IF(C90="",0,IFERROR(VLOOKUP(C90,BFTC!$B$5:$F$504,5,FALSE),0))</f>
        <v/>
      </c>
      <c r="K90" s="24">
        <f>IF(OR(F90="",J90=0,LEFT(I90,11)="KAPSAM DIŞI",LEFT(I90,11)="DAHİL DEĞİL"),0,F90*J90)</f>
        <v/>
      </c>
    </row>
    <row r="91">
      <c r="A91" s="5" t="n"/>
      <c r="B91" s="5" t="n"/>
      <c r="C91" s="5" t="n"/>
      <c r="D91" s="5" t="n"/>
      <c r="E91" s="5" t="n"/>
      <c r="F91" s="23" t="n"/>
      <c r="G91" s="5" t="n"/>
      <c r="H91" s="5" t="n"/>
      <c r="I91" s="5" t="n"/>
      <c r="J91" s="24">
        <f>IF(C91="",0,IFERROR(VLOOKUP(C91,BFTC!$B$5:$F$504,5,FALSE),0))</f>
        <v/>
      </c>
      <c r="K91" s="24">
        <f>IF(OR(F91="",J91=0,LEFT(I91,11)="KAPSAM DIŞI",LEFT(I91,11)="DAHİL DEĞİL"),0,F91*J91)</f>
        <v/>
      </c>
    </row>
    <row r="92">
      <c r="A92" s="5" t="n"/>
      <c r="B92" s="5" t="n"/>
      <c r="C92" s="5" t="n"/>
      <c r="D92" s="5" t="n"/>
      <c r="E92" s="5" t="n"/>
      <c r="F92" s="23" t="n"/>
      <c r="G92" s="5" t="n"/>
      <c r="H92" s="5" t="n"/>
      <c r="I92" s="5" t="n"/>
      <c r="J92" s="24">
        <f>IF(C92="",0,IFERROR(VLOOKUP(C92,BFTC!$B$5:$F$504,5,FALSE),0))</f>
        <v/>
      </c>
      <c r="K92" s="24">
        <f>IF(OR(F92="",J92=0,LEFT(I92,11)="KAPSAM DIŞI",LEFT(I92,11)="DAHİL DEĞİL"),0,F92*J92)</f>
        <v/>
      </c>
    </row>
    <row r="93">
      <c r="A93" s="5" t="n"/>
      <c r="B93" s="5" t="n"/>
      <c r="C93" s="5" t="n"/>
      <c r="D93" s="5" t="n"/>
      <c r="E93" s="5" t="n"/>
      <c r="F93" s="23" t="n"/>
      <c r="G93" s="5" t="n"/>
      <c r="H93" s="5" t="n"/>
      <c r="I93" s="5" t="n"/>
      <c r="J93" s="24">
        <f>IF(C93="",0,IFERROR(VLOOKUP(C93,BFTC!$B$5:$F$504,5,FALSE),0))</f>
        <v/>
      </c>
      <c r="K93" s="24">
        <f>IF(OR(F93="",J93=0,LEFT(I93,11)="KAPSAM DIŞI",LEFT(I93,11)="DAHİL DEĞİL"),0,F93*J93)</f>
        <v/>
      </c>
    </row>
    <row r="94">
      <c r="A94" s="5" t="n"/>
      <c r="B94" s="5" t="n"/>
      <c r="C94" s="5" t="n"/>
      <c r="D94" s="5" t="n"/>
      <c r="E94" s="5" t="n"/>
      <c r="F94" s="23" t="n"/>
      <c r="G94" s="5" t="n"/>
      <c r="H94" s="5" t="n"/>
      <c r="I94" s="5" t="n"/>
      <c r="J94" s="24">
        <f>IF(C94="",0,IFERROR(VLOOKUP(C94,BFTC!$B$5:$F$504,5,FALSE),0))</f>
        <v/>
      </c>
      <c r="K94" s="24">
        <f>IF(OR(F94="",J94=0,LEFT(I94,11)="KAPSAM DIŞI",LEFT(I94,11)="DAHİL DEĞİL"),0,F94*J94)</f>
        <v/>
      </c>
    </row>
    <row r="95">
      <c r="A95" s="5" t="n"/>
      <c r="B95" s="5" t="n"/>
      <c r="C95" s="5" t="n"/>
      <c r="D95" s="5" t="n"/>
      <c r="E95" s="5" t="n"/>
      <c r="F95" s="23" t="n"/>
      <c r="G95" s="5" t="n"/>
      <c r="H95" s="5" t="n"/>
      <c r="I95" s="5" t="n"/>
      <c r="J95" s="24">
        <f>IF(C95="",0,IFERROR(VLOOKUP(C95,BFTC!$B$5:$F$504,5,FALSE),0))</f>
        <v/>
      </c>
      <c r="K95" s="24">
        <f>IF(OR(F95="",J95=0,LEFT(I95,11)="KAPSAM DIŞI",LEFT(I95,11)="DAHİL DEĞİL"),0,F95*J95)</f>
        <v/>
      </c>
    </row>
    <row r="96">
      <c r="A96" s="5" t="n"/>
      <c r="B96" s="5" t="n"/>
      <c r="C96" s="5" t="n"/>
      <c r="D96" s="5" t="n"/>
      <c r="E96" s="5" t="n"/>
      <c r="F96" s="23" t="n"/>
      <c r="G96" s="5" t="n"/>
      <c r="H96" s="5" t="n"/>
      <c r="I96" s="5" t="n"/>
      <c r="J96" s="24">
        <f>IF(C96="",0,IFERROR(VLOOKUP(C96,BFTC!$B$5:$F$504,5,FALSE),0))</f>
        <v/>
      </c>
      <c r="K96" s="24">
        <f>IF(OR(F96="",J96=0,LEFT(I96,11)="KAPSAM DIŞI",LEFT(I96,11)="DAHİL DEĞİL"),0,F96*J96)</f>
        <v/>
      </c>
    </row>
    <row r="97">
      <c r="A97" s="5" t="n"/>
      <c r="B97" s="5" t="n"/>
      <c r="C97" s="5" t="n"/>
      <c r="D97" s="5" t="n"/>
      <c r="E97" s="5" t="n"/>
      <c r="F97" s="23" t="n"/>
      <c r="G97" s="5" t="n"/>
      <c r="H97" s="5" t="n"/>
      <c r="I97" s="5" t="n"/>
      <c r="J97" s="24">
        <f>IF(C97="",0,IFERROR(VLOOKUP(C97,BFTC!$B$5:$F$504,5,FALSE),0))</f>
        <v/>
      </c>
      <c r="K97" s="24">
        <f>IF(OR(F97="",J97=0,LEFT(I97,11)="KAPSAM DIŞI",LEFT(I97,11)="DAHİL DEĞİL"),0,F97*J97)</f>
        <v/>
      </c>
    </row>
    <row r="98">
      <c r="A98" s="5" t="n"/>
      <c r="B98" s="5" t="n"/>
      <c r="C98" s="5" t="n"/>
      <c r="D98" s="5" t="n"/>
      <c r="E98" s="5" t="n"/>
      <c r="F98" s="23" t="n"/>
      <c r="G98" s="5" t="n"/>
      <c r="H98" s="5" t="n"/>
      <c r="I98" s="5" t="n"/>
      <c r="J98" s="24">
        <f>IF(C98="",0,IFERROR(VLOOKUP(C98,BFTC!$B$5:$F$504,5,FALSE),0))</f>
        <v/>
      </c>
      <c r="K98" s="24">
        <f>IF(OR(F98="",J98=0,LEFT(I98,11)="KAPSAM DIŞI",LEFT(I98,11)="DAHİL DEĞİL"),0,F98*J98)</f>
        <v/>
      </c>
    </row>
    <row r="99">
      <c r="A99" s="5" t="n"/>
      <c r="B99" s="5" t="n"/>
      <c r="C99" s="5" t="n"/>
      <c r="D99" s="5" t="n"/>
      <c r="E99" s="5" t="n"/>
      <c r="F99" s="23" t="n"/>
      <c r="G99" s="5" t="n"/>
      <c r="H99" s="5" t="n"/>
      <c r="I99" s="5" t="n"/>
      <c r="J99" s="24">
        <f>IF(C99="",0,IFERROR(VLOOKUP(C99,BFTC!$B$5:$F$504,5,FALSE),0))</f>
        <v/>
      </c>
      <c r="K99" s="24">
        <f>IF(OR(F99="",J99=0,LEFT(I99,11)="KAPSAM DIŞI",LEFT(I99,11)="DAHİL DEĞİL"),0,F99*J99)</f>
        <v/>
      </c>
    </row>
    <row r="100">
      <c r="A100" s="5" t="n"/>
      <c r="B100" s="5" t="n"/>
      <c r="C100" s="5" t="n"/>
      <c r="D100" s="5" t="n"/>
      <c r="E100" s="5" t="n"/>
      <c r="F100" s="23" t="n"/>
      <c r="G100" s="5" t="n"/>
      <c r="H100" s="5" t="n"/>
      <c r="I100" s="5" t="n"/>
      <c r="J100" s="24">
        <f>IF(C100="",0,IFERROR(VLOOKUP(C100,BFTC!$B$5:$F$504,5,FALSE),0))</f>
        <v/>
      </c>
      <c r="K100" s="24">
        <f>IF(OR(F100="",J100=0,LEFT(I100,11)="KAPSAM DIŞI",LEFT(I100,11)="DAHİL DEĞİL"),0,F100*J100)</f>
        <v/>
      </c>
    </row>
    <row r="101">
      <c r="A101" s="5" t="n"/>
      <c r="B101" s="5" t="n"/>
      <c r="C101" s="5" t="n"/>
      <c r="D101" s="5" t="n"/>
      <c r="E101" s="5" t="n"/>
      <c r="F101" s="23" t="n"/>
      <c r="G101" s="5" t="n"/>
      <c r="H101" s="5" t="n"/>
      <c r="I101" s="5" t="n"/>
      <c r="J101" s="24">
        <f>IF(C101="",0,IFERROR(VLOOKUP(C101,BFTC!$B$5:$F$504,5,FALSE),0))</f>
        <v/>
      </c>
      <c r="K101" s="24">
        <f>IF(OR(F101="",J101=0,LEFT(I101,11)="KAPSAM DIŞI",LEFT(I101,11)="DAHİL DEĞİL"),0,F101*J101)</f>
        <v/>
      </c>
    </row>
    <row r="102">
      <c r="A102" s="5" t="n"/>
      <c r="B102" s="5" t="n"/>
      <c r="C102" s="5" t="n"/>
      <c r="D102" s="5" t="n"/>
      <c r="E102" s="5" t="n"/>
      <c r="F102" s="23" t="n"/>
      <c r="G102" s="5" t="n"/>
      <c r="H102" s="5" t="n"/>
      <c r="I102" s="5" t="n"/>
      <c r="J102" s="24">
        <f>IF(C102="",0,IFERROR(VLOOKUP(C102,BFTC!$B$5:$F$504,5,FALSE),0))</f>
        <v/>
      </c>
      <c r="K102" s="24">
        <f>IF(OR(F102="",J102=0,LEFT(I102,11)="KAPSAM DIŞI",LEFT(I102,11)="DAHİL DEĞİL"),0,F102*J102)</f>
        <v/>
      </c>
    </row>
    <row r="103">
      <c r="A103" s="5" t="n"/>
      <c r="B103" s="5" t="n"/>
      <c r="C103" s="5" t="n"/>
      <c r="D103" s="5" t="n"/>
      <c r="E103" s="5" t="n"/>
      <c r="F103" s="23" t="n"/>
      <c r="G103" s="5" t="n"/>
      <c r="H103" s="5" t="n"/>
      <c r="I103" s="5" t="n"/>
      <c r="J103" s="24">
        <f>IF(C103="",0,IFERROR(VLOOKUP(C103,BFTC!$B$5:$F$504,5,FALSE),0))</f>
        <v/>
      </c>
      <c r="K103" s="24">
        <f>IF(OR(F103="",J103=0,LEFT(I103,11)="KAPSAM DIŞI",LEFT(I103,11)="DAHİL DEĞİL"),0,F103*J103)</f>
        <v/>
      </c>
    </row>
    <row r="104">
      <c r="A104" s="5" t="n"/>
      <c r="B104" s="5" t="n"/>
      <c r="C104" s="5" t="n"/>
      <c r="D104" s="5" t="n"/>
      <c r="E104" s="5" t="n"/>
      <c r="F104" s="23" t="n"/>
      <c r="G104" s="5" t="n"/>
      <c r="H104" s="5" t="n"/>
      <c r="I104" s="5" t="n"/>
      <c r="J104" s="24">
        <f>IF(C104="",0,IFERROR(VLOOKUP(C104,BFTC!$B$5:$F$504,5,FALSE),0))</f>
        <v/>
      </c>
      <c r="K104" s="24">
        <f>IF(OR(F104="",J104=0,LEFT(I104,11)="KAPSAM DIŞI",LEFT(I104,11)="DAHİL DEĞİL"),0,F104*J104)</f>
        <v/>
      </c>
    </row>
    <row r="105">
      <c r="A105" s="5" t="n"/>
      <c r="B105" s="5" t="n"/>
      <c r="C105" s="5" t="n"/>
      <c r="D105" s="5" t="n"/>
      <c r="E105" s="5" t="n"/>
      <c r="F105" s="23" t="n"/>
      <c r="G105" s="5" t="n"/>
      <c r="H105" s="5" t="n"/>
      <c r="I105" s="5" t="n"/>
      <c r="J105" s="24">
        <f>IF(C105="",0,IFERROR(VLOOKUP(C105,BFTC!$B$5:$F$504,5,FALSE),0))</f>
        <v/>
      </c>
      <c r="K105" s="24">
        <f>IF(OR(F105="",J105=0,LEFT(I105,11)="KAPSAM DIŞI",LEFT(I105,11)="DAHİL DEĞİL"),0,F105*J105)</f>
        <v/>
      </c>
    </row>
    <row r="106">
      <c r="A106" s="5" t="n"/>
      <c r="B106" s="5" t="n"/>
      <c r="C106" s="5" t="n"/>
      <c r="D106" s="5" t="n"/>
      <c r="E106" s="5" t="n"/>
      <c r="F106" s="23" t="n"/>
      <c r="G106" s="5" t="n"/>
      <c r="H106" s="5" t="n"/>
      <c r="I106" s="5" t="n"/>
      <c r="J106" s="24">
        <f>IF(C106="",0,IFERROR(VLOOKUP(C106,BFTC!$B$5:$F$504,5,FALSE),0))</f>
        <v/>
      </c>
      <c r="K106" s="24">
        <f>IF(OR(F106="",J106=0,LEFT(I106,11)="KAPSAM DIŞI",LEFT(I106,11)="DAHİL DEĞİL"),0,F106*J106)</f>
        <v/>
      </c>
    </row>
    <row r="107">
      <c r="A107" s="5" t="n"/>
      <c r="B107" s="5" t="n"/>
      <c r="C107" s="5" t="n"/>
      <c r="D107" s="5" t="n"/>
      <c r="E107" s="5" t="n"/>
      <c r="F107" s="23" t="n"/>
      <c r="G107" s="5" t="n"/>
      <c r="H107" s="5" t="n"/>
      <c r="I107" s="5" t="n"/>
      <c r="J107" s="24">
        <f>IF(C107="",0,IFERROR(VLOOKUP(C107,BFTC!$B$5:$F$504,5,FALSE),0))</f>
        <v/>
      </c>
      <c r="K107" s="24">
        <f>IF(OR(F107="",J107=0,LEFT(I107,11)="KAPSAM DIŞI",LEFT(I107,11)="DAHİL DEĞİL"),0,F107*J107)</f>
        <v/>
      </c>
    </row>
    <row r="108">
      <c r="A108" s="5" t="n"/>
      <c r="B108" s="5" t="n"/>
      <c r="C108" s="5" t="n"/>
      <c r="D108" s="5" t="n"/>
      <c r="E108" s="5" t="n"/>
      <c r="F108" s="23" t="n"/>
      <c r="G108" s="5" t="n"/>
      <c r="H108" s="5" t="n"/>
      <c r="I108" s="5" t="n"/>
      <c r="J108" s="24">
        <f>IF(C108="",0,IFERROR(VLOOKUP(C108,BFTC!$B$5:$F$504,5,FALSE),0))</f>
        <v/>
      </c>
      <c r="K108" s="24">
        <f>IF(OR(F108="",J108=0,LEFT(I108,11)="KAPSAM DIŞI",LEFT(I108,11)="DAHİL DEĞİL"),0,F108*J108)</f>
        <v/>
      </c>
    </row>
    <row r="109">
      <c r="A109" s="5" t="n"/>
      <c r="B109" s="5" t="n"/>
      <c r="C109" s="5" t="n"/>
      <c r="D109" s="5" t="n"/>
      <c r="E109" s="5" t="n"/>
      <c r="F109" s="23" t="n"/>
      <c r="G109" s="5" t="n"/>
      <c r="H109" s="5" t="n"/>
      <c r="I109" s="5" t="n"/>
      <c r="J109" s="24">
        <f>IF(C109="",0,IFERROR(VLOOKUP(C109,BFTC!$B$5:$F$504,5,FALSE),0))</f>
        <v/>
      </c>
      <c r="K109" s="24">
        <f>IF(OR(F109="",J109=0,LEFT(I109,11)="KAPSAM DIŞI",LEFT(I109,11)="DAHİL DEĞİL"),0,F109*J109)</f>
        <v/>
      </c>
    </row>
    <row r="110">
      <c r="A110" s="5" t="n"/>
      <c r="B110" s="5" t="n"/>
      <c r="C110" s="5" t="n"/>
      <c r="D110" s="5" t="n"/>
      <c r="E110" s="5" t="n"/>
      <c r="F110" s="23" t="n"/>
      <c r="G110" s="5" t="n"/>
      <c r="H110" s="5" t="n"/>
      <c r="I110" s="5" t="n"/>
      <c r="J110" s="24">
        <f>IF(C110="",0,IFERROR(VLOOKUP(C110,BFTC!$B$5:$F$504,5,FALSE),0))</f>
        <v/>
      </c>
      <c r="K110" s="24">
        <f>IF(OR(F110="",J110=0,LEFT(I110,11)="KAPSAM DIŞI",LEFT(I110,11)="DAHİL DEĞİL"),0,F110*J110)</f>
        <v/>
      </c>
    </row>
    <row r="111">
      <c r="A111" s="5" t="n"/>
      <c r="B111" s="5" t="n"/>
      <c r="C111" s="5" t="n"/>
      <c r="D111" s="5" t="n"/>
      <c r="E111" s="5" t="n"/>
      <c r="F111" s="23" t="n"/>
      <c r="G111" s="5" t="n"/>
      <c r="H111" s="5" t="n"/>
      <c r="I111" s="5" t="n"/>
      <c r="J111" s="24">
        <f>IF(C111="",0,IFERROR(VLOOKUP(C111,BFTC!$B$5:$F$504,5,FALSE),0))</f>
        <v/>
      </c>
      <c r="K111" s="24">
        <f>IF(OR(F111="",J111=0,LEFT(I111,11)="KAPSAM DIŞI",LEFT(I111,11)="DAHİL DEĞİL"),0,F111*J111)</f>
        <v/>
      </c>
    </row>
    <row r="112">
      <c r="A112" s="5" t="n"/>
      <c r="B112" s="5" t="n"/>
      <c r="C112" s="5" t="n"/>
      <c r="D112" s="5" t="n"/>
      <c r="E112" s="5" t="n"/>
      <c r="F112" s="23" t="n"/>
      <c r="G112" s="5" t="n"/>
      <c r="H112" s="5" t="n"/>
      <c r="I112" s="5" t="n"/>
      <c r="J112" s="24">
        <f>IF(C112="",0,IFERROR(VLOOKUP(C112,BFTC!$B$5:$F$504,5,FALSE),0))</f>
        <v/>
      </c>
      <c r="K112" s="24">
        <f>IF(OR(F112="",J112=0,LEFT(I112,11)="KAPSAM DIŞI",LEFT(I112,11)="DAHİL DEĞİL"),0,F112*J112)</f>
        <v/>
      </c>
    </row>
    <row r="113">
      <c r="A113" s="5" t="n"/>
      <c r="B113" s="5" t="n"/>
      <c r="C113" s="5" t="n"/>
      <c r="D113" s="5" t="n"/>
      <c r="E113" s="5" t="n"/>
      <c r="F113" s="23" t="n"/>
      <c r="G113" s="5" t="n"/>
      <c r="H113" s="5" t="n"/>
      <c r="I113" s="5" t="n"/>
      <c r="J113" s="24">
        <f>IF(C113="",0,IFERROR(VLOOKUP(C113,BFTC!$B$5:$F$504,5,FALSE),0))</f>
        <v/>
      </c>
      <c r="K113" s="24">
        <f>IF(OR(F113="",J113=0,LEFT(I113,11)="KAPSAM DIŞI",LEFT(I113,11)="DAHİL DEĞİL"),0,F113*J113)</f>
        <v/>
      </c>
    </row>
    <row r="114">
      <c r="A114" s="5" t="n"/>
      <c r="B114" s="5" t="n"/>
      <c r="C114" s="5" t="n"/>
      <c r="D114" s="5" t="n"/>
      <c r="E114" s="5" t="n"/>
      <c r="F114" s="23" t="n"/>
      <c r="G114" s="5" t="n"/>
      <c r="H114" s="5" t="n"/>
      <c r="I114" s="5" t="n"/>
      <c r="J114" s="24">
        <f>IF(C114="",0,IFERROR(VLOOKUP(C114,BFTC!$B$5:$F$504,5,FALSE),0))</f>
        <v/>
      </c>
      <c r="K114" s="24">
        <f>IF(OR(F114="",J114=0,LEFT(I114,11)="KAPSAM DIŞI",LEFT(I114,11)="DAHİL DEĞİL"),0,F114*J114)</f>
        <v/>
      </c>
    </row>
    <row r="115">
      <c r="A115" s="5" t="n"/>
      <c r="B115" s="5" t="n"/>
      <c r="C115" s="5" t="n"/>
      <c r="D115" s="5" t="n"/>
      <c r="E115" s="5" t="n"/>
      <c r="F115" s="23" t="n"/>
      <c r="G115" s="5" t="n"/>
      <c r="H115" s="5" t="n"/>
      <c r="I115" s="5" t="n"/>
      <c r="J115" s="24">
        <f>IF(C115="",0,IFERROR(VLOOKUP(C115,BFTC!$B$5:$F$504,5,FALSE),0))</f>
        <v/>
      </c>
      <c r="K115" s="24">
        <f>IF(OR(F115="",J115=0,LEFT(I115,11)="KAPSAM DIŞI",LEFT(I115,11)="DAHİL DEĞİL"),0,F115*J115)</f>
        <v/>
      </c>
    </row>
    <row r="116">
      <c r="A116" s="5" t="n"/>
      <c r="B116" s="5" t="n"/>
      <c r="C116" s="5" t="n"/>
      <c r="D116" s="5" t="n"/>
      <c r="E116" s="5" t="n"/>
      <c r="F116" s="23" t="n"/>
      <c r="G116" s="5" t="n"/>
      <c r="H116" s="5" t="n"/>
      <c r="I116" s="5" t="n"/>
      <c r="J116" s="24">
        <f>IF(C116="",0,IFERROR(VLOOKUP(C116,BFTC!$B$5:$F$504,5,FALSE),0))</f>
        <v/>
      </c>
      <c r="K116" s="24">
        <f>IF(OR(F116="",J116=0,LEFT(I116,11)="KAPSAM DIŞI",LEFT(I116,11)="DAHİL DEĞİL"),0,F116*J116)</f>
        <v/>
      </c>
    </row>
    <row r="117">
      <c r="A117" s="5" t="n"/>
      <c r="B117" s="5" t="n"/>
      <c r="C117" s="5" t="n"/>
      <c r="D117" s="5" t="n"/>
      <c r="E117" s="5" t="n"/>
      <c r="F117" s="23" t="n"/>
      <c r="G117" s="5" t="n"/>
      <c r="H117" s="5" t="n"/>
      <c r="I117" s="5" t="n"/>
      <c r="J117" s="24">
        <f>IF(C117="",0,IFERROR(VLOOKUP(C117,BFTC!$B$5:$F$504,5,FALSE),0))</f>
        <v/>
      </c>
      <c r="K117" s="24">
        <f>IF(OR(F117="",J117=0,LEFT(I117,11)="KAPSAM DIŞI",LEFT(I117,11)="DAHİL DEĞİL"),0,F117*J117)</f>
        <v/>
      </c>
    </row>
    <row r="118">
      <c r="A118" s="5" t="n"/>
      <c r="B118" s="5" t="n"/>
      <c r="C118" s="5" t="n"/>
      <c r="D118" s="5" t="n"/>
      <c r="E118" s="5" t="n"/>
      <c r="F118" s="23" t="n"/>
      <c r="G118" s="5" t="n"/>
      <c r="H118" s="5" t="n"/>
      <c r="I118" s="5" t="n"/>
      <c r="J118" s="24">
        <f>IF(C118="",0,IFERROR(VLOOKUP(C118,BFTC!$B$5:$F$504,5,FALSE),0))</f>
        <v/>
      </c>
      <c r="K118" s="24">
        <f>IF(OR(F118="",J118=0,LEFT(I118,11)="KAPSAM DIŞI",LEFT(I118,11)="DAHİL DEĞİL"),0,F118*J118)</f>
        <v/>
      </c>
    </row>
    <row r="119">
      <c r="A119" s="5" t="n"/>
      <c r="B119" s="5" t="n"/>
      <c r="C119" s="5" t="n"/>
      <c r="D119" s="5" t="n"/>
      <c r="E119" s="5" t="n"/>
      <c r="F119" s="23" t="n"/>
      <c r="G119" s="5" t="n"/>
      <c r="H119" s="5" t="n"/>
      <c r="I119" s="5" t="n"/>
      <c r="J119" s="24">
        <f>IF(C119="",0,IFERROR(VLOOKUP(C119,BFTC!$B$5:$F$504,5,FALSE),0))</f>
        <v/>
      </c>
      <c r="K119" s="24">
        <f>IF(OR(F119="",J119=0,LEFT(I119,11)="KAPSAM DIŞI",LEFT(I119,11)="DAHİL DEĞİL"),0,F119*J119)</f>
        <v/>
      </c>
    </row>
    <row r="120">
      <c r="A120" s="5" t="n"/>
      <c r="B120" s="5" t="n"/>
      <c r="C120" s="5" t="n"/>
      <c r="D120" s="5" t="n"/>
      <c r="E120" s="5" t="n"/>
      <c r="F120" s="23" t="n"/>
      <c r="G120" s="5" t="n"/>
      <c r="H120" s="5" t="n"/>
      <c r="I120" s="5" t="n"/>
      <c r="J120" s="24">
        <f>IF(C120="",0,IFERROR(VLOOKUP(C120,BFTC!$B$5:$F$504,5,FALSE),0))</f>
        <v/>
      </c>
      <c r="K120" s="24">
        <f>IF(OR(F120="",J120=0,LEFT(I120,11)="KAPSAM DIŞI",LEFT(I120,11)="DAHİL DEĞİL"),0,F120*J120)</f>
        <v/>
      </c>
    </row>
    <row r="121">
      <c r="A121" s="5" t="n"/>
      <c r="B121" s="5" t="n"/>
      <c r="C121" s="5" t="n"/>
      <c r="D121" s="5" t="n"/>
      <c r="E121" s="5" t="n"/>
      <c r="F121" s="23" t="n"/>
      <c r="G121" s="5" t="n"/>
      <c r="H121" s="5" t="n"/>
      <c r="I121" s="5" t="n"/>
      <c r="J121" s="24">
        <f>IF(C121="",0,IFERROR(VLOOKUP(C121,BFTC!$B$5:$F$504,5,FALSE),0))</f>
        <v/>
      </c>
      <c r="K121" s="24">
        <f>IF(OR(F121="",J121=0,LEFT(I121,11)="KAPSAM DIŞI",LEFT(I121,11)="DAHİL DEĞİL"),0,F121*J121)</f>
        <v/>
      </c>
    </row>
    <row r="122">
      <c r="A122" s="5" t="n"/>
      <c r="B122" s="5" t="n"/>
      <c r="C122" s="5" t="n"/>
      <c r="D122" s="5" t="n"/>
      <c r="E122" s="5" t="n"/>
      <c r="F122" s="23" t="n"/>
      <c r="G122" s="5" t="n"/>
      <c r="H122" s="5" t="n"/>
      <c r="I122" s="5" t="n"/>
      <c r="J122" s="24">
        <f>IF(C122="",0,IFERROR(VLOOKUP(C122,BFTC!$B$5:$F$504,5,FALSE),0))</f>
        <v/>
      </c>
      <c r="K122" s="24">
        <f>IF(OR(F122="",J122=0,LEFT(I122,11)="KAPSAM DIŞI",LEFT(I122,11)="DAHİL DEĞİL"),0,F122*J122)</f>
        <v/>
      </c>
    </row>
    <row r="123">
      <c r="A123" s="5" t="n"/>
      <c r="B123" s="5" t="n"/>
      <c r="C123" s="5" t="n"/>
      <c r="D123" s="5" t="n"/>
      <c r="E123" s="5" t="n"/>
      <c r="F123" s="23" t="n"/>
      <c r="G123" s="5" t="n"/>
      <c r="H123" s="5" t="n"/>
      <c r="I123" s="5" t="n"/>
      <c r="J123" s="24">
        <f>IF(C123="",0,IFERROR(VLOOKUP(C123,BFTC!$B$5:$F$504,5,FALSE),0))</f>
        <v/>
      </c>
      <c r="K123" s="24">
        <f>IF(OR(F123="",J123=0,LEFT(I123,11)="KAPSAM DIŞI",LEFT(I123,11)="DAHİL DEĞİL"),0,F123*J123)</f>
        <v/>
      </c>
    </row>
    <row r="124">
      <c r="A124" s="5" t="n"/>
      <c r="B124" s="5" t="n"/>
      <c r="C124" s="5" t="n"/>
      <c r="D124" s="5" t="n"/>
      <c r="E124" s="5" t="n"/>
      <c r="F124" s="23" t="n"/>
      <c r="G124" s="5" t="n"/>
      <c r="H124" s="5" t="n"/>
      <c r="I124" s="5" t="n"/>
      <c r="J124" s="24">
        <f>IF(C124="",0,IFERROR(VLOOKUP(C124,BFTC!$B$5:$F$504,5,FALSE),0))</f>
        <v/>
      </c>
      <c r="K124" s="24">
        <f>IF(OR(F124="",J124=0,LEFT(I124,11)="KAPSAM DIŞI",LEFT(I124,11)="DAHİL DEĞİL"),0,F124*J124)</f>
        <v/>
      </c>
    </row>
    <row r="125">
      <c r="A125" s="5" t="n"/>
      <c r="B125" s="5" t="n"/>
      <c r="C125" s="5" t="n"/>
      <c r="D125" s="5" t="n"/>
      <c r="E125" s="5" t="n"/>
      <c r="F125" s="23" t="n"/>
      <c r="G125" s="5" t="n"/>
      <c r="H125" s="5" t="n"/>
      <c r="I125" s="5" t="n"/>
      <c r="J125" s="24">
        <f>IF(C125="",0,IFERROR(VLOOKUP(C125,BFTC!$B$5:$F$504,5,FALSE),0))</f>
        <v/>
      </c>
      <c r="K125" s="24">
        <f>IF(OR(F125="",J125=0,LEFT(I125,11)="KAPSAM DIŞI",LEFT(I125,11)="DAHİL DEĞİL"),0,F125*J125)</f>
        <v/>
      </c>
    </row>
    <row r="126">
      <c r="A126" s="5" t="n"/>
      <c r="B126" s="5" t="n"/>
      <c r="C126" s="5" t="n"/>
      <c r="D126" s="5" t="n"/>
      <c r="E126" s="5" t="n"/>
      <c r="F126" s="23" t="n"/>
      <c r="G126" s="5" t="n"/>
      <c r="H126" s="5" t="n"/>
      <c r="I126" s="5" t="n"/>
      <c r="J126" s="24">
        <f>IF(C126="",0,IFERROR(VLOOKUP(C126,BFTC!$B$5:$F$504,5,FALSE),0))</f>
        <v/>
      </c>
      <c r="K126" s="24">
        <f>IF(OR(F126="",J126=0,LEFT(I126,11)="KAPSAM DIŞI",LEFT(I126,11)="DAHİL DEĞİL"),0,F126*J126)</f>
        <v/>
      </c>
    </row>
    <row r="127">
      <c r="A127" s="5" t="n"/>
      <c r="B127" s="5" t="n"/>
      <c r="C127" s="5" t="n"/>
      <c r="D127" s="5" t="n"/>
      <c r="E127" s="5" t="n"/>
      <c r="F127" s="23" t="n"/>
      <c r="G127" s="5" t="n"/>
      <c r="H127" s="5" t="n"/>
      <c r="I127" s="5" t="n"/>
      <c r="J127" s="24">
        <f>IF(C127="",0,IFERROR(VLOOKUP(C127,BFTC!$B$5:$F$504,5,FALSE),0))</f>
        <v/>
      </c>
      <c r="K127" s="24">
        <f>IF(OR(F127="",J127=0,LEFT(I127,11)="KAPSAM DIŞI",LEFT(I127,11)="DAHİL DEĞİL"),0,F127*J127)</f>
        <v/>
      </c>
    </row>
    <row r="128">
      <c r="A128" s="5" t="n"/>
      <c r="B128" s="5" t="n"/>
      <c r="C128" s="5" t="n"/>
      <c r="D128" s="5" t="n"/>
      <c r="E128" s="5" t="n"/>
      <c r="F128" s="23" t="n"/>
      <c r="G128" s="5" t="n"/>
      <c r="H128" s="5" t="n"/>
      <c r="I128" s="5" t="n"/>
      <c r="J128" s="24">
        <f>IF(C128="",0,IFERROR(VLOOKUP(C128,BFTC!$B$5:$F$504,5,FALSE),0))</f>
        <v/>
      </c>
      <c r="K128" s="24">
        <f>IF(OR(F128="",J128=0,LEFT(I128,11)="KAPSAM DIŞI",LEFT(I128,11)="DAHİL DEĞİL"),0,F128*J128)</f>
        <v/>
      </c>
    </row>
    <row r="129">
      <c r="A129" s="5" t="n"/>
      <c r="B129" s="5" t="n"/>
      <c r="C129" s="5" t="n"/>
      <c r="D129" s="5" t="n"/>
      <c r="E129" s="5" t="n"/>
      <c r="F129" s="23" t="n"/>
      <c r="G129" s="5" t="n"/>
      <c r="H129" s="5" t="n"/>
      <c r="I129" s="5" t="n"/>
      <c r="J129" s="24">
        <f>IF(C129="",0,IFERROR(VLOOKUP(C129,BFTC!$B$5:$F$504,5,FALSE),0))</f>
        <v/>
      </c>
      <c r="K129" s="24">
        <f>IF(OR(F129="",J129=0,LEFT(I129,11)="KAPSAM DIŞI",LEFT(I129,11)="DAHİL DEĞİL"),0,F129*J129)</f>
        <v/>
      </c>
    </row>
    <row r="130">
      <c r="A130" s="5" t="n"/>
      <c r="B130" s="5" t="n"/>
      <c r="C130" s="5" t="n"/>
      <c r="D130" s="5" t="n"/>
      <c r="E130" s="5" t="n"/>
      <c r="F130" s="23" t="n"/>
      <c r="G130" s="5" t="n"/>
      <c r="H130" s="5" t="n"/>
      <c r="I130" s="5" t="n"/>
      <c r="J130" s="24">
        <f>IF(C130="",0,IFERROR(VLOOKUP(C130,BFTC!$B$5:$F$504,5,FALSE),0))</f>
        <v/>
      </c>
      <c r="K130" s="24">
        <f>IF(OR(F130="",J130=0,LEFT(I130,11)="KAPSAM DIŞI",LEFT(I130,11)="DAHİL DEĞİL"),0,F130*J130)</f>
        <v/>
      </c>
    </row>
    <row r="131">
      <c r="A131" s="5" t="n"/>
      <c r="B131" s="5" t="n"/>
      <c r="C131" s="5" t="n"/>
      <c r="D131" s="5" t="n"/>
      <c r="E131" s="5" t="n"/>
      <c r="F131" s="23" t="n"/>
      <c r="G131" s="5" t="n"/>
      <c r="H131" s="5" t="n"/>
      <c r="I131" s="5" t="n"/>
      <c r="J131" s="24">
        <f>IF(C131="",0,IFERROR(VLOOKUP(C131,BFTC!$B$5:$F$504,5,FALSE),0))</f>
        <v/>
      </c>
      <c r="K131" s="24">
        <f>IF(OR(F131="",J131=0,LEFT(I131,11)="KAPSAM DIŞI",LEFT(I131,11)="DAHİL DEĞİL"),0,F131*J131)</f>
        <v/>
      </c>
    </row>
    <row r="132">
      <c r="A132" s="5" t="n"/>
      <c r="B132" s="5" t="n"/>
      <c r="C132" s="5" t="n"/>
      <c r="D132" s="5" t="n"/>
      <c r="E132" s="5" t="n"/>
      <c r="F132" s="23" t="n"/>
      <c r="G132" s="5" t="n"/>
      <c r="H132" s="5" t="n"/>
      <c r="I132" s="5" t="n"/>
      <c r="J132" s="24">
        <f>IF(C132="",0,IFERROR(VLOOKUP(C132,BFTC!$B$5:$F$504,5,FALSE),0))</f>
        <v/>
      </c>
      <c r="K132" s="24">
        <f>IF(OR(F132="",J132=0,LEFT(I132,11)="KAPSAM DIŞI",LEFT(I132,11)="DAHİL DEĞİL"),0,F132*J132)</f>
        <v/>
      </c>
    </row>
    <row r="133">
      <c r="A133" s="5" t="n"/>
      <c r="B133" s="5" t="n"/>
      <c r="C133" s="5" t="n"/>
      <c r="D133" s="5" t="n"/>
      <c r="E133" s="5" t="n"/>
      <c r="F133" s="23" t="n"/>
      <c r="G133" s="5" t="n"/>
      <c r="H133" s="5" t="n"/>
      <c r="I133" s="5" t="n"/>
      <c r="J133" s="24">
        <f>IF(C133="",0,IFERROR(VLOOKUP(C133,BFTC!$B$5:$F$504,5,FALSE),0))</f>
        <v/>
      </c>
      <c r="K133" s="24">
        <f>IF(OR(F133="",J133=0,LEFT(I133,11)="KAPSAM DIŞI",LEFT(I133,11)="DAHİL DEĞİL"),0,F133*J133)</f>
        <v/>
      </c>
    </row>
    <row r="134">
      <c r="A134" s="5" t="n"/>
      <c r="B134" s="5" t="n"/>
      <c r="C134" s="5" t="n"/>
      <c r="D134" s="5" t="n"/>
      <c r="E134" s="5" t="n"/>
      <c r="F134" s="23" t="n"/>
      <c r="G134" s="5" t="n"/>
      <c r="H134" s="5" t="n"/>
      <c r="I134" s="5" t="n"/>
      <c r="J134" s="24">
        <f>IF(C134="",0,IFERROR(VLOOKUP(C134,BFTC!$B$5:$F$504,5,FALSE),0))</f>
        <v/>
      </c>
      <c r="K134" s="24">
        <f>IF(OR(F134="",J134=0,LEFT(I134,11)="KAPSAM DIŞI",LEFT(I134,11)="DAHİL DEĞİL"),0,F134*J134)</f>
        <v/>
      </c>
    </row>
    <row r="135">
      <c r="A135" s="5" t="n"/>
      <c r="B135" s="5" t="n"/>
      <c r="C135" s="5" t="n"/>
      <c r="D135" s="5" t="n"/>
      <c r="E135" s="5" t="n"/>
      <c r="F135" s="23" t="n"/>
      <c r="G135" s="5" t="n"/>
      <c r="H135" s="5" t="n"/>
      <c r="I135" s="5" t="n"/>
      <c r="J135" s="24">
        <f>IF(C135="",0,IFERROR(VLOOKUP(C135,BFTC!$B$5:$F$504,5,FALSE),0))</f>
        <v/>
      </c>
      <c r="K135" s="24">
        <f>IF(OR(F135="",J135=0,LEFT(I135,11)="KAPSAM DIŞI",LEFT(I135,11)="DAHİL DEĞİL"),0,F135*J135)</f>
        <v/>
      </c>
    </row>
    <row r="136">
      <c r="A136" s="5" t="n"/>
      <c r="B136" s="5" t="n"/>
      <c r="C136" s="5" t="n"/>
      <c r="D136" s="5" t="n"/>
      <c r="E136" s="5" t="n"/>
      <c r="F136" s="23" t="n"/>
      <c r="G136" s="5" t="n"/>
      <c r="H136" s="5" t="n"/>
      <c r="I136" s="5" t="n"/>
      <c r="J136" s="24">
        <f>IF(C136="",0,IFERROR(VLOOKUP(C136,BFTC!$B$5:$F$504,5,FALSE),0))</f>
        <v/>
      </c>
      <c r="K136" s="24">
        <f>IF(OR(F136="",J136=0,LEFT(I136,11)="KAPSAM DIŞI",LEFT(I136,11)="DAHİL DEĞİL"),0,F136*J136)</f>
        <v/>
      </c>
    </row>
    <row r="137">
      <c r="A137" s="5" t="n"/>
      <c r="B137" s="5" t="n"/>
      <c r="C137" s="5" t="n"/>
      <c r="D137" s="5" t="n"/>
      <c r="E137" s="5" t="n"/>
      <c r="F137" s="23" t="n"/>
      <c r="G137" s="5" t="n"/>
      <c r="H137" s="5" t="n"/>
      <c r="I137" s="5" t="n"/>
      <c r="J137" s="24">
        <f>IF(C137="",0,IFERROR(VLOOKUP(C137,BFTC!$B$5:$F$504,5,FALSE),0))</f>
        <v/>
      </c>
      <c r="K137" s="24">
        <f>IF(OR(F137="",J137=0,LEFT(I137,11)="KAPSAM DIŞI",LEFT(I137,11)="DAHİL DEĞİL"),0,F137*J137)</f>
        <v/>
      </c>
    </row>
    <row r="138">
      <c r="A138" s="5" t="n"/>
      <c r="B138" s="5" t="n"/>
      <c r="C138" s="5" t="n"/>
      <c r="D138" s="5" t="n"/>
      <c r="E138" s="5" t="n"/>
      <c r="F138" s="23" t="n"/>
      <c r="G138" s="5" t="n"/>
      <c r="H138" s="5" t="n"/>
      <c r="I138" s="5" t="n"/>
      <c r="J138" s="24">
        <f>IF(C138="",0,IFERROR(VLOOKUP(C138,BFTC!$B$5:$F$504,5,FALSE),0))</f>
        <v/>
      </c>
      <c r="K138" s="24">
        <f>IF(OR(F138="",J138=0,LEFT(I138,11)="KAPSAM DIŞI",LEFT(I138,11)="DAHİL DEĞİL"),0,F138*J138)</f>
        <v/>
      </c>
    </row>
    <row r="139">
      <c r="A139" s="5" t="n"/>
      <c r="B139" s="5" t="n"/>
      <c r="C139" s="5" t="n"/>
      <c r="D139" s="5" t="n"/>
      <c r="E139" s="5" t="n"/>
      <c r="F139" s="23" t="n"/>
      <c r="G139" s="5" t="n"/>
      <c r="H139" s="5" t="n"/>
      <c r="I139" s="5" t="n"/>
      <c r="J139" s="24">
        <f>IF(C139="",0,IFERROR(VLOOKUP(C139,BFTC!$B$5:$F$504,5,FALSE),0))</f>
        <v/>
      </c>
      <c r="K139" s="24">
        <f>IF(OR(F139="",J139=0,LEFT(I139,11)="KAPSAM DIŞI",LEFT(I139,11)="DAHİL DEĞİL"),0,F139*J139)</f>
        <v/>
      </c>
    </row>
    <row r="140">
      <c r="A140" s="5" t="n"/>
      <c r="B140" s="5" t="n"/>
      <c r="C140" s="5" t="n"/>
      <c r="D140" s="5" t="n"/>
      <c r="E140" s="5" t="n"/>
      <c r="F140" s="23" t="n"/>
      <c r="G140" s="5" t="n"/>
      <c r="H140" s="5" t="n"/>
      <c r="I140" s="5" t="n"/>
      <c r="J140" s="24">
        <f>IF(C140="",0,IFERROR(VLOOKUP(C140,BFTC!$B$5:$F$504,5,FALSE),0))</f>
        <v/>
      </c>
      <c r="K140" s="24">
        <f>IF(OR(F140="",J140=0,LEFT(I140,11)="KAPSAM DIŞI",LEFT(I140,11)="DAHİL DEĞİL"),0,F140*J140)</f>
        <v/>
      </c>
    </row>
    <row r="141">
      <c r="A141" s="5" t="n"/>
      <c r="B141" s="5" t="n"/>
      <c r="C141" s="5" t="n"/>
      <c r="D141" s="5" t="n"/>
      <c r="E141" s="5" t="n"/>
      <c r="F141" s="23" t="n"/>
      <c r="G141" s="5" t="n"/>
      <c r="H141" s="5" t="n"/>
      <c r="I141" s="5" t="n"/>
      <c r="J141" s="24">
        <f>IF(C141="",0,IFERROR(VLOOKUP(C141,BFTC!$B$5:$F$504,5,FALSE),0))</f>
        <v/>
      </c>
      <c r="K141" s="24">
        <f>IF(OR(F141="",J141=0,LEFT(I141,11)="KAPSAM DIŞI",LEFT(I141,11)="DAHİL DEĞİL"),0,F141*J141)</f>
        <v/>
      </c>
    </row>
    <row r="142">
      <c r="A142" s="5" t="n"/>
      <c r="B142" s="5" t="n"/>
      <c r="C142" s="5" t="n"/>
      <c r="D142" s="5" t="n"/>
      <c r="E142" s="5" t="n"/>
      <c r="F142" s="23" t="n"/>
      <c r="G142" s="5" t="n"/>
      <c r="H142" s="5" t="n"/>
      <c r="I142" s="5" t="n"/>
      <c r="J142" s="24">
        <f>IF(C142="",0,IFERROR(VLOOKUP(C142,BFTC!$B$5:$F$504,5,FALSE),0))</f>
        <v/>
      </c>
      <c r="K142" s="24">
        <f>IF(OR(F142="",J142=0,LEFT(I142,11)="KAPSAM DIŞI",LEFT(I142,11)="DAHİL DEĞİL"),0,F142*J142)</f>
        <v/>
      </c>
    </row>
    <row r="143">
      <c r="A143" s="5" t="n"/>
      <c r="B143" s="5" t="n"/>
      <c r="C143" s="5" t="n"/>
      <c r="D143" s="5" t="n"/>
      <c r="E143" s="5" t="n"/>
      <c r="F143" s="23" t="n"/>
      <c r="G143" s="5" t="n"/>
      <c r="H143" s="5" t="n"/>
      <c r="I143" s="5" t="n"/>
      <c r="J143" s="24">
        <f>IF(C143="",0,IFERROR(VLOOKUP(C143,BFTC!$B$5:$F$504,5,FALSE),0))</f>
        <v/>
      </c>
      <c r="K143" s="24">
        <f>IF(OR(F143="",J143=0,LEFT(I143,11)="KAPSAM DIŞI",LEFT(I143,11)="DAHİL DEĞİL"),0,F143*J143)</f>
        <v/>
      </c>
    </row>
    <row r="144">
      <c r="A144" s="5" t="n"/>
      <c r="B144" s="5" t="n"/>
      <c r="C144" s="5" t="n"/>
      <c r="D144" s="5" t="n"/>
      <c r="E144" s="5" t="n"/>
      <c r="F144" s="23" t="n"/>
      <c r="G144" s="5" t="n"/>
      <c r="H144" s="5" t="n"/>
      <c r="I144" s="5" t="n"/>
      <c r="J144" s="24">
        <f>IF(C144="",0,IFERROR(VLOOKUP(C144,BFTC!$B$5:$F$504,5,FALSE),0))</f>
        <v/>
      </c>
      <c r="K144" s="24">
        <f>IF(OR(F144="",J144=0,LEFT(I144,11)="KAPSAM DIŞI",LEFT(I144,11)="DAHİL DEĞİL"),0,F144*J144)</f>
        <v/>
      </c>
    </row>
    <row r="145">
      <c r="A145" s="5" t="n"/>
      <c r="B145" s="5" t="n"/>
      <c r="C145" s="5" t="n"/>
      <c r="D145" s="5" t="n"/>
      <c r="E145" s="5" t="n"/>
      <c r="F145" s="23" t="n"/>
      <c r="G145" s="5" t="n"/>
      <c r="H145" s="5" t="n"/>
      <c r="I145" s="5" t="n"/>
      <c r="J145" s="24">
        <f>IF(C145="",0,IFERROR(VLOOKUP(C145,BFTC!$B$5:$F$504,5,FALSE),0))</f>
        <v/>
      </c>
      <c r="K145" s="24">
        <f>IF(OR(F145="",J145=0,LEFT(I145,11)="KAPSAM DIŞI",LEFT(I145,11)="DAHİL DEĞİL"),0,F145*J145)</f>
        <v/>
      </c>
    </row>
    <row r="146">
      <c r="A146" s="5" t="n"/>
      <c r="B146" s="5" t="n"/>
      <c r="C146" s="5" t="n"/>
      <c r="D146" s="5" t="n"/>
      <c r="E146" s="5" t="n"/>
      <c r="F146" s="23" t="n"/>
      <c r="G146" s="5" t="n"/>
      <c r="H146" s="5" t="n"/>
      <c r="I146" s="5" t="n"/>
      <c r="J146" s="24">
        <f>IF(C146="",0,IFERROR(VLOOKUP(C146,BFTC!$B$5:$F$504,5,FALSE),0))</f>
        <v/>
      </c>
      <c r="K146" s="24">
        <f>IF(OR(F146="",J146=0,LEFT(I146,11)="KAPSAM DIŞI",LEFT(I146,11)="DAHİL DEĞİL"),0,F146*J146)</f>
        <v/>
      </c>
    </row>
    <row r="147">
      <c r="A147" s="5" t="n"/>
      <c r="B147" s="5" t="n"/>
      <c r="C147" s="5" t="n"/>
      <c r="D147" s="5" t="n"/>
      <c r="E147" s="5" t="n"/>
      <c r="F147" s="23" t="n"/>
      <c r="G147" s="5" t="n"/>
      <c r="H147" s="5" t="n"/>
      <c r="I147" s="5" t="n"/>
      <c r="J147" s="24">
        <f>IF(C147="",0,IFERROR(VLOOKUP(C147,BFTC!$B$5:$F$504,5,FALSE),0))</f>
        <v/>
      </c>
      <c r="K147" s="24">
        <f>IF(OR(F147="",J147=0,LEFT(I147,11)="KAPSAM DIŞI",LEFT(I147,11)="DAHİL DEĞİL"),0,F147*J147)</f>
        <v/>
      </c>
    </row>
    <row r="148">
      <c r="A148" s="5" t="n"/>
      <c r="B148" s="5" t="n"/>
      <c r="C148" s="5" t="n"/>
      <c r="D148" s="5" t="n"/>
      <c r="E148" s="5" t="n"/>
      <c r="F148" s="23" t="n"/>
      <c r="G148" s="5" t="n"/>
      <c r="H148" s="5" t="n"/>
      <c r="I148" s="5" t="n"/>
      <c r="J148" s="24">
        <f>IF(C148="",0,IFERROR(VLOOKUP(C148,BFTC!$B$5:$F$504,5,FALSE),0))</f>
        <v/>
      </c>
      <c r="K148" s="24">
        <f>IF(OR(F148="",J148=0,LEFT(I148,11)="KAPSAM DIŞI",LEFT(I148,11)="DAHİL DEĞİL"),0,F148*J148)</f>
        <v/>
      </c>
    </row>
    <row r="149">
      <c r="A149" s="5" t="n"/>
      <c r="B149" s="5" t="n"/>
      <c r="C149" s="5" t="n"/>
      <c r="D149" s="5" t="n"/>
      <c r="E149" s="5" t="n"/>
      <c r="F149" s="23" t="n"/>
      <c r="G149" s="5" t="n"/>
      <c r="H149" s="5" t="n"/>
      <c r="I149" s="5" t="n"/>
      <c r="J149" s="24">
        <f>IF(C149="",0,IFERROR(VLOOKUP(C149,BFTC!$B$5:$F$504,5,FALSE),0))</f>
        <v/>
      </c>
      <c r="K149" s="24">
        <f>IF(OR(F149="",J149=0,LEFT(I149,11)="KAPSAM DIŞI",LEFT(I149,11)="DAHİL DEĞİL"),0,F149*J149)</f>
        <v/>
      </c>
    </row>
    <row r="150">
      <c r="A150" s="5" t="n"/>
      <c r="B150" s="5" t="n"/>
      <c r="C150" s="5" t="n"/>
      <c r="D150" s="5" t="n"/>
      <c r="E150" s="5" t="n"/>
      <c r="F150" s="23" t="n"/>
      <c r="G150" s="5" t="n"/>
      <c r="H150" s="5" t="n"/>
      <c r="I150" s="5" t="n"/>
      <c r="J150" s="24">
        <f>IF(C150="",0,IFERROR(VLOOKUP(C150,BFTC!$B$5:$F$504,5,FALSE),0))</f>
        <v/>
      </c>
      <c r="K150" s="24">
        <f>IF(OR(F150="",J150=0,LEFT(I150,11)="KAPSAM DIŞI",LEFT(I150,11)="DAHİL DEĞİL"),0,F150*J150)</f>
        <v/>
      </c>
    </row>
    <row r="151">
      <c r="A151" s="5" t="n"/>
      <c r="B151" s="5" t="n"/>
      <c r="C151" s="5" t="n"/>
      <c r="D151" s="5" t="n"/>
      <c r="E151" s="5" t="n"/>
      <c r="F151" s="23" t="n"/>
      <c r="G151" s="5" t="n"/>
      <c r="H151" s="5" t="n"/>
      <c r="I151" s="5" t="n"/>
      <c r="J151" s="24">
        <f>IF(C151="",0,IFERROR(VLOOKUP(C151,BFTC!$B$5:$F$504,5,FALSE),0))</f>
        <v/>
      </c>
      <c r="K151" s="24">
        <f>IF(OR(F151="",J151=0,LEFT(I151,11)="KAPSAM DIŞI",LEFT(I151,11)="DAHİL DEĞİL"),0,F151*J151)</f>
        <v/>
      </c>
    </row>
    <row r="152">
      <c r="A152" s="5" t="n"/>
      <c r="B152" s="5" t="n"/>
      <c r="C152" s="5" t="n"/>
      <c r="D152" s="5" t="n"/>
      <c r="E152" s="5" t="n"/>
      <c r="F152" s="23" t="n"/>
      <c r="G152" s="5" t="n"/>
      <c r="H152" s="5" t="n"/>
      <c r="I152" s="5" t="n"/>
      <c r="J152" s="24">
        <f>IF(C152="",0,IFERROR(VLOOKUP(C152,BFTC!$B$5:$F$504,5,FALSE),0))</f>
        <v/>
      </c>
      <c r="K152" s="24">
        <f>IF(OR(F152="",J152=0,LEFT(I152,11)="KAPSAM DIŞI",LEFT(I152,11)="DAHİL DEĞİL"),0,F152*J152)</f>
        <v/>
      </c>
    </row>
    <row r="153">
      <c r="A153" s="5" t="n"/>
      <c r="B153" s="5" t="n"/>
      <c r="C153" s="5" t="n"/>
      <c r="D153" s="5" t="n"/>
      <c r="E153" s="5" t="n"/>
      <c r="F153" s="23" t="n"/>
      <c r="G153" s="5" t="n"/>
      <c r="H153" s="5" t="n"/>
      <c r="I153" s="5" t="n"/>
      <c r="J153" s="24">
        <f>IF(C153="",0,IFERROR(VLOOKUP(C153,BFTC!$B$5:$F$504,5,FALSE),0))</f>
        <v/>
      </c>
      <c r="K153" s="24">
        <f>IF(OR(F153="",J153=0,LEFT(I153,11)="KAPSAM DIŞI",LEFT(I153,11)="DAHİL DEĞİL"),0,F153*J153)</f>
        <v/>
      </c>
    </row>
    <row r="154">
      <c r="A154" s="5" t="n"/>
      <c r="B154" s="5" t="n"/>
      <c r="C154" s="5" t="n"/>
      <c r="D154" s="5" t="n"/>
      <c r="E154" s="5" t="n"/>
      <c r="F154" s="23" t="n"/>
      <c r="G154" s="5" t="n"/>
      <c r="H154" s="5" t="n"/>
      <c r="I154" s="5" t="n"/>
      <c r="J154" s="24">
        <f>IF(C154="",0,IFERROR(VLOOKUP(C154,BFTC!$B$5:$F$504,5,FALSE),0))</f>
        <v/>
      </c>
      <c r="K154" s="24">
        <f>IF(OR(F154="",J154=0,LEFT(I154,11)="KAPSAM DIŞI",LEFT(I154,11)="DAHİL DEĞİL"),0,F154*J154)</f>
        <v/>
      </c>
    </row>
    <row r="155">
      <c r="A155" s="5" t="n"/>
      <c r="B155" s="5" t="n"/>
      <c r="C155" s="5" t="n"/>
      <c r="D155" s="5" t="n"/>
      <c r="E155" s="5" t="n"/>
      <c r="F155" s="23" t="n"/>
      <c r="G155" s="5" t="n"/>
      <c r="H155" s="5" t="n"/>
      <c r="I155" s="5" t="n"/>
      <c r="J155" s="24">
        <f>IF(C155="",0,IFERROR(VLOOKUP(C155,BFTC!$B$5:$F$504,5,FALSE),0))</f>
        <v/>
      </c>
      <c r="K155" s="24">
        <f>IF(OR(F155="",J155=0,LEFT(I155,11)="KAPSAM DIŞI",LEFT(I155,11)="DAHİL DEĞİL"),0,F155*J155)</f>
        <v/>
      </c>
    </row>
    <row r="156">
      <c r="A156" s="5" t="n"/>
      <c r="B156" s="5" t="n"/>
      <c r="C156" s="5" t="n"/>
      <c r="D156" s="5" t="n"/>
      <c r="E156" s="5" t="n"/>
      <c r="F156" s="23" t="n"/>
      <c r="G156" s="5" t="n"/>
      <c r="H156" s="5" t="n"/>
      <c r="I156" s="5" t="n"/>
      <c r="J156" s="24">
        <f>IF(C156="",0,IFERROR(VLOOKUP(C156,BFTC!$B$5:$F$504,5,FALSE),0))</f>
        <v/>
      </c>
      <c r="K156" s="24">
        <f>IF(OR(F156="",J156=0,LEFT(I156,11)="KAPSAM DIŞI",LEFT(I156,11)="DAHİL DEĞİL"),0,F156*J156)</f>
        <v/>
      </c>
    </row>
    <row r="157">
      <c r="A157" s="5" t="n"/>
      <c r="B157" s="5" t="n"/>
      <c r="C157" s="5" t="n"/>
      <c r="D157" s="5" t="n"/>
      <c r="E157" s="5" t="n"/>
      <c r="F157" s="23" t="n"/>
      <c r="G157" s="5" t="n"/>
      <c r="H157" s="5" t="n"/>
      <c r="I157" s="5" t="n"/>
      <c r="J157" s="24">
        <f>IF(C157="",0,IFERROR(VLOOKUP(C157,BFTC!$B$5:$F$504,5,FALSE),0))</f>
        <v/>
      </c>
      <c r="K157" s="24">
        <f>IF(OR(F157="",J157=0,LEFT(I157,11)="KAPSAM DIŞI",LEFT(I157,11)="DAHİL DEĞİL"),0,F157*J157)</f>
        <v/>
      </c>
    </row>
    <row r="158">
      <c r="A158" s="5" t="n"/>
      <c r="B158" s="5" t="n"/>
      <c r="C158" s="5" t="n"/>
      <c r="D158" s="5" t="n"/>
      <c r="E158" s="5" t="n"/>
      <c r="F158" s="23" t="n"/>
      <c r="G158" s="5" t="n"/>
      <c r="H158" s="5" t="n"/>
      <c r="I158" s="5" t="n"/>
      <c r="J158" s="24">
        <f>IF(C158="",0,IFERROR(VLOOKUP(C158,BFTC!$B$5:$F$504,5,FALSE),0))</f>
        <v/>
      </c>
      <c r="K158" s="24">
        <f>IF(OR(F158="",J158=0,LEFT(I158,11)="KAPSAM DIŞI",LEFT(I158,11)="DAHİL DEĞİL"),0,F158*J158)</f>
        <v/>
      </c>
    </row>
    <row r="159">
      <c r="A159" s="5" t="n"/>
      <c r="B159" s="5" t="n"/>
      <c r="C159" s="5" t="n"/>
      <c r="D159" s="5" t="n"/>
      <c r="E159" s="5" t="n"/>
      <c r="F159" s="23" t="n"/>
      <c r="G159" s="5" t="n"/>
      <c r="H159" s="5" t="n"/>
      <c r="I159" s="5" t="n"/>
      <c r="J159" s="24">
        <f>IF(C159="",0,IFERROR(VLOOKUP(C159,BFTC!$B$5:$F$504,5,FALSE),0))</f>
        <v/>
      </c>
      <c r="K159" s="24">
        <f>IF(OR(F159="",J159=0,LEFT(I159,11)="KAPSAM DIŞI",LEFT(I159,11)="DAHİL DEĞİL"),0,F159*J159)</f>
        <v/>
      </c>
    </row>
    <row r="160">
      <c r="A160" s="5" t="n"/>
      <c r="B160" s="5" t="n"/>
      <c r="C160" s="5" t="n"/>
      <c r="D160" s="5" t="n"/>
      <c r="E160" s="5" t="n"/>
      <c r="F160" s="23" t="n"/>
      <c r="G160" s="5" t="n"/>
      <c r="H160" s="5" t="n"/>
      <c r="I160" s="5" t="n"/>
      <c r="J160" s="24">
        <f>IF(C160="",0,IFERROR(VLOOKUP(C160,BFTC!$B$5:$F$504,5,FALSE),0))</f>
        <v/>
      </c>
      <c r="K160" s="24">
        <f>IF(OR(F160="",J160=0,LEFT(I160,11)="KAPSAM DIŞI",LEFT(I160,11)="DAHİL DEĞİL"),0,F160*J160)</f>
        <v/>
      </c>
    </row>
    <row r="161">
      <c r="A161" s="5" t="n"/>
      <c r="B161" s="5" t="n"/>
      <c r="C161" s="5" t="n"/>
      <c r="D161" s="5" t="n"/>
      <c r="E161" s="5" t="n"/>
      <c r="F161" s="23" t="n"/>
      <c r="G161" s="5" t="n"/>
      <c r="H161" s="5" t="n"/>
      <c r="I161" s="5" t="n"/>
      <c r="J161" s="24">
        <f>IF(C161="",0,IFERROR(VLOOKUP(C161,BFTC!$B$5:$F$504,5,FALSE),0))</f>
        <v/>
      </c>
      <c r="K161" s="24">
        <f>IF(OR(F161="",J161=0,LEFT(I161,11)="KAPSAM DIŞI",LEFT(I161,11)="DAHİL DEĞİL"),0,F161*J161)</f>
        <v/>
      </c>
    </row>
    <row r="162">
      <c r="A162" s="5" t="n"/>
      <c r="B162" s="5" t="n"/>
      <c r="C162" s="5" t="n"/>
      <c r="D162" s="5" t="n"/>
      <c r="E162" s="5" t="n"/>
      <c r="F162" s="23" t="n"/>
      <c r="G162" s="5" t="n"/>
      <c r="H162" s="5" t="n"/>
      <c r="I162" s="5" t="n"/>
      <c r="J162" s="24">
        <f>IF(C162="",0,IFERROR(VLOOKUP(C162,BFTC!$B$5:$F$504,5,FALSE),0))</f>
        <v/>
      </c>
      <c r="K162" s="24">
        <f>IF(OR(F162="",J162=0,LEFT(I162,11)="KAPSAM DIŞI",LEFT(I162,11)="DAHİL DEĞİL"),0,F162*J162)</f>
        <v/>
      </c>
    </row>
    <row r="163">
      <c r="A163" s="5" t="n"/>
      <c r="B163" s="5" t="n"/>
      <c r="C163" s="5" t="n"/>
      <c r="D163" s="5" t="n"/>
      <c r="E163" s="5" t="n"/>
      <c r="F163" s="23" t="n"/>
      <c r="G163" s="5" t="n"/>
      <c r="H163" s="5" t="n"/>
      <c r="I163" s="5" t="n"/>
      <c r="J163" s="24">
        <f>IF(C163="",0,IFERROR(VLOOKUP(C163,BFTC!$B$5:$F$504,5,FALSE),0))</f>
        <v/>
      </c>
      <c r="K163" s="24">
        <f>IF(OR(F163="",J163=0,LEFT(I163,11)="KAPSAM DIŞI",LEFT(I163,11)="DAHİL DEĞİL"),0,F163*J163)</f>
        <v/>
      </c>
    </row>
    <row r="164">
      <c r="A164" s="5" t="n"/>
      <c r="B164" s="5" t="n"/>
      <c r="C164" s="5" t="n"/>
      <c r="D164" s="5" t="n"/>
      <c r="E164" s="5" t="n"/>
      <c r="F164" s="23" t="n"/>
      <c r="G164" s="5" t="n"/>
      <c r="H164" s="5" t="n"/>
      <c r="I164" s="5" t="n"/>
      <c r="J164" s="24">
        <f>IF(C164="",0,IFERROR(VLOOKUP(C164,BFTC!$B$5:$F$504,5,FALSE),0))</f>
        <v/>
      </c>
      <c r="K164" s="24">
        <f>IF(OR(F164="",J164=0,LEFT(I164,11)="KAPSAM DIŞI",LEFT(I164,11)="DAHİL DEĞİL"),0,F164*J164)</f>
        <v/>
      </c>
    </row>
    <row r="165">
      <c r="A165" s="5" t="n"/>
      <c r="B165" s="5" t="n"/>
      <c r="C165" s="5" t="n"/>
      <c r="D165" s="5" t="n"/>
      <c r="E165" s="5" t="n"/>
      <c r="F165" s="23" t="n"/>
      <c r="G165" s="5" t="n"/>
      <c r="H165" s="5" t="n"/>
      <c r="I165" s="5" t="n"/>
      <c r="J165" s="24">
        <f>IF(C165="",0,IFERROR(VLOOKUP(C165,BFTC!$B$5:$F$504,5,FALSE),0))</f>
        <v/>
      </c>
      <c r="K165" s="24">
        <f>IF(OR(F165="",J165=0,LEFT(I165,11)="KAPSAM DIŞI",LEFT(I165,11)="DAHİL DEĞİL"),0,F165*J165)</f>
        <v/>
      </c>
    </row>
    <row r="166">
      <c r="A166" s="5" t="n"/>
      <c r="B166" s="5" t="n"/>
      <c r="C166" s="5" t="n"/>
      <c r="D166" s="5" t="n"/>
      <c r="E166" s="5" t="n"/>
      <c r="F166" s="23" t="n"/>
      <c r="G166" s="5" t="n"/>
      <c r="H166" s="5" t="n"/>
      <c r="I166" s="5" t="n"/>
      <c r="J166" s="24">
        <f>IF(C166="",0,IFERROR(VLOOKUP(C166,BFTC!$B$5:$F$504,5,FALSE),0))</f>
        <v/>
      </c>
      <c r="K166" s="24">
        <f>IF(OR(F166="",J166=0,LEFT(I166,11)="KAPSAM DIŞI",LEFT(I166,11)="DAHİL DEĞİL"),0,F166*J166)</f>
        <v/>
      </c>
    </row>
    <row r="167">
      <c r="A167" s="5" t="n"/>
      <c r="B167" s="5" t="n"/>
      <c r="C167" s="5" t="n"/>
      <c r="D167" s="5" t="n"/>
      <c r="E167" s="5" t="n"/>
      <c r="F167" s="23" t="n"/>
      <c r="G167" s="5" t="n"/>
      <c r="H167" s="5" t="n"/>
      <c r="I167" s="5" t="n"/>
      <c r="J167" s="24">
        <f>IF(C167="",0,IFERROR(VLOOKUP(C167,BFTC!$B$5:$F$504,5,FALSE),0))</f>
        <v/>
      </c>
      <c r="K167" s="24">
        <f>IF(OR(F167="",J167=0,LEFT(I167,11)="KAPSAM DIŞI",LEFT(I167,11)="DAHİL DEĞİL"),0,F167*J167)</f>
        <v/>
      </c>
    </row>
    <row r="168">
      <c r="A168" s="5" t="n"/>
      <c r="B168" s="5" t="n"/>
      <c r="C168" s="5" t="n"/>
      <c r="D168" s="5" t="n"/>
      <c r="E168" s="5" t="n"/>
      <c r="F168" s="23" t="n"/>
      <c r="G168" s="5" t="n"/>
      <c r="H168" s="5" t="n"/>
      <c r="I168" s="5" t="n"/>
      <c r="J168" s="24">
        <f>IF(C168="",0,IFERROR(VLOOKUP(C168,BFTC!$B$5:$F$504,5,FALSE),0))</f>
        <v/>
      </c>
      <c r="K168" s="24">
        <f>IF(OR(F168="",J168=0,LEFT(I168,11)="KAPSAM DIŞI",LEFT(I168,11)="DAHİL DEĞİL"),0,F168*J168)</f>
        <v/>
      </c>
    </row>
    <row r="169">
      <c r="A169" s="5" t="n"/>
      <c r="B169" s="5" t="n"/>
      <c r="C169" s="5" t="n"/>
      <c r="D169" s="5" t="n"/>
      <c r="E169" s="5" t="n"/>
      <c r="F169" s="23" t="n"/>
      <c r="G169" s="5" t="n"/>
      <c r="H169" s="5" t="n"/>
      <c r="I169" s="5" t="n"/>
      <c r="J169" s="24">
        <f>IF(C169="",0,IFERROR(VLOOKUP(C169,BFTC!$B$5:$F$504,5,FALSE),0))</f>
        <v/>
      </c>
      <c r="K169" s="24">
        <f>IF(OR(F169="",J169=0,LEFT(I169,11)="KAPSAM DIŞI",LEFT(I169,11)="DAHİL DEĞİL"),0,F169*J169)</f>
        <v/>
      </c>
    </row>
    <row r="170">
      <c r="A170" s="5" t="n"/>
      <c r="B170" s="5" t="n"/>
      <c r="C170" s="5" t="n"/>
      <c r="D170" s="5" t="n"/>
      <c r="E170" s="5" t="n"/>
      <c r="F170" s="23" t="n"/>
      <c r="G170" s="5" t="n"/>
      <c r="H170" s="5" t="n"/>
      <c r="I170" s="5" t="n"/>
      <c r="J170" s="24">
        <f>IF(C170="",0,IFERROR(VLOOKUP(C170,BFTC!$B$5:$F$504,5,FALSE),0))</f>
        <v/>
      </c>
      <c r="K170" s="24">
        <f>IF(OR(F170="",J170=0,LEFT(I170,11)="KAPSAM DIŞI",LEFT(I170,11)="DAHİL DEĞİL"),0,F170*J170)</f>
        <v/>
      </c>
    </row>
    <row r="171">
      <c r="A171" s="5" t="n"/>
      <c r="B171" s="5" t="n"/>
      <c r="C171" s="5" t="n"/>
      <c r="D171" s="5" t="n"/>
      <c r="E171" s="5" t="n"/>
      <c r="F171" s="23" t="n"/>
      <c r="G171" s="5" t="n"/>
      <c r="H171" s="5" t="n"/>
      <c r="I171" s="5" t="n"/>
      <c r="J171" s="24">
        <f>IF(C171="",0,IFERROR(VLOOKUP(C171,BFTC!$B$5:$F$504,5,FALSE),0))</f>
        <v/>
      </c>
      <c r="K171" s="24">
        <f>IF(OR(F171="",J171=0,LEFT(I171,11)="KAPSAM DIŞI",LEFT(I171,11)="DAHİL DEĞİL"),0,F171*J171)</f>
        <v/>
      </c>
    </row>
    <row r="172">
      <c r="A172" s="5" t="n"/>
      <c r="B172" s="5" t="n"/>
      <c r="C172" s="5" t="n"/>
      <c r="D172" s="5" t="n"/>
      <c r="E172" s="5" t="n"/>
      <c r="F172" s="23" t="n"/>
      <c r="G172" s="5" t="n"/>
      <c r="H172" s="5" t="n"/>
      <c r="I172" s="5" t="n"/>
      <c r="J172" s="24">
        <f>IF(C172="",0,IFERROR(VLOOKUP(C172,BFTC!$B$5:$F$504,5,FALSE),0))</f>
        <v/>
      </c>
      <c r="K172" s="24">
        <f>IF(OR(F172="",J172=0,LEFT(I172,11)="KAPSAM DIŞI",LEFT(I172,11)="DAHİL DEĞİL"),0,F172*J172)</f>
        <v/>
      </c>
    </row>
    <row r="173">
      <c r="A173" s="5" t="n"/>
      <c r="B173" s="5" t="n"/>
      <c r="C173" s="5" t="n"/>
      <c r="D173" s="5" t="n"/>
      <c r="E173" s="5" t="n"/>
      <c r="F173" s="23" t="n"/>
      <c r="G173" s="5" t="n"/>
      <c r="H173" s="5" t="n"/>
      <c r="I173" s="5" t="n"/>
      <c r="J173" s="24">
        <f>IF(C173="",0,IFERROR(VLOOKUP(C173,BFTC!$B$5:$F$504,5,FALSE),0))</f>
        <v/>
      </c>
      <c r="K173" s="24">
        <f>IF(OR(F173="",J173=0,LEFT(I173,11)="KAPSAM DIŞI",LEFT(I173,11)="DAHİL DEĞİL"),0,F173*J173)</f>
        <v/>
      </c>
    </row>
    <row r="174">
      <c r="A174" s="5" t="n"/>
      <c r="B174" s="5" t="n"/>
      <c r="C174" s="5" t="n"/>
      <c r="D174" s="5" t="n"/>
      <c r="E174" s="5" t="n"/>
      <c r="F174" s="23" t="n"/>
      <c r="G174" s="5" t="n"/>
      <c r="H174" s="5" t="n"/>
      <c r="I174" s="5" t="n"/>
      <c r="J174" s="24">
        <f>IF(C174="",0,IFERROR(VLOOKUP(C174,BFTC!$B$5:$F$504,5,FALSE),0))</f>
        <v/>
      </c>
      <c r="K174" s="24">
        <f>IF(OR(F174="",J174=0,LEFT(I174,11)="KAPSAM DIŞI",LEFT(I174,11)="DAHİL DEĞİL"),0,F174*J174)</f>
        <v/>
      </c>
    </row>
    <row r="175">
      <c r="A175" s="5" t="n"/>
      <c r="B175" s="5" t="n"/>
      <c r="C175" s="5" t="n"/>
      <c r="D175" s="5" t="n"/>
      <c r="E175" s="5" t="n"/>
      <c r="F175" s="23" t="n"/>
      <c r="G175" s="5" t="n"/>
      <c r="H175" s="5" t="n"/>
      <c r="I175" s="5" t="n"/>
      <c r="J175" s="24">
        <f>IF(C175="",0,IFERROR(VLOOKUP(C175,BFTC!$B$5:$F$504,5,FALSE),0))</f>
        <v/>
      </c>
      <c r="K175" s="24">
        <f>IF(OR(F175="",J175=0,LEFT(I175,11)="KAPSAM DIŞI",LEFT(I175,11)="DAHİL DEĞİL"),0,F175*J175)</f>
        <v/>
      </c>
    </row>
    <row r="176">
      <c r="A176" s="5" t="n"/>
      <c r="B176" s="5" t="n"/>
      <c r="C176" s="5" t="n"/>
      <c r="D176" s="5" t="n"/>
      <c r="E176" s="5" t="n"/>
      <c r="F176" s="23" t="n"/>
      <c r="G176" s="5" t="n"/>
      <c r="H176" s="5" t="n"/>
      <c r="I176" s="5" t="n"/>
      <c r="J176" s="24">
        <f>IF(C176="",0,IFERROR(VLOOKUP(C176,BFTC!$B$5:$F$504,5,FALSE),0))</f>
        <v/>
      </c>
      <c r="K176" s="24">
        <f>IF(OR(F176="",J176=0,LEFT(I176,11)="KAPSAM DIŞI",LEFT(I176,11)="DAHİL DEĞİL"),0,F176*J176)</f>
        <v/>
      </c>
    </row>
    <row r="177">
      <c r="A177" s="5" t="n"/>
      <c r="B177" s="5" t="n"/>
      <c r="C177" s="5" t="n"/>
      <c r="D177" s="5" t="n"/>
      <c r="E177" s="5" t="n"/>
      <c r="F177" s="23" t="n"/>
      <c r="G177" s="5" t="n"/>
      <c r="H177" s="5" t="n"/>
      <c r="I177" s="5" t="n"/>
      <c r="J177" s="24">
        <f>IF(C177="",0,IFERROR(VLOOKUP(C177,BFTC!$B$5:$F$504,5,FALSE),0))</f>
        <v/>
      </c>
      <c r="K177" s="24">
        <f>IF(OR(F177="",J177=0,LEFT(I177,11)="KAPSAM DIŞI",LEFT(I177,11)="DAHİL DEĞİL"),0,F177*J177)</f>
        <v/>
      </c>
    </row>
    <row r="178">
      <c r="A178" s="5" t="n"/>
      <c r="B178" s="5" t="n"/>
      <c r="C178" s="5" t="n"/>
      <c r="D178" s="5" t="n"/>
      <c r="E178" s="5" t="n"/>
      <c r="F178" s="23" t="n"/>
      <c r="G178" s="5" t="n"/>
      <c r="H178" s="5" t="n"/>
      <c r="I178" s="5" t="n"/>
      <c r="J178" s="24">
        <f>IF(C178="",0,IFERROR(VLOOKUP(C178,BFTC!$B$5:$F$504,5,FALSE),0))</f>
        <v/>
      </c>
      <c r="K178" s="24">
        <f>IF(OR(F178="",J178=0,LEFT(I178,11)="KAPSAM DIŞI",LEFT(I178,11)="DAHİL DEĞİL"),0,F178*J178)</f>
        <v/>
      </c>
    </row>
    <row r="179">
      <c r="A179" s="5" t="n"/>
      <c r="B179" s="5" t="n"/>
      <c r="C179" s="5" t="n"/>
      <c r="D179" s="5" t="n"/>
      <c r="E179" s="5" t="n"/>
      <c r="F179" s="23" t="n"/>
      <c r="G179" s="5" t="n"/>
      <c r="H179" s="5" t="n"/>
      <c r="I179" s="5" t="n"/>
      <c r="J179" s="24">
        <f>IF(C179="",0,IFERROR(VLOOKUP(C179,BFTC!$B$5:$F$504,5,FALSE),0))</f>
        <v/>
      </c>
      <c r="K179" s="24">
        <f>IF(OR(F179="",J179=0,LEFT(I179,11)="KAPSAM DIŞI",LEFT(I179,11)="DAHİL DEĞİL"),0,F179*J179)</f>
        <v/>
      </c>
    </row>
    <row r="180">
      <c r="A180" s="5" t="n"/>
      <c r="B180" s="5" t="n"/>
      <c r="C180" s="5" t="n"/>
      <c r="D180" s="5" t="n"/>
      <c r="E180" s="5" t="n"/>
      <c r="F180" s="23" t="n"/>
      <c r="G180" s="5" t="n"/>
      <c r="H180" s="5" t="n"/>
      <c r="I180" s="5" t="n"/>
      <c r="J180" s="24">
        <f>IF(C180="",0,IFERROR(VLOOKUP(C180,BFTC!$B$5:$F$504,5,FALSE),0))</f>
        <v/>
      </c>
      <c r="K180" s="24">
        <f>IF(OR(F180="",J180=0,LEFT(I180,11)="KAPSAM DIŞI",LEFT(I180,11)="DAHİL DEĞİL"),0,F180*J180)</f>
        <v/>
      </c>
    </row>
    <row r="181">
      <c r="A181" s="5" t="n"/>
      <c r="B181" s="5" t="n"/>
      <c r="C181" s="5" t="n"/>
      <c r="D181" s="5" t="n"/>
      <c r="E181" s="5" t="n"/>
      <c r="F181" s="23" t="n"/>
      <c r="G181" s="5" t="n"/>
      <c r="H181" s="5" t="n"/>
      <c r="I181" s="5" t="n"/>
      <c r="J181" s="24">
        <f>IF(C181="",0,IFERROR(VLOOKUP(C181,BFTC!$B$5:$F$504,5,FALSE),0))</f>
        <v/>
      </c>
      <c r="K181" s="24">
        <f>IF(OR(F181="",J181=0,LEFT(I181,11)="KAPSAM DIŞI",LEFT(I181,11)="DAHİL DEĞİL"),0,F181*J181)</f>
        <v/>
      </c>
    </row>
    <row r="182">
      <c r="A182" s="5" t="n"/>
      <c r="B182" s="5" t="n"/>
      <c r="C182" s="5" t="n"/>
      <c r="D182" s="5" t="n"/>
      <c r="E182" s="5" t="n"/>
      <c r="F182" s="23" t="n"/>
      <c r="G182" s="5" t="n"/>
      <c r="H182" s="5" t="n"/>
      <c r="I182" s="5" t="n"/>
      <c r="J182" s="24">
        <f>IF(C182="",0,IFERROR(VLOOKUP(C182,BFTC!$B$5:$F$504,5,FALSE),0))</f>
        <v/>
      </c>
      <c r="K182" s="24">
        <f>IF(OR(F182="",J182=0,LEFT(I182,11)="KAPSAM DIŞI",LEFT(I182,11)="DAHİL DEĞİL"),0,F182*J182)</f>
        <v/>
      </c>
    </row>
    <row r="183">
      <c r="A183" s="5" t="n"/>
      <c r="B183" s="5" t="n"/>
      <c r="C183" s="5" t="n"/>
      <c r="D183" s="5" t="n"/>
      <c r="E183" s="5" t="n"/>
      <c r="F183" s="23" t="n"/>
      <c r="G183" s="5" t="n"/>
      <c r="H183" s="5" t="n"/>
      <c r="I183" s="5" t="n"/>
      <c r="J183" s="24">
        <f>IF(C183="",0,IFERROR(VLOOKUP(C183,BFTC!$B$5:$F$504,5,FALSE),0))</f>
        <v/>
      </c>
      <c r="K183" s="24">
        <f>IF(OR(F183="",J183=0,LEFT(I183,11)="KAPSAM DIŞI",LEFT(I183,11)="DAHİL DEĞİL"),0,F183*J183)</f>
        <v/>
      </c>
    </row>
    <row r="184">
      <c r="A184" s="5" t="n"/>
      <c r="B184" s="5" t="n"/>
      <c r="C184" s="5" t="n"/>
      <c r="D184" s="5" t="n"/>
      <c r="E184" s="5" t="n"/>
      <c r="F184" s="23" t="n"/>
      <c r="G184" s="5" t="n"/>
      <c r="H184" s="5" t="n"/>
      <c r="I184" s="5" t="n"/>
      <c r="J184" s="24">
        <f>IF(C184="",0,IFERROR(VLOOKUP(C184,BFTC!$B$5:$F$504,5,FALSE),0))</f>
        <v/>
      </c>
      <c r="K184" s="24">
        <f>IF(OR(F184="",J184=0,LEFT(I184,11)="KAPSAM DIŞI",LEFT(I184,11)="DAHİL DEĞİL"),0,F184*J184)</f>
        <v/>
      </c>
    </row>
    <row r="185">
      <c r="A185" s="5" t="n"/>
      <c r="B185" s="5" t="n"/>
      <c r="C185" s="5" t="n"/>
      <c r="D185" s="5" t="n"/>
      <c r="E185" s="5" t="n"/>
      <c r="F185" s="23" t="n"/>
      <c r="G185" s="5" t="n"/>
      <c r="H185" s="5" t="n"/>
      <c r="I185" s="5" t="n"/>
      <c r="J185" s="24">
        <f>IF(C185="",0,IFERROR(VLOOKUP(C185,BFTC!$B$5:$F$504,5,FALSE),0))</f>
        <v/>
      </c>
      <c r="K185" s="24">
        <f>IF(OR(F185="",J185=0,LEFT(I185,11)="KAPSAM DIŞI",LEFT(I185,11)="DAHİL DEĞİL"),0,F185*J185)</f>
        <v/>
      </c>
    </row>
    <row r="186">
      <c r="A186" s="5" t="n"/>
      <c r="B186" s="5" t="n"/>
      <c r="C186" s="5" t="n"/>
      <c r="D186" s="5" t="n"/>
      <c r="E186" s="5" t="n"/>
      <c r="F186" s="23" t="n"/>
      <c r="G186" s="5" t="n"/>
      <c r="H186" s="5" t="n"/>
      <c r="I186" s="5" t="n"/>
      <c r="J186" s="24">
        <f>IF(C186="",0,IFERROR(VLOOKUP(C186,BFTC!$B$5:$F$504,5,FALSE),0))</f>
        <v/>
      </c>
      <c r="K186" s="24">
        <f>IF(OR(F186="",J186=0,LEFT(I186,11)="KAPSAM DIŞI",LEFT(I186,11)="DAHİL DEĞİL"),0,F186*J186)</f>
        <v/>
      </c>
    </row>
    <row r="187">
      <c r="A187" s="5" t="n"/>
      <c r="B187" s="5" t="n"/>
      <c r="C187" s="5" t="n"/>
      <c r="D187" s="5" t="n"/>
      <c r="E187" s="5" t="n"/>
      <c r="F187" s="23" t="n"/>
      <c r="G187" s="5" t="n"/>
      <c r="H187" s="5" t="n"/>
      <c r="I187" s="5" t="n"/>
      <c r="J187" s="24">
        <f>IF(C187="",0,IFERROR(VLOOKUP(C187,BFTC!$B$5:$F$504,5,FALSE),0))</f>
        <v/>
      </c>
      <c r="K187" s="24">
        <f>IF(OR(F187="",J187=0,LEFT(I187,11)="KAPSAM DIŞI",LEFT(I187,11)="DAHİL DEĞİL"),0,F187*J187)</f>
        <v/>
      </c>
    </row>
    <row r="188">
      <c r="A188" s="5" t="n"/>
      <c r="B188" s="5" t="n"/>
      <c r="C188" s="5" t="n"/>
      <c r="D188" s="5" t="n"/>
      <c r="E188" s="5" t="n"/>
      <c r="F188" s="23" t="n"/>
      <c r="G188" s="5" t="n"/>
      <c r="H188" s="5" t="n"/>
      <c r="I188" s="5" t="n"/>
      <c r="J188" s="24">
        <f>IF(C188="",0,IFERROR(VLOOKUP(C188,BFTC!$B$5:$F$504,5,FALSE),0))</f>
        <v/>
      </c>
      <c r="K188" s="24">
        <f>IF(OR(F188="",J188=0,LEFT(I188,11)="KAPSAM DIŞI",LEFT(I188,11)="DAHİL DEĞİL"),0,F188*J188)</f>
        <v/>
      </c>
    </row>
    <row r="189">
      <c r="A189" s="5" t="n"/>
      <c r="B189" s="5" t="n"/>
      <c r="C189" s="5" t="n"/>
      <c r="D189" s="5" t="n"/>
      <c r="E189" s="5" t="n"/>
      <c r="F189" s="23" t="n"/>
      <c r="G189" s="5" t="n"/>
      <c r="H189" s="5" t="n"/>
      <c r="I189" s="5" t="n"/>
      <c r="J189" s="24">
        <f>IF(C189="",0,IFERROR(VLOOKUP(C189,BFTC!$B$5:$F$504,5,FALSE),0))</f>
        <v/>
      </c>
      <c r="K189" s="24">
        <f>IF(OR(F189="",J189=0,LEFT(I189,11)="KAPSAM DIŞI",LEFT(I189,11)="DAHİL DEĞİL"),0,F189*J189)</f>
        <v/>
      </c>
    </row>
    <row r="190">
      <c r="A190" s="5" t="n"/>
      <c r="B190" s="5" t="n"/>
      <c r="C190" s="5" t="n"/>
      <c r="D190" s="5" t="n"/>
      <c r="E190" s="5" t="n"/>
      <c r="F190" s="23" t="n"/>
      <c r="G190" s="5" t="n"/>
      <c r="H190" s="5" t="n"/>
      <c r="I190" s="5" t="n"/>
      <c r="J190" s="24">
        <f>IF(C190="",0,IFERROR(VLOOKUP(C190,BFTC!$B$5:$F$504,5,FALSE),0))</f>
        <v/>
      </c>
      <c r="K190" s="24">
        <f>IF(OR(F190="",J190=0,LEFT(I190,11)="KAPSAM DIŞI",LEFT(I190,11)="DAHİL DEĞİL"),0,F190*J190)</f>
        <v/>
      </c>
    </row>
    <row r="191">
      <c r="A191" s="5" t="n"/>
      <c r="B191" s="5" t="n"/>
      <c r="C191" s="5" t="n"/>
      <c r="D191" s="5" t="n"/>
      <c r="E191" s="5" t="n"/>
      <c r="F191" s="23" t="n"/>
      <c r="G191" s="5" t="n"/>
      <c r="H191" s="5" t="n"/>
      <c r="I191" s="5" t="n"/>
      <c r="J191" s="24">
        <f>IF(C191="",0,IFERROR(VLOOKUP(C191,BFTC!$B$5:$F$504,5,FALSE),0))</f>
        <v/>
      </c>
      <c r="K191" s="24">
        <f>IF(OR(F191="",J191=0,LEFT(I191,11)="KAPSAM DIŞI",LEFT(I191,11)="DAHİL DEĞİL"),0,F191*J191)</f>
        <v/>
      </c>
    </row>
    <row r="192">
      <c r="A192" s="5" t="n"/>
      <c r="B192" s="5" t="n"/>
      <c r="C192" s="5" t="n"/>
      <c r="D192" s="5" t="n"/>
      <c r="E192" s="5" t="n"/>
      <c r="F192" s="23" t="n"/>
      <c r="G192" s="5" t="n"/>
      <c r="H192" s="5" t="n"/>
      <c r="I192" s="5" t="n"/>
      <c r="J192" s="24">
        <f>IF(C192="",0,IFERROR(VLOOKUP(C192,BFTC!$B$5:$F$504,5,FALSE),0))</f>
        <v/>
      </c>
      <c r="K192" s="24">
        <f>IF(OR(F192="",J192=0,LEFT(I192,11)="KAPSAM DIŞI",LEFT(I192,11)="DAHİL DEĞİL"),0,F192*J192)</f>
        <v/>
      </c>
    </row>
    <row r="193">
      <c r="A193" s="5" t="n"/>
      <c r="B193" s="5" t="n"/>
      <c r="C193" s="5" t="n"/>
      <c r="D193" s="5" t="n"/>
      <c r="E193" s="5" t="n"/>
      <c r="F193" s="23" t="n"/>
      <c r="G193" s="5" t="n"/>
      <c r="H193" s="5" t="n"/>
      <c r="I193" s="5" t="n"/>
      <c r="J193" s="24">
        <f>IF(C193="",0,IFERROR(VLOOKUP(C193,BFTC!$B$5:$F$504,5,FALSE),0))</f>
        <v/>
      </c>
      <c r="K193" s="24">
        <f>IF(OR(F193="",J193=0,LEFT(I193,11)="KAPSAM DIŞI",LEFT(I193,11)="DAHİL DEĞİL"),0,F193*J193)</f>
        <v/>
      </c>
    </row>
    <row r="194">
      <c r="A194" s="5" t="n"/>
      <c r="B194" s="5" t="n"/>
      <c r="C194" s="5" t="n"/>
      <c r="D194" s="5" t="n"/>
      <c r="E194" s="5" t="n"/>
      <c r="F194" s="23" t="n"/>
      <c r="G194" s="5" t="n"/>
      <c r="H194" s="5" t="n"/>
      <c r="I194" s="5" t="n"/>
      <c r="J194" s="24">
        <f>IF(C194="",0,IFERROR(VLOOKUP(C194,BFTC!$B$5:$F$504,5,FALSE),0))</f>
        <v/>
      </c>
      <c r="K194" s="24">
        <f>IF(OR(F194="",J194=0,LEFT(I194,11)="KAPSAM DIŞI",LEFT(I194,11)="DAHİL DEĞİL"),0,F194*J194)</f>
        <v/>
      </c>
    </row>
    <row r="195">
      <c r="A195" s="5" t="n"/>
      <c r="B195" s="5" t="n"/>
      <c r="C195" s="5" t="n"/>
      <c r="D195" s="5" t="n"/>
      <c r="E195" s="5" t="n"/>
      <c r="F195" s="23" t="n"/>
      <c r="G195" s="5" t="n"/>
      <c r="H195" s="5" t="n"/>
      <c r="I195" s="5" t="n"/>
      <c r="J195" s="24">
        <f>IF(C195="",0,IFERROR(VLOOKUP(C195,BFTC!$B$5:$F$504,5,FALSE),0))</f>
        <v/>
      </c>
      <c r="K195" s="24">
        <f>IF(OR(F195="",J195=0,LEFT(I195,11)="KAPSAM DIŞI",LEFT(I195,11)="DAHİL DEĞİL"),0,F195*J195)</f>
        <v/>
      </c>
    </row>
    <row r="196">
      <c r="A196" s="5" t="n"/>
      <c r="B196" s="5" t="n"/>
      <c r="C196" s="5" t="n"/>
      <c r="D196" s="5" t="n"/>
      <c r="E196" s="5" t="n"/>
      <c r="F196" s="23" t="n"/>
      <c r="G196" s="5" t="n"/>
      <c r="H196" s="5" t="n"/>
      <c r="I196" s="5" t="n"/>
      <c r="J196" s="24">
        <f>IF(C196="",0,IFERROR(VLOOKUP(C196,BFTC!$B$5:$F$504,5,FALSE),0))</f>
        <v/>
      </c>
      <c r="K196" s="24">
        <f>IF(OR(F196="",J196=0,LEFT(I196,11)="KAPSAM DIŞI",LEFT(I196,11)="DAHİL DEĞİL"),0,F196*J196)</f>
        <v/>
      </c>
    </row>
    <row r="197">
      <c r="A197" s="5" t="n"/>
      <c r="B197" s="5" t="n"/>
      <c r="C197" s="5" t="n"/>
      <c r="D197" s="5" t="n"/>
      <c r="E197" s="5" t="n"/>
      <c r="F197" s="23" t="n"/>
      <c r="G197" s="5" t="n"/>
      <c r="H197" s="5" t="n"/>
      <c r="I197" s="5" t="n"/>
      <c r="J197" s="24">
        <f>IF(C197="",0,IFERROR(VLOOKUP(C197,BFTC!$B$5:$F$504,5,FALSE),0))</f>
        <v/>
      </c>
      <c r="K197" s="24">
        <f>IF(OR(F197="",J197=0,LEFT(I197,11)="KAPSAM DIŞI",LEFT(I197,11)="DAHİL DEĞİL"),0,F197*J197)</f>
        <v/>
      </c>
    </row>
    <row r="198">
      <c r="A198" s="5" t="n"/>
      <c r="B198" s="5" t="n"/>
      <c r="C198" s="5" t="n"/>
      <c r="D198" s="5" t="n"/>
      <c r="E198" s="5" t="n"/>
      <c r="F198" s="23" t="n"/>
      <c r="G198" s="5" t="n"/>
      <c r="H198" s="5" t="n"/>
      <c r="I198" s="5" t="n"/>
      <c r="J198" s="24">
        <f>IF(C198="",0,IFERROR(VLOOKUP(C198,BFTC!$B$5:$F$504,5,FALSE),0))</f>
        <v/>
      </c>
      <c r="K198" s="24">
        <f>IF(OR(F198="",J198=0,LEFT(I198,11)="KAPSAM DIŞI",LEFT(I198,11)="DAHİL DEĞİL"),0,F198*J198)</f>
        <v/>
      </c>
    </row>
    <row r="199">
      <c r="A199" s="5" t="n"/>
      <c r="B199" s="5" t="n"/>
      <c r="C199" s="5" t="n"/>
      <c r="D199" s="5" t="n"/>
      <c r="E199" s="5" t="n"/>
      <c r="F199" s="23" t="n"/>
      <c r="G199" s="5" t="n"/>
      <c r="H199" s="5" t="n"/>
      <c r="I199" s="5" t="n"/>
      <c r="J199" s="24">
        <f>IF(C199="",0,IFERROR(VLOOKUP(C199,BFTC!$B$5:$F$504,5,FALSE),0))</f>
        <v/>
      </c>
      <c r="K199" s="24">
        <f>IF(OR(F199="",J199=0,LEFT(I199,11)="KAPSAM DIŞI",LEFT(I199,11)="DAHİL DEĞİL"),0,F199*J199)</f>
        <v/>
      </c>
    </row>
    <row r="200">
      <c r="A200" s="5" t="n"/>
      <c r="B200" s="5" t="n"/>
      <c r="C200" s="5" t="n"/>
      <c r="D200" s="5" t="n"/>
      <c r="E200" s="5" t="n"/>
      <c r="F200" s="23" t="n"/>
      <c r="G200" s="5" t="n"/>
      <c r="H200" s="5" t="n"/>
      <c r="I200" s="5" t="n"/>
      <c r="J200" s="24">
        <f>IF(C200="",0,IFERROR(VLOOKUP(C200,BFTC!$B$5:$F$504,5,FALSE),0))</f>
        <v/>
      </c>
      <c r="K200" s="24">
        <f>IF(OR(F200="",J200=0,LEFT(I200,11)="KAPSAM DIŞI",LEFT(I200,11)="DAHİL DEĞİL"),0,F200*J200)</f>
        <v/>
      </c>
    </row>
    <row r="201">
      <c r="A201" s="5" t="n"/>
      <c r="B201" s="5" t="n"/>
      <c r="C201" s="5" t="n"/>
      <c r="D201" s="5" t="n"/>
      <c r="E201" s="5" t="n"/>
      <c r="F201" s="23" t="n"/>
      <c r="G201" s="5" t="n"/>
      <c r="H201" s="5" t="n"/>
      <c r="I201" s="5" t="n"/>
      <c r="J201" s="24">
        <f>IF(C201="",0,IFERROR(VLOOKUP(C201,BFTC!$B$5:$F$504,5,FALSE),0))</f>
        <v/>
      </c>
      <c r="K201" s="24">
        <f>IF(OR(F201="",J201=0,LEFT(I201,11)="KAPSAM DIŞI",LEFT(I201,11)="DAHİL DEĞİL"),0,F201*J201)</f>
        <v/>
      </c>
    </row>
    <row r="202">
      <c r="A202" s="5" t="n"/>
      <c r="B202" s="5" t="n"/>
      <c r="C202" s="5" t="n"/>
      <c r="D202" s="5" t="n"/>
      <c r="E202" s="5" t="n"/>
      <c r="F202" s="23" t="n"/>
      <c r="G202" s="5" t="n"/>
      <c r="H202" s="5" t="n"/>
      <c r="I202" s="5" t="n"/>
      <c r="J202" s="24">
        <f>IF(C202="",0,IFERROR(VLOOKUP(C202,BFTC!$B$5:$F$504,5,FALSE),0))</f>
        <v/>
      </c>
      <c r="K202" s="24">
        <f>IF(OR(F202="",J202=0,LEFT(I202,11)="KAPSAM DIŞI",LEFT(I202,11)="DAHİL DEĞİL"),0,F202*J202)</f>
        <v/>
      </c>
    </row>
    <row r="203">
      <c r="A203" s="5" t="n"/>
      <c r="B203" s="5" t="n"/>
      <c r="C203" s="5" t="n"/>
      <c r="D203" s="5" t="n"/>
      <c r="E203" s="5" t="n"/>
      <c r="F203" s="23" t="n"/>
      <c r="G203" s="5" t="n"/>
      <c r="H203" s="5" t="n"/>
      <c r="I203" s="5" t="n"/>
      <c r="J203" s="24">
        <f>IF(C203="",0,IFERROR(VLOOKUP(C203,BFTC!$B$5:$F$504,5,FALSE),0))</f>
        <v/>
      </c>
      <c r="K203" s="24">
        <f>IF(OR(F203="",J203=0,LEFT(I203,11)="KAPSAM DIŞI",LEFT(I203,11)="DAHİL DEĞİL"),0,F203*J203)</f>
        <v/>
      </c>
    </row>
    <row r="204">
      <c r="A204" s="5" t="n"/>
      <c r="B204" s="5" t="n"/>
      <c r="C204" s="5" t="n"/>
      <c r="D204" s="5" t="n"/>
      <c r="E204" s="5" t="n"/>
      <c r="F204" s="23" t="n"/>
      <c r="G204" s="5" t="n"/>
      <c r="H204" s="5" t="n"/>
      <c r="I204" s="5" t="n"/>
      <c r="J204" s="24">
        <f>IF(C204="",0,IFERROR(VLOOKUP(C204,BFTC!$B$5:$F$504,5,FALSE),0))</f>
        <v/>
      </c>
      <c r="K204" s="24">
        <f>IF(OR(F204="",J204=0,LEFT(I204,11)="KAPSAM DIŞI",LEFT(I204,11)="DAHİL DEĞİL"),0,F204*J204)</f>
        <v/>
      </c>
    </row>
    <row r="205">
      <c r="A205" s="5" t="n"/>
      <c r="B205" s="5" t="n"/>
      <c r="C205" s="5" t="n"/>
      <c r="D205" s="5" t="n"/>
      <c r="E205" s="5" t="n"/>
      <c r="F205" s="23" t="n"/>
      <c r="G205" s="5" t="n"/>
      <c r="H205" s="5" t="n"/>
      <c r="I205" s="5" t="n"/>
      <c r="J205" s="24">
        <f>IF(C205="",0,IFERROR(VLOOKUP(C205,BFTC!$B$5:$F$504,5,FALSE),0))</f>
        <v/>
      </c>
      <c r="K205" s="24">
        <f>IF(OR(F205="",J205=0,LEFT(I205,11)="KAPSAM DIŞI",LEFT(I205,11)="DAHİL DEĞİL"),0,F205*J205)</f>
        <v/>
      </c>
    </row>
    <row r="206">
      <c r="A206" s="5" t="n"/>
      <c r="B206" s="5" t="n"/>
      <c r="C206" s="5" t="n"/>
      <c r="D206" s="5" t="n"/>
      <c r="E206" s="5" t="n"/>
      <c r="F206" s="23" t="n"/>
      <c r="G206" s="5" t="n"/>
      <c r="H206" s="5" t="n"/>
      <c r="I206" s="5" t="n"/>
      <c r="J206" s="24">
        <f>IF(C206="",0,IFERROR(VLOOKUP(C206,BFTC!$B$5:$F$504,5,FALSE),0))</f>
        <v/>
      </c>
      <c r="K206" s="24">
        <f>IF(OR(F206="",J206=0,LEFT(I206,11)="KAPSAM DIŞI",LEFT(I206,11)="DAHİL DEĞİL"),0,F206*J206)</f>
        <v/>
      </c>
    </row>
    <row r="207">
      <c r="A207" s="5" t="n"/>
      <c r="B207" s="5" t="n"/>
      <c r="C207" s="5" t="n"/>
      <c r="D207" s="5" t="n"/>
      <c r="E207" s="5" t="n"/>
      <c r="F207" s="23" t="n"/>
      <c r="G207" s="5" t="n"/>
      <c r="H207" s="5" t="n"/>
      <c r="I207" s="5" t="n"/>
      <c r="J207" s="24">
        <f>IF(C207="",0,IFERROR(VLOOKUP(C207,BFTC!$B$5:$F$504,5,FALSE),0))</f>
        <v/>
      </c>
      <c r="K207" s="24">
        <f>IF(OR(F207="",J207=0,LEFT(I207,11)="KAPSAM DIŞI",LEFT(I207,11)="DAHİL DEĞİL"),0,F207*J207)</f>
        <v/>
      </c>
    </row>
    <row r="208">
      <c r="A208" s="5" t="n"/>
      <c r="B208" s="5" t="n"/>
      <c r="C208" s="5" t="n"/>
      <c r="D208" s="5" t="n"/>
      <c r="E208" s="5" t="n"/>
      <c r="F208" s="23" t="n"/>
      <c r="G208" s="5" t="n"/>
      <c r="H208" s="5" t="n"/>
      <c r="I208" s="5" t="n"/>
      <c r="J208" s="24">
        <f>IF(C208="",0,IFERROR(VLOOKUP(C208,BFTC!$B$5:$F$504,5,FALSE),0))</f>
        <v/>
      </c>
      <c r="K208" s="24">
        <f>IF(OR(F208="",J208=0,LEFT(I208,11)="KAPSAM DIŞI",LEFT(I208,11)="DAHİL DEĞİL"),0,F208*J208)</f>
        <v/>
      </c>
    </row>
    <row r="209">
      <c r="A209" s="5" t="n"/>
      <c r="B209" s="5" t="n"/>
      <c r="C209" s="5" t="n"/>
      <c r="D209" s="5" t="n"/>
      <c r="E209" s="5" t="n"/>
      <c r="F209" s="23" t="n"/>
      <c r="G209" s="5" t="n"/>
      <c r="H209" s="5" t="n"/>
      <c r="I209" s="5" t="n"/>
      <c r="J209" s="24">
        <f>IF(C209="",0,IFERROR(VLOOKUP(C209,BFTC!$B$5:$F$504,5,FALSE),0))</f>
        <v/>
      </c>
      <c r="K209" s="24">
        <f>IF(OR(F209="",J209=0,LEFT(I209,11)="KAPSAM DIŞI",LEFT(I209,11)="DAHİL DEĞİL"),0,F209*J209)</f>
        <v/>
      </c>
    </row>
    <row r="210">
      <c r="A210" s="5" t="n"/>
      <c r="B210" s="5" t="n"/>
      <c r="C210" s="5" t="n"/>
      <c r="D210" s="5" t="n"/>
      <c r="E210" s="5" t="n"/>
      <c r="F210" s="23" t="n"/>
      <c r="G210" s="5" t="n"/>
      <c r="H210" s="5" t="n"/>
      <c r="I210" s="5" t="n"/>
      <c r="J210" s="24">
        <f>IF(C210="",0,IFERROR(VLOOKUP(C210,BFTC!$B$5:$F$504,5,FALSE),0))</f>
        <v/>
      </c>
      <c r="K210" s="24">
        <f>IF(OR(F210="",J210=0,LEFT(I210,11)="KAPSAM DIŞI",LEFT(I210,11)="DAHİL DEĞİL"),0,F210*J210)</f>
        <v/>
      </c>
    </row>
    <row r="211">
      <c r="A211" s="5" t="n"/>
      <c r="B211" s="5" t="n"/>
      <c r="C211" s="5" t="n"/>
      <c r="D211" s="5" t="n"/>
      <c r="E211" s="5" t="n"/>
      <c r="F211" s="23" t="n"/>
      <c r="G211" s="5" t="n"/>
      <c r="H211" s="5" t="n"/>
      <c r="I211" s="5" t="n"/>
      <c r="J211" s="24">
        <f>IF(C211="",0,IFERROR(VLOOKUP(C211,BFTC!$B$5:$F$504,5,FALSE),0))</f>
        <v/>
      </c>
      <c r="K211" s="24">
        <f>IF(OR(F211="",J211=0,LEFT(I211,11)="KAPSAM DIŞI",LEFT(I211,11)="DAHİL DEĞİL"),0,F211*J211)</f>
        <v/>
      </c>
    </row>
    <row r="212">
      <c r="A212" s="5" t="n"/>
      <c r="B212" s="5" t="n"/>
      <c r="C212" s="5" t="n"/>
      <c r="D212" s="5" t="n"/>
      <c r="E212" s="5" t="n"/>
      <c r="F212" s="23" t="n"/>
      <c r="G212" s="5" t="n"/>
      <c r="H212" s="5" t="n"/>
      <c r="I212" s="5" t="n"/>
      <c r="J212" s="24">
        <f>IF(C212="",0,IFERROR(VLOOKUP(C212,BFTC!$B$5:$F$504,5,FALSE),0))</f>
        <v/>
      </c>
      <c r="K212" s="24">
        <f>IF(OR(F212="",J212=0,LEFT(I212,11)="KAPSAM DIŞI",LEFT(I212,11)="DAHİL DEĞİL"),0,F212*J212)</f>
        <v/>
      </c>
    </row>
    <row r="213">
      <c r="A213" s="5" t="n"/>
      <c r="B213" s="5" t="n"/>
      <c r="C213" s="5" t="n"/>
      <c r="D213" s="5" t="n"/>
      <c r="E213" s="5" t="n"/>
      <c r="F213" s="23" t="n"/>
      <c r="G213" s="5" t="n"/>
      <c r="H213" s="5" t="n"/>
      <c r="I213" s="5" t="n"/>
      <c r="J213" s="24">
        <f>IF(C213="",0,IFERROR(VLOOKUP(C213,BFTC!$B$5:$F$504,5,FALSE),0))</f>
        <v/>
      </c>
      <c r="K213" s="24">
        <f>IF(OR(F213="",J213=0,LEFT(I213,11)="KAPSAM DIŞI",LEFT(I213,11)="DAHİL DEĞİL"),0,F213*J213)</f>
        <v/>
      </c>
    </row>
    <row r="214">
      <c r="A214" s="5" t="n"/>
      <c r="B214" s="5" t="n"/>
      <c r="C214" s="5" t="n"/>
      <c r="D214" s="5" t="n"/>
      <c r="E214" s="5" t="n"/>
      <c r="F214" s="23" t="n"/>
      <c r="G214" s="5" t="n"/>
      <c r="H214" s="5" t="n"/>
      <c r="I214" s="5" t="n"/>
      <c r="J214" s="24">
        <f>IF(C214="",0,IFERROR(VLOOKUP(C214,BFTC!$B$5:$F$504,5,FALSE),0))</f>
        <v/>
      </c>
      <c r="K214" s="24">
        <f>IF(OR(F214="",J214=0,LEFT(I214,11)="KAPSAM DIŞI",LEFT(I214,11)="DAHİL DEĞİL"),0,F214*J214)</f>
        <v/>
      </c>
    </row>
    <row r="215">
      <c r="A215" s="5" t="n"/>
      <c r="B215" s="5" t="n"/>
      <c r="C215" s="5" t="n"/>
      <c r="D215" s="5" t="n"/>
      <c r="E215" s="5" t="n"/>
      <c r="F215" s="23" t="n"/>
      <c r="G215" s="5" t="n"/>
      <c r="H215" s="5" t="n"/>
      <c r="I215" s="5" t="n"/>
      <c r="J215" s="24">
        <f>IF(C215="",0,IFERROR(VLOOKUP(C215,BFTC!$B$5:$F$504,5,FALSE),0))</f>
        <v/>
      </c>
      <c r="K215" s="24">
        <f>IF(OR(F215="",J215=0,LEFT(I215,11)="KAPSAM DIŞI",LEFT(I215,11)="DAHİL DEĞİL"),0,F215*J215)</f>
        <v/>
      </c>
    </row>
    <row r="216">
      <c r="A216" s="5" t="n"/>
      <c r="B216" s="5" t="n"/>
      <c r="C216" s="5" t="n"/>
      <c r="D216" s="5" t="n"/>
      <c r="E216" s="5" t="n"/>
      <c r="F216" s="23" t="n"/>
      <c r="G216" s="5" t="n"/>
      <c r="H216" s="5" t="n"/>
      <c r="I216" s="5" t="n"/>
      <c r="J216" s="24">
        <f>IF(C216="",0,IFERROR(VLOOKUP(C216,BFTC!$B$5:$F$504,5,FALSE),0))</f>
        <v/>
      </c>
      <c r="K216" s="24">
        <f>IF(OR(F216="",J216=0,LEFT(I216,11)="KAPSAM DIŞI",LEFT(I216,11)="DAHİL DEĞİL"),0,F216*J216)</f>
        <v/>
      </c>
    </row>
    <row r="217">
      <c r="A217" s="5" t="n"/>
      <c r="B217" s="5" t="n"/>
      <c r="C217" s="5" t="n"/>
      <c r="D217" s="5" t="n"/>
      <c r="E217" s="5" t="n"/>
      <c r="F217" s="23" t="n"/>
      <c r="G217" s="5" t="n"/>
      <c r="H217" s="5" t="n"/>
      <c r="I217" s="5" t="n"/>
      <c r="J217" s="24">
        <f>IF(C217="",0,IFERROR(VLOOKUP(C217,BFTC!$B$5:$F$504,5,FALSE),0))</f>
        <v/>
      </c>
      <c r="K217" s="24">
        <f>IF(OR(F217="",J217=0,LEFT(I217,11)="KAPSAM DIŞI",LEFT(I217,11)="DAHİL DEĞİL"),0,F217*J217)</f>
        <v/>
      </c>
    </row>
    <row r="218">
      <c r="A218" s="5" t="n"/>
      <c r="B218" s="5" t="n"/>
      <c r="C218" s="5" t="n"/>
      <c r="D218" s="5" t="n"/>
      <c r="E218" s="5" t="n"/>
      <c r="F218" s="23" t="n"/>
      <c r="G218" s="5" t="n"/>
      <c r="H218" s="5" t="n"/>
      <c r="I218" s="5" t="n"/>
      <c r="J218" s="24">
        <f>IF(C218="",0,IFERROR(VLOOKUP(C218,BFTC!$B$5:$F$504,5,FALSE),0))</f>
        <v/>
      </c>
      <c r="K218" s="24">
        <f>IF(OR(F218="",J218=0,LEFT(I218,11)="KAPSAM DIŞI",LEFT(I218,11)="DAHİL DEĞİL"),0,F218*J218)</f>
        <v/>
      </c>
    </row>
    <row r="219">
      <c r="A219" s="5" t="n"/>
      <c r="B219" s="5" t="n"/>
      <c r="C219" s="5" t="n"/>
      <c r="D219" s="5" t="n"/>
      <c r="E219" s="5" t="n"/>
      <c r="F219" s="23" t="n"/>
      <c r="G219" s="5" t="n"/>
      <c r="H219" s="5" t="n"/>
      <c r="I219" s="5" t="n"/>
      <c r="J219" s="24">
        <f>IF(C219="",0,IFERROR(VLOOKUP(C219,BFTC!$B$5:$F$504,5,FALSE),0))</f>
        <v/>
      </c>
      <c r="K219" s="24">
        <f>IF(OR(F219="",J219=0,LEFT(I219,11)="KAPSAM DIŞI",LEFT(I219,11)="DAHİL DEĞİL"),0,F219*J219)</f>
        <v/>
      </c>
    </row>
    <row r="220">
      <c r="A220" s="5" t="n"/>
      <c r="B220" s="5" t="n"/>
      <c r="C220" s="5" t="n"/>
      <c r="D220" s="5" t="n"/>
      <c r="E220" s="5" t="n"/>
      <c r="F220" s="23" t="n"/>
      <c r="G220" s="5" t="n"/>
      <c r="H220" s="5" t="n"/>
      <c r="I220" s="5" t="n"/>
      <c r="J220" s="24">
        <f>IF(C220="",0,IFERROR(VLOOKUP(C220,BFTC!$B$5:$F$504,5,FALSE),0))</f>
        <v/>
      </c>
      <c r="K220" s="24">
        <f>IF(OR(F220="",J220=0,LEFT(I220,11)="KAPSAM DIŞI",LEFT(I220,11)="DAHİL DEĞİL"),0,F220*J220)</f>
        <v/>
      </c>
    </row>
    <row r="221">
      <c r="A221" s="5" t="n"/>
      <c r="B221" s="5" t="n"/>
      <c r="C221" s="5" t="n"/>
      <c r="D221" s="5" t="n"/>
      <c r="E221" s="5" t="n"/>
      <c r="F221" s="23" t="n"/>
      <c r="G221" s="5" t="n"/>
      <c r="H221" s="5" t="n"/>
      <c r="I221" s="5" t="n"/>
      <c r="J221" s="24">
        <f>IF(C221="",0,IFERROR(VLOOKUP(C221,BFTC!$B$5:$F$504,5,FALSE),0))</f>
        <v/>
      </c>
      <c r="K221" s="24">
        <f>IF(OR(F221="",J221=0,LEFT(I221,11)="KAPSAM DIŞI",LEFT(I221,11)="DAHİL DEĞİL"),0,F221*J221)</f>
        <v/>
      </c>
    </row>
    <row r="222">
      <c r="A222" s="5" t="n"/>
      <c r="B222" s="5" t="n"/>
      <c r="C222" s="5" t="n"/>
      <c r="D222" s="5" t="n"/>
      <c r="E222" s="5" t="n"/>
      <c r="F222" s="23" t="n"/>
      <c r="G222" s="5" t="n"/>
      <c r="H222" s="5" t="n"/>
      <c r="I222" s="5" t="n"/>
      <c r="J222" s="24">
        <f>IF(C222="",0,IFERROR(VLOOKUP(C222,BFTC!$B$5:$F$504,5,FALSE),0))</f>
        <v/>
      </c>
      <c r="K222" s="24">
        <f>IF(OR(F222="",J222=0,LEFT(I222,11)="KAPSAM DIŞI",LEFT(I222,11)="DAHİL DEĞİL"),0,F222*J222)</f>
        <v/>
      </c>
    </row>
    <row r="223">
      <c r="A223" s="5" t="n"/>
      <c r="B223" s="5" t="n"/>
      <c r="C223" s="5" t="n"/>
      <c r="D223" s="5" t="n"/>
      <c r="E223" s="5" t="n"/>
      <c r="F223" s="23" t="n"/>
      <c r="G223" s="5" t="n"/>
      <c r="H223" s="5" t="n"/>
      <c r="I223" s="5" t="n"/>
      <c r="J223" s="24">
        <f>IF(C223="",0,IFERROR(VLOOKUP(C223,BFTC!$B$5:$F$504,5,FALSE),0))</f>
        <v/>
      </c>
      <c r="K223" s="24">
        <f>IF(OR(F223="",J223=0,LEFT(I223,11)="KAPSAM DIŞI",LEFT(I223,11)="DAHİL DEĞİL"),0,F223*J223)</f>
        <v/>
      </c>
    </row>
    <row r="224">
      <c r="A224" s="5" t="n"/>
      <c r="B224" s="5" t="n"/>
      <c r="C224" s="5" t="n"/>
      <c r="D224" s="5" t="n"/>
      <c r="E224" s="5" t="n"/>
      <c r="F224" s="23" t="n"/>
      <c r="G224" s="5" t="n"/>
      <c r="H224" s="5" t="n"/>
      <c r="I224" s="5" t="n"/>
      <c r="J224" s="24">
        <f>IF(C224="",0,IFERROR(VLOOKUP(C224,BFTC!$B$5:$F$504,5,FALSE),0))</f>
        <v/>
      </c>
      <c r="K224" s="24">
        <f>IF(OR(F224="",J224=0,LEFT(I224,11)="KAPSAM DIŞI",LEFT(I224,11)="DAHİL DEĞİL"),0,F224*J224)</f>
        <v/>
      </c>
    </row>
    <row r="225">
      <c r="A225" s="5" t="n"/>
      <c r="B225" s="5" t="n"/>
      <c r="C225" s="5" t="n"/>
      <c r="D225" s="5" t="n"/>
      <c r="E225" s="5" t="n"/>
      <c r="F225" s="23" t="n"/>
      <c r="G225" s="5" t="n"/>
      <c r="H225" s="5" t="n"/>
      <c r="I225" s="5" t="n"/>
      <c r="J225" s="24">
        <f>IF(C225="",0,IFERROR(VLOOKUP(C225,BFTC!$B$5:$F$504,5,FALSE),0))</f>
        <v/>
      </c>
      <c r="K225" s="24">
        <f>IF(OR(F225="",J225=0,LEFT(I225,11)="KAPSAM DIŞI",LEFT(I225,11)="DAHİL DEĞİL"),0,F225*J225)</f>
        <v/>
      </c>
    </row>
    <row r="226">
      <c r="A226" s="5" t="n"/>
      <c r="B226" s="5" t="n"/>
      <c r="C226" s="5" t="n"/>
      <c r="D226" s="5" t="n"/>
      <c r="E226" s="5" t="n"/>
      <c r="F226" s="23" t="n"/>
      <c r="G226" s="5" t="n"/>
      <c r="H226" s="5" t="n"/>
      <c r="I226" s="5" t="n"/>
      <c r="J226" s="24">
        <f>IF(C226="",0,IFERROR(VLOOKUP(C226,BFTC!$B$5:$F$504,5,FALSE),0))</f>
        <v/>
      </c>
      <c r="K226" s="24">
        <f>IF(OR(F226="",J226=0,LEFT(I226,11)="KAPSAM DIŞI",LEFT(I226,11)="DAHİL DEĞİL"),0,F226*J226)</f>
        <v/>
      </c>
    </row>
    <row r="227">
      <c r="A227" s="5" t="n"/>
      <c r="B227" s="5" t="n"/>
      <c r="C227" s="5" t="n"/>
      <c r="D227" s="5" t="n"/>
      <c r="E227" s="5" t="n"/>
      <c r="F227" s="23" t="n"/>
      <c r="G227" s="5" t="n"/>
      <c r="H227" s="5" t="n"/>
      <c r="I227" s="5" t="n"/>
      <c r="J227" s="24">
        <f>IF(C227="",0,IFERROR(VLOOKUP(C227,BFTC!$B$5:$F$504,5,FALSE),0))</f>
        <v/>
      </c>
      <c r="K227" s="24">
        <f>IF(OR(F227="",J227=0,LEFT(I227,11)="KAPSAM DIŞI",LEFT(I227,11)="DAHİL DEĞİL"),0,F227*J227)</f>
        <v/>
      </c>
    </row>
    <row r="228">
      <c r="A228" s="5" t="n"/>
      <c r="B228" s="5" t="n"/>
      <c r="C228" s="5" t="n"/>
      <c r="D228" s="5" t="n"/>
      <c r="E228" s="5" t="n"/>
      <c r="F228" s="23" t="n"/>
      <c r="G228" s="5" t="n"/>
      <c r="H228" s="5" t="n"/>
      <c r="I228" s="5" t="n"/>
      <c r="J228" s="24">
        <f>IF(C228="",0,IFERROR(VLOOKUP(C228,BFTC!$B$5:$F$504,5,FALSE),0))</f>
        <v/>
      </c>
      <c r="K228" s="24">
        <f>IF(OR(F228="",J228=0,LEFT(I228,11)="KAPSAM DIŞI",LEFT(I228,11)="DAHİL DEĞİL"),0,F228*J228)</f>
        <v/>
      </c>
    </row>
    <row r="229">
      <c r="A229" s="5" t="n"/>
      <c r="B229" s="5" t="n"/>
      <c r="C229" s="5" t="n"/>
      <c r="D229" s="5" t="n"/>
      <c r="E229" s="5" t="n"/>
      <c r="F229" s="23" t="n"/>
      <c r="G229" s="5" t="n"/>
      <c r="H229" s="5" t="n"/>
      <c r="I229" s="5" t="n"/>
      <c r="J229" s="24">
        <f>IF(C229="",0,IFERROR(VLOOKUP(C229,BFTC!$B$5:$F$504,5,FALSE),0))</f>
        <v/>
      </c>
      <c r="K229" s="24">
        <f>IF(OR(F229="",J229=0,LEFT(I229,11)="KAPSAM DIŞI",LEFT(I229,11)="DAHİL DEĞİL"),0,F229*J229)</f>
        <v/>
      </c>
    </row>
    <row r="230">
      <c r="A230" s="5" t="n"/>
      <c r="B230" s="5" t="n"/>
      <c r="C230" s="5" t="n"/>
      <c r="D230" s="5" t="n"/>
      <c r="E230" s="5" t="n"/>
      <c r="F230" s="23" t="n"/>
      <c r="G230" s="5" t="n"/>
      <c r="H230" s="5" t="n"/>
      <c r="I230" s="5" t="n"/>
      <c r="J230" s="24">
        <f>IF(C230="",0,IFERROR(VLOOKUP(C230,BFTC!$B$5:$F$504,5,FALSE),0))</f>
        <v/>
      </c>
      <c r="K230" s="24">
        <f>IF(OR(F230="",J230=0,LEFT(I230,11)="KAPSAM DIŞI",LEFT(I230,11)="DAHİL DEĞİL"),0,F230*J230)</f>
        <v/>
      </c>
    </row>
    <row r="231">
      <c r="A231" s="5" t="n"/>
      <c r="B231" s="5" t="n"/>
      <c r="C231" s="5" t="n"/>
      <c r="D231" s="5" t="n"/>
      <c r="E231" s="5" t="n"/>
      <c r="F231" s="23" t="n"/>
      <c r="G231" s="5" t="n"/>
      <c r="H231" s="5" t="n"/>
      <c r="I231" s="5" t="n"/>
      <c r="J231" s="24">
        <f>IF(C231="",0,IFERROR(VLOOKUP(C231,BFTC!$B$5:$F$504,5,FALSE),0))</f>
        <v/>
      </c>
      <c r="K231" s="24">
        <f>IF(OR(F231="",J231=0,LEFT(I231,11)="KAPSAM DIŞI",LEFT(I231,11)="DAHİL DEĞİL"),0,F231*J231)</f>
        <v/>
      </c>
    </row>
    <row r="232">
      <c r="A232" s="5" t="n"/>
      <c r="B232" s="5" t="n"/>
      <c r="C232" s="5" t="n"/>
      <c r="D232" s="5" t="n"/>
      <c r="E232" s="5" t="n"/>
      <c r="F232" s="23" t="n"/>
      <c r="G232" s="5" t="n"/>
      <c r="H232" s="5" t="n"/>
      <c r="I232" s="5" t="n"/>
      <c r="J232" s="24">
        <f>IF(C232="",0,IFERROR(VLOOKUP(C232,BFTC!$B$5:$F$504,5,FALSE),0))</f>
        <v/>
      </c>
      <c r="K232" s="24">
        <f>IF(OR(F232="",J232=0,LEFT(I232,11)="KAPSAM DIŞI",LEFT(I232,11)="DAHİL DEĞİL"),0,F232*J232)</f>
        <v/>
      </c>
    </row>
    <row r="233">
      <c r="A233" s="5" t="n"/>
      <c r="B233" s="5" t="n"/>
      <c r="C233" s="5" t="n"/>
      <c r="D233" s="5" t="n"/>
      <c r="E233" s="5" t="n"/>
      <c r="F233" s="23" t="n"/>
      <c r="G233" s="5" t="n"/>
      <c r="H233" s="5" t="n"/>
      <c r="I233" s="5" t="n"/>
      <c r="J233" s="24">
        <f>IF(C233="",0,IFERROR(VLOOKUP(C233,BFTC!$B$5:$F$504,5,FALSE),0))</f>
        <v/>
      </c>
      <c r="K233" s="24">
        <f>IF(OR(F233="",J233=0,LEFT(I233,11)="KAPSAM DIŞI",LEFT(I233,11)="DAHİL DEĞİL"),0,F233*J233)</f>
        <v/>
      </c>
    </row>
    <row r="234">
      <c r="A234" s="5" t="n"/>
      <c r="B234" s="5" t="n"/>
      <c r="C234" s="5" t="n"/>
      <c r="D234" s="5" t="n"/>
      <c r="E234" s="5" t="n"/>
      <c r="F234" s="23" t="n"/>
      <c r="G234" s="5" t="n"/>
      <c r="H234" s="5" t="n"/>
      <c r="I234" s="5" t="n"/>
      <c r="J234" s="24">
        <f>IF(C234="",0,IFERROR(VLOOKUP(C234,BFTC!$B$5:$F$504,5,FALSE),0))</f>
        <v/>
      </c>
      <c r="K234" s="24">
        <f>IF(OR(F234="",J234=0,LEFT(I234,11)="KAPSAM DIŞI",LEFT(I234,11)="DAHİL DEĞİL"),0,F234*J234)</f>
        <v/>
      </c>
    </row>
    <row r="235">
      <c r="A235" s="5" t="n"/>
      <c r="B235" s="5" t="n"/>
      <c r="C235" s="5" t="n"/>
      <c r="D235" s="5" t="n"/>
      <c r="E235" s="5" t="n"/>
      <c r="F235" s="23" t="n"/>
      <c r="G235" s="5" t="n"/>
      <c r="H235" s="5" t="n"/>
      <c r="I235" s="5" t="n"/>
      <c r="J235" s="24">
        <f>IF(C235="",0,IFERROR(VLOOKUP(C235,BFTC!$B$5:$F$504,5,FALSE),0))</f>
        <v/>
      </c>
      <c r="K235" s="24">
        <f>IF(OR(F235="",J235=0,LEFT(I235,11)="KAPSAM DIŞI",LEFT(I235,11)="DAHİL DEĞİL"),0,F235*J235)</f>
        <v/>
      </c>
    </row>
    <row r="236">
      <c r="A236" s="5" t="n"/>
      <c r="B236" s="5" t="n"/>
      <c r="C236" s="5" t="n"/>
      <c r="D236" s="5" t="n"/>
      <c r="E236" s="5" t="n"/>
      <c r="F236" s="23" t="n"/>
      <c r="G236" s="5" t="n"/>
      <c r="H236" s="5" t="n"/>
      <c r="I236" s="5" t="n"/>
      <c r="J236" s="24">
        <f>IF(C236="",0,IFERROR(VLOOKUP(C236,BFTC!$B$5:$F$504,5,FALSE),0))</f>
        <v/>
      </c>
      <c r="K236" s="24">
        <f>IF(OR(F236="",J236=0,LEFT(I236,11)="KAPSAM DIŞI",LEFT(I236,11)="DAHİL DEĞİL"),0,F236*J236)</f>
        <v/>
      </c>
    </row>
    <row r="237">
      <c r="A237" s="5" t="n"/>
      <c r="B237" s="5" t="n"/>
      <c r="C237" s="5" t="n"/>
      <c r="D237" s="5" t="n"/>
      <c r="E237" s="5" t="n"/>
      <c r="F237" s="23" t="n"/>
      <c r="G237" s="5" t="n"/>
      <c r="H237" s="5" t="n"/>
      <c r="I237" s="5" t="n"/>
      <c r="J237" s="24">
        <f>IF(C237="",0,IFERROR(VLOOKUP(C237,BFTC!$B$5:$F$504,5,FALSE),0))</f>
        <v/>
      </c>
      <c r="K237" s="24">
        <f>IF(OR(F237="",J237=0,LEFT(I237,11)="KAPSAM DIŞI",LEFT(I237,11)="DAHİL DEĞİL"),0,F237*J237)</f>
        <v/>
      </c>
    </row>
    <row r="238">
      <c r="A238" s="5" t="n"/>
      <c r="B238" s="5" t="n"/>
      <c r="C238" s="5" t="n"/>
      <c r="D238" s="5" t="n"/>
      <c r="E238" s="5" t="n"/>
      <c r="F238" s="23" t="n"/>
      <c r="G238" s="5" t="n"/>
      <c r="H238" s="5" t="n"/>
      <c r="I238" s="5" t="n"/>
      <c r="J238" s="24">
        <f>IF(C238="",0,IFERROR(VLOOKUP(C238,BFTC!$B$5:$F$504,5,FALSE),0))</f>
        <v/>
      </c>
      <c r="K238" s="24">
        <f>IF(OR(F238="",J238=0,LEFT(I238,11)="KAPSAM DIŞI",LEFT(I238,11)="DAHİL DEĞİL"),0,F238*J238)</f>
        <v/>
      </c>
    </row>
    <row r="239">
      <c r="A239" s="5" t="n"/>
      <c r="B239" s="5" t="n"/>
      <c r="C239" s="5" t="n"/>
      <c r="D239" s="5" t="n"/>
      <c r="E239" s="5" t="n"/>
      <c r="F239" s="23" t="n"/>
      <c r="G239" s="5" t="n"/>
      <c r="H239" s="5" t="n"/>
      <c r="I239" s="5" t="n"/>
      <c r="J239" s="24">
        <f>IF(C239="",0,IFERROR(VLOOKUP(C239,BFTC!$B$5:$F$504,5,FALSE),0))</f>
        <v/>
      </c>
      <c r="K239" s="24">
        <f>IF(OR(F239="",J239=0,LEFT(I239,11)="KAPSAM DIŞI",LEFT(I239,11)="DAHİL DEĞİL"),0,F239*J239)</f>
        <v/>
      </c>
    </row>
    <row r="240">
      <c r="A240" s="5" t="n"/>
      <c r="B240" s="5" t="n"/>
      <c r="C240" s="5" t="n"/>
      <c r="D240" s="5" t="n"/>
      <c r="E240" s="5" t="n"/>
      <c r="F240" s="23" t="n"/>
      <c r="G240" s="5" t="n"/>
      <c r="H240" s="5" t="n"/>
      <c r="I240" s="5" t="n"/>
      <c r="J240" s="24">
        <f>IF(C240="",0,IFERROR(VLOOKUP(C240,BFTC!$B$5:$F$504,5,FALSE),0))</f>
        <v/>
      </c>
      <c r="K240" s="24">
        <f>IF(OR(F240="",J240=0,LEFT(I240,11)="KAPSAM DIŞI",LEFT(I240,11)="DAHİL DEĞİL"),0,F240*J240)</f>
        <v/>
      </c>
    </row>
    <row r="241">
      <c r="A241" s="5" t="n"/>
      <c r="B241" s="5" t="n"/>
      <c r="C241" s="5" t="n"/>
      <c r="D241" s="5" t="n"/>
      <c r="E241" s="5" t="n"/>
      <c r="F241" s="23" t="n"/>
      <c r="G241" s="5" t="n"/>
      <c r="H241" s="5" t="n"/>
      <c r="I241" s="5" t="n"/>
      <c r="J241" s="24">
        <f>IF(C241="",0,IFERROR(VLOOKUP(C241,BFTC!$B$5:$F$504,5,FALSE),0))</f>
        <v/>
      </c>
      <c r="K241" s="24">
        <f>IF(OR(F241="",J241=0,LEFT(I241,11)="KAPSAM DIŞI",LEFT(I241,11)="DAHİL DEĞİL"),0,F241*J241)</f>
        <v/>
      </c>
    </row>
    <row r="242">
      <c r="A242" s="5" t="n"/>
      <c r="B242" s="5" t="n"/>
      <c r="C242" s="5" t="n"/>
      <c r="D242" s="5" t="n"/>
      <c r="E242" s="5" t="n"/>
      <c r="F242" s="23" t="n"/>
      <c r="G242" s="5" t="n"/>
      <c r="H242" s="5" t="n"/>
      <c r="I242" s="5" t="n"/>
      <c r="J242" s="24">
        <f>IF(C242="",0,IFERROR(VLOOKUP(C242,BFTC!$B$5:$F$504,5,FALSE),0))</f>
        <v/>
      </c>
      <c r="K242" s="24">
        <f>IF(OR(F242="",J242=0,LEFT(I242,11)="KAPSAM DIŞI",LEFT(I242,11)="DAHİL DEĞİL"),0,F242*J242)</f>
        <v/>
      </c>
    </row>
    <row r="243">
      <c r="A243" s="5" t="n"/>
      <c r="B243" s="5" t="n"/>
      <c r="C243" s="5" t="n"/>
      <c r="D243" s="5" t="n"/>
      <c r="E243" s="5" t="n"/>
      <c r="F243" s="23" t="n"/>
      <c r="G243" s="5" t="n"/>
      <c r="H243" s="5" t="n"/>
      <c r="I243" s="5" t="n"/>
      <c r="J243" s="24">
        <f>IF(C243="",0,IFERROR(VLOOKUP(C243,BFTC!$B$5:$F$504,5,FALSE),0))</f>
        <v/>
      </c>
      <c r="K243" s="24">
        <f>IF(OR(F243="",J243=0,LEFT(I243,11)="KAPSAM DIŞI",LEFT(I243,11)="DAHİL DEĞİL"),0,F243*J243)</f>
        <v/>
      </c>
    </row>
    <row r="244">
      <c r="A244" s="5" t="n"/>
      <c r="B244" s="5" t="n"/>
      <c r="C244" s="5" t="n"/>
      <c r="D244" s="5" t="n"/>
      <c r="E244" s="5" t="n"/>
      <c r="F244" s="23" t="n"/>
      <c r="G244" s="5" t="n"/>
      <c r="H244" s="5" t="n"/>
      <c r="I244" s="5" t="n"/>
      <c r="J244" s="24">
        <f>IF(C244="",0,IFERROR(VLOOKUP(C244,BFTC!$B$5:$F$504,5,FALSE),0))</f>
        <v/>
      </c>
      <c r="K244" s="24">
        <f>IF(OR(F244="",J244=0,LEFT(I244,11)="KAPSAM DIŞI",LEFT(I244,11)="DAHİL DEĞİL"),0,F244*J244)</f>
        <v/>
      </c>
    </row>
    <row r="245">
      <c r="A245" s="5" t="n"/>
      <c r="B245" s="5" t="n"/>
      <c r="C245" s="5" t="n"/>
      <c r="D245" s="5" t="n"/>
      <c r="E245" s="5" t="n"/>
      <c r="F245" s="23" t="n"/>
      <c r="G245" s="5" t="n"/>
      <c r="H245" s="5" t="n"/>
      <c r="I245" s="5" t="n"/>
      <c r="J245" s="24">
        <f>IF(C245="",0,IFERROR(VLOOKUP(C245,BFTC!$B$5:$F$504,5,FALSE),0))</f>
        <v/>
      </c>
      <c r="K245" s="24">
        <f>IF(OR(F245="",J245=0,LEFT(I245,11)="KAPSAM DIŞI",LEFT(I245,11)="DAHİL DEĞİL"),0,F245*J245)</f>
        <v/>
      </c>
    </row>
    <row r="246">
      <c r="A246" s="5" t="n"/>
      <c r="B246" s="5" t="n"/>
      <c r="C246" s="5" t="n"/>
      <c r="D246" s="5" t="n"/>
      <c r="E246" s="5" t="n"/>
      <c r="F246" s="23" t="n"/>
      <c r="G246" s="5" t="n"/>
      <c r="H246" s="5" t="n"/>
      <c r="I246" s="5" t="n"/>
      <c r="J246" s="24">
        <f>IF(C246="",0,IFERROR(VLOOKUP(C246,BFTC!$B$5:$F$504,5,FALSE),0))</f>
        <v/>
      </c>
      <c r="K246" s="24">
        <f>IF(OR(F246="",J246=0,LEFT(I246,11)="KAPSAM DIŞI",LEFT(I246,11)="DAHİL DEĞİL"),0,F246*J246)</f>
        <v/>
      </c>
    </row>
    <row r="247">
      <c r="A247" s="5" t="n"/>
      <c r="B247" s="5" t="n"/>
      <c r="C247" s="5" t="n"/>
      <c r="D247" s="5" t="n"/>
      <c r="E247" s="5" t="n"/>
      <c r="F247" s="23" t="n"/>
      <c r="G247" s="5" t="n"/>
      <c r="H247" s="5" t="n"/>
      <c r="I247" s="5" t="n"/>
      <c r="J247" s="24">
        <f>IF(C247="",0,IFERROR(VLOOKUP(C247,BFTC!$B$5:$F$504,5,FALSE),0))</f>
        <v/>
      </c>
      <c r="K247" s="24">
        <f>IF(OR(F247="",J247=0,LEFT(I247,11)="KAPSAM DIŞI",LEFT(I247,11)="DAHİL DEĞİL"),0,F247*J247)</f>
        <v/>
      </c>
    </row>
    <row r="248">
      <c r="A248" s="5" t="n"/>
      <c r="B248" s="5" t="n"/>
      <c r="C248" s="5" t="n"/>
      <c r="D248" s="5" t="n"/>
      <c r="E248" s="5" t="n"/>
      <c r="F248" s="23" t="n"/>
      <c r="G248" s="5" t="n"/>
      <c r="H248" s="5" t="n"/>
      <c r="I248" s="5" t="n"/>
      <c r="J248" s="24">
        <f>IF(C248="",0,IFERROR(VLOOKUP(C248,BFTC!$B$5:$F$504,5,FALSE),0))</f>
        <v/>
      </c>
      <c r="K248" s="24">
        <f>IF(OR(F248="",J248=0,LEFT(I248,11)="KAPSAM DIŞI",LEFT(I248,11)="DAHİL DEĞİL"),0,F248*J248)</f>
        <v/>
      </c>
    </row>
    <row r="249">
      <c r="A249" s="5" t="n"/>
      <c r="B249" s="5" t="n"/>
      <c r="C249" s="5" t="n"/>
      <c r="D249" s="5" t="n"/>
      <c r="E249" s="5" t="n"/>
      <c r="F249" s="23" t="n"/>
      <c r="G249" s="5" t="n"/>
      <c r="H249" s="5" t="n"/>
      <c r="I249" s="5" t="n"/>
      <c r="J249" s="24">
        <f>IF(C249="",0,IFERROR(VLOOKUP(C249,BFTC!$B$5:$F$504,5,FALSE),0))</f>
        <v/>
      </c>
      <c r="K249" s="24">
        <f>IF(OR(F249="",J249=0,LEFT(I249,11)="KAPSAM DIŞI",LEFT(I249,11)="DAHİL DEĞİL"),0,F249*J249)</f>
        <v/>
      </c>
    </row>
    <row r="250">
      <c r="A250" s="5" t="n"/>
      <c r="B250" s="5" t="n"/>
      <c r="C250" s="5" t="n"/>
      <c r="D250" s="5" t="n"/>
      <c r="E250" s="5" t="n"/>
      <c r="F250" s="23" t="n"/>
      <c r="G250" s="5" t="n"/>
      <c r="H250" s="5" t="n"/>
      <c r="I250" s="5" t="n"/>
      <c r="J250" s="24">
        <f>IF(C250="",0,IFERROR(VLOOKUP(C250,BFTC!$B$5:$F$504,5,FALSE),0))</f>
        <v/>
      </c>
      <c r="K250" s="24">
        <f>IF(OR(F250="",J250=0,LEFT(I250,11)="KAPSAM DIŞI",LEFT(I250,11)="DAHİL DEĞİL"),0,F250*J250)</f>
        <v/>
      </c>
    </row>
    <row r="251">
      <c r="A251" s="5" t="n"/>
      <c r="B251" s="5" t="n"/>
      <c r="C251" s="5" t="n"/>
      <c r="D251" s="5" t="n"/>
      <c r="E251" s="5" t="n"/>
      <c r="F251" s="23" t="n"/>
      <c r="G251" s="5" t="n"/>
      <c r="H251" s="5" t="n"/>
      <c r="I251" s="5" t="n"/>
      <c r="J251" s="24">
        <f>IF(C251="",0,IFERROR(VLOOKUP(C251,BFTC!$B$5:$F$504,5,FALSE),0))</f>
        <v/>
      </c>
      <c r="K251" s="24">
        <f>IF(OR(F251="",J251=0,LEFT(I251,11)="KAPSAM DIŞI",LEFT(I251,11)="DAHİL DEĞİL"),0,F251*J251)</f>
        <v/>
      </c>
    </row>
    <row r="252">
      <c r="A252" s="5" t="n"/>
      <c r="B252" s="5" t="n"/>
      <c r="C252" s="5" t="n"/>
      <c r="D252" s="5" t="n"/>
      <c r="E252" s="5" t="n"/>
      <c r="F252" s="23" t="n"/>
      <c r="G252" s="5" t="n"/>
      <c r="H252" s="5" t="n"/>
      <c r="I252" s="5" t="n"/>
      <c r="J252" s="24">
        <f>IF(C252="",0,IFERROR(VLOOKUP(C252,BFTC!$B$5:$F$504,5,FALSE),0))</f>
        <v/>
      </c>
      <c r="K252" s="24">
        <f>IF(OR(F252="",J252=0,LEFT(I252,11)="KAPSAM DIŞI",LEFT(I252,11)="DAHİL DEĞİL"),0,F252*J252)</f>
        <v/>
      </c>
    </row>
    <row r="253">
      <c r="A253" s="5" t="n"/>
      <c r="B253" s="5" t="n"/>
      <c r="C253" s="5" t="n"/>
      <c r="D253" s="5" t="n"/>
      <c r="E253" s="5" t="n"/>
      <c r="F253" s="23" t="n"/>
      <c r="G253" s="5" t="n"/>
      <c r="H253" s="5" t="n"/>
      <c r="I253" s="5" t="n"/>
      <c r="J253" s="24">
        <f>IF(C253="",0,IFERROR(VLOOKUP(C253,BFTC!$B$5:$F$504,5,FALSE),0))</f>
        <v/>
      </c>
      <c r="K253" s="24">
        <f>IF(OR(F253="",J253=0,LEFT(I253,11)="KAPSAM DIŞI",LEFT(I253,11)="DAHİL DEĞİL"),0,F253*J253)</f>
        <v/>
      </c>
    </row>
    <row r="254">
      <c r="A254" s="5" t="n"/>
      <c r="B254" s="5" t="n"/>
      <c r="C254" s="5" t="n"/>
      <c r="D254" s="5" t="n"/>
      <c r="E254" s="5" t="n"/>
      <c r="F254" s="23" t="n"/>
      <c r="G254" s="5" t="n"/>
      <c r="H254" s="5" t="n"/>
      <c r="I254" s="5" t="n"/>
      <c r="J254" s="24">
        <f>IF(C254="",0,IFERROR(VLOOKUP(C254,BFTC!$B$5:$F$504,5,FALSE),0))</f>
        <v/>
      </c>
      <c r="K254" s="24">
        <f>IF(OR(F254="",J254=0,LEFT(I254,11)="KAPSAM DIŞI",LEFT(I254,11)="DAHİL DEĞİL"),0,F254*J254)</f>
        <v/>
      </c>
    </row>
    <row r="255">
      <c r="A255" s="5" t="n"/>
      <c r="B255" s="5" t="n"/>
      <c r="C255" s="5" t="n"/>
      <c r="D255" s="5" t="n"/>
      <c r="E255" s="5" t="n"/>
      <c r="F255" s="23" t="n"/>
      <c r="G255" s="5" t="n"/>
      <c r="H255" s="5" t="n"/>
      <c r="I255" s="5" t="n"/>
      <c r="J255" s="24">
        <f>IF(C255="",0,IFERROR(VLOOKUP(C255,BFTC!$B$5:$F$504,5,FALSE),0))</f>
        <v/>
      </c>
      <c r="K255" s="24">
        <f>IF(OR(F255="",J255=0,LEFT(I255,11)="KAPSAM DIŞI",LEFT(I255,11)="DAHİL DEĞİL"),0,F255*J255)</f>
        <v/>
      </c>
    </row>
    <row r="256">
      <c r="A256" s="5" t="n"/>
      <c r="B256" s="5" t="n"/>
      <c r="C256" s="5" t="n"/>
      <c r="D256" s="5" t="n"/>
      <c r="E256" s="5" t="n"/>
      <c r="F256" s="23" t="n"/>
      <c r="G256" s="5" t="n"/>
      <c r="H256" s="5" t="n"/>
      <c r="I256" s="5" t="n"/>
      <c r="J256" s="24">
        <f>IF(C256="",0,IFERROR(VLOOKUP(C256,BFTC!$B$5:$F$504,5,FALSE),0))</f>
        <v/>
      </c>
      <c r="K256" s="24">
        <f>IF(OR(F256="",J256=0,LEFT(I256,11)="KAPSAM DIŞI",LEFT(I256,11)="DAHİL DEĞİL"),0,F256*J256)</f>
        <v/>
      </c>
    </row>
    <row r="257">
      <c r="A257" s="5" t="n"/>
      <c r="B257" s="5" t="n"/>
      <c r="C257" s="5" t="n"/>
      <c r="D257" s="5" t="n"/>
      <c r="E257" s="5" t="n"/>
      <c r="F257" s="23" t="n"/>
      <c r="G257" s="5" t="n"/>
      <c r="H257" s="5" t="n"/>
      <c r="I257" s="5" t="n"/>
      <c r="J257" s="24">
        <f>IF(C257="",0,IFERROR(VLOOKUP(C257,BFTC!$B$5:$F$504,5,FALSE),0))</f>
        <v/>
      </c>
      <c r="K257" s="24">
        <f>IF(OR(F257="",J257=0,LEFT(I257,11)="KAPSAM DIŞI",LEFT(I257,11)="DAHİL DEĞİL"),0,F257*J257)</f>
        <v/>
      </c>
    </row>
    <row r="258">
      <c r="A258" s="5" t="n"/>
      <c r="B258" s="5" t="n"/>
      <c r="C258" s="5" t="n"/>
      <c r="D258" s="5" t="n"/>
      <c r="E258" s="5" t="n"/>
      <c r="F258" s="23" t="n"/>
      <c r="G258" s="5" t="n"/>
      <c r="H258" s="5" t="n"/>
      <c r="I258" s="5" t="n"/>
      <c r="J258" s="24">
        <f>IF(C258="",0,IFERROR(VLOOKUP(C258,BFTC!$B$5:$F$504,5,FALSE),0))</f>
        <v/>
      </c>
      <c r="K258" s="24">
        <f>IF(OR(F258="",J258=0,LEFT(I258,11)="KAPSAM DIŞI",LEFT(I258,11)="DAHİL DEĞİL"),0,F258*J258)</f>
        <v/>
      </c>
    </row>
    <row r="259">
      <c r="A259" s="5" t="n"/>
      <c r="B259" s="5" t="n"/>
      <c r="C259" s="5" t="n"/>
      <c r="D259" s="5" t="n"/>
      <c r="E259" s="5" t="n"/>
      <c r="F259" s="23" t="n"/>
      <c r="G259" s="5" t="n"/>
      <c r="H259" s="5" t="n"/>
      <c r="I259" s="5" t="n"/>
      <c r="J259" s="24">
        <f>IF(C259="",0,IFERROR(VLOOKUP(C259,BFTC!$B$5:$F$504,5,FALSE),0))</f>
        <v/>
      </c>
      <c r="K259" s="24">
        <f>IF(OR(F259="",J259=0,LEFT(I259,11)="KAPSAM DIŞI",LEFT(I259,11)="DAHİL DEĞİL"),0,F259*J259)</f>
        <v/>
      </c>
    </row>
    <row r="260">
      <c r="A260" s="5" t="n"/>
      <c r="B260" s="5" t="n"/>
      <c r="C260" s="5" t="n"/>
      <c r="D260" s="5" t="n"/>
      <c r="E260" s="5" t="n"/>
      <c r="F260" s="23" t="n"/>
      <c r="G260" s="5" t="n"/>
      <c r="H260" s="5" t="n"/>
      <c r="I260" s="5" t="n"/>
      <c r="J260" s="24">
        <f>IF(C260="",0,IFERROR(VLOOKUP(C260,BFTC!$B$5:$F$504,5,FALSE),0))</f>
        <v/>
      </c>
      <c r="K260" s="24">
        <f>IF(OR(F260="",J260=0,LEFT(I260,11)="KAPSAM DIŞI",LEFT(I260,11)="DAHİL DEĞİL"),0,F260*J260)</f>
        <v/>
      </c>
    </row>
    <row r="261">
      <c r="A261" s="5" t="n"/>
      <c r="B261" s="5" t="n"/>
      <c r="C261" s="5" t="n"/>
      <c r="D261" s="5" t="n"/>
      <c r="E261" s="5" t="n"/>
      <c r="F261" s="23" t="n"/>
      <c r="G261" s="5" t="n"/>
      <c r="H261" s="5" t="n"/>
      <c r="I261" s="5" t="n"/>
      <c r="J261" s="24">
        <f>IF(C261="",0,IFERROR(VLOOKUP(C261,BFTC!$B$5:$F$504,5,FALSE),0))</f>
        <v/>
      </c>
      <c r="K261" s="24">
        <f>IF(OR(F261="",J261=0,LEFT(I261,11)="KAPSAM DIŞI",LEFT(I261,11)="DAHİL DEĞİL"),0,F261*J261)</f>
        <v/>
      </c>
    </row>
    <row r="262">
      <c r="A262" s="5" t="n"/>
      <c r="B262" s="5" t="n"/>
      <c r="C262" s="5" t="n"/>
      <c r="D262" s="5" t="n"/>
      <c r="E262" s="5" t="n"/>
      <c r="F262" s="23" t="n"/>
      <c r="G262" s="5" t="n"/>
      <c r="H262" s="5" t="n"/>
      <c r="I262" s="5" t="n"/>
      <c r="J262" s="24">
        <f>IF(C262="",0,IFERROR(VLOOKUP(C262,BFTC!$B$5:$F$504,5,FALSE),0))</f>
        <v/>
      </c>
      <c r="K262" s="24">
        <f>IF(OR(F262="",J262=0,LEFT(I262,11)="KAPSAM DIŞI",LEFT(I262,11)="DAHİL DEĞİL"),0,F262*J262)</f>
        <v/>
      </c>
    </row>
    <row r="263">
      <c r="A263" s="5" t="n"/>
      <c r="B263" s="5" t="n"/>
      <c r="C263" s="5" t="n"/>
      <c r="D263" s="5" t="n"/>
      <c r="E263" s="5" t="n"/>
      <c r="F263" s="23" t="n"/>
      <c r="G263" s="5" t="n"/>
      <c r="H263" s="5" t="n"/>
      <c r="I263" s="5" t="n"/>
      <c r="J263" s="24">
        <f>IF(C263="",0,IFERROR(VLOOKUP(C263,BFTC!$B$5:$F$504,5,FALSE),0))</f>
        <v/>
      </c>
      <c r="K263" s="24">
        <f>IF(OR(F263="",J263=0,LEFT(I263,11)="KAPSAM DIŞI",LEFT(I263,11)="DAHİL DEĞİL"),0,F263*J263)</f>
        <v/>
      </c>
    </row>
    <row r="264">
      <c r="A264" s="5" t="n"/>
      <c r="B264" s="5" t="n"/>
      <c r="C264" s="5" t="n"/>
      <c r="D264" s="5" t="n"/>
      <c r="E264" s="5" t="n"/>
      <c r="F264" s="23" t="n"/>
      <c r="G264" s="5" t="n"/>
      <c r="H264" s="5" t="n"/>
      <c r="I264" s="5" t="n"/>
      <c r="J264" s="24">
        <f>IF(C264="",0,IFERROR(VLOOKUP(C264,BFTC!$B$5:$F$504,5,FALSE),0))</f>
        <v/>
      </c>
      <c r="K264" s="24">
        <f>IF(OR(F264="",J264=0,LEFT(I264,11)="KAPSAM DIŞI",LEFT(I264,11)="DAHİL DEĞİL"),0,F264*J264)</f>
        <v/>
      </c>
    </row>
    <row r="265">
      <c r="A265" s="5" t="n"/>
      <c r="B265" s="5" t="n"/>
      <c r="C265" s="5" t="n"/>
      <c r="D265" s="5" t="n"/>
      <c r="E265" s="5" t="n"/>
      <c r="F265" s="23" t="n"/>
      <c r="G265" s="5" t="n"/>
      <c r="H265" s="5" t="n"/>
      <c r="I265" s="5" t="n"/>
      <c r="J265" s="24">
        <f>IF(C265="",0,IFERROR(VLOOKUP(C265,BFTC!$B$5:$F$504,5,FALSE),0))</f>
        <v/>
      </c>
      <c r="K265" s="24">
        <f>IF(OR(F265="",J265=0,LEFT(I265,11)="KAPSAM DIŞI",LEFT(I265,11)="DAHİL DEĞİL"),0,F265*J265)</f>
        <v/>
      </c>
    </row>
    <row r="266">
      <c r="A266" s="5" t="n"/>
      <c r="B266" s="5" t="n"/>
      <c r="C266" s="5" t="n"/>
      <c r="D266" s="5" t="n"/>
      <c r="E266" s="5" t="n"/>
      <c r="F266" s="23" t="n"/>
      <c r="G266" s="5" t="n"/>
      <c r="H266" s="5" t="n"/>
      <c r="I266" s="5" t="n"/>
      <c r="J266" s="24">
        <f>IF(C266="",0,IFERROR(VLOOKUP(C266,BFTC!$B$5:$F$504,5,FALSE),0))</f>
        <v/>
      </c>
      <c r="K266" s="24">
        <f>IF(OR(F266="",J266=0,LEFT(I266,11)="KAPSAM DIŞI",LEFT(I266,11)="DAHİL DEĞİL"),0,F266*J266)</f>
        <v/>
      </c>
    </row>
    <row r="267">
      <c r="A267" s="5" t="n"/>
      <c r="B267" s="5" t="n"/>
      <c r="C267" s="5" t="n"/>
      <c r="D267" s="5" t="n"/>
      <c r="E267" s="5" t="n"/>
      <c r="F267" s="23" t="n"/>
      <c r="G267" s="5" t="n"/>
      <c r="H267" s="5" t="n"/>
      <c r="I267" s="5" t="n"/>
      <c r="J267" s="24">
        <f>IF(C267="",0,IFERROR(VLOOKUP(C267,BFTC!$B$5:$F$504,5,FALSE),0))</f>
        <v/>
      </c>
      <c r="K267" s="24">
        <f>IF(OR(F267="",J267=0,LEFT(I267,11)="KAPSAM DIŞI",LEFT(I267,11)="DAHİL DEĞİL"),0,F267*J267)</f>
        <v/>
      </c>
    </row>
    <row r="268">
      <c r="A268" s="5" t="n"/>
      <c r="B268" s="5" t="n"/>
      <c r="C268" s="5" t="n"/>
      <c r="D268" s="5" t="n"/>
      <c r="E268" s="5" t="n"/>
      <c r="F268" s="23" t="n"/>
      <c r="G268" s="5" t="n"/>
      <c r="H268" s="5" t="n"/>
      <c r="I268" s="5" t="n"/>
      <c r="J268" s="24">
        <f>IF(C268="",0,IFERROR(VLOOKUP(C268,BFTC!$B$5:$F$504,5,FALSE),0))</f>
        <v/>
      </c>
      <c r="K268" s="24">
        <f>IF(OR(F268="",J268=0,LEFT(I268,11)="KAPSAM DIŞI",LEFT(I268,11)="DAHİL DEĞİL"),0,F268*J268)</f>
        <v/>
      </c>
    </row>
    <row r="269">
      <c r="A269" s="5" t="n"/>
      <c r="B269" s="5" t="n"/>
      <c r="C269" s="5" t="n"/>
      <c r="D269" s="5" t="n"/>
      <c r="E269" s="5" t="n"/>
      <c r="F269" s="23" t="n"/>
      <c r="G269" s="5" t="n"/>
      <c r="H269" s="5" t="n"/>
      <c r="I269" s="5" t="n"/>
      <c r="J269" s="24">
        <f>IF(C269="",0,IFERROR(VLOOKUP(C269,BFTC!$B$5:$F$504,5,FALSE),0))</f>
        <v/>
      </c>
      <c r="K269" s="24">
        <f>IF(OR(F269="",J269=0,LEFT(I269,11)="KAPSAM DIŞI",LEFT(I269,11)="DAHİL DEĞİL"),0,F269*J269)</f>
        <v/>
      </c>
    </row>
    <row r="270">
      <c r="A270" s="5" t="n"/>
      <c r="B270" s="5" t="n"/>
      <c r="C270" s="5" t="n"/>
      <c r="D270" s="5" t="n"/>
      <c r="E270" s="5" t="n"/>
      <c r="F270" s="23" t="n"/>
      <c r="G270" s="5" t="n"/>
      <c r="H270" s="5" t="n"/>
      <c r="I270" s="5" t="n"/>
      <c r="J270" s="24">
        <f>IF(C270="",0,IFERROR(VLOOKUP(C270,BFTC!$B$5:$F$504,5,FALSE),0))</f>
        <v/>
      </c>
      <c r="K270" s="24">
        <f>IF(OR(F270="",J270=0,LEFT(I270,11)="KAPSAM DIŞI",LEFT(I270,11)="DAHİL DEĞİL"),0,F270*J270)</f>
        <v/>
      </c>
    </row>
    <row r="271">
      <c r="A271" s="5" t="n"/>
      <c r="B271" s="5" t="n"/>
      <c r="C271" s="5" t="n"/>
      <c r="D271" s="5" t="n"/>
      <c r="E271" s="5" t="n"/>
      <c r="F271" s="23" t="n"/>
      <c r="G271" s="5" t="n"/>
      <c r="H271" s="5" t="n"/>
      <c r="I271" s="5" t="n"/>
      <c r="J271" s="24">
        <f>IF(C271="",0,IFERROR(VLOOKUP(C271,BFTC!$B$5:$F$504,5,FALSE),0))</f>
        <v/>
      </c>
      <c r="K271" s="24">
        <f>IF(OR(F271="",J271=0,LEFT(I271,11)="KAPSAM DIŞI",LEFT(I271,11)="DAHİL DEĞİL"),0,F271*J271)</f>
        <v/>
      </c>
    </row>
    <row r="272">
      <c r="A272" s="5" t="n"/>
      <c r="B272" s="5" t="n"/>
      <c r="C272" s="5" t="n"/>
      <c r="D272" s="5" t="n"/>
      <c r="E272" s="5" t="n"/>
      <c r="F272" s="23" t="n"/>
      <c r="G272" s="5" t="n"/>
      <c r="H272" s="5" t="n"/>
      <c r="I272" s="5" t="n"/>
      <c r="J272" s="24">
        <f>IF(C272="",0,IFERROR(VLOOKUP(C272,BFTC!$B$5:$F$504,5,FALSE),0))</f>
        <v/>
      </c>
      <c r="K272" s="24">
        <f>IF(OR(F272="",J272=0,LEFT(I272,11)="KAPSAM DIŞI",LEFT(I272,11)="DAHİL DEĞİL"),0,F272*J272)</f>
        <v/>
      </c>
    </row>
    <row r="273">
      <c r="A273" s="5" t="n"/>
      <c r="B273" s="5" t="n"/>
      <c r="C273" s="5" t="n"/>
      <c r="D273" s="5" t="n"/>
      <c r="E273" s="5" t="n"/>
      <c r="F273" s="23" t="n"/>
      <c r="G273" s="5" t="n"/>
      <c r="H273" s="5" t="n"/>
      <c r="I273" s="5" t="n"/>
      <c r="J273" s="24">
        <f>IF(C273="",0,IFERROR(VLOOKUP(C273,BFTC!$B$5:$F$504,5,FALSE),0))</f>
        <v/>
      </c>
      <c r="K273" s="24">
        <f>IF(OR(F273="",J273=0,LEFT(I273,11)="KAPSAM DIŞI",LEFT(I273,11)="DAHİL DEĞİL"),0,F273*J273)</f>
        <v/>
      </c>
    </row>
    <row r="274">
      <c r="A274" s="5" t="n"/>
      <c r="B274" s="5" t="n"/>
      <c r="C274" s="5" t="n"/>
      <c r="D274" s="5" t="n"/>
      <c r="E274" s="5" t="n"/>
      <c r="F274" s="23" t="n"/>
      <c r="G274" s="5" t="n"/>
      <c r="H274" s="5" t="n"/>
      <c r="I274" s="5" t="n"/>
      <c r="J274" s="24">
        <f>IF(C274="",0,IFERROR(VLOOKUP(C274,BFTC!$B$5:$F$504,5,FALSE),0))</f>
        <v/>
      </c>
      <c r="K274" s="24">
        <f>IF(OR(F274="",J274=0,LEFT(I274,11)="KAPSAM DIŞI",LEFT(I274,11)="DAHİL DEĞİL"),0,F274*J274)</f>
        <v/>
      </c>
    </row>
    <row r="275">
      <c r="A275" s="5" t="n"/>
      <c r="B275" s="5" t="n"/>
      <c r="C275" s="5" t="n"/>
      <c r="D275" s="5" t="n"/>
      <c r="E275" s="5" t="n"/>
      <c r="F275" s="23" t="n"/>
      <c r="G275" s="5" t="n"/>
      <c r="H275" s="5" t="n"/>
      <c r="I275" s="5" t="n"/>
      <c r="J275" s="24">
        <f>IF(C275="",0,IFERROR(VLOOKUP(C275,BFTC!$B$5:$F$504,5,FALSE),0))</f>
        <v/>
      </c>
      <c r="K275" s="24">
        <f>IF(OR(F275="",J275=0,LEFT(I275,11)="KAPSAM DIŞI",LEFT(I275,11)="DAHİL DEĞİL"),0,F275*J275)</f>
        <v/>
      </c>
    </row>
    <row r="276">
      <c r="A276" s="5" t="n"/>
      <c r="B276" s="5" t="n"/>
      <c r="C276" s="5" t="n"/>
      <c r="D276" s="5" t="n"/>
      <c r="E276" s="5" t="n"/>
      <c r="F276" s="23" t="n"/>
      <c r="G276" s="5" t="n"/>
      <c r="H276" s="5" t="n"/>
      <c r="I276" s="5" t="n"/>
      <c r="J276" s="24">
        <f>IF(C276="",0,IFERROR(VLOOKUP(C276,BFTC!$B$5:$F$504,5,FALSE),0))</f>
        <v/>
      </c>
      <c r="K276" s="24">
        <f>IF(OR(F276="",J276=0,LEFT(I276,11)="KAPSAM DIŞI",LEFT(I276,11)="DAHİL DEĞİL"),0,F276*J276)</f>
        <v/>
      </c>
    </row>
    <row r="277">
      <c r="A277" s="5" t="n"/>
      <c r="B277" s="5" t="n"/>
      <c r="C277" s="5" t="n"/>
      <c r="D277" s="5" t="n"/>
      <c r="E277" s="5" t="n"/>
      <c r="F277" s="23" t="n"/>
      <c r="G277" s="5" t="n"/>
      <c r="H277" s="5" t="n"/>
      <c r="I277" s="5" t="n"/>
      <c r="J277" s="24">
        <f>IF(C277="",0,IFERROR(VLOOKUP(C277,BFTC!$B$5:$F$504,5,FALSE),0))</f>
        <v/>
      </c>
      <c r="K277" s="24">
        <f>IF(OR(F277="",J277=0,LEFT(I277,11)="KAPSAM DIŞI",LEFT(I277,11)="DAHİL DEĞİL"),0,F277*J277)</f>
        <v/>
      </c>
    </row>
    <row r="278">
      <c r="A278" s="5" t="n"/>
      <c r="B278" s="5" t="n"/>
      <c r="C278" s="5" t="n"/>
      <c r="D278" s="5" t="n"/>
      <c r="E278" s="5" t="n"/>
      <c r="F278" s="23" t="n"/>
      <c r="G278" s="5" t="n"/>
      <c r="H278" s="5" t="n"/>
      <c r="I278" s="5" t="n"/>
      <c r="J278" s="24">
        <f>IF(C278="",0,IFERROR(VLOOKUP(C278,BFTC!$B$5:$F$504,5,FALSE),0))</f>
        <v/>
      </c>
      <c r="K278" s="24">
        <f>IF(OR(F278="",J278=0,LEFT(I278,11)="KAPSAM DIŞI",LEFT(I278,11)="DAHİL DEĞİL"),0,F278*J278)</f>
        <v/>
      </c>
    </row>
    <row r="279">
      <c r="A279" s="5" t="n"/>
      <c r="B279" s="5" t="n"/>
      <c r="C279" s="5" t="n"/>
      <c r="D279" s="5" t="n"/>
      <c r="E279" s="5" t="n"/>
      <c r="F279" s="23" t="n"/>
      <c r="G279" s="5" t="n"/>
      <c r="H279" s="5" t="n"/>
      <c r="I279" s="5" t="n"/>
      <c r="J279" s="24">
        <f>IF(C279="",0,IFERROR(VLOOKUP(C279,BFTC!$B$5:$F$504,5,FALSE),0))</f>
        <v/>
      </c>
      <c r="K279" s="24">
        <f>IF(OR(F279="",J279=0,LEFT(I279,11)="KAPSAM DIŞI",LEFT(I279,11)="DAHİL DEĞİL"),0,F279*J279)</f>
        <v/>
      </c>
    </row>
    <row r="280">
      <c r="A280" s="5" t="n"/>
      <c r="B280" s="5" t="n"/>
      <c r="C280" s="5" t="n"/>
      <c r="D280" s="5" t="n"/>
      <c r="E280" s="5" t="n"/>
      <c r="F280" s="23" t="n"/>
      <c r="G280" s="5" t="n"/>
      <c r="H280" s="5" t="n"/>
      <c r="I280" s="5" t="n"/>
      <c r="J280" s="24">
        <f>IF(C280="",0,IFERROR(VLOOKUP(C280,BFTC!$B$5:$F$504,5,FALSE),0))</f>
        <v/>
      </c>
      <c r="K280" s="24">
        <f>IF(OR(F280="",J280=0,LEFT(I280,11)="KAPSAM DIŞI",LEFT(I280,11)="DAHİL DEĞİL"),0,F280*J280)</f>
        <v/>
      </c>
    </row>
    <row r="281">
      <c r="A281" s="5" t="n"/>
      <c r="B281" s="5" t="n"/>
      <c r="C281" s="5" t="n"/>
      <c r="D281" s="5" t="n"/>
      <c r="E281" s="5" t="n"/>
      <c r="F281" s="23" t="n"/>
      <c r="G281" s="5" t="n"/>
      <c r="H281" s="5" t="n"/>
      <c r="I281" s="5" t="n"/>
      <c r="J281" s="24">
        <f>IF(C281="",0,IFERROR(VLOOKUP(C281,BFTC!$B$5:$F$504,5,FALSE),0))</f>
        <v/>
      </c>
      <c r="K281" s="24">
        <f>IF(OR(F281="",J281=0,LEFT(I281,11)="KAPSAM DIŞI",LEFT(I281,11)="DAHİL DEĞİL"),0,F281*J281)</f>
        <v/>
      </c>
    </row>
    <row r="282">
      <c r="A282" s="5" t="n"/>
      <c r="B282" s="5" t="n"/>
      <c r="C282" s="5" t="n"/>
      <c r="D282" s="5" t="n"/>
      <c r="E282" s="5" t="n"/>
      <c r="F282" s="23" t="n"/>
      <c r="G282" s="5" t="n"/>
      <c r="H282" s="5" t="n"/>
      <c r="I282" s="5" t="n"/>
      <c r="J282" s="24">
        <f>IF(C282="",0,IFERROR(VLOOKUP(C282,BFTC!$B$5:$F$504,5,FALSE),0))</f>
        <v/>
      </c>
      <c r="K282" s="24">
        <f>IF(OR(F282="",J282=0,LEFT(I282,11)="KAPSAM DIŞI",LEFT(I282,11)="DAHİL DEĞİL"),0,F282*J282)</f>
        <v/>
      </c>
    </row>
    <row r="283">
      <c r="A283" s="5" t="n"/>
      <c r="B283" s="5" t="n"/>
      <c r="C283" s="5" t="n"/>
      <c r="D283" s="5" t="n"/>
      <c r="E283" s="5" t="n"/>
      <c r="F283" s="23" t="n"/>
      <c r="G283" s="5" t="n"/>
      <c r="H283" s="5" t="n"/>
      <c r="I283" s="5" t="n"/>
      <c r="J283" s="24">
        <f>IF(C283="",0,IFERROR(VLOOKUP(C283,BFTC!$B$5:$F$504,5,FALSE),0))</f>
        <v/>
      </c>
      <c r="K283" s="24">
        <f>IF(OR(F283="",J283=0,LEFT(I283,11)="KAPSAM DIŞI",LEFT(I283,11)="DAHİL DEĞİL"),0,F283*J283)</f>
        <v/>
      </c>
    </row>
    <row r="284">
      <c r="A284" s="5" t="n"/>
      <c r="B284" s="5" t="n"/>
      <c r="C284" s="5" t="n"/>
      <c r="D284" s="5" t="n"/>
      <c r="E284" s="5" t="n"/>
      <c r="F284" s="23" t="n"/>
      <c r="G284" s="5" t="n"/>
      <c r="H284" s="5" t="n"/>
      <c r="I284" s="5" t="n"/>
      <c r="J284" s="24">
        <f>IF(C284="",0,IFERROR(VLOOKUP(C284,BFTC!$B$5:$F$504,5,FALSE),0))</f>
        <v/>
      </c>
      <c r="K284" s="24">
        <f>IF(OR(F284="",J284=0,LEFT(I284,11)="KAPSAM DIŞI",LEFT(I284,11)="DAHİL DEĞİL"),0,F284*J284)</f>
        <v/>
      </c>
    </row>
    <row r="285">
      <c r="A285" s="5" t="n"/>
      <c r="B285" s="5" t="n"/>
      <c r="C285" s="5" t="n"/>
      <c r="D285" s="5" t="n"/>
      <c r="E285" s="5" t="n"/>
      <c r="F285" s="23" t="n"/>
      <c r="G285" s="5" t="n"/>
      <c r="H285" s="5" t="n"/>
      <c r="I285" s="5" t="n"/>
      <c r="J285" s="24">
        <f>IF(C285="",0,IFERROR(VLOOKUP(C285,BFTC!$B$5:$F$504,5,FALSE),0))</f>
        <v/>
      </c>
      <c r="K285" s="24">
        <f>IF(OR(F285="",J285=0,LEFT(I285,11)="KAPSAM DIŞI",LEFT(I285,11)="DAHİL DEĞİL"),0,F285*J285)</f>
        <v/>
      </c>
    </row>
    <row r="286">
      <c r="A286" s="5" t="n"/>
      <c r="B286" s="5" t="n"/>
      <c r="C286" s="5" t="n"/>
      <c r="D286" s="5" t="n"/>
      <c r="E286" s="5" t="n"/>
      <c r="F286" s="23" t="n"/>
      <c r="G286" s="5" t="n"/>
      <c r="H286" s="5" t="n"/>
      <c r="I286" s="5" t="n"/>
      <c r="J286" s="24">
        <f>IF(C286="",0,IFERROR(VLOOKUP(C286,BFTC!$B$5:$F$504,5,FALSE),0))</f>
        <v/>
      </c>
      <c r="K286" s="24">
        <f>IF(OR(F286="",J286=0,LEFT(I286,11)="KAPSAM DIŞI",LEFT(I286,11)="DAHİL DEĞİL"),0,F286*J286)</f>
        <v/>
      </c>
    </row>
    <row r="287">
      <c r="A287" s="5" t="n"/>
      <c r="B287" s="5" t="n"/>
      <c r="C287" s="5" t="n"/>
      <c r="D287" s="5" t="n"/>
      <c r="E287" s="5" t="n"/>
      <c r="F287" s="23" t="n"/>
      <c r="G287" s="5" t="n"/>
      <c r="H287" s="5" t="n"/>
      <c r="I287" s="5" t="n"/>
      <c r="J287" s="24">
        <f>IF(C287="",0,IFERROR(VLOOKUP(C287,BFTC!$B$5:$F$504,5,FALSE),0))</f>
        <v/>
      </c>
      <c r="K287" s="24">
        <f>IF(OR(F287="",J287=0,LEFT(I287,11)="KAPSAM DIŞI",LEFT(I287,11)="DAHİL DEĞİL"),0,F287*J287)</f>
        <v/>
      </c>
    </row>
    <row r="288">
      <c r="A288" s="5" t="n"/>
      <c r="B288" s="5" t="n"/>
      <c r="C288" s="5" t="n"/>
      <c r="D288" s="5" t="n"/>
      <c r="E288" s="5" t="n"/>
      <c r="F288" s="23" t="n"/>
      <c r="G288" s="5" t="n"/>
      <c r="H288" s="5" t="n"/>
      <c r="I288" s="5" t="n"/>
      <c r="J288" s="24">
        <f>IF(C288="",0,IFERROR(VLOOKUP(C288,BFTC!$B$5:$F$504,5,FALSE),0))</f>
        <v/>
      </c>
      <c r="K288" s="24">
        <f>IF(OR(F288="",J288=0,LEFT(I288,11)="KAPSAM DIŞI",LEFT(I288,11)="DAHİL DEĞİL"),0,F288*J288)</f>
        <v/>
      </c>
    </row>
    <row r="289">
      <c r="A289" s="5" t="n"/>
      <c r="B289" s="5" t="n"/>
      <c r="C289" s="5" t="n"/>
      <c r="D289" s="5" t="n"/>
      <c r="E289" s="5" t="n"/>
      <c r="F289" s="23" t="n"/>
      <c r="G289" s="5" t="n"/>
      <c r="H289" s="5" t="n"/>
      <c r="I289" s="5" t="n"/>
      <c r="J289" s="24">
        <f>IF(C289="",0,IFERROR(VLOOKUP(C289,BFTC!$B$5:$F$504,5,FALSE),0))</f>
        <v/>
      </c>
      <c r="K289" s="24">
        <f>IF(OR(F289="",J289=0,LEFT(I289,11)="KAPSAM DIŞI",LEFT(I289,11)="DAHİL DEĞİL"),0,F289*J289)</f>
        <v/>
      </c>
    </row>
    <row r="290">
      <c r="A290" s="5" t="n"/>
      <c r="B290" s="5" t="n"/>
      <c r="C290" s="5" t="n"/>
      <c r="D290" s="5" t="n"/>
      <c r="E290" s="5" t="n"/>
      <c r="F290" s="23" t="n"/>
      <c r="G290" s="5" t="n"/>
      <c r="H290" s="5" t="n"/>
      <c r="I290" s="5" t="n"/>
      <c r="J290" s="24">
        <f>IF(C290="",0,IFERROR(VLOOKUP(C290,BFTC!$B$5:$F$504,5,FALSE),0))</f>
        <v/>
      </c>
      <c r="K290" s="24">
        <f>IF(OR(F290="",J290=0,LEFT(I290,11)="KAPSAM DIŞI",LEFT(I290,11)="DAHİL DEĞİL"),0,F290*J290)</f>
        <v/>
      </c>
    </row>
    <row r="291">
      <c r="A291" s="5" t="n"/>
      <c r="B291" s="5" t="n"/>
      <c r="C291" s="5" t="n"/>
      <c r="D291" s="5" t="n"/>
      <c r="E291" s="5" t="n"/>
      <c r="F291" s="23" t="n"/>
      <c r="G291" s="5" t="n"/>
      <c r="H291" s="5" t="n"/>
      <c r="I291" s="5" t="n"/>
      <c r="J291" s="24">
        <f>IF(C291="",0,IFERROR(VLOOKUP(C291,BFTC!$B$5:$F$504,5,FALSE),0))</f>
        <v/>
      </c>
      <c r="K291" s="24">
        <f>IF(OR(F291="",J291=0,LEFT(I291,11)="KAPSAM DIŞI",LEFT(I291,11)="DAHİL DEĞİL"),0,F291*J291)</f>
        <v/>
      </c>
    </row>
    <row r="292">
      <c r="A292" s="5" t="n"/>
      <c r="B292" s="5" t="n"/>
      <c r="C292" s="5" t="n"/>
      <c r="D292" s="5" t="n"/>
      <c r="E292" s="5" t="n"/>
      <c r="F292" s="23" t="n"/>
      <c r="G292" s="5" t="n"/>
      <c r="H292" s="5" t="n"/>
      <c r="I292" s="5" t="n"/>
      <c r="J292" s="24">
        <f>IF(C292="",0,IFERROR(VLOOKUP(C292,BFTC!$B$5:$F$504,5,FALSE),0))</f>
        <v/>
      </c>
      <c r="K292" s="24">
        <f>IF(OR(F292="",J292=0,LEFT(I292,11)="KAPSAM DIŞI",LEFT(I292,11)="DAHİL DEĞİL"),0,F292*J292)</f>
        <v/>
      </c>
    </row>
    <row r="293">
      <c r="A293" s="5" t="n"/>
      <c r="B293" s="5" t="n"/>
      <c r="C293" s="5" t="n"/>
      <c r="D293" s="5" t="n"/>
      <c r="E293" s="5" t="n"/>
      <c r="F293" s="23" t="n"/>
      <c r="G293" s="5" t="n"/>
      <c r="H293" s="5" t="n"/>
      <c r="I293" s="5" t="n"/>
      <c r="J293" s="24">
        <f>IF(C293="",0,IFERROR(VLOOKUP(C293,BFTC!$B$5:$F$504,5,FALSE),0))</f>
        <v/>
      </c>
      <c r="K293" s="24">
        <f>IF(OR(F293="",J293=0,LEFT(I293,11)="KAPSAM DIŞI",LEFT(I293,11)="DAHİL DEĞİL"),0,F293*J293)</f>
        <v/>
      </c>
    </row>
    <row r="294">
      <c r="A294" s="5" t="n"/>
      <c r="B294" s="5" t="n"/>
      <c r="C294" s="5" t="n"/>
      <c r="D294" s="5" t="n"/>
      <c r="E294" s="5" t="n"/>
      <c r="F294" s="23" t="n"/>
      <c r="G294" s="5" t="n"/>
      <c r="H294" s="5" t="n"/>
      <c r="I294" s="5" t="n"/>
      <c r="J294" s="24">
        <f>IF(C294="",0,IFERROR(VLOOKUP(C294,BFTC!$B$5:$F$504,5,FALSE),0))</f>
        <v/>
      </c>
      <c r="K294" s="24">
        <f>IF(OR(F294="",J294=0,LEFT(I294,11)="KAPSAM DIŞI",LEFT(I294,11)="DAHİL DEĞİL"),0,F294*J294)</f>
        <v/>
      </c>
    </row>
    <row r="295">
      <c r="A295" s="5" t="n"/>
      <c r="B295" s="5" t="n"/>
      <c r="C295" s="5" t="n"/>
      <c r="D295" s="5" t="n"/>
      <c r="E295" s="5" t="n"/>
      <c r="F295" s="23" t="n"/>
      <c r="G295" s="5" t="n"/>
      <c r="H295" s="5" t="n"/>
      <c r="I295" s="5" t="n"/>
      <c r="J295" s="24">
        <f>IF(C295="",0,IFERROR(VLOOKUP(C295,BFTC!$B$5:$F$504,5,FALSE),0))</f>
        <v/>
      </c>
      <c r="K295" s="24">
        <f>IF(OR(F295="",J295=0,LEFT(I295,11)="KAPSAM DIŞI",LEFT(I295,11)="DAHİL DEĞİL"),0,F295*J295)</f>
        <v/>
      </c>
    </row>
    <row r="296">
      <c r="A296" s="5" t="n"/>
      <c r="B296" s="5" t="n"/>
      <c r="C296" s="5" t="n"/>
      <c r="D296" s="5" t="n"/>
      <c r="E296" s="5" t="n"/>
      <c r="F296" s="23" t="n"/>
      <c r="G296" s="5" t="n"/>
      <c r="H296" s="5" t="n"/>
      <c r="I296" s="5" t="n"/>
      <c r="J296" s="24">
        <f>IF(C296="",0,IFERROR(VLOOKUP(C296,BFTC!$B$5:$F$504,5,FALSE),0))</f>
        <v/>
      </c>
      <c r="K296" s="24">
        <f>IF(OR(F296="",J296=0,LEFT(I296,11)="KAPSAM DIŞI",LEFT(I296,11)="DAHİL DEĞİL"),0,F296*J296)</f>
        <v/>
      </c>
    </row>
    <row r="297">
      <c r="A297" s="5" t="n"/>
      <c r="B297" s="5" t="n"/>
      <c r="C297" s="5" t="n"/>
      <c r="D297" s="5" t="n"/>
      <c r="E297" s="5" t="n"/>
      <c r="F297" s="23" t="n"/>
      <c r="G297" s="5" t="n"/>
      <c r="H297" s="5" t="n"/>
      <c r="I297" s="5" t="n"/>
      <c r="J297" s="24">
        <f>IF(C297="",0,IFERROR(VLOOKUP(C297,BFTC!$B$5:$F$504,5,FALSE),0))</f>
        <v/>
      </c>
      <c r="K297" s="24">
        <f>IF(OR(F297="",J297=0,LEFT(I297,11)="KAPSAM DIŞI",LEFT(I297,11)="DAHİL DEĞİL"),0,F297*J297)</f>
        <v/>
      </c>
    </row>
    <row r="298">
      <c r="A298" s="5" t="n"/>
      <c r="B298" s="5" t="n"/>
      <c r="C298" s="5" t="n"/>
      <c r="D298" s="5" t="n"/>
      <c r="E298" s="5" t="n"/>
      <c r="F298" s="23" t="n"/>
      <c r="G298" s="5" t="n"/>
      <c r="H298" s="5" t="n"/>
      <c r="I298" s="5" t="n"/>
      <c r="J298" s="24">
        <f>IF(C298="",0,IFERROR(VLOOKUP(C298,BFTC!$B$5:$F$504,5,FALSE),0))</f>
        <v/>
      </c>
      <c r="K298" s="24">
        <f>IF(OR(F298="",J298=0,LEFT(I298,11)="KAPSAM DIŞI",LEFT(I298,11)="DAHİL DEĞİL"),0,F298*J298)</f>
        <v/>
      </c>
    </row>
    <row r="299">
      <c r="A299" s="5" t="n"/>
      <c r="B299" s="5" t="n"/>
      <c r="C299" s="5" t="n"/>
      <c r="D299" s="5" t="n"/>
      <c r="E299" s="5" t="n"/>
      <c r="F299" s="23" t="n"/>
      <c r="G299" s="5" t="n"/>
      <c r="H299" s="5" t="n"/>
      <c r="I299" s="5" t="n"/>
      <c r="J299" s="24">
        <f>IF(C299="",0,IFERROR(VLOOKUP(C299,BFTC!$B$5:$F$504,5,FALSE),0))</f>
        <v/>
      </c>
      <c r="K299" s="24">
        <f>IF(OR(F299="",J299=0,LEFT(I299,11)="KAPSAM DIŞI",LEFT(I299,11)="DAHİL DEĞİL"),0,F299*J299)</f>
        <v/>
      </c>
    </row>
    <row r="300">
      <c r="A300" s="5" t="n"/>
      <c r="B300" s="5" t="n"/>
      <c r="C300" s="5" t="n"/>
      <c r="D300" s="5" t="n"/>
      <c r="E300" s="5" t="n"/>
      <c r="F300" s="23" t="n"/>
      <c r="G300" s="5" t="n"/>
      <c r="H300" s="5" t="n"/>
      <c r="I300" s="5" t="n"/>
      <c r="J300" s="24">
        <f>IF(C300="",0,IFERROR(VLOOKUP(C300,BFTC!$B$5:$F$504,5,FALSE),0))</f>
        <v/>
      </c>
      <c r="K300" s="24">
        <f>IF(OR(F300="",J300=0,LEFT(I300,11)="KAPSAM DIŞI",LEFT(I300,11)="DAHİL DEĞİL"),0,F300*J300)</f>
        <v/>
      </c>
    </row>
    <row r="301">
      <c r="A301" s="5" t="n"/>
      <c r="B301" s="5" t="n"/>
      <c r="C301" s="5" t="n"/>
      <c r="D301" s="5" t="n"/>
      <c r="E301" s="5" t="n"/>
      <c r="F301" s="23" t="n"/>
      <c r="G301" s="5" t="n"/>
      <c r="H301" s="5" t="n"/>
      <c r="I301" s="5" t="n"/>
      <c r="J301" s="24">
        <f>IF(C301="",0,IFERROR(VLOOKUP(C301,BFTC!$B$5:$F$504,5,FALSE),0))</f>
        <v/>
      </c>
      <c r="K301" s="24">
        <f>IF(OR(F301="",J301=0,LEFT(I301,11)="KAPSAM DIŞI",LEFT(I301,11)="DAHİL DEĞİL"),0,F301*J301)</f>
        <v/>
      </c>
    </row>
    <row r="302">
      <c r="A302" s="5" t="n"/>
      <c r="B302" s="5" t="n"/>
      <c r="C302" s="5" t="n"/>
      <c r="D302" s="5" t="n"/>
      <c r="E302" s="5" t="n"/>
      <c r="F302" s="23" t="n"/>
      <c r="G302" s="5" t="n"/>
      <c r="H302" s="5" t="n"/>
      <c r="I302" s="5" t="n"/>
      <c r="J302" s="24">
        <f>IF(C302="",0,IFERROR(VLOOKUP(C302,BFTC!$B$5:$F$504,5,FALSE),0))</f>
        <v/>
      </c>
      <c r="K302" s="24">
        <f>IF(OR(F302="",J302=0,LEFT(I302,11)="KAPSAM DIŞI",LEFT(I302,11)="DAHİL DEĞİL"),0,F302*J302)</f>
        <v/>
      </c>
    </row>
    <row r="303">
      <c r="A303" s="5" t="n"/>
      <c r="B303" s="5" t="n"/>
      <c r="C303" s="5" t="n"/>
      <c r="D303" s="5" t="n"/>
      <c r="E303" s="5" t="n"/>
      <c r="F303" s="23" t="n"/>
      <c r="G303" s="5" t="n"/>
      <c r="H303" s="5" t="n"/>
      <c r="I303" s="5" t="n"/>
      <c r="J303" s="24">
        <f>IF(C303="",0,IFERROR(VLOOKUP(C303,BFTC!$B$5:$F$504,5,FALSE),0))</f>
        <v/>
      </c>
      <c r="K303" s="24">
        <f>IF(OR(F303="",J303=0,LEFT(I303,11)="KAPSAM DIŞI",LEFT(I303,11)="DAHİL DEĞİL"),0,F303*J303)</f>
        <v/>
      </c>
    </row>
    <row r="304">
      <c r="A304" s="5" t="n"/>
      <c r="B304" s="5" t="n"/>
      <c r="C304" s="5" t="n"/>
      <c r="D304" s="5" t="n"/>
      <c r="E304" s="5" t="n"/>
      <c r="F304" s="23" t="n"/>
      <c r="G304" s="5" t="n"/>
      <c r="H304" s="5" t="n"/>
      <c r="I304" s="5" t="n"/>
      <c r="J304" s="24">
        <f>IF(C304="",0,IFERROR(VLOOKUP(C304,BFTC!$B$5:$F$504,5,FALSE),0))</f>
        <v/>
      </c>
      <c r="K304" s="24">
        <f>IF(OR(F304="",J304=0,LEFT(I304,11)="KAPSAM DIŞI",LEFT(I304,11)="DAHİL DEĞİL"),0,F304*J304)</f>
        <v/>
      </c>
    </row>
    <row r="305">
      <c r="A305" s="5" t="n"/>
      <c r="B305" s="5" t="n"/>
      <c r="C305" s="5" t="n"/>
      <c r="D305" s="5" t="n"/>
      <c r="E305" s="5" t="n"/>
      <c r="F305" s="23" t="n"/>
      <c r="G305" s="5" t="n"/>
      <c r="H305" s="5" t="n"/>
      <c r="I305" s="5" t="n"/>
      <c r="J305" s="24">
        <f>IF(C305="",0,IFERROR(VLOOKUP(C305,BFTC!$B$5:$F$504,5,FALSE),0))</f>
        <v/>
      </c>
      <c r="K305" s="24">
        <f>IF(OR(F305="",J305=0,LEFT(I305,11)="KAPSAM DIŞI",LEFT(I305,11)="DAHİL DEĞİL"),0,F305*J305)</f>
        <v/>
      </c>
    </row>
    <row r="306">
      <c r="A306" s="5" t="n"/>
      <c r="B306" s="5" t="n"/>
      <c r="C306" s="5" t="n"/>
      <c r="D306" s="5" t="n"/>
      <c r="E306" s="5" t="n"/>
      <c r="F306" s="23" t="n"/>
      <c r="G306" s="5" t="n"/>
      <c r="H306" s="5" t="n"/>
      <c r="I306" s="5" t="n"/>
      <c r="J306" s="24">
        <f>IF(C306="",0,IFERROR(VLOOKUP(C306,BFTC!$B$5:$F$504,5,FALSE),0))</f>
        <v/>
      </c>
      <c r="K306" s="24">
        <f>IF(OR(F306="",J306=0,LEFT(I306,11)="KAPSAM DIŞI",LEFT(I306,11)="DAHİL DEĞİL"),0,F306*J306)</f>
        <v/>
      </c>
    </row>
    <row r="307">
      <c r="A307" s="5" t="n"/>
      <c r="B307" s="5" t="n"/>
      <c r="C307" s="5" t="n"/>
      <c r="D307" s="5" t="n"/>
      <c r="E307" s="5" t="n"/>
      <c r="F307" s="23" t="n"/>
      <c r="G307" s="5" t="n"/>
      <c r="H307" s="5" t="n"/>
      <c r="I307" s="5" t="n"/>
      <c r="J307" s="24">
        <f>IF(C307="",0,IFERROR(VLOOKUP(C307,BFTC!$B$5:$F$504,5,FALSE),0))</f>
        <v/>
      </c>
      <c r="K307" s="24">
        <f>IF(OR(F307="",J307=0,LEFT(I307,11)="KAPSAM DIŞI",LEFT(I307,11)="DAHİL DEĞİL"),0,F307*J307)</f>
        <v/>
      </c>
    </row>
    <row r="308">
      <c r="A308" s="5" t="n"/>
      <c r="B308" s="5" t="n"/>
      <c r="C308" s="5" t="n"/>
      <c r="D308" s="5" t="n"/>
      <c r="E308" s="5" t="n"/>
      <c r="F308" s="23" t="n"/>
      <c r="G308" s="5" t="n"/>
      <c r="H308" s="5" t="n"/>
      <c r="I308" s="5" t="n"/>
      <c r="J308" s="24">
        <f>IF(C308="",0,IFERROR(VLOOKUP(C308,BFTC!$B$5:$F$504,5,FALSE),0))</f>
        <v/>
      </c>
      <c r="K308" s="24">
        <f>IF(OR(F308="",J308=0,LEFT(I308,11)="KAPSAM DIŞI",LEFT(I308,11)="DAHİL DEĞİL"),0,F308*J308)</f>
        <v/>
      </c>
    </row>
    <row r="309">
      <c r="A309" s="5" t="n"/>
      <c r="B309" s="5" t="n"/>
      <c r="C309" s="5" t="n"/>
      <c r="D309" s="5" t="n"/>
      <c r="E309" s="5" t="n"/>
      <c r="F309" s="23" t="n"/>
      <c r="G309" s="5" t="n"/>
      <c r="H309" s="5" t="n"/>
      <c r="I309" s="5" t="n"/>
      <c r="J309" s="24">
        <f>IF(C309="",0,IFERROR(VLOOKUP(C309,BFTC!$B$5:$F$504,5,FALSE),0))</f>
        <v/>
      </c>
      <c r="K309" s="24">
        <f>IF(OR(F309="",J309=0,LEFT(I309,11)="KAPSAM DIŞI",LEFT(I309,11)="DAHİL DEĞİL"),0,F309*J309)</f>
        <v/>
      </c>
    </row>
    <row r="310">
      <c r="A310" s="5" t="n"/>
      <c r="B310" s="5" t="n"/>
      <c r="C310" s="5" t="n"/>
      <c r="D310" s="5" t="n"/>
      <c r="E310" s="5" t="n"/>
      <c r="F310" s="23" t="n"/>
      <c r="G310" s="5" t="n"/>
      <c r="H310" s="5" t="n"/>
      <c r="I310" s="5" t="n"/>
      <c r="J310" s="24">
        <f>IF(C310="",0,IFERROR(VLOOKUP(C310,BFTC!$B$5:$F$504,5,FALSE),0))</f>
        <v/>
      </c>
      <c r="K310" s="24">
        <f>IF(OR(F310="",J310=0,LEFT(I310,11)="KAPSAM DIŞI",LEFT(I310,11)="DAHİL DEĞİL"),0,F310*J310)</f>
        <v/>
      </c>
    </row>
    <row r="311">
      <c r="A311" s="5" t="n"/>
      <c r="B311" s="5" t="n"/>
      <c r="C311" s="5" t="n"/>
      <c r="D311" s="5" t="n"/>
      <c r="E311" s="5" t="n"/>
      <c r="F311" s="23" t="n"/>
      <c r="G311" s="5" t="n"/>
      <c r="H311" s="5" t="n"/>
      <c r="I311" s="5" t="n"/>
      <c r="J311" s="24">
        <f>IF(C311="",0,IFERROR(VLOOKUP(C311,BFTC!$B$5:$F$504,5,FALSE),0))</f>
        <v/>
      </c>
      <c r="K311" s="24">
        <f>IF(OR(F311="",J311=0,LEFT(I311,11)="KAPSAM DIŞI",LEFT(I311,11)="DAHİL DEĞİL"),0,F311*J311)</f>
        <v/>
      </c>
    </row>
    <row r="312">
      <c r="A312" s="5" t="n"/>
      <c r="B312" s="5" t="n"/>
      <c r="C312" s="5" t="n"/>
      <c r="D312" s="5" t="n"/>
      <c r="E312" s="5" t="n"/>
      <c r="F312" s="23" t="n"/>
      <c r="G312" s="5" t="n"/>
      <c r="H312" s="5" t="n"/>
      <c r="I312" s="5" t="n"/>
      <c r="J312" s="24">
        <f>IF(C312="",0,IFERROR(VLOOKUP(C312,BFTC!$B$5:$F$504,5,FALSE),0))</f>
        <v/>
      </c>
      <c r="K312" s="24">
        <f>IF(OR(F312="",J312=0,LEFT(I312,11)="KAPSAM DIŞI",LEFT(I312,11)="DAHİL DEĞİL"),0,F312*J312)</f>
        <v/>
      </c>
    </row>
    <row r="313">
      <c r="A313" s="5" t="n"/>
      <c r="B313" s="5" t="n"/>
      <c r="C313" s="5" t="n"/>
      <c r="D313" s="5" t="n"/>
      <c r="E313" s="5" t="n"/>
      <c r="F313" s="23" t="n"/>
      <c r="G313" s="5" t="n"/>
      <c r="H313" s="5" t="n"/>
      <c r="I313" s="5" t="n"/>
      <c r="J313" s="24">
        <f>IF(C313="",0,IFERROR(VLOOKUP(C313,BFTC!$B$5:$F$504,5,FALSE),0))</f>
        <v/>
      </c>
      <c r="K313" s="24">
        <f>IF(OR(F313="",J313=0,LEFT(I313,11)="KAPSAM DIŞI",LEFT(I313,11)="DAHİL DEĞİL"),0,F313*J313)</f>
        <v/>
      </c>
    </row>
    <row r="314">
      <c r="A314" s="5" t="n"/>
      <c r="B314" s="5" t="n"/>
      <c r="C314" s="5" t="n"/>
      <c r="D314" s="5" t="n"/>
      <c r="E314" s="5" t="n"/>
      <c r="F314" s="23" t="n"/>
      <c r="G314" s="5" t="n"/>
      <c r="H314" s="5" t="n"/>
      <c r="I314" s="5" t="n"/>
      <c r="J314" s="24">
        <f>IF(C314="",0,IFERROR(VLOOKUP(C314,BFTC!$B$5:$F$504,5,FALSE),0))</f>
        <v/>
      </c>
      <c r="K314" s="24">
        <f>IF(OR(F314="",J314=0,LEFT(I314,11)="KAPSAM DIŞI",LEFT(I314,11)="DAHİL DEĞİL"),0,F314*J314)</f>
        <v/>
      </c>
    </row>
    <row r="315">
      <c r="A315" s="5" t="n"/>
      <c r="B315" s="5" t="n"/>
      <c r="C315" s="5" t="n"/>
      <c r="D315" s="5" t="n"/>
      <c r="E315" s="5" t="n"/>
      <c r="F315" s="23" t="n"/>
      <c r="G315" s="5" t="n"/>
      <c r="H315" s="5" t="n"/>
      <c r="I315" s="5" t="n"/>
      <c r="J315" s="24">
        <f>IF(C315="",0,IFERROR(VLOOKUP(C315,BFTC!$B$5:$F$504,5,FALSE),0))</f>
        <v/>
      </c>
      <c r="K315" s="24">
        <f>IF(OR(F315="",J315=0,LEFT(I315,11)="KAPSAM DIŞI",LEFT(I315,11)="DAHİL DEĞİL"),0,F315*J315)</f>
        <v/>
      </c>
    </row>
    <row r="316">
      <c r="A316" s="5" t="n"/>
      <c r="B316" s="5" t="n"/>
      <c r="C316" s="5" t="n"/>
      <c r="D316" s="5" t="n"/>
      <c r="E316" s="5" t="n"/>
      <c r="F316" s="23" t="n"/>
      <c r="G316" s="5" t="n"/>
      <c r="H316" s="5" t="n"/>
      <c r="I316" s="5" t="n"/>
      <c r="J316" s="24">
        <f>IF(C316="",0,IFERROR(VLOOKUP(C316,BFTC!$B$5:$F$504,5,FALSE),0))</f>
        <v/>
      </c>
      <c r="K316" s="24">
        <f>IF(OR(F316="",J316=0,LEFT(I316,11)="KAPSAM DIŞI",LEFT(I316,11)="DAHİL DEĞİL"),0,F316*J316)</f>
        <v/>
      </c>
    </row>
    <row r="317">
      <c r="A317" s="5" t="n"/>
      <c r="B317" s="5" t="n"/>
      <c r="C317" s="5" t="n"/>
      <c r="D317" s="5" t="n"/>
      <c r="E317" s="5" t="n"/>
      <c r="F317" s="23" t="n"/>
      <c r="G317" s="5" t="n"/>
      <c r="H317" s="5" t="n"/>
      <c r="I317" s="5" t="n"/>
      <c r="J317" s="24">
        <f>IF(C317="",0,IFERROR(VLOOKUP(C317,BFTC!$B$5:$F$504,5,FALSE),0))</f>
        <v/>
      </c>
      <c r="K317" s="24">
        <f>IF(OR(F317="",J317=0,LEFT(I317,11)="KAPSAM DIŞI",LEFT(I317,11)="DAHİL DEĞİL"),0,F317*J317)</f>
        <v/>
      </c>
    </row>
    <row r="318">
      <c r="A318" s="5" t="n"/>
      <c r="B318" s="5" t="n"/>
      <c r="C318" s="5" t="n"/>
      <c r="D318" s="5" t="n"/>
      <c r="E318" s="5" t="n"/>
      <c r="F318" s="23" t="n"/>
      <c r="G318" s="5" t="n"/>
      <c r="H318" s="5" t="n"/>
      <c r="I318" s="5" t="n"/>
      <c r="J318" s="24">
        <f>IF(C318="",0,IFERROR(VLOOKUP(C318,BFTC!$B$5:$F$504,5,FALSE),0))</f>
        <v/>
      </c>
      <c r="K318" s="24">
        <f>IF(OR(F318="",J318=0,LEFT(I318,11)="KAPSAM DIŞI",LEFT(I318,11)="DAHİL DEĞİL"),0,F318*J318)</f>
        <v/>
      </c>
    </row>
    <row r="319">
      <c r="A319" s="5" t="n"/>
      <c r="B319" s="5" t="n"/>
      <c r="C319" s="5" t="n"/>
      <c r="D319" s="5" t="n"/>
      <c r="E319" s="5" t="n"/>
      <c r="F319" s="23" t="n"/>
      <c r="G319" s="5" t="n"/>
      <c r="H319" s="5" t="n"/>
      <c r="I319" s="5" t="n"/>
      <c r="J319" s="24">
        <f>IF(C319="",0,IFERROR(VLOOKUP(C319,BFTC!$B$5:$F$504,5,FALSE),0))</f>
        <v/>
      </c>
      <c r="K319" s="24">
        <f>IF(OR(F319="",J319=0,LEFT(I319,11)="KAPSAM DIŞI",LEFT(I319,11)="DAHİL DEĞİL"),0,F319*J319)</f>
        <v/>
      </c>
    </row>
    <row r="320">
      <c r="A320" s="5" t="n"/>
      <c r="B320" s="5" t="n"/>
      <c r="C320" s="5" t="n"/>
      <c r="D320" s="5" t="n"/>
      <c r="E320" s="5" t="n"/>
      <c r="F320" s="23" t="n"/>
      <c r="G320" s="5" t="n"/>
      <c r="H320" s="5" t="n"/>
      <c r="I320" s="5" t="n"/>
      <c r="J320" s="24">
        <f>IF(C320="",0,IFERROR(VLOOKUP(C320,BFTC!$B$5:$F$504,5,FALSE),0))</f>
        <v/>
      </c>
      <c r="K320" s="24">
        <f>IF(OR(F320="",J320=0,LEFT(I320,11)="KAPSAM DIŞI",LEFT(I320,11)="DAHİL DEĞİL"),0,F320*J320)</f>
        <v/>
      </c>
    </row>
    <row r="321">
      <c r="A321" s="5" t="n"/>
      <c r="B321" s="5" t="n"/>
      <c r="C321" s="5" t="n"/>
      <c r="D321" s="5" t="n"/>
      <c r="E321" s="5" t="n"/>
      <c r="F321" s="23" t="n"/>
      <c r="G321" s="5" t="n"/>
      <c r="H321" s="5" t="n"/>
      <c r="I321" s="5" t="n"/>
      <c r="J321" s="24">
        <f>IF(C321="",0,IFERROR(VLOOKUP(C321,BFTC!$B$5:$F$504,5,FALSE),0))</f>
        <v/>
      </c>
      <c r="K321" s="24">
        <f>IF(OR(F321="",J321=0,LEFT(I321,11)="KAPSAM DIŞI",LEFT(I321,11)="DAHİL DEĞİL"),0,F321*J321)</f>
        <v/>
      </c>
    </row>
    <row r="322">
      <c r="A322" s="5" t="n"/>
      <c r="B322" s="5" t="n"/>
      <c r="C322" s="5" t="n"/>
      <c r="D322" s="5" t="n"/>
      <c r="E322" s="5" t="n"/>
      <c r="F322" s="23" t="n"/>
      <c r="G322" s="5" t="n"/>
      <c r="H322" s="5" t="n"/>
      <c r="I322" s="5" t="n"/>
      <c r="J322" s="24">
        <f>IF(C322="",0,IFERROR(VLOOKUP(C322,BFTC!$B$5:$F$504,5,FALSE),0))</f>
        <v/>
      </c>
      <c r="K322" s="24">
        <f>IF(OR(F322="",J322=0,LEFT(I322,11)="KAPSAM DIŞI",LEFT(I322,11)="DAHİL DEĞİL"),0,F322*J322)</f>
        <v/>
      </c>
    </row>
    <row r="323">
      <c r="A323" s="5" t="n"/>
      <c r="B323" s="5" t="n"/>
      <c r="C323" s="5" t="n"/>
      <c r="D323" s="5" t="n"/>
      <c r="E323" s="5" t="n"/>
      <c r="F323" s="23" t="n"/>
      <c r="G323" s="5" t="n"/>
      <c r="H323" s="5" t="n"/>
      <c r="I323" s="5" t="n"/>
      <c r="J323" s="24">
        <f>IF(C323="",0,IFERROR(VLOOKUP(C323,BFTC!$B$5:$F$504,5,FALSE),0))</f>
        <v/>
      </c>
      <c r="K323" s="24">
        <f>IF(OR(F323="",J323=0,LEFT(I323,11)="KAPSAM DIŞI",LEFT(I323,11)="DAHİL DEĞİL"),0,F323*J323)</f>
        <v/>
      </c>
    </row>
    <row r="324">
      <c r="A324" s="5" t="n"/>
      <c r="B324" s="5" t="n"/>
      <c r="C324" s="5" t="n"/>
      <c r="D324" s="5" t="n"/>
      <c r="E324" s="5" t="n"/>
      <c r="F324" s="23" t="n"/>
      <c r="G324" s="5" t="n"/>
      <c r="H324" s="5" t="n"/>
      <c r="I324" s="5" t="n"/>
      <c r="J324" s="24">
        <f>IF(C324="",0,IFERROR(VLOOKUP(C324,BFTC!$B$5:$F$504,5,FALSE),0))</f>
        <v/>
      </c>
      <c r="K324" s="24">
        <f>IF(OR(F324="",J324=0,LEFT(I324,11)="KAPSAM DIŞI",LEFT(I324,11)="DAHİL DEĞİL"),0,F324*J324)</f>
        <v/>
      </c>
    </row>
    <row r="325">
      <c r="A325" s="5" t="n"/>
      <c r="B325" s="5" t="n"/>
      <c r="C325" s="5" t="n"/>
      <c r="D325" s="5" t="n"/>
      <c r="E325" s="5" t="n"/>
      <c r="F325" s="23" t="n"/>
      <c r="G325" s="5" t="n"/>
      <c r="H325" s="5" t="n"/>
      <c r="I325" s="5" t="n"/>
      <c r="J325" s="24">
        <f>IF(C325="",0,IFERROR(VLOOKUP(C325,BFTC!$B$5:$F$504,5,FALSE),0))</f>
        <v/>
      </c>
      <c r="K325" s="24">
        <f>IF(OR(F325="",J325=0,LEFT(I325,11)="KAPSAM DIŞI",LEFT(I325,11)="DAHİL DEĞİL"),0,F325*J325)</f>
        <v/>
      </c>
    </row>
    <row r="326">
      <c r="A326" s="5" t="n"/>
      <c r="B326" s="5" t="n"/>
      <c r="C326" s="5" t="n"/>
      <c r="D326" s="5" t="n"/>
      <c r="E326" s="5" t="n"/>
      <c r="F326" s="23" t="n"/>
      <c r="G326" s="5" t="n"/>
      <c r="H326" s="5" t="n"/>
      <c r="I326" s="5" t="n"/>
      <c r="J326" s="24">
        <f>IF(C326="",0,IFERROR(VLOOKUP(C326,BFTC!$B$5:$F$504,5,FALSE),0))</f>
        <v/>
      </c>
      <c r="K326" s="24">
        <f>IF(OR(F326="",J326=0,LEFT(I326,11)="KAPSAM DIŞI",LEFT(I326,11)="DAHİL DEĞİL"),0,F326*J326)</f>
        <v/>
      </c>
    </row>
    <row r="327">
      <c r="A327" s="5" t="n"/>
      <c r="B327" s="5" t="n"/>
      <c r="C327" s="5" t="n"/>
      <c r="D327" s="5" t="n"/>
      <c r="E327" s="5" t="n"/>
      <c r="F327" s="23" t="n"/>
      <c r="G327" s="5" t="n"/>
      <c r="H327" s="5" t="n"/>
      <c r="I327" s="5" t="n"/>
      <c r="J327" s="24">
        <f>IF(C327="",0,IFERROR(VLOOKUP(C327,BFTC!$B$5:$F$504,5,FALSE),0))</f>
        <v/>
      </c>
      <c r="K327" s="24">
        <f>IF(OR(F327="",J327=0,LEFT(I327,11)="KAPSAM DIŞI",LEFT(I327,11)="DAHİL DEĞİL"),0,F327*J327)</f>
        <v/>
      </c>
    </row>
    <row r="328">
      <c r="A328" s="5" t="n"/>
      <c r="B328" s="5" t="n"/>
      <c r="C328" s="5" t="n"/>
      <c r="D328" s="5" t="n"/>
      <c r="E328" s="5" t="n"/>
      <c r="F328" s="23" t="n"/>
      <c r="G328" s="5" t="n"/>
      <c r="H328" s="5" t="n"/>
      <c r="I328" s="5" t="n"/>
      <c r="J328" s="24">
        <f>IF(C328="",0,IFERROR(VLOOKUP(C328,BFTC!$B$5:$F$504,5,FALSE),0))</f>
        <v/>
      </c>
      <c r="K328" s="24">
        <f>IF(OR(F328="",J328=0,LEFT(I328,11)="KAPSAM DIŞI",LEFT(I328,11)="DAHİL DEĞİL"),0,F328*J328)</f>
        <v/>
      </c>
    </row>
    <row r="329">
      <c r="A329" s="5" t="n"/>
      <c r="B329" s="5" t="n"/>
      <c r="C329" s="5" t="n"/>
      <c r="D329" s="5" t="n"/>
      <c r="E329" s="5" t="n"/>
      <c r="F329" s="23" t="n"/>
      <c r="G329" s="5" t="n"/>
      <c r="H329" s="5" t="n"/>
      <c r="I329" s="5" t="n"/>
      <c r="J329" s="24">
        <f>IF(C329="",0,IFERROR(VLOOKUP(C329,BFTC!$B$5:$F$504,5,FALSE),0))</f>
        <v/>
      </c>
      <c r="K329" s="24">
        <f>IF(OR(F329="",J329=0,LEFT(I329,11)="KAPSAM DIŞI",LEFT(I329,11)="DAHİL DEĞİL"),0,F329*J329)</f>
        <v/>
      </c>
    </row>
    <row r="330">
      <c r="A330" s="5" t="n"/>
      <c r="B330" s="5" t="n"/>
      <c r="C330" s="5" t="n"/>
      <c r="D330" s="5" t="n"/>
      <c r="E330" s="5" t="n"/>
      <c r="F330" s="23" t="n"/>
      <c r="G330" s="5" t="n"/>
      <c r="H330" s="5" t="n"/>
      <c r="I330" s="5" t="n"/>
      <c r="J330" s="24">
        <f>IF(C330="",0,IFERROR(VLOOKUP(C330,BFTC!$B$5:$F$504,5,FALSE),0))</f>
        <v/>
      </c>
      <c r="K330" s="24">
        <f>IF(OR(F330="",J330=0,LEFT(I330,11)="KAPSAM DIŞI",LEFT(I330,11)="DAHİL DEĞİL"),0,F330*J330)</f>
        <v/>
      </c>
    </row>
    <row r="331">
      <c r="A331" s="5" t="n"/>
      <c r="B331" s="5" t="n"/>
      <c r="C331" s="5" t="n"/>
      <c r="D331" s="5" t="n"/>
      <c r="E331" s="5" t="n"/>
      <c r="F331" s="23" t="n"/>
      <c r="G331" s="5" t="n"/>
      <c r="H331" s="5" t="n"/>
      <c r="I331" s="5" t="n"/>
      <c r="J331" s="24">
        <f>IF(C331="",0,IFERROR(VLOOKUP(C331,BFTC!$B$5:$F$504,5,FALSE),0))</f>
        <v/>
      </c>
      <c r="K331" s="24">
        <f>IF(OR(F331="",J331=0,LEFT(I331,11)="KAPSAM DIŞI",LEFT(I331,11)="DAHİL DEĞİL"),0,F331*J331)</f>
        <v/>
      </c>
    </row>
    <row r="332">
      <c r="A332" s="5" t="n"/>
      <c r="B332" s="5" t="n"/>
      <c r="C332" s="5" t="n"/>
      <c r="D332" s="5" t="n"/>
      <c r="E332" s="5" t="n"/>
      <c r="F332" s="23" t="n"/>
      <c r="G332" s="5" t="n"/>
      <c r="H332" s="5" t="n"/>
      <c r="I332" s="5" t="n"/>
      <c r="J332" s="24">
        <f>IF(C332="",0,IFERROR(VLOOKUP(C332,BFTC!$B$5:$F$504,5,FALSE),0))</f>
        <v/>
      </c>
      <c r="K332" s="24">
        <f>IF(OR(F332="",J332=0,LEFT(I332,11)="KAPSAM DIŞI",LEFT(I332,11)="DAHİL DEĞİL"),0,F332*J332)</f>
        <v/>
      </c>
    </row>
    <row r="333">
      <c r="A333" s="5" t="n"/>
      <c r="B333" s="5" t="n"/>
      <c r="C333" s="5" t="n"/>
      <c r="D333" s="5" t="n"/>
      <c r="E333" s="5" t="n"/>
      <c r="F333" s="23" t="n"/>
      <c r="G333" s="5" t="n"/>
      <c r="H333" s="5" t="n"/>
      <c r="I333" s="5" t="n"/>
      <c r="J333" s="24">
        <f>IF(C333="",0,IFERROR(VLOOKUP(C333,BFTC!$B$5:$F$504,5,FALSE),0))</f>
        <v/>
      </c>
      <c r="K333" s="24">
        <f>IF(OR(F333="",J333=0,LEFT(I333,11)="KAPSAM DIŞI",LEFT(I333,11)="DAHİL DEĞİL"),0,F333*J333)</f>
        <v/>
      </c>
    </row>
    <row r="334">
      <c r="A334" s="5" t="n"/>
      <c r="B334" s="5" t="n"/>
      <c r="C334" s="5" t="n"/>
      <c r="D334" s="5" t="n"/>
      <c r="E334" s="5" t="n"/>
      <c r="F334" s="23" t="n"/>
      <c r="G334" s="5" t="n"/>
      <c r="H334" s="5" t="n"/>
      <c r="I334" s="5" t="n"/>
      <c r="J334" s="24">
        <f>IF(C334="",0,IFERROR(VLOOKUP(C334,BFTC!$B$5:$F$504,5,FALSE),0))</f>
        <v/>
      </c>
      <c r="K334" s="24">
        <f>IF(OR(F334="",J334=0,LEFT(I334,11)="KAPSAM DIŞI",LEFT(I334,11)="DAHİL DEĞİL"),0,F334*J334)</f>
        <v/>
      </c>
    </row>
    <row r="335">
      <c r="A335" s="5" t="n"/>
      <c r="B335" s="5" t="n"/>
      <c r="C335" s="5" t="n"/>
      <c r="D335" s="5" t="n"/>
      <c r="E335" s="5" t="n"/>
      <c r="F335" s="23" t="n"/>
      <c r="G335" s="5" t="n"/>
      <c r="H335" s="5" t="n"/>
      <c r="I335" s="5" t="n"/>
      <c r="J335" s="24">
        <f>IF(C335="",0,IFERROR(VLOOKUP(C335,BFTC!$B$5:$F$504,5,FALSE),0))</f>
        <v/>
      </c>
      <c r="K335" s="24">
        <f>IF(OR(F335="",J335=0,LEFT(I335,11)="KAPSAM DIŞI",LEFT(I335,11)="DAHİL DEĞİL"),0,F335*J335)</f>
        <v/>
      </c>
    </row>
    <row r="336">
      <c r="A336" s="5" t="n"/>
      <c r="B336" s="5" t="n"/>
      <c r="C336" s="5" t="n"/>
      <c r="D336" s="5" t="n"/>
      <c r="E336" s="5" t="n"/>
      <c r="F336" s="23" t="n"/>
      <c r="G336" s="5" t="n"/>
      <c r="H336" s="5" t="n"/>
      <c r="I336" s="5" t="n"/>
      <c r="J336" s="24">
        <f>IF(C336="",0,IFERROR(VLOOKUP(C336,BFTC!$B$5:$F$504,5,FALSE),0))</f>
        <v/>
      </c>
      <c r="K336" s="24">
        <f>IF(OR(F336="",J336=0,LEFT(I336,11)="KAPSAM DIŞI",LEFT(I336,11)="DAHİL DEĞİL"),0,F336*J336)</f>
        <v/>
      </c>
    </row>
    <row r="337">
      <c r="A337" s="5" t="n"/>
      <c r="B337" s="5" t="n"/>
      <c r="C337" s="5" t="n"/>
      <c r="D337" s="5" t="n"/>
      <c r="E337" s="5" t="n"/>
      <c r="F337" s="23" t="n"/>
      <c r="G337" s="5" t="n"/>
      <c r="H337" s="5" t="n"/>
      <c r="I337" s="5" t="n"/>
      <c r="J337" s="24">
        <f>IF(C337="",0,IFERROR(VLOOKUP(C337,BFTC!$B$5:$F$504,5,FALSE),0))</f>
        <v/>
      </c>
      <c r="K337" s="24">
        <f>IF(OR(F337="",J337=0,LEFT(I337,11)="KAPSAM DIŞI",LEFT(I337,11)="DAHİL DEĞİL"),0,F337*J337)</f>
        <v/>
      </c>
    </row>
    <row r="338">
      <c r="A338" s="5" t="n"/>
      <c r="B338" s="5" t="n"/>
      <c r="C338" s="5" t="n"/>
      <c r="D338" s="5" t="n"/>
      <c r="E338" s="5" t="n"/>
      <c r="F338" s="23" t="n"/>
      <c r="G338" s="5" t="n"/>
      <c r="H338" s="5" t="n"/>
      <c r="I338" s="5" t="n"/>
      <c r="J338" s="24">
        <f>IF(C338="",0,IFERROR(VLOOKUP(C338,BFTC!$B$5:$F$504,5,FALSE),0))</f>
        <v/>
      </c>
      <c r="K338" s="24">
        <f>IF(OR(F338="",J338=0,LEFT(I338,11)="KAPSAM DIŞI",LEFT(I338,11)="DAHİL DEĞİL"),0,F338*J338)</f>
        <v/>
      </c>
    </row>
    <row r="339">
      <c r="A339" s="5" t="n"/>
      <c r="B339" s="5" t="n"/>
      <c r="C339" s="5" t="n"/>
      <c r="D339" s="5" t="n"/>
      <c r="E339" s="5" t="n"/>
      <c r="F339" s="23" t="n"/>
      <c r="G339" s="5" t="n"/>
      <c r="H339" s="5" t="n"/>
      <c r="I339" s="5" t="n"/>
      <c r="J339" s="24">
        <f>IF(C339="",0,IFERROR(VLOOKUP(C339,BFTC!$B$5:$F$504,5,FALSE),0))</f>
        <v/>
      </c>
      <c r="K339" s="24">
        <f>IF(OR(F339="",J339=0,LEFT(I339,11)="KAPSAM DIŞI",LEFT(I339,11)="DAHİL DEĞİL"),0,F339*J339)</f>
        <v/>
      </c>
    </row>
    <row r="340">
      <c r="A340" s="5" t="n"/>
      <c r="B340" s="5" t="n"/>
      <c r="C340" s="5" t="n"/>
      <c r="D340" s="5" t="n"/>
      <c r="E340" s="5" t="n"/>
      <c r="F340" s="23" t="n"/>
      <c r="G340" s="5" t="n"/>
      <c r="H340" s="5" t="n"/>
      <c r="I340" s="5" t="n"/>
      <c r="J340" s="24">
        <f>IF(C340="",0,IFERROR(VLOOKUP(C340,BFTC!$B$5:$F$504,5,FALSE),0))</f>
        <v/>
      </c>
      <c r="K340" s="24">
        <f>IF(OR(F340="",J340=0,LEFT(I340,11)="KAPSAM DIŞI",LEFT(I340,11)="DAHİL DEĞİL"),0,F340*J340)</f>
        <v/>
      </c>
    </row>
    <row r="341">
      <c r="A341" s="5" t="n"/>
      <c r="B341" s="5" t="n"/>
      <c r="C341" s="5" t="n"/>
      <c r="D341" s="5" t="n"/>
      <c r="E341" s="5" t="n"/>
      <c r="F341" s="23" t="n"/>
      <c r="G341" s="5" t="n"/>
      <c r="H341" s="5" t="n"/>
      <c r="I341" s="5" t="n"/>
      <c r="J341" s="24">
        <f>IF(C341="",0,IFERROR(VLOOKUP(C341,BFTC!$B$5:$F$504,5,FALSE),0))</f>
        <v/>
      </c>
      <c r="K341" s="24">
        <f>IF(OR(F341="",J341=0,LEFT(I341,11)="KAPSAM DIŞI",LEFT(I341,11)="DAHİL DEĞİL"),0,F341*J341)</f>
        <v/>
      </c>
    </row>
    <row r="342">
      <c r="A342" s="5" t="n"/>
      <c r="B342" s="5" t="n"/>
      <c r="C342" s="5" t="n"/>
      <c r="D342" s="5" t="n"/>
      <c r="E342" s="5" t="n"/>
      <c r="F342" s="23" t="n"/>
      <c r="G342" s="5" t="n"/>
      <c r="H342" s="5" t="n"/>
      <c r="I342" s="5" t="n"/>
      <c r="J342" s="24">
        <f>IF(C342="",0,IFERROR(VLOOKUP(C342,BFTC!$B$5:$F$504,5,FALSE),0))</f>
        <v/>
      </c>
      <c r="K342" s="24">
        <f>IF(OR(F342="",J342=0,LEFT(I342,11)="KAPSAM DIŞI",LEFT(I342,11)="DAHİL DEĞİL"),0,F342*J342)</f>
        <v/>
      </c>
    </row>
    <row r="343">
      <c r="A343" s="5" t="n"/>
      <c r="B343" s="5" t="n"/>
      <c r="C343" s="5" t="n"/>
      <c r="D343" s="5" t="n"/>
      <c r="E343" s="5" t="n"/>
      <c r="F343" s="23" t="n"/>
      <c r="G343" s="5" t="n"/>
      <c r="H343" s="5" t="n"/>
      <c r="I343" s="5" t="n"/>
      <c r="J343" s="24">
        <f>IF(C343="",0,IFERROR(VLOOKUP(C343,BFTC!$B$5:$F$504,5,FALSE),0))</f>
        <v/>
      </c>
      <c r="K343" s="24">
        <f>IF(OR(F343="",J343=0,LEFT(I343,11)="KAPSAM DIŞI",LEFT(I343,11)="DAHİL DEĞİL"),0,F343*J343)</f>
        <v/>
      </c>
    </row>
    <row r="344">
      <c r="A344" s="5" t="n"/>
      <c r="B344" s="5" t="n"/>
      <c r="C344" s="5" t="n"/>
      <c r="D344" s="5" t="n"/>
      <c r="E344" s="5" t="n"/>
      <c r="F344" s="23" t="n"/>
      <c r="G344" s="5" t="n"/>
      <c r="H344" s="5" t="n"/>
      <c r="I344" s="5" t="n"/>
      <c r="J344" s="24">
        <f>IF(C344="",0,IFERROR(VLOOKUP(C344,BFTC!$B$5:$F$504,5,FALSE),0))</f>
        <v/>
      </c>
      <c r="K344" s="24">
        <f>IF(OR(F344="",J344=0,LEFT(I344,11)="KAPSAM DIŞI",LEFT(I344,11)="DAHİL DEĞİL"),0,F344*J344)</f>
        <v/>
      </c>
    </row>
    <row r="345">
      <c r="A345" s="5" t="n"/>
      <c r="B345" s="5" t="n"/>
      <c r="C345" s="5" t="n"/>
      <c r="D345" s="5" t="n"/>
      <c r="E345" s="5" t="n"/>
      <c r="F345" s="23" t="n"/>
      <c r="G345" s="5" t="n"/>
      <c r="H345" s="5" t="n"/>
      <c r="I345" s="5" t="n"/>
      <c r="J345" s="24">
        <f>IF(C345="",0,IFERROR(VLOOKUP(C345,BFTC!$B$5:$F$504,5,FALSE),0))</f>
        <v/>
      </c>
      <c r="K345" s="24">
        <f>IF(OR(F345="",J345=0,LEFT(I345,11)="KAPSAM DIŞI",LEFT(I345,11)="DAHİL DEĞİL"),0,F345*J345)</f>
        <v/>
      </c>
    </row>
    <row r="346">
      <c r="A346" s="5" t="n"/>
      <c r="B346" s="5" t="n"/>
      <c r="C346" s="5" t="n"/>
      <c r="D346" s="5" t="n"/>
      <c r="E346" s="5" t="n"/>
      <c r="F346" s="23" t="n"/>
      <c r="G346" s="5" t="n"/>
      <c r="H346" s="5" t="n"/>
      <c r="I346" s="5" t="n"/>
      <c r="J346" s="24">
        <f>IF(C346="",0,IFERROR(VLOOKUP(C346,BFTC!$B$5:$F$504,5,FALSE),0))</f>
        <v/>
      </c>
      <c r="K346" s="24">
        <f>IF(OR(F346="",J346=0,LEFT(I346,11)="KAPSAM DIŞI",LEFT(I346,11)="DAHİL DEĞİL"),0,F346*J346)</f>
        <v/>
      </c>
    </row>
    <row r="347">
      <c r="A347" s="5" t="n"/>
      <c r="B347" s="5" t="n"/>
      <c r="C347" s="5" t="n"/>
      <c r="D347" s="5" t="n"/>
      <c r="E347" s="5" t="n"/>
      <c r="F347" s="23" t="n"/>
      <c r="G347" s="5" t="n"/>
      <c r="H347" s="5" t="n"/>
      <c r="I347" s="5" t="n"/>
      <c r="J347" s="24">
        <f>IF(C347="",0,IFERROR(VLOOKUP(C347,BFTC!$B$5:$F$504,5,FALSE),0))</f>
        <v/>
      </c>
      <c r="K347" s="24">
        <f>IF(OR(F347="",J347=0,LEFT(I347,11)="KAPSAM DIŞI",LEFT(I347,11)="DAHİL DEĞİL"),0,F347*J347)</f>
        <v/>
      </c>
    </row>
    <row r="348">
      <c r="A348" s="5" t="n"/>
      <c r="B348" s="5" t="n"/>
      <c r="C348" s="5" t="n"/>
      <c r="D348" s="5" t="n"/>
      <c r="E348" s="5" t="n"/>
      <c r="F348" s="23" t="n"/>
      <c r="G348" s="5" t="n"/>
      <c r="H348" s="5" t="n"/>
      <c r="I348" s="5" t="n"/>
      <c r="J348" s="24">
        <f>IF(C348="",0,IFERROR(VLOOKUP(C348,BFTC!$B$5:$F$504,5,FALSE),0))</f>
        <v/>
      </c>
      <c r="K348" s="24">
        <f>IF(OR(F348="",J348=0,LEFT(I348,11)="KAPSAM DIŞI",LEFT(I348,11)="DAHİL DEĞİL"),0,F348*J348)</f>
        <v/>
      </c>
    </row>
    <row r="349">
      <c r="A349" s="5" t="n"/>
      <c r="B349" s="5" t="n"/>
      <c r="C349" s="5" t="n"/>
      <c r="D349" s="5" t="n"/>
      <c r="E349" s="5" t="n"/>
      <c r="F349" s="23" t="n"/>
      <c r="G349" s="5" t="n"/>
      <c r="H349" s="5" t="n"/>
      <c r="I349" s="5" t="n"/>
      <c r="J349" s="24">
        <f>IF(C349="",0,IFERROR(VLOOKUP(C349,BFTC!$B$5:$F$504,5,FALSE),0))</f>
        <v/>
      </c>
      <c r="K349" s="24">
        <f>IF(OR(F349="",J349=0,LEFT(I349,11)="KAPSAM DIŞI",LEFT(I349,11)="DAHİL DEĞİL"),0,F349*J349)</f>
        <v/>
      </c>
    </row>
    <row r="350">
      <c r="A350" s="5" t="n"/>
      <c r="B350" s="5" t="n"/>
      <c r="C350" s="5" t="n"/>
      <c r="D350" s="5" t="n"/>
      <c r="E350" s="5" t="n"/>
      <c r="F350" s="23" t="n"/>
      <c r="G350" s="5" t="n"/>
      <c r="H350" s="5" t="n"/>
      <c r="I350" s="5" t="n"/>
      <c r="J350" s="24">
        <f>IF(C350="",0,IFERROR(VLOOKUP(C350,BFTC!$B$5:$F$504,5,FALSE),0))</f>
        <v/>
      </c>
      <c r="K350" s="24">
        <f>IF(OR(F350="",J350=0,LEFT(I350,11)="KAPSAM DIŞI",LEFT(I350,11)="DAHİL DEĞİL"),0,F350*J350)</f>
        <v/>
      </c>
    </row>
    <row r="351">
      <c r="A351" s="5" t="n"/>
      <c r="B351" s="5" t="n"/>
      <c r="C351" s="5" t="n"/>
      <c r="D351" s="5" t="n"/>
      <c r="E351" s="5" t="n"/>
      <c r="F351" s="23" t="n"/>
      <c r="G351" s="5" t="n"/>
      <c r="H351" s="5" t="n"/>
      <c r="I351" s="5" t="n"/>
      <c r="J351" s="24">
        <f>IF(C351="",0,IFERROR(VLOOKUP(C351,BFTC!$B$5:$F$504,5,FALSE),0))</f>
        <v/>
      </c>
      <c r="K351" s="24">
        <f>IF(OR(F351="",J351=0,LEFT(I351,11)="KAPSAM DIŞI",LEFT(I351,11)="DAHİL DEĞİL"),0,F351*J351)</f>
        <v/>
      </c>
    </row>
    <row r="352">
      <c r="A352" s="5" t="n"/>
      <c r="B352" s="5" t="n"/>
      <c r="C352" s="5" t="n"/>
      <c r="D352" s="5" t="n"/>
      <c r="E352" s="5" t="n"/>
      <c r="F352" s="23" t="n"/>
      <c r="G352" s="5" t="n"/>
      <c r="H352" s="5" t="n"/>
      <c r="I352" s="5" t="n"/>
      <c r="J352" s="24">
        <f>IF(C352="",0,IFERROR(VLOOKUP(C352,BFTC!$B$5:$F$504,5,FALSE),0))</f>
        <v/>
      </c>
      <c r="K352" s="24">
        <f>IF(OR(F352="",J352=0,LEFT(I352,11)="KAPSAM DIŞI",LEFT(I352,11)="DAHİL DEĞİL"),0,F352*J352)</f>
        <v/>
      </c>
    </row>
    <row r="353">
      <c r="A353" s="5" t="n"/>
      <c r="B353" s="5" t="n"/>
      <c r="C353" s="5" t="n"/>
      <c r="D353" s="5" t="n"/>
      <c r="E353" s="5" t="n"/>
      <c r="F353" s="23" t="n"/>
      <c r="G353" s="5" t="n"/>
      <c r="H353" s="5" t="n"/>
      <c r="I353" s="5" t="n"/>
      <c r="J353" s="24">
        <f>IF(C353="",0,IFERROR(VLOOKUP(C353,BFTC!$B$5:$F$504,5,FALSE),0))</f>
        <v/>
      </c>
      <c r="K353" s="24">
        <f>IF(OR(F353="",J353=0,LEFT(I353,11)="KAPSAM DIŞI",LEFT(I353,11)="DAHİL DEĞİL"),0,F353*J353)</f>
        <v/>
      </c>
    </row>
    <row r="354">
      <c r="A354" s="5" t="n"/>
      <c r="B354" s="5" t="n"/>
      <c r="C354" s="5" t="n"/>
      <c r="D354" s="5" t="n"/>
      <c r="E354" s="5" t="n"/>
      <c r="F354" s="23" t="n"/>
      <c r="G354" s="5" t="n"/>
      <c r="H354" s="5" t="n"/>
      <c r="I354" s="5" t="n"/>
      <c r="J354" s="24">
        <f>IF(C354="",0,IFERROR(VLOOKUP(C354,BFTC!$B$5:$F$504,5,FALSE),0))</f>
        <v/>
      </c>
      <c r="K354" s="24">
        <f>IF(OR(F354="",J354=0,LEFT(I354,11)="KAPSAM DIŞI",LEFT(I354,11)="DAHİL DEĞİL"),0,F354*J354)</f>
        <v/>
      </c>
    </row>
    <row r="355">
      <c r="A355" s="5" t="n"/>
      <c r="B355" s="5" t="n"/>
      <c r="C355" s="5" t="n"/>
      <c r="D355" s="5" t="n"/>
      <c r="E355" s="5" t="n"/>
      <c r="F355" s="23" t="n"/>
      <c r="G355" s="5" t="n"/>
      <c r="H355" s="5" t="n"/>
      <c r="I355" s="5" t="n"/>
      <c r="J355" s="24">
        <f>IF(C355="",0,IFERROR(VLOOKUP(C355,BFTC!$B$5:$F$504,5,FALSE),0))</f>
        <v/>
      </c>
      <c r="K355" s="24">
        <f>IF(OR(F355="",J355=0,LEFT(I355,11)="KAPSAM DIŞI",LEFT(I355,11)="DAHİL DEĞİL"),0,F355*J355)</f>
        <v/>
      </c>
    </row>
    <row r="356">
      <c r="A356" s="5" t="n"/>
      <c r="B356" s="5" t="n"/>
      <c r="C356" s="5" t="n"/>
      <c r="D356" s="5" t="n"/>
      <c r="E356" s="5" t="n"/>
      <c r="F356" s="23" t="n"/>
      <c r="G356" s="5" t="n"/>
      <c r="H356" s="5" t="n"/>
      <c r="I356" s="5" t="n"/>
      <c r="J356" s="24">
        <f>IF(C356="",0,IFERROR(VLOOKUP(C356,BFTC!$B$5:$F$504,5,FALSE),0))</f>
        <v/>
      </c>
      <c r="K356" s="24">
        <f>IF(OR(F356="",J356=0,LEFT(I356,11)="KAPSAM DIŞI",LEFT(I356,11)="DAHİL DEĞİL"),0,F356*J356)</f>
        <v/>
      </c>
    </row>
    <row r="357">
      <c r="A357" s="5" t="n"/>
      <c r="B357" s="5" t="n"/>
      <c r="C357" s="5" t="n"/>
      <c r="D357" s="5" t="n"/>
      <c r="E357" s="5" t="n"/>
      <c r="F357" s="23" t="n"/>
      <c r="G357" s="5" t="n"/>
      <c r="H357" s="5" t="n"/>
      <c r="I357" s="5" t="n"/>
      <c r="J357" s="24">
        <f>IF(C357="",0,IFERROR(VLOOKUP(C357,BFTC!$B$5:$F$504,5,FALSE),0))</f>
        <v/>
      </c>
      <c r="K357" s="24">
        <f>IF(OR(F357="",J357=0,LEFT(I357,11)="KAPSAM DIŞI",LEFT(I357,11)="DAHİL DEĞİL"),0,F357*J357)</f>
        <v/>
      </c>
    </row>
    <row r="358">
      <c r="A358" s="5" t="n"/>
      <c r="B358" s="5" t="n"/>
      <c r="C358" s="5" t="n"/>
      <c r="D358" s="5" t="n"/>
      <c r="E358" s="5" t="n"/>
      <c r="F358" s="23" t="n"/>
      <c r="G358" s="5" t="n"/>
      <c r="H358" s="5" t="n"/>
      <c r="I358" s="5" t="n"/>
      <c r="J358" s="24">
        <f>IF(C358="",0,IFERROR(VLOOKUP(C358,BFTC!$B$5:$F$504,5,FALSE),0))</f>
        <v/>
      </c>
      <c r="K358" s="24">
        <f>IF(OR(F358="",J358=0,LEFT(I358,11)="KAPSAM DIŞI",LEFT(I358,11)="DAHİL DEĞİL"),0,F358*J358)</f>
        <v/>
      </c>
    </row>
    <row r="359">
      <c r="A359" s="5" t="n"/>
      <c r="B359" s="5" t="n"/>
      <c r="C359" s="5" t="n"/>
      <c r="D359" s="5" t="n"/>
      <c r="E359" s="5" t="n"/>
      <c r="F359" s="23" t="n"/>
      <c r="G359" s="5" t="n"/>
      <c r="H359" s="5" t="n"/>
      <c r="I359" s="5" t="n"/>
      <c r="J359" s="24">
        <f>IF(C359="",0,IFERROR(VLOOKUP(C359,BFTC!$B$5:$F$504,5,FALSE),0))</f>
        <v/>
      </c>
      <c r="K359" s="24">
        <f>IF(OR(F359="",J359=0,LEFT(I359,11)="KAPSAM DIŞI",LEFT(I359,11)="DAHİL DEĞİL"),0,F359*J359)</f>
        <v/>
      </c>
    </row>
    <row r="360">
      <c r="A360" s="5" t="n"/>
      <c r="B360" s="5" t="n"/>
      <c r="C360" s="5" t="n"/>
      <c r="D360" s="5" t="n"/>
      <c r="E360" s="5" t="n"/>
      <c r="F360" s="23" t="n"/>
      <c r="G360" s="5" t="n"/>
      <c r="H360" s="5" t="n"/>
      <c r="I360" s="5" t="n"/>
      <c r="J360" s="24">
        <f>IF(C360="",0,IFERROR(VLOOKUP(C360,BFTC!$B$5:$F$504,5,FALSE),0))</f>
        <v/>
      </c>
      <c r="K360" s="24">
        <f>IF(OR(F360="",J360=0,LEFT(I360,11)="KAPSAM DIŞI",LEFT(I360,11)="DAHİL DEĞİL"),0,F360*J360)</f>
        <v/>
      </c>
    </row>
    <row r="361">
      <c r="A361" s="5" t="n"/>
      <c r="B361" s="5" t="n"/>
      <c r="C361" s="5" t="n"/>
      <c r="D361" s="5" t="n"/>
      <c r="E361" s="5" t="n"/>
      <c r="F361" s="23" t="n"/>
      <c r="G361" s="5" t="n"/>
      <c r="H361" s="5" t="n"/>
      <c r="I361" s="5" t="n"/>
      <c r="J361" s="24">
        <f>IF(C361="",0,IFERROR(VLOOKUP(C361,BFTC!$B$5:$F$504,5,FALSE),0))</f>
        <v/>
      </c>
      <c r="K361" s="24">
        <f>IF(OR(F361="",J361=0,LEFT(I361,11)="KAPSAM DIŞI",LEFT(I361,11)="DAHİL DEĞİL"),0,F361*J361)</f>
        <v/>
      </c>
    </row>
    <row r="362">
      <c r="A362" s="5" t="n"/>
      <c r="B362" s="5" t="n"/>
      <c r="C362" s="5" t="n"/>
      <c r="D362" s="5" t="n"/>
      <c r="E362" s="5" t="n"/>
      <c r="F362" s="23" t="n"/>
      <c r="G362" s="5" t="n"/>
      <c r="H362" s="5" t="n"/>
      <c r="I362" s="5" t="n"/>
      <c r="J362" s="24">
        <f>IF(C362="",0,IFERROR(VLOOKUP(C362,BFTC!$B$5:$F$504,5,FALSE),0))</f>
        <v/>
      </c>
      <c r="K362" s="24">
        <f>IF(OR(F362="",J362=0,LEFT(I362,11)="KAPSAM DIŞI",LEFT(I362,11)="DAHİL DEĞİL"),0,F362*J362)</f>
        <v/>
      </c>
    </row>
    <row r="363">
      <c r="A363" s="5" t="n"/>
      <c r="B363" s="5" t="n"/>
      <c r="C363" s="5" t="n"/>
      <c r="D363" s="5" t="n"/>
      <c r="E363" s="5" t="n"/>
      <c r="F363" s="23" t="n"/>
      <c r="G363" s="5" t="n"/>
      <c r="H363" s="5" t="n"/>
      <c r="I363" s="5" t="n"/>
      <c r="J363" s="24">
        <f>IF(C363="",0,IFERROR(VLOOKUP(C363,BFTC!$B$5:$F$504,5,FALSE),0))</f>
        <v/>
      </c>
      <c r="K363" s="24">
        <f>IF(OR(F363="",J363=0,LEFT(I363,11)="KAPSAM DIŞI",LEFT(I363,11)="DAHİL DEĞİL"),0,F363*J363)</f>
        <v/>
      </c>
    </row>
    <row r="364">
      <c r="A364" s="5" t="n"/>
      <c r="B364" s="5" t="n"/>
      <c r="C364" s="5" t="n"/>
      <c r="D364" s="5" t="n"/>
      <c r="E364" s="5" t="n"/>
      <c r="F364" s="23" t="n"/>
      <c r="G364" s="5" t="n"/>
      <c r="H364" s="5" t="n"/>
      <c r="I364" s="5" t="n"/>
      <c r="J364" s="24">
        <f>IF(C364="",0,IFERROR(VLOOKUP(C364,BFTC!$B$5:$F$504,5,FALSE),0))</f>
        <v/>
      </c>
      <c r="K364" s="24">
        <f>IF(OR(F364="",J364=0,LEFT(I364,11)="KAPSAM DIŞI",LEFT(I364,11)="DAHİL DEĞİL"),0,F364*J364)</f>
        <v/>
      </c>
    </row>
    <row r="365">
      <c r="A365" s="5" t="n"/>
      <c r="B365" s="5" t="n"/>
      <c r="C365" s="5" t="n"/>
      <c r="D365" s="5" t="n"/>
      <c r="E365" s="5" t="n"/>
      <c r="F365" s="23" t="n"/>
      <c r="G365" s="5" t="n"/>
      <c r="H365" s="5" t="n"/>
      <c r="I365" s="5" t="n"/>
      <c r="J365" s="24">
        <f>IF(C365="",0,IFERROR(VLOOKUP(C365,BFTC!$B$5:$F$504,5,FALSE),0))</f>
        <v/>
      </c>
      <c r="K365" s="24">
        <f>IF(OR(F365="",J365=0,LEFT(I365,11)="KAPSAM DIŞI",LEFT(I365,11)="DAHİL DEĞİL"),0,F365*J365)</f>
        <v/>
      </c>
    </row>
    <row r="366">
      <c r="A366" s="5" t="n"/>
      <c r="B366" s="5" t="n"/>
      <c r="C366" s="5" t="n"/>
      <c r="D366" s="5" t="n"/>
      <c r="E366" s="5" t="n"/>
      <c r="F366" s="23" t="n"/>
      <c r="G366" s="5" t="n"/>
      <c r="H366" s="5" t="n"/>
      <c r="I366" s="5" t="n"/>
      <c r="J366" s="24">
        <f>IF(C366="",0,IFERROR(VLOOKUP(C366,BFTC!$B$5:$F$504,5,FALSE),0))</f>
        <v/>
      </c>
      <c r="K366" s="24">
        <f>IF(OR(F366="",J366=0,LEFT(I366,11)="KAPSAM DIŞI",LEFT(I366,11)="DAHİL DEĞİL"),0,F366*J366)</f>
        <v/>
      </c>
    </row>
    <row r="367">
      <c r="A367" s="5" t="n"/>
      <c r="B367" s="5" t="n"/>
      <c r="C367" s="5" t="n"/>
      <c r="D367" s="5" t="n"/>
      <c r="E367" s="5" t="n"/>
      <c r="F367" s="23" t="n"/>
      <c r="G367" s="5" t="n"/>
      <c r="H367" s="5" t="n"/>
      <c r="I367" s="5" t="n"/>
      <c r="J367" s="24">
        <f>IF(C367="",0,IFERROR(VLOOKUP(C367,BFTC!$B$5:$F$504,5,FALSE),0))</f>
        <v/>
      </c>
      <c r="K367" s="24">
        <f>IF(OR(F367="",J367=0,LEFT(I367,11)="KAPSAM DIŞI",LEFT(I367,11)="DAHİL DEĞİL"),0,F367*J367)</f>
        <v/>
      </c>
    </row>
    <row r="368">
      <c r="A368" s="5" t="n"/>
      <c r="B368" s="5" t="n"/>
      <c r="C368" s="5" t="n"/>
      <c r="D368" s="5" t="n"/>
      <c r="E368" s="5" t="n"/>
      <c r="F368" s="23" t="n"/>
      <c r="G368" s="5" t="n"/>
      <c r="H368" s="5" t="n"/>
      <c r="I368" s="5" t="n"/>
      <c r="J368" s="24">
        <f>IF(C368="",0,IFERROR(VLOOKUP(C368,BFTC!$B$5:$F$504,5,FALSE),0))</f>
        <v/>
      </c>
      <c r="K368" s="24">
        <f>IF(OR(F368="",J368=0,LEFT(I368,11)="KAPSAM DIŞI",LEFT(I368,11)="DAHİL DEĞİL"),0,F368*J368)</f>
        <v/>
      </c>
    </row>
    <row r="369">
      <c r="A369" s="5" t="n"/>
      <c r="B369" s="5" t="n"/>
      <c r="C369" s="5" t="n"/>
      <c r="D369" s="5" t="n"/>
      <c r="E369" s="5" t="n"/>
      <c r="F369" s="23" t="n"/>
      <c r="G369" s="5" t="n"/>
      <c r="H369" s="5" t="n"/>
      <c r="I369" s="5" t="n"/>
      <c r="J369" s="24">
        <f>IF(C369="",0,IFERROR(VLOOKUP(C369,BFTC!$B$5:$F$504,5,FALSE),0))</f>
        <v/>
      </c>
      <c r="K369" s="24">
        <f>IF(OR(F369="",J369=0,LEFT(I369,11)="KAPSAM DIŞI",LEFT(I369,11)="DAHİL DEĞİL"),0,F369*J369)</f>
        <v/>
      </c>
    </row>
    <row r="370">
      <c r="A370" s="5" t="n"/>
      <c r="B370" s="5" t="n"/>
      <c r="C370" s="5" t="n"/>
      <c r="D370" s="5" t="n"/>
      <c r="E370" s="5" t="n"/>
      <c r="F370" s="23" t="n"/>
      <c r="G370" s="5" t="n"/>
      <c r="H370" s="5" t="n"/>
      <c r="I370" s="5" t="n"/>
      <c r="J370" s="24">
        <f>IF(C370="",0,IFERROR(VLOOKUP(C370,BFTC!$B$5:$F$504,5,FALSE),0))</f>
        <v/>
      </c>
      <c r="K370" s="24">
        <f>IF(OR(F370="",J370=0,LEFT(I370,11)="KAPSAM DIŞI",LEFT(I370,11)="DAHİL DEĞİL"),0,F370*J370)</f>
        <v/>
      </c>
    </row>
    <row r="371">
      <c r="A371" s="5" t="n"/>
      <c r="B371" s="5" t="n"/>
      <c r="C371" s="5" t="n"/>
      <c r="D371" s="5" t="n"/>
      <c r="E371" s="5" t="n"/>
      <c r="F371" s="23" t="n"/>
      <c r="G371" s="5" t="n"/>
      <c r="H371" s="5" t="n"/>
      <c r="I371" s="5" t="n"/>
      <c r="J371" s="24">
        <f>IF(C371="",0,IFERROR(VLOOKUP(C371,BFTC!$B$5:$F$504,5,FALSE),0))</f>
        <v/>
      </c>
      <c r="K371" s="24">
        <f>IF(OR(F371="",J371=0,LEFT(I371,11)="KAPSAM DIŞI",LEFT(I371,11)="DAHİL DEĞİL"),0,F371*J371)</f>
        <v/>
      </c>
    </row>
    <row r="372">
      <c r="A372" s="5" t="n"/>
      <c r="B372" s="5" t="n"/>
      <c r="C372" s="5" t="n"/>
      <c r="D372" s="5" t="n"/>
      <c r="E372" s="5" t="n"/>
      <c r="F372" s="23" t="n"/>
      <c r="G372" s="5" t="n"/>
      <c r="H372" s="5" t="n"/>
      <c r="I372" s="5" t="n"/>
      <c r="J372" s="24">
        <f>IF(C372="",0,IFERROR(VLOOKUP(C372,BFTC!$B$5:$F$504,5,FALSE),0))</f>
        <v/>
      </c>
      <c r="K372" s="24">
        <f>IF(OR(F372="",J372=0,LEFT(I372,11)="KAPSAM DIŞI",LEFT(I372,11)="DAHİL DEĞİL"),0,F372*J372)</f>
        <v/>
      </c>
    </row>
    <row r="373">
      <c r="A373" s="5" t="n"/>
      <c r="B373" s="5" t="n"/>
      <c r="C373" s="5" t="n"/>
      <c r="D373" s="5" t="n"/>
      <c r="E373" s="5" t="n"/>
      <c r="F373" s="23" t="n"/>
      <c r="G373" s="5" t="n"/>
      <c r="H373" s="5" t="n"/>
      <c r="I373" s="5" t="n"/>
      <c r="J373" s="24">
        <f>IF(C373="",0,IFERROR(VLOOKUP(C373,BFTC!$B$5:$F$504,5,FALSE),0))</f>
        <v/>
      </c>
      <c r="K373" s="24">
        <f>IF(OR(F373="",J373=0,LEFT(I373,11)="KAPSAM DIŞI",LEFT(I373,11)="DAHİL DEĞİL"),0,F373*J373)</f>
        <v/>
      </c>
    </row>
    <row r="374">
      <c r="A374" s="5" t="n"/>
      <c r="B374" s="5" t="n"/>
      <c r="C374" s="5" t="n"/>
      <c r="D374" s="5" t="n"/>
      <c r="E374" s="5" t="n"/>
      <c r="F374" s="23" t="n"/>
      <c r="G374" s="5" t="n"/>
      <c r="H374" s="5" t="n"/>
      <c r="I374" s="5" t="n"/>
      <c r="J374" s="24">
        <f>IF(C374="",0,IFERROR(VLOOKUP(C374,BFTC!$B$5:$F$504,5,FALSE),0))</f>
        <v/>
      </c>
      <c r="K374" s="24">
        <f>IF(OR(F374="",J374=0,LEFT(I374,11)="KAPSAM DIŞI",LEFT(I374,11)="DAHİL DEĞİL"),0,F374*J374)</f>
        <v/>
      </c>
    </row>
    <row r="375">
      <c r="A375" s="5" t="n"/>
      <c r="B375" s="5" t="n"/>
      <c r="C375" s="5" t="n"/>
      <c r="D375" s="5" t="n"/>
      <c r="E375" s="5" t="n"/>
      <c r="F375" s="23" t="n"/>
      <c r="G375" s="5" t="n"/>
      <c r="H375" s="5" t="n"/>
      <c r="I375" s="5" t="n"/>
      <c r="J375" s="24">
        <f>IF(C375="",0,IFERROR(VLOOKUP(C375,BFTC!$B$5:$F$504,5,FALSE),0))</f>
        <v/>
      </c>
      <c r="K375" s="24">
        <f>IF(OR(F375="",J375=0,LEFT(I375,11)="KAPSAM DIŞI",LEFT(I375,11)="DAHİL DEĞİL"),0,F375*J375)</f>
        <v/>
      </c>
    </row>
    <row r="376">
      <c r="A376" s="5" t="n"/>
      <c r="B376" s="5" t="n"/>
      <c r="C376" s="5" t="n"/>
      <c r="D376" s="5" t="n"/>
      <c r="E376" s="5" t="n"/>
      <c r="F376" s="23" t="n"/>
      <c r="G376" s="5" t="n"/>
      <c r="H376" s="5" t="n"/>
      <c r="I376" s="5" t="n"/>
      <c r="J376" s="24">
        <f>IF(C376="",0,IFERROR(VLOOKUP(C376,BFTC!$B$5:$F$504,5,FALSE),0))</f>
        <v/>
      </c>
      <c r="K376" s="24">
        <f>IF(OR(F376="",J376=0,LEFT(I376,11)="KAPSAM DIŞI",LEFT(I376,11)="DAHİL DEĞİL"),0,F376*J376)</f>
        <v/>
      </c>
    </row>
    <row r="377">
      <c r="A377" s="5" t="n"/>
      <c r="B377" s="5" t="n"/>
      <c r="C377" s="5" t="n"/>
      <c r="D377" s="5" t="n"/>
      <c r="E377" s="5" t="n"/>
      <c r="F377" s="23" t="n"/>
      <c r="G377" s="5" t="n"/>
      <c r="H377" s="5" t="n"/>
      <c r="I377" s="5" t="n"/>
      <c r="J377" s="24">
        <f>IF(C377="",0,IFERROR(VLOOKUP(C377,BFTC!$B$5:$F$504,5,FALSE),0))</f>
        <v/>
      </c>
      <c r="K377" s="24">
        <f>IF(OR(F377="",J377=0,LEFT(I377,11)="KAPSAM DIŞI",LEFT(I377,11)="DAHİL DEĞİL"),0,F377*J377)</f>
        <v/>
      </c>
    </row>
    <row r="378">
      <c r="A378" s="5" t="n"/>
      <c r="B378" s="5" t="n"/>
      <c r="C378" s="5" t="n"/>
      <c r="D378" s="5" t="n"/>
      <c r="E378" s="5" t="n"/>
      <c r="F378" s="23" t="n"/>
      <c r="G378" s="5" t="n"/>
      <c r="H378" s="5" t="n"/>
      <c r="I378" s="5" t="n"/>
      <c r="J378" s="24">
        <f>IF(C378="",0,IFERROR(VLOOKUP(C378,BFTC!$B$5:$F$504,5,FALSE),0))</f>
        <v/>
      </c>
      <c r="K378" s="24">
        <f>IF(OR(F378="",J378=0,LEFT(I378,11)="KAPSAM DIŞI",LEFT(I378,11)="DAHİL DEĞİL"),0,F378*J378)</f>
        <v/>
      </c>
    </row>
    <row r="379">
      <c r="A379" s="5" t="n"/>
      <c r="B379" s="5" t="n"/>
      <c r="C379" s="5" t="n"/>
      <c r="D379" s="5" t="n"/>
      <c r="E379" s="5" t="n"/>
      <c r="F379" s="23" t="n"/>
      <c r="G379" s="5" t="n"/>
      <c r="H379" s="5" t="n"/>
      <c r="I379" s="5" t="n"/>
      <c r="J379" s="24">
        <f>IF(C379="",0,IFERROR(VLOOKUP(C379,BFTC!$B$5:$F$504,5,FALSE),0))</f>
        <v/>
      </c>
      <c r="K379" s="24">
        <f>IF(OR(F379="",J379=0,LEFT(I379,11)="KAPSAM DIŞI",LEFT(I379,11)="DAHİL DEĞİL"),0,F379*J379)</f>
        <v/>
      </c>
    </row>
    <row r="380">
      <c r="A380" s="5" t="n"/>
      <c r="B380" s="5" t="n"/>
      <c r="C380" s="5" t="n"/>
      <c r="D380" s="5" t="n"/>
      <c r="E380" s="5" t="n"/>
      <c r="F380" s="23" t="n"/>
      <c r="G380" s="5" t="n"/>
      <c r="H380" s="5" t="n"/>
      <c r="I380" s="5" t="n"/>
      <c r="J380" s="24">
        <f>IF(C380="",0,IFERROR(VLOOKUP(C380,BFTC!$B$5:$F$504,5,FALSE),0))</f>
        <v/>
      </c>
      <c r="K380" s="24">
        <f>IF(OR(F380="",J380=0,LEFT(I380,11)="KAPSAM DIŞI",LEFT(I380,11)="DAHİL DEĞİL"),0,F380*J380)</f>
        <v/>
      </c>
    </row>
    <row r="381">
      <c r="A381" s="5" t="n"/>
      <c r="B381" s="5" t="n"/>
      <c r="C381" s="5" t="n"/>
      <c r="D381" s="5" t="n"/>
      <c r="E381" s="5" t="n"/>
      <c r="F381" s="23" t="n"/>
      <c r="G381" s="5" t="n"/>
      <c r="H381" s="5" t="n"/>
      <c r="I381" s="5" t="n"/>
      <c r="J381" s="24">
        <f>IF(C381="",0,IFERROR(VLOOKUP(C381,BFTC!$B$5:$F$504,5,FALSE),0))</f>
        <v/>
      </c>
      <c r="K381" s="24">
        <f>IF(OR(F381="",J381=0,LEFT(I381,11)="KAPSAM DIŞI",LEFT(I381,11)="DAHİL DEĞİL"),0,F381*J381)</f>
        <v/>
      </c>
    </row>
    <row r="382">
      <c r="A382" s="5" t="n"/>
      <c r="B382" s="5" t="n"/>
      <c r="C382" s="5" t="n"/>
      <c r="D382" s="5" t="n"/>
      <c r="E382" s="5" t="n"/>
      <c r="F382" s="23" t="n"/>
      <c r="G382" s="5" t="n"/>
      <c r="H382" s="5" t="n"/>
      <c r="I382" s="5" t="n"/>
      <c r="J382" s="24">
        <f>IF(C382="",0,IFERROR(VLOOKUP(C382,BFTC!$B$5:$F$504,5,FALSE),0))</f>
        <v/>
      </c>
      <c r="K382" s="24">
        <f>IF(OR(F382="",J382=0,LEFT(I382,11)="KAPSAM DIŞI",LEFT(I382,11)="DAHİL DEĞİL"),0,F382*J382)</f>
        <v/>
      </c>
    </row>
    <row r="383">
      <c r="A383" s="5" t="n"/>
      <c r="B383" s="5" t="n"/>
      <c r="C383" s="5" t="n"/>
      <c r="D383" s="5" t="n"/>
      <c r="E383" s="5" t="n"/>
      <c r="F383" s="23" t="n"/>
      <c r="G383" s="5" t="n"/>
      <c r="H383" s="5" t="n"/>
      <c r="I383" s="5" t="n"/>
      <c r="J383" s="24">
        <f>IF(C383="",0,IFERROR(VLOOKUP(C383,BFTC!$B$5:$F$504,5,FALSE),0))</f>
        <v/>
      </c>
      <c r="K383" s="24">
        <f>IF(OR(F383="",J383=0,LEFT(I383,11)="KAPSAM DIŞI",LEFT(I383,11)="DAHİL DEĞİL"),0,F383*J383)</f>
        <v/>
      </c>
    </row>
    <row r="384">
      <c r="A384" s="5" t="n"/>
      <c r="B384" s="5" t="n"/>
      <c r="C384" s="5" t="n"/>
      <c r="D384" s="5" t="n"/>
      <c r="E384" s="5" t="n"/>
      <c r="F384" s="23" t="n"/>
      <c r="G384" s="5" t="n"/>
      <c r="H384" s="5" t="n"/>
      <c r="I384" s="5" t="n"/>
      <c r="J384" s="24">
        <f>IF(C384="",0,IFERROR(VLOOKUP(C384,BFTC!$B$5:$F$504,5,FALSE),0))</f>
        <v/>
      </c>
      <c r="K384" s="24">
        <f>IF(OR(F384="",J384=0,LEFT(I384,11)="KAPSAM DIŞI",LEFT(I384,11)="DAHİL DEĞİL"),0,F384*J384)</f>
        <v/>
      </c>
    </row>
    <row r="385">
      <c r="A385" s="5" t="n"/>
      <c r="B385" s="5" t="n"/>
      <c r="C385" s="5" t="n"/>
      <c r="D385" s="5" t="n"/>
      <c r="E385" s="5" t="n"/>
      <c r="F385" s="23" t="n"/>
      <c r="G385" s="5" t="n"/>
      <c r="H385" s="5" t="n"/>
      <c r="I385" s="5" t="n"/>
      <c r="J385" s="24">
        <f>IF(C385="",0,IFERROR(VLOOKUP(C385,BFTC!$B$5:$F$504,5,FALSE),0))</f>
        <v/>
      </c>
      <c r="K385" s="24">
        <f>IF(OR(F385="",J385=0,LEFT(I385,11)="KAPSAM DIŞI",LEFT(I385,11)="DAHİL DEĞİL"),0,F385*J385)</f>
        <v/>
      </c>
    </row>
    <row r="386">
      <c r="A386" s="5" t="n"/>
      <c r="B386" s="5" t="n"/>
      <c r="C386" s="5" t="n"/>
      <c r="D386" s="5" t="n"/>
      <c r="E386" s="5" t="n"/>
      <c r="F386" s="23" t="n"/>
      <c r="G386" s="5" t="n"/>
      <c r="H386" s="5" t="n"/>
      <c r="I386" s="5" t="n"/>
      <c r="J386" s="24">
        <f>IF(C386="",0,IFERROR(VLOOKUP(C386,BFTC!$B$5:$F$504,5,FALSE),0))</f>
        <v/>
      </c>
      <c r="K386" s="24">
        <f>IF(OR(F386="",J386=0,LEFT(I386,11)="KAPSAM DIŞI",LEFT(I386,11)="DAHİL DEĞİL"),0,F386*J386)</f>
        <v/>
      </c>
    </row>
    <row r="387">
      <c r="A387" s="5" t="n"/>
      <c r="B387" s="5" t="n"/>
      <c r="C387" s="5" t="n"/>
      <c r="D387" s="5" t="n"/>
      <c r="E387" s="5" t="n"/>
      <c r="F387" s="23" t="n"/>
      <c r="G387" s="5" t="n"/>
      <c r="H387" s="5" t="n"/>
      <c r="I387" s="5" t="n"/>
      <c r="J387" s="24">
        <f>IF(C387="",0,IFERROR(VLOOKUP(C387,BFTC!$B$5:$F$504,5,FALSE),0))</f>
        <v/>
      </c>
      <c r="K387" s="24">
        <f>IF(OR(F387="",J387=0,LEFT(I387,11)="KAPSAM DIŞI",LEFT(I387,11)="DAHİL DEĞİL"),0,F387*J387)</f>
        <v/>
      </c>
    </row>
    <row r="388">
      <c r="A388" s="5" t="n"/>
      <c r="B388" s="5" t="n"/>
      <c r="C388" s="5" t="n"/>
      <c r="D388" s="5" t="n"/>
      <c r="E388" s="5" t="n"/>
      <c r="F388" s="23" t="n"/>
      <c r="G388" s="5" t="n"/>
      <c r="H388" s="5" t="n"/>
      <c r="I388" s="5" t="n"/>
      <c r="J388" s="24">
        <f>IF(C388="",0,IFERROR(VLOOKUP(C388,BFTC!$B$5:$F$504,5,FALSE),0))</f>
        <v/>
      </c>
      <c r="K388" s="24">
        <f>IF(OR(F388="",J388=0,LEFT(I388,11)="KAPSAM DIŞI",LEFT(I388,11)="DAHİL DEĞİL"),0,F388*J388)</f>
        <v/>
      </c>
    </row>
    <row r="389">
      <c r="A389" s="5" t="n"/>
      <c r="B389" s="5" t="n"/>
      <c r="C389" s="5" t="n"/>
      <c r="D389" s="5" t="n"/>
      <c r="E389" s="5" t="n"/>
      <c r="F389" s="23" t="n"/>
      <c r="G389" s="5" t="n"/>
      <c r="H389" s="5" t="n"/>
      <c r="I389" s="5" t="n"/>
      <c r="J389" s="24">
        <f>IF(C389="",0,IFERROR(VLOOKUP(C389,BFTC!$B$5:$F$504,5,FALSE),0))</f>
        <v/>
      </c>
      <c r="K389" s="24">
        <f>IF(OR(F389="",J389=0,LEFT(I389,11)="KAPSAM DIŞI",LEFT(I389,11)="DAHİL DEĞİL"),0,F389*J389)</f>
        <v/>
      </c>
    </row>
    <row r="390">
      <c r="A390" s="5" t="n"/>
      <c r="B390" s="5" t="n"/>
      <c r="C390" s="5" t="n"/>
      <c r="D390" s="5" t="n"/>
      <c r="E390" s="5" t="n"/>
      <c r="F390" s="23" t="n"/>
      <c r="G390" s="5" t="n"/>
      <c r="H390" s="5" t="n"/>
      <c r="I390" s="5" t="n"/>
      <c r="J390" s="24">
        <f>IF(C390="",0,IFERROR(VLOOKUP(C390,BFTC!$B$5:$F$504,5,FALSE),0))</f>
        <v/>
      </c>
      <c r="K390" s="24">
        <f>IF(OR(F390="",J390=0,LEFT(I390,11)="KAPSAM DIŞI",LEFT(I390,11)="DAHİL DEĞİL"),0,F390*J390)</f>
        <v/>
      </c>
    </row>
    <row r="391">
      <c r="A391" s="5" t="n"/>
      <c r="B391" s="5" t="n"/>
      <c r="C391" s="5" t="n"/>
      <c r="D391" s="5" t="n"/>
      <c r="E391" s="5" t="n"/>
      <c r="F391" s="23" t="n"/>
      <c r="G391" s="5" t="n"/>
      <c r="H391" s="5" t="n"/>
      <c r="I391" s="5" t="n"/>
      <c r="J391" s="24">
        <f>IF(C391="",0,IFERROR(VLOOKUP(C391,BFTC!$B$5:$F$504,5,FALSE),0))</f>
        <v/>
      </c>
      <c r="K391" s="24">
        <f>IF(OR(F391="",J391=0,LEFT(I391,11)="KAPSAM DIŞI",LEFT(I391,11)="DAHİL DEĞİL"),0,F391*J391)</f>
        <v/>
      </c>
    </row>
    <row r="392">
      <c r="A392" s="5" t="n"/>
      <c r="B392" s="5" t="n"/>
      <c r="C392" s="5" t="n"/>
      <c r="D392" s="5" t="n"/>
      <c r="E392" s="5" t="n"/>
      <c r="F392" s="23" t="n"/>
      <c r="G392" s="5" t="n"/>
      <c r="H392" s="5" t="n"/>
      <c r="I392" s="5" t="n"/>
      <c r="J392" s="24">
        <f>IF(C392="",0,IFERROR(VLOOKUP(C392,BFTC!$B$5:$F$504,5,FALSE),0))</f>
        <v/>
      </c>
      <c r="K392" s="24">
        <f>IF(OR(F392="",J392=0,LEFT(I392,11)="KAPSAM DIŞI",LEFT(I392,11)="DAHİL DEĞİL"),0,F392*J392)</f>
        <v/>
      </c>
    </row>
    <row r="393">
      <c r="A393" s="5" t="n"/>
      <c r="B393" s="5" t="n"/>
      <c r="C393" s="5" t="n"/>
      <c r="D393" s="5" t="n"/>
      <c r="E393" s="5" t="n"/>
      <c r="F393" s="23" t="n"/>
      <c r="G393" s="5" t="n"/>
      <c r="H393" s="5" t="n"/>
      <c r="I393" s="5" t="n"/>
      <c r="J393" s="24">
        <f>IF(C393="",0,IFERROR(VLOOKUP(C393,BFTC!$B$5:$F$504,5,FALSE),0))</f>
        <v/>
      </c>
      <c r="K393" s="24">
        <f>IF(OR(F393="",J393=0,LEFT(I393,11)="KAPSAM DIŞI",LEFT(I393,11)="DAHİL DEĞİL"),0,F393*J393)</f>
        <v/>
      </c>
    </row>
    <row r="394">
      <c r="A394" s="5" t="n"/>
      <c r="B394" s="5" t="n"/>
      <c r="C394" s="5" t="n"/>
      <c r="D394" s="5" t="n"/>
      <c r="E394" s="5" t="n"/>
      <c r="F394" s="23" t="n"/>
      <c r="G394" s="5" t="n"/>
      <c r="H394" s="5" t="n"/>
      <c r="I394" s="5" t="n"/>
      <c r="J394" s="24">
        <f>IF(C394="",0,IFERROR(VLOOKUP(C394,BFTC!$B$5:$F$504,5,FALSE),0))</f>
        <v/>
      </c>
      <c r="K394" s="24">
        <f>IF(OR(F394="",J394=0,LEFT(I394,11)="KAPSAM DIŞI",LEFT(I394,11)="DAHİL DEĞİL"),0,F394*J394)</f>
        <v/>
      </c>
    </row>
    <row r="395">
      <c r="A395" s="5" t="n"/>
      <c r="B395" s="5" t="n"/>
      <c r="C395" s="5" t="n"/>
      <c r="D395" s="5" t="n"/>
      <c r="E395" s="5" t="n"/>
      <c r="F395" s="23" t="n"/>
      <c r="G395" s="5" t="n"/>
      <c r="H395" s="5" t="n"/>
      <c r="I395" s="5" t="n"/>
      <c r="J395" s="24">
        <f>IF(C395="",0,IFERROR(VLOOKUP(C395,BFTC!$B$5:$F$504,5,FALSE),0))</f>
        <v/>
      </c>
      <c r="K395" s="24">
        <f>IF(OR(F395="",J395=0,LEFT(I395,11)="KAPSAM DIŞI",LEFT(I395,11)="DAHİL DEĞİL"),0,F395*J395)</f>
        <v/>
      </c>
    </row>
    <row r="396">
      <c r="A396" s="5" t="n"/>
      <c r="B396" s="5" t="n"/>
      <c r="C396" s="5" t="n"/>
      <c r="D396" s="5" t="n"/>
      <c r="E396" s="5" t="n"/>
      <c r="F396" s="23" t="n"/>
      <c r="G396" s="5" t="n"/>
      <c r="H396" s="5" t="n"/>
      <c r="I396" s="5" t="n"/>
      <c r="J396" s="24">
        <f>IF(C396="",0,IFERROR(VLOOKUP(C396,BFTC!$B$5:$F$504,5,FALSE),0))</f>
        <v/>
      </c>
      <c r="K396" s="24">
        <f>IF(OR(F396="",J396=0,LEFT(I396,11)="KAPSAM DIŞI",LEFT(I396,11)="DAHİL DEĞİL"),0,F396*J396)</f>
        <v/>
      </c>
    </row>
    <row r="397">
      <c r="A397" s="5" t="n"/>
      <c r="B397" s="5" t="n"/>
      <c r="C397" s="5" t="n"/>
      <c r="D397" s="5" t="n"/>
      <c r="E397" s="5" t="n"/>
      <c r="F397" s="23" t="n"/>
      <c r="G397" s="5" t="n"/>
      <c r="H397" s="5" t="n"/>
      <c r="I397" s="5" t="n"/>
      <c r="J397" s="24">
        <f>IF(C397="",0,IFERROR(VLOOKUP(C397,BFTC!$B$5:$F$504,5,FALSE),0))</f>
        <v/>
      </c>
      <c r="K397" s="24">
        <f>IF(OR(F397="",J397=0,LEFT(I397,11)="KAPSAM DIŞI",LEFT(I397,11)="DAHİL DEĞİL"),0,F397*J397)</f>
        <v/>
      </c>
    </row>
    <row r="398">
      <c r="A398" s="5" t="n"/>
      <c r="B398" s="5" t="n"/>
      <c r="C398" s="5" t="n"/>
      <c r="D398" s="5" t="n"/>
      <c r="E398" s="5" t="n"/>
      <c r="F398" s="23" t="n"/>
      <c r="G398" s="5" t="n"/>
      <c r="H398" s="5" t="n"/>
      <c r="I398" s="5" t="n"/>
      <c r="J398" s="24">
        <f>IF(C398="",0,IFERROR(VLOOKUP(C398,BFTC!$B$5:$F$504,5,FALSE),0))</f>
        <v/>
      </c>
      <c r="K398" s="24">
        <f>IF(OR(F398="",J398=0,LEFT(I398,11)="KAPSAM DIŞI",LEFT(I398,11)="DAHİL DEĞİL"),0,F398*J398)</f>
        <v/>
      </c>
    </row>
    <row r="399">
      <c r="A399" s="5" t="n"/>
      <c r="B399" s="5" t="n"/>
      <c r="C399" s="5" t="n"/>
      <c r="D399" s="5" t="n"/>
      <c r="E399" s="5" t="n"/>
      <c r="F399" s="23" t="n"/>
      <c r="G399" s="5" t="n"/>
      <c r="H399" s="5" t="n"/>
      <c r="I399" s="5" t="n"/>
      <c r="J399" s="24">
        <f>IF(C399="",0,IFERROR(VLOOKUP(C399,BFTC!$B$5:$F$504,5,FALSE),0))</f>
        <v/>
      </c>
      <c r="K399" s="24">
        <f>IF(OR(F399="",J399=0,LEFT(I399,11)="KAPSAM DIŞI",LEFT(I399,11)="DAHİL DEĞİL"),0,F399*J399)</f>
        <v/>
      </c>
    </row>
    <row r="400">
      <c r="A400" s="5" t="n"/>
      <c r="B400" s="5" t="n"/>
      <c r="C400" s="5" t="n"/>
      <c r="D400" s="5" t="n"/>
      <c r="E400" s="5" t="n"/>
      <c r="F400" s="23" t="n"/>
      <c r="G400" s="5" t="n"/>
      <c r="H400" s="5" t="n"/>
      <c r="I400" s="5" t="n"/>
      <c r="J400" s="24">
        <f>IF(C400="",0,IFERROR(VLOOKUP(C400,BFTC!$B$5:$F$504,5,FALSE),0))</f>
        <v/>
      </c>
      <c r="K400" s="24">
        <f>IF(OR(F400="",J400=0,LEFT(I400,11)="KAPSAM DIŞI",LEFT(I400,11)="DAHİL DEĞİL"),0,F400*J400)</f>
        <v/>
      </c>
    </row>
    <row r="401">
      <c r="A401" s="5" t="n"/>
      <c r="B401" s="5" t="n"/>
      <c r="C401" s="5" t="n"/>
      <c r="D401" s="5" t="n"/>
      <c r="E401" s="5" t="n"/>
      <c r="F401" s="23" t="n"/>
      <c r="G401" s="5" t="n"/>
      <c r="H401" s="5" t="n"/>
      <c r="I401" s="5" t="n"/>
      <c r="J401" s="24">
        <f>IF(C401="",0,IFERROR(VLOOKUP(C401,BFTC!$B$5:$F$504,5,FALSE),0))</f>
        <v/>
      </c>
      <c r="K401" s="24">
        <f>IF(OR(F401="",J401=0,LEFT(I401,11)="KAPSAM DIŞI",LEFT(I401,11)="DAHİL DEĞİL"),0,F401*J401)</f>
        <v/>
      </c>
    </row>
    <row r="402">
      <c r="A402" s="5" t="n"/>
      <c r="B402" s="5" t="n"/>
      <c r="C402" s="5" t="n"/>
      <c r="D402" s="5" t="n"/>
      <c r="E402" s="5" t="n"/>
      <c r="F402" s="23" t="n"/>
      <c r="G402" s="5" t="n"/>
      <c r="H402" s="5" t="n"/>
      <c r="I402" s="5" t="n"/>
      <c r="J402" s="24">
        <f>IF(C402="",0,IFERROR(VLOOKUP(C402,BFTC!$B$5:$F$504,5,FALSE),0))</f>
        <v/>
      </c>
      <c r="K402" s="24">
        <f>IF(OR(F402="",J402=0,LEFT(I402,11)="KAPSAM DIŞI",LEFT(I402,11)="DAHİL DEĞİL"),0,F402*J402)</f>
        <v/>
      </c>
    </row>
    <row r="403">
      <c r="A403" s="5" t="n"/>
      <c r="B403" s="5" t="n"/>
      <c r="C403" s="5" t="n"/>
      <c r="D403" s="5" t="n"/>
      <c r="E403" s="5" t="n"/>
      <c r="F403" s="23" t="n"/>
      <c r="G403" s="5" t="n"/>
      <c r="H403" s="5" t="n"/>
      <c r="I403" s="5" t="n"/>
      <c r="J403" s="24">
        <f>IF(C403="",0,IFERROR(VLOOKUP(C403,BFTC!$B$5:$F$504,5,FALSE),0))</f>
        <v/>
      </c>
      <c r="K403" s="24">
        <f>IF(OR(F403="",J403=0,LEFT(I403,11)="KAPSAM DIŞI",LEFT(I403,11)="DAHİL DEĞİL"),0,F403*J403)</f>
        <v/>
      </c>
    </row>
    <row r="404">
      <c r="A404" s="5" t="n"/>
      <c r="B404" s="5" t="n"/>
      <c r="C404" s="5" t="n"/>
      <c r="D404" s="5" t="n"/>
      <c r="E404" s="5" t="n"/>
      <c r="F404" s="23" t="n"/>
      <c r="G404" s="5" t="n"/>
      <c r="H404" s="5" t="n"/>
      <c r="I404" s="5" t="n"/>
      <c r="J404" s="24">
        <f>IF(C404="",0,IFERROR(VLOOKUP(C404,BFTC!$B$5:$F$504,5,FALSE),0))</f>
        <v/>
      </c>
      <c r="K404" s="24">
        <f>IF(OR(F404="",J404=0,LEFT(I404,11)="KAPSAM DIŞI",LEFT(I404,11)="DAHİL DEĞİL"),0,F404*J404)</f>
        <v/>
      </c>
    </row>
    <row r="405">
      <c r="A405" s="5" t="n"/>
      <c r="B405" s="5" t="n"/>
      <c r="C405" s="5" t="n"/>
      <c r="D405" s="5" t="n"/>
      <c r="E405" s="5" t="n"/>
      <c r="F405" s="23" t="n"/>
      <c r="G405" s="5" t="n"/>
      <c r="H405" s="5" t="n"/>
      <c r="I405" s="5" t="n"/>
      <c r="J405" s="24">
        <f>IF(C405="",0,IFERROR(VLOOKUP(C405,BFTC!$B$5:$F$504,5,FALSE),0))</f>
        <v/>
      </c>
      <c r="K405" s="24">
        <f>IF(OR(F405="",J405=0,LEFT(I405,11)="KAPSAM DIŞI",LEFT(I405,11)="DAHİL DEĞİL"),0,F405*J405)</f>
        <v/>
      </c>
    </row>
    <row r="406">
      <c r="A406" s="5" t="n"/>
      <c r="B406" s="5" t="n"/>
      <c r="C406" s="5" t="n"/>
      <c r="D406" s="5" t="n"/>
      <c r="E406" s="5" t="n"/>
      <c r="F406" s="23" t="n"/>
      <c r="G406" s="5" t="n"/>
      <c r="H406" s="5" t="n"/>
      <c r="I406" s="5" t="n"/>
      <c r="J406" s="24">
        <f>IF(C406="",0,IFERROR(VLOOKUP(C406,BFTC!$B$5:$F$504,5,FALSE),0))</f>
        <v/>
      </c>
      <c r="K406" s="24">
        <f>IF(OR(F406="",J406=0,LEFT(I406,11)="KAPSAM DIŞI",LEFT(I406,11)="DAHİL DEĞİL"),0,F406*J406)</f>
        <v/>
      </c>
    </row>
    <row r="407">
      <c r="A407" s="5" t="n"/>
      <c r="B407" s="5" t="n"/>
      <c r="C407" s="5" t="n"/>
      <c r="D407" s="5" t="n"/>
      <c r="E407" s="5" t="n"/>
      <c r="F407" s="23" t="n"/>
      <c r="G407" s="5" t="n"/>
      <c r="H407" s="5" t="n"/>
      <c r="I407" s="5" t="n"/>
      <c r="J407" s="24">
        <f>IF(C407="",0,IFERROR(VLOOKUP(C407,BFTC!$B$5:$F$504,5,FALSE),0))</f>
        <v/>
      </c>
      <c r="K407" s="24">
        <f>IF(OR(F407="",J407=0,LEFT(I407,11)="KAPSAM DIŞI",LEFT(I407,11)="DAHİL DEĞİL"),0,F407*J407)</f>
        <v/>
      </c>
    </row>
    <row r="408">
      <c r="A408" s="5" t="n"/>
      <c r="B408" s="5" t="n"/>
      <c r="C408" s="5" t="n"/>
      <c r="D408" s="5" t="n"/>
      <c r="E408" s="5" t="n"/>
      <c r="F408" s="23" t="n"/>
      <c r="G408" s="5" t="n"/>
      <c r="H408" s="5" t="n"/>
      <c r="I408" s="5" t="n"/>
      <c r="J408" s="24">
        <f>IF(C408="",0,IFERROR(VLOOKUP(C408,BFTC!$B$5:$F$504,5,FALSE),0))</f>
        <v/>
      </c>
      <c r="K408" s="24">
        <f>IF(OR(F408="",J408=0,LEFT(I408,11)="KAPSAM DIŞI",LEFT(I408,11)="DAHİL DEĞİL"),0,F408*J408)</f>
        <v/>
      </c>
    </row>
    <row r="409">
      <c r="A409" s="5" t="n"/>
      <c r="B409" s="5" t="n"/>
      <c r="C409" s="5" t="n"/>
      <c r="D409" s="5" t="n"/>
      <c r="E409" s="5" t="n"/>
      <c r="F409" s="23" t="n"/>
      <c r="G409" s="5" t="n"/>
      <c r="H409" s="5" t="n"/>
      <c r="I409" s="5" t="n"/>
      <c r="J409" s="24">
        <f>IF(C409="",0,IFERROR(VLOOKUP(C409,BFTC!$B$5:$F$504,5,FALSE),0))</f>
        <v/>
      </c>
      <c r="K409" s="24">
        <f>IF(OR(F409="",J409=0,LEFT(I409,11)="KAPSAM DIŞI",LEFT(I409,11)="DAHİL DEĞİL"),0,F409*J409)</f>
        <v/>
      </c>
    </row>
    <row r="410">
      <c r="A410" s="5" t="n"/>
      <c r="B410" s="5" t="n"/>
      <c r="C410" s="5" t="n"/>
      <c r="D410" s="5" t="n"/>
      <c r="E410" s="5" t="n"/>
      <c r="F410" s="23" t="n"/>
      <c r="G410" s="5" t="n"/>
      <c r="H410" s="5" t="n"/>
      <c r="I410" s="5" t="n"/>
      <c r="J410" s="24">
        <f>IF(C410="",0,IFERROR(VLOOKUP(C410,BFTC!$B$5:$F$504,5,FALSE),0))</f>
        <v/>
      </c>
      <c r="K410" s="24">
        <f>IF(OR(F410="",J410=0,LEFT(I410,11)="KAPSAM DIŞI",LEFT(I410,11)="DAHİL DEĞİL"),0,F410*J410)</f>
        <v/>
      </c>
    </row>
    <row r="411">
      <c r="A411" s="5" t="n"/>
      <c r="B411" s="5" t="n"/>
      <c r="C411" s="5" t="n"/>
      <c r="D411" s="5" t="n"/>
      <c r="E411" s="5" t="n"/>
      <c r="F411" s="23" t="n"/>
      <c r="G411" s="5" t="n"/>
      <c r="H411" s="5" t="n"/>
      <c r="I411" s="5" t="n"/>
      <c r="J411" s="24">
        <f>IF(C411="",0,IFERROR(VLOOKUP(C411,BFTC!$B$5:$F$504,5,FALSE),0))</f>
        <v/>
      </c>
      <c r="K411" s="24">
        <f>IF(OR(F411="",J411=0,LEFT(I411,11)="KAPSAM DIŞI",LEFT(I411,11)="DAHİL DEĞİL"),0,F411*J411)</f>
        <v/>
      </c>
    </row>
    <row r="412">
      <c r="A412" s="5" t="n"/>
      <c r="B412" s="5" t="n"/>
      <c r="C412" s="5" t="n"/>
      <c r="D412" s="5" t="n"/>
      <c r="E412" s="5" t="n"/>
      <c r="F412" s="23" t="n"/>
      <c r="G412" s="5" t="n"/>
      <c r="H412" s="5" t="n"/>
      <c r="I412" s="5" t="n"/>
      <c r="J412" s="24">
        <f>IF(C412="",0,IFERROR(VLOOKUP(C412,BFTC!$B$5:$F$504,5,FALSE),0))</f>
        <v/>
      </c>
      <c r="K412" s="24">
        <f>IF(OR(F412="",J412=0,LEFT(I412,11)="KAPSAM DIŞI",LEFT(I412,11)="DAHİL DEĞİL"),0,F412*J412)</f>
        <v/>
      </c>
    </row>
    <row r="413">
      <c r="A413" s="5" t="n"/>
      <c r="B413" s="5" t="n"/>
      <c r="C413" s="5" t="n"/>
      <c r="D413" s="5" t="n"/>
      <c r="E413" s="5" t="n"/>
      <c r="F413" s="23" t="n"/>
      <c r="G413" s="5" t="n"/>
      <c r="H413" s="5" t="n"/>
      <c r="I413" s="5" t="n"/>
      <c r="J413" s="24">
        <f>IF(C413="",0,IFERROR(VLOOKUP(C413,BFTC!$B$5:$F$504,5,FALSE),0))</f>
        <v/>
      </c>
      <c r="K413" s="24">
        <f>IF(OR(F413="",J413=0,LEFT(I413,11)="KAPSAM DIŞI",LEFT(I413,11)="DAHİL DEĞİL"),0,F413*J413)</f>
        <v/>
      </c>
    </row>
    <row r="414">
      <c r="A414" s="5" t="n"/>
      <c r="B414" s="5" t="n"/>
      <c r="C414" s="5" t="n"/>
      <c r="D414" s="5" t="n"/>
      <c r="E414" s="5" t="n"/>
      <c r="F414" s="23" t="n"/>
      <c r="G414" s="5" t="n"/>
      <c r="H414" s="5" t="n"/>
      <c r="I414" s="5" t="n"/>
      <c r="J414" s="24">
        <f>IF(C414="",0,IFERROR(VLOOKUP(C414,BFTC!$B$5:$F$504,5,FALSE),0))</f>
        <v/>
      </c>
      <c r="K414" s="24">
        <f>IF(OR(F414="",J414=0,LEFT(I414,11)="KAPSAM DIŞI",LEFT(I414,11)="DAHİL DEĞİL"),0,F414*J414)</f>
        <v/>
      </c>
    </row>
    <row r="415">
      <c r="A415" s="5" t="n"/>
      <c r="B415" s="5" t="n"/>
      <c r="C415" s="5" t="n"/>
      <c r="D415" s="5" t="n"/>
      <c r="E415" s="5" t="n"/>
      <c r="F415" s="23" t="n"/>
      <c r="G415" s="5" t="n"/>
      <c r="H415" s="5" t="n"/>
      <c r="I415" s="5" t="n"/>
      <c r="J415" s="24">
        <f>IF(C415="",0,IFERROR(VLOOKUP(C415,BFTC!$B$5:$F$504,5,FALSE),0))</f>
        <v/>
      </c>
      <c r="K415" s="24">
        <f>IF(OR(F415="",J415=0,LEFT(I415,11)="KAPSAM DIŞI",LEFT(I415,11)="DAHİL DEĞİL"),0,F415*J415)</f>
        <v/>
      </c>
    </row>
    <row r="416">
      <c r="A416" s="5" t="n"/>
      <c r="B416" s="5" t="n"/>
      <c r="C416" s="5" t="n"/>
      <c r="D416" s="5" t="n"/>
      <c r="E416" s="5" t="n"/>
      <c r="F416" s="23" t="n"/>
      <c r="G416" s="5" t="n"/>
      <c r="H416" s="5" t="n"/>
      <c r="I416" s="5" t="n"/>
      <c r="J416" s="24">
        <f>IF(C416="",0,IFERROR(VLOOKUP(C416,BFTC!$B$5:$F$504,5,FALSE),0))</f>
        <v/>
      </c>
      <c r="K416" s="24">
        <f>IF(OR(F416="",J416=0,LEFT(I416,11)="KAPSAM DIŞI",LEFT(I416,11)="DAHİL DEĞİL"),0,F416*J416)</f>
        <v/>
      </c>
    </row>
    <row r="417">
      <c r="A417" s="5" t="n"/>
      <c r="B417" s="5" t="n"/>
      <c r="C417" s="5" t="n"/>
      <c r="D417" s="5" t="n"/>
      <c r="E417" s="5" t="n"/>
      <c r="F417" s="23" t="n"/>
      <c r="G417" s="5" t="n"/>
      <c r="H417" s="5" t="n"/>
      <c r="I417" s="5" t="n"/>
      <c r="J417" s="24">
        <f>IF(C417="",0,IFERROR(VLOOKUP(C417,BFTC!$B$5:$F$504,5,FALSE),0))</f>
        <v/>
      </c>
      <c r="K417" s="24">
        <f>IF(OR(F417="",J417=0,LEFT(I417,11)="KAPSAM DIŞI",LEFT(I417,11)="DAHİL DEĞİL"),0,F417*J417)</f>
        <v/>
      </c>
    </row>
    <row r="418">
      <c r="A418" s="5" t="n"/>
      <c r="B418" s="5" t="n"/>
      <c r="C418" s="5" t="n"/>
      <c r="D418" s="5" t="n"/>
      <c r="E418" s="5" t="n"/>
      <c r="F418" s="23" t="n"/>
      <c r="G418" s="5" t="n"/>
      <c r="H418" s="5" t="n"/>
      <c r="I418" s="5" t="n"/>
      <c r="J418" s="24">
        <f>IF(C418="",0,IFERROR(VLOOKUP(C418,BFTC!$B$5:$F$504,5,FALSE),0))</f>
        <v/>
      </c>
      <c r="K418" s="24">
        <f>IF(OR(F418="",J418=0,LEFT(I418,11)="KAPSAM DIŞI",LEFT(I418,11)="DAHİL DEĞİL"),0,F418*J418)</f>
        <v/>
      </c>
    </row>
    <row r="419">
      <c r="A419" s="5" t="n"/>
      <c r="B419" s="5" t="n"/>
      <c r="C419" s="5" t="n"/>
      <c r="D419" s="5" t="n"/>
      <c r="E419" s="5" t="n"/>
      <c r="F419" s="23" t="n"/>
      <c r="G419" s="5" t="n"/>
      <c r="H419" s="5" t="n"/>
      <c r="I419" s="5" t="n"/>
      <c r="J419" s="24">
        <f>IF(C419="",0,IFERROR(VLOOKUP(C419,BFTC!$B$5:$F$504,5,FALSE),0))</f>
        <v/>
      </c>
      <c r="K419" s="24">
        <f>IF(OR(F419="",J419=0,LEFT(I419,11)="KAPSAM DIŞI",LEFT(I419,11)="DAHİL DEĞİL"),0,F419*J419)</f>
        <v/>
      </c>
    </row>
    <row r="420">
      <c r="A420" s="5" t="n"/>
      <c r="B420" s="5" t="n"/>
      <c r="C420" s="5" t="n"/>
      <c r="D420" s="5" t="n"/>
      <c r="E420" s="5" t="n"/>
      <c r="F420" s="23" t="n"/>
      <c r="G420" s="5" t="n"/>
      <c r="H420" s="5" t="n"/>
      <c r="I420" s="5" t="n"/>
      <c r="J420" s="24">
        <f>IF(C420="",0,IFERROR(VLOOKUP(C420,BFTC!$B$5:$F$504,5,FALSE),0))</f>
        <v/>
      </c>
      <c r="K420" s="24">
        <f>IF(OR(F420="",J420=0,LEFT(I420,11)="KAPSAM DIŞI",LEFT(I420,11)="DAHİL DEĞİL"),0,F420*J420)</f>
        <v/>
      </c>
    </row>
    <row r="421">
      <c r="A421" s="5" t="n"/>
      <c r="B421" s="5" t="n"/>
      <c r="C421" s="5" t="n"/>
      <c r="D421" s="5" t="n"/>
      <c r="E421" s="5" t="n"/>
      <c r="F421" s="23" t="n"/>
      <c r="G421" s="5" t="n"/>
      <c r="H421" s="5" t="n"/>
      <c r="I421" s="5" t="n"/>
      <c r="J421" s="24">
        <f>IF(C421="",0,IFERROR(VLOOKUP(C421,BFTC!$B$5:$F$504,5,FALSE),0))</f>
        <v/>
      </c>
      <c r="K421" s="24">
        <f>IF(OR(F421="",J421=0,LEFT(I421,11)="KAPSAM DIŞI",LEFT(I421,11)="DAHİL DEĞİL"),0,F421*J421)</f>
        <v/>
      </c>
    </row>
    <row r="422">
      <c r="A422" s="5" t="n"/>
      <c r="B422" s="5" t="n"/>
      <c r="C422" s="5" t="n"/>
      <c r="D422" s="5" t="n"/>
      <c r="E422" s="5" t="n"/>
      <c r="F422" s="23" t="n"/>
      <c r="G422" s="5" t="n"/>
      <c r="H422" s="5" t="n"/>
      <c r="I422" s="5" t="n"/>
      <c r="J422" s="24">
        <f>IF(C422="",0,IFERROR(VLOOKUP(C422,BFTC!$B$5:$F$504,5,FALSE),0))</f>
        <v/>
      </c>
      <c r="K422" s="24">
        <f>IF(OR(F422="",J422=0,LEFT(I422,11)="KAPSAM DIŞI",LEFT(I422,11)="DAHİL DEĞİL"),0,F422*J422)</f>
        <v/>
      </c>
    </row>
    <row r="423">
      <c r="A423" s="5" t="n"/>
      <c r="B423" s="5" t="n"/>
      <c r="C423" s="5" t="n"/>
      <c r="D423" s="5" t="n"/>
      <c r="E423" s="5" t="n"/>
      <c r="F423" s="23" t="n"/>
      <c r="G423" s="5" t="n"/>
      <c r="H423" s="5" t="n"/>
      <c r="I423" s="5" t="n"/>
      <c r="J423" s="24">
        <f>IF(C423="",0,IFERROR(VLOOKUP(C423,BFTC!$B$5:$F$504,5,FALSE),0))</f>
        <v/>
      </c>
      <c r="K423" s="24">
        <f>IF(OR(F423="",J423=0,LEFT(I423,11)="KAPSAM DIŞI",LEFT(I423,11)="DAHİL DEĞİL"),0,F423*J423)</f>
        <v/>
      </c>
    </row>
    <row r="424">
      <c r="A424" s="5" t="n"/>
      <c r="B424" s="5" t="n"/>
      <c r="C424" s="5" t="n"/>
      <c r="D424" s="5" t="n"/>
      <c r="E424" s="5" t="n"/>
      <c r="F424" s="23" t="n"/>
      <c r="G424" s="5" t="n"/>
      <c r="H424" s="5" t="n"/>
      <c r="I424" s="5" t="n"/>
      <c r="J424" s="24">
        <f>IF(C424="",0,IFERROR(VLOOKUP(C424,BFTC!$B$5:$F$504,5,FALSE),0))</f>
        <v/>
      </c>
      <c r="K424" s="24">
        <f>IF(OR(F424="",J424=0,LEFT(I424,11)="KAPSAM DIŞI",LEFT(I424,11)="DAHİL DEĞİL"),0,F424*J424)</f>
        <v/>
      </c>
    </row>
    <row r="425">
      <c r="A425" s="5" t="n"/>
      <c r="B425" s="5" t="n"/>
      <c r="C425" s="5" t="n"/>
      <c r="D425" s="5" t="n"/>
      <c r="E425" s="5" t="n"/>
      <c r="F425" s="23" t="n"/>
      <c r="G425" s="5" t="n"/>
      <c r="H425" s="5" t="n"/>
      <c r="I425" s="5" t="n"/>
      <c r="J425" s="24">
        <f>IF(C425="",0,IFERROR(VLOOKUP(C425,BFTC!$B$5:$F$504,5,FALSE),0))</f>
        <v/>
      </c>
      <c r="K425" s="24">
        <f>IF(OR(F425="",J425=0,LEFT(I425,11)="KAPSAM DIŞI",LEFT(I425,11)="DAHİL DEĞİL"),0,F425*J425)</f>
        <v/>
      </c>
    </row>
    <row r="426">
      <c r="A426" s="5" t="n"/>
      <c r="B426" s="5" t="n"/>
      <c r="C426" s="5" t="n"/>
      <c r="D426" s="5" t="n"/>
      <c r="E426" s="5" t="n"/>
      <c r="F426" s="23" t="n"/>
      <c r="G426" s="5" t="n"/>
      <c r="H426" s="5" t="n"/>
      <c r="I426" s="5" t="n"/>
      <c r="J426" s="24">
        <f>IF(C426="",0,IFERROR(VLOOKUP(C426,BFTC!$B$5:$F$504,5,FALSE),0))</f>
        <v/>
      </c>
      <c r="K426" s="24">
        <f>IF(OR(F426="",J426=0,LEFT(I426,11)="KAPSAM DIŞI",LEFT(I426,11)="DAHİL DEĞİL"),0,F426*J426)</f>
        <v/>
      </c>
    </row>
    <row r="427">
      <c r="A427" s="5" t="n"/>
      <c r="B427" s="5" t="n"/>
      <c r="C427" s="5" t="n"/>
      <c r="D427" s="5" t="n"/>
      <c r="E427" s="5" t="n"/>
      <c r="F427" s="23" t="n"/>
      <c r="G427" s="5" t="n"/>
      <c r="H427" s="5" t="n"/>
      <c r="I427" s="5" t="n"/>
      <c r="J427" s="24">
        <f>IF(C427="",0,IFERROR(VLOOKUP(C427,BFTC!$B$5:$F$504,5,FALSE),0))</f>
        <v/>
      </c>
      <c r="K427" s="24">
        <f>IF(OR(F427="",J427=0,LEFT(I427,11)="KAPSAM DIŞI",LEFT(I427,11)="DAHİL DEĞİL"),0,F427*J427)</f>
        <v/>
      </c>
    </row>
    <row r="428">
      <c r="A428" s="5" t="n"/>
      <c r="B428" s="5" t="n"/>
      <c r="C428" s="5" t="n"/>
      <c r="D428" s="5" t="n"/>
      <c r="E428" s="5" t="n"/>
      <c r="F428" s="23" t="n"/>
      <c r="G428" s="5" t="n"/>
      <c r="H428" s="5" t="n"/>
      <c r="I428" s="5" t="n"/>
      <c r="J428" s="24">
        <f>IF(C428="",0,IFERROR(VLOOKUP(C428,BFTC!$B$5:$F$504,5,FALSE),0))</f>
        <v/>
      </c>
      <c r="K428" s="24">
        <f>IF(OR(F428="",J428=0,LEFT(I428,11)="KAPSAM DIŞI",LEFT(I428,11)="DAHİL DEĞİL"),0,F428*J428)</f>
        <v/>
      </c>
    </row>
    <row r="429">
      <c r="A429" s="5" t="n"/>
      <c r="B429" s="5" t="n"/>
      <c r="C429" s="5" t="n"/>
      <c r="D429" s="5" t="n"/>
      <c r="E429" s="5" t="n"/>
      <c r="F429" s="23" t="n"/>
      <c r="G429" s="5" t="n"/>
      <c r="H429" s="5" t="n"/>
      <c r="I429" s="5" t="n"/>
      <c r="J429" s="24">
        <f>IF(C429="",0,IFERROR(VLOOKUP(C429,BFTC!$B$5:$F$504,5,FALSE),0))</f>
        <v/>
      </c>
      <c r="K429" s="24">
        <f>IF(OR(F429="",J429=0,LEFT(I429,11)="KAPSAM DIŞI",LEFT(I429,11)="DAHİL DEĞİL"),0,F429*J429)</f>
        <v/>
      </c>
    </row>
    <row r="430">
      <c r="A430" s="5" t="n"/>
      <c r="B430" s="5" t="n"/>
      <c r="C430" s="5" t="n"/>
      <c r="D430" s="5" t="n"/>
      <c r="E430" s="5" t="n"/>
      <c r="F430" s="23" t="n"/>
      <c r="G430" s="5" t="n"/>
      <c r="H430" s="5" t="n"/>
      <c r="I430" s="5" t="n"/>
      <c r="J430" s="24">
        <f>IF(C430="",0,IFERROR(VLOOKUP(C430,BFTC!$B$5:$F$504,5,FALSE),0))</f>
        <v/>
      </c>
      <c r="K430" s="24">
        <f>IF(OR(F430="",J430=0,LEFT(I430,11)="KAPSAM DIŞI",LEFT(I430,11)="DAHİL DEĞİL"),0,F430*J430)</f>
        <v/>
      </c>
    </row>
    <row r="431">
      <c r="A431" s="5" t="n"/>
      <c r="B431" s="5" t="n"/>
      <c r="C431" s="5" t="n"/>
      <c r="D431" s="5" t="n"/>
      <c r="E431" s="5" t="n"/>
      <c r="F431" s="23" t="n"/>
      <c r="G431" s="5" t="n"/>
      <c r="H431" s="5" t="n"/>
      <c r="I431" s="5" t="n"/>
      <c r="J431" s="24">
        <f>IF(C431="",0,IFERROR(VLOOKUP(C431,BFTC!$B$5:$F$504,5,FALSE),0))</f>
        <v/>
      </c>
      <c r="K431" s="24">
        <f>IF(OR(F431="",J431=0,LEFT(I431,11)="KAPSAM DIŞI",LEFT(I431,11)="DAHİL DEĞİL"),0,F431*J431)</f>
        <v/>
      </c>
    </row>
    <row r="432">
      <c r="A432" s="5" t="n"/>
      <c r="B432" s="5" t="n"/>
      <c r="C432" s="5" t="n"/>
      <c r="D432" s="5" t="n"/>
      <c r="E432" s="5" t="n"/>
      <c r="F432" s="23" t="n"/>
      <c r="G432" s="5" t="n"/>
      <c r="H432" s="5" t="n"/>
      <c r="I432" s="5" t="n"/>
      <c r="J432" s="24">
        <f>IF(C432="",0,IFERROR(VLOOKUP(C432,BFTC!$B$5:$F$504,5,FALSE),0))</f>
        <v/>
      </c>
      <c r="K432" s="24">
        <f>IF(OR(F432="",J432=0,LEFT(I432,11)="KAPSAM DIŞI",LEFT(I432,11)="DAHİL DEĞİL"),0,F432*J432)</f>
        <v/>
      </c>
    </row>
    <row r="433">
      <c r="A433" s="5" t="n"/>
      <c r="B433" s="5" t="n"/>
      <c r="C433" s="5" t="n"/>
      <c r="D433" s="5" t="n"/>
      <c r="E433" s="5" t="n"/>
      <c r="F433" s="23" t="n"/>
      <c r="G433" s="5" t="n"/>
      <c r="H433" s="5" t="n"/>
      <c r="I433" s="5" t="n"/>
      <c r="J433" s="24">
        <f>IF(C433="",0,IFERROR(VLOOKUP(C433,BFTC!$B$5:$F$504,5,FALSE),0))</f>
        <v/>
      </c>
      <c r="K433" s="24">
        <f>IF(OR(F433="",J433=0,LEFT(I433,11)="KAPSAM DIŞI",LEFT(I433,11)="DAHİL DEĞİL"),0,F433*J433)</f>
        <v/>
      </c>
    </row>
    <row r="434">
      <c r="A434" s="5" t="n"/>
      <c r="B434" s="5" t="n"/>
      <c r="C434" s="5" t="n"/>
      <c r="D434" s="5" t="n"/>
      <c r="E434" s="5" t="n"/>
      <c r="F434" s="23" t="n"/>
      <c r="G434" s="5" t="n"/>
      <c r="H434" s="5" t="n"/>
      <c r="I434" s="5" t="n"/>
      <c r="J434" s="24">
        <f>IF(C434="",0,IFERROR(VLOOKUP(C434,BFTC!$B$5:$F$504,5,FALSE),0))</f>
        <v/>
      </c>
      <c r="K434" s="24">
        <f>IF(OR(F434="",J434=0,LEFT(I434,11)="KAPSAM DIŞI",LEFT(I434,11)="DAHİL DEĞİL"),0,F434*J434)</f>
        <v/>
      </c>
    </row>
    <row r="435">
      <c r="A435" s="5" t="n"/>
      <c r="B435" s="5" t="n"/>
      <c r="C435" s="5" t="n"/>
      <c r="D435" s="5" t="n"/>
      <c r="E435" s="5" t="n"/>
      <c r="F435" s="23" t="n"/>
      <c r="G435" s="5" t="n"/>
      <c r="H435" s="5" t="n"/>
      <c r="I435" s="5" t="n"/>
      <c r="J435" s="24">
        <f>IF(C435="",0,IFERROR(VLOOKUP(C435,BFTC!$B$5:$F$504,5,FALSE),0))</f>
        <v/>
      </c>
      <c r="K435" s="24">
        <f>IF(OR(F435="",J435=0,LEFT(I435,11)="KAPSAM DIŞI",LEFT(I435,11)="DAHİL DEĞİL"),0,F435*J435)</f>
        <v/>
      </c>
    </row>
    <row r="436">
      <c r="A436" s="5" t="n"/>
      <c r="B436" s="5" t="n"/>
      <c r="C436" s="5" t="n"/>
      <c r="D436" s="5" t="n"/>
      <c r="E436" s="5" t="n"/>
      <c r="F436" s="23" t="n"/>
      <c r="G436" s="5" t="n"/>
      <c r="H436" s="5" t="n"/>
      <c r="I436" s="5" t="n"/>
      <c r="J436" s="24">
        <f>IF(C436="",0,IFERROR(VLOOKUP(C436,BFTC!$B$5:$F$504,5,FALSE),0))</f>
        <v/>
      </c>
      <c r="K436" s="24">
        <f>IF(OR(F436="",J436=0,LEFT(I436,11)="KAPSAM DIŞI",LEFT(I436,11)="DAHİL DEĞİL"),0,F436*J436)</f>
        <v/>
      </c>
    </row>
    <row r="437">
      <c r="A437" s="5" t="n"/>
      <c r="B437" s="5" t="n"/>
      <c r="C437" s="5" t="n"/>
      <c r="D437" s="5" t="n"/>
      <c r="E437" s="5" t="n"/>
      <c r="F437" s="23" t="n"/>
      <c r="G437" s="5" t="n"/>
      <c r="H437" s="5" t="n"/>
      <c r="I437" s="5" t="n"/>
      <c r="J437" s="24">
        <f>IF(C437="",0,IFERROR(VLOOKUP(C437,BFTC!$B$5:$F$504,5,FALSE),0))</f>
        <v/>
      </c>
      <c r="K437" s="24">
        <f>IF(OR(F437="",J437=0,LEFT(I437,11)="KAPSAM DIŞI",LEFT(I437,11)="DAHİL DEĞİL"),0,F437*J437)</f>
        <v/>
      </c>
    </row>
    <row r="438">
      <c r="A438" s="5" t="n"/>
      <c r="B438" s="5" t="n"/>
      <c r="C438" s="5" t="n"/>
      <c r="D438" s="5" t="n"/>
      <c r="E438" s="5" t="n"/>
      <c r="F438" s="23" t="n"/>
      <c r="G438" s="5" t="n"/>
      <c r="H438" s="5" t="n"/>
      <c r="I438" s="5" t="n"/>
      <c r="J438" s="24">
        <f>IF(C438="",0,IFERROR(VLOOKUP(C438,BFTC!$B$5:$F$504,5,FALSE),0))</f>
        <v/>
      </c>
      <c r="K438" s="24">
        <f>IF(OR(F438="",J438=0,LEFT(I438,11)="KAPSAM DIŞI",LEFT(I438,11)="DAHİL DEĞİL"),0,F438*J438)</f>
        <v/>
      </c>
    </row>
    <row r="439">
      <c r="A439" s="5" t="n"/>
      <c r="B439" s="5" t="n"/>
      <c r="C439" s="5" t="n"/>
      <c r="D439" s="5" t="n"/>
      <c r="E439" s="5" t="n"/>
      <c r="F439" s="23" t="n"/>
      <c r="G439" s="5" t="n"/>
      <c r="H439" s="5" t="n"/>
      <c r="I439" s="5" t="n"/>
      <c r="J439" s="24">
        <f>IF(C439="",0,IFERROR(VLOOKUP(C439,BFTC!$B$5:$F$504,5,FALSE),0))</f>
        <v/>
      </c>
      <c r="K439" s="24">
        <f>IF(OR(F439="",J439=0,LEFT(I439,11)="KAPSAM DIŞI",LEFT(I439,11)="DAHİL DEĞİL"),0,F439*J439)</f>
        <v/>
      </c>
    </row>
    <row r="440">
      <c r="A440" s="5" t="n"/>
      <c r="B440" s="5" t="n"/>
      <c r="C440" s="5" t="n"/>
      <c r="D440" s="5" t="n"/>
      <c r="E440" s="5" t="n"/>
      <c r="F440" s="23" t="n"/>
      <c r="G440" s="5" t="n"/>
      <c r="H440" s="5" t="n"/>
      <c r="I440" s="5" t="n"/>
      <c r="J440" s="24">
        <f>IF(C440="",0,IFERROR(VLOOKUP(C440,BFTC!$B$5:$F$504,5,FALSE),0))</f>
        <v/>
      </c>
      <c r="K440" s="24">
        <f>IF(OR(F440="",J440=0,LEFT(I440,11)="KAPSAM DIŞI",LEFT(I440,11)="DAHİL DEĞİL"),0,F440*J440)</f>
        <v/>
      </c>
    </row>
    <row r="441">
      <c r="A441" s="5" t="n"/>
      <c r="B441" s="5" t="n"/>
      <c r="C441" s="5" t="n"/>
      <c r="D441" s="5" t="n"/>
      <c r="E441" s="5" t="n"/>
      <c r="F441" s="23" t="n"/>
      <c r="G441" s="5" t="n"/>
      <c r="H441" s="5" t="n"/>
      <c r="I441" s="5" t="n"/>
      <c r="J441" s="24">
        <f>IF(C441="",0,IFERROR(VLOOKUP(C441,BFTC!$B$5:$F$504,5,FALSE),0))</f>
        <v/>
      </c>
      <c r="K441" s="24">
        <f>IF(OR(F441="",J441=0,LEFT(I441,11)="KAPSAM DIŞI",LEFT(I441,11)="DAHİL DEĞİL"),0,F441*J441)</f>
        <v/>
      </c>
    </row>
    <row r="442">
      <c r="A442" s="5" t="n"/>
      <c r="B442" s="5" t="n"/>
      <c r="C442" s="5" t="n"/>
      <c r="D442" s="5" t="n"/>
      <c r="E442" s="5" t="n"/>
      <c r="F442" s="23" t="n"/>
      <c r="G442" s="5" t="n"/>
      <c r="H442" s="5" t="n"/>
      <c r="I442" s="5" t="n"/>
      <c r="J442" s="24">
        <f>IF(C442="",0,IFERROR(VLOOKUP(C442,BFTC!$B$5:$F$504,5,FALSE),0))</f>
        <v/>
      </c>
      <c r="K442" s="24">
        <f>IF(OR(F442="",J442=0,LEFT(I442,11)="KAPSAM DIŞI",LEFT(I442,11)="DAHİL DEĞİL"),0,F442*J442)</f>
        <v/>
      </c>
    </row>
    <row r="443">
      <c r="A443" s="5" t="n"/>
      <c r="B443" s="5" t="n"/>
      <c r="C443" s="5" t="n"/>
      <c r="D443" s="5" t="n"/>
      <c r="E443" s="5" t="n"/>
      <c r="F443" s="23" t="n"/>
      <c r="G443" s="5" t="n"/>
      <c r="H443" s="5" t="n"/>
      <c r="I443" s="5" t="n"/>
      <c r="J443" s="24">
        <f>IF(C443="",0,IFERROR(VLOOKUP(C443,BFTC!$B$5:$F$504,5,FALSE),0))</f>
        <v/>
      </c>
      <c r="K443" s="24">
        <f>IF(OR(F443="",J443=0,LEFT(I443,11)="KAPSAM DIŞI",LEFT(I443,11)="DAHİL DEĞİL"),0,F443*J443)</f>
        <v/>
      </c>
    </row>
    <row r="444">
      <c r="A444" s="5" t="n"/>
      <c r="B444" s="5" t="n"/>
      <c r="C444" s="5" t="n"/>
      <c r="D444" s="5" t="n"/>
      <c r="E444" s="5" t="n"/>
      <c r="F444" s="23" t="n"/>
      <c r="G444" s="5" t="n"/>
      <c r="H444" s="5" t="n"/>
      <c r="I444" s="5" t="n"/>
      <c r="J444" s="24">
        <f>IF(C444="",0,IFERROR(VLOOKUP(C444,BFTC!$B$5:$F$504,5,FALSE),0))</f>
        <v/>
      </c>
      <c r="K444" s="24">
        <f>IF(OR(F444="",J444=0,LEFT(I444,11)="KAPSAM DIŞI",LEFT(I444,11)="DAHİL DEĞİL"),0,F444*J444)</f>
        <v/>
      </c>
    </row>
    <row r="445">
      <c r="A445" s="5" t="n"/>
      <c r="B445" s="5" t="n"/>
      <c r="C445" s="5" t="n"/>
      <c r="D445" s="5" t="n"/>
      <c r="E445" s="5" t="n"/>
      <c r="F445" s="23" t="n"/>
      <c r="G445" s="5" t="n"/>
      <c r="H445" s="5" t="n"/>
      <c r="I445" s="5" t="n"/>
      <c r="J445" s="24">
        <f>IF(C445="",0,IFERROR(VLOOKUP(C445,BFTC!$B$5:$F$504,5,FALSE),0))</f>
        <v/>
      </c>
      <c r="K445" s="24">
        <f>IF(OR(F445="",J445=0,LEFT(I445,11)="KAPSAM DIŞI",LEFT(I445,11)="DAHİL DEĞİL"),0,F445*J445)</f>
        <v/>
      </c>
    </row>
    <row r="446">
      <c r="A446" s="5" t="n"/>
      <c r="B446" s="5" t="n"/>
      <c r="C446" s="5" t="n"/>
      <c r="D446" s="5" t="n"/>
      <c r="E446" s="5" t="n"/>
      <c r="F446" s="23" t="n"/>
      <c r="G446" s="5" t="n"/>
      <c r="H446" s="5" t="n"/>
      <c r="I446" s="5" t="n"/>
      <c r="J446" s="24">
        <f>IF(C446="",0,IFERROR(VLOOKUP(C446,BFTC!$B$5:$F$504,5,FALSE),0))</f>
        <v/>
      </c>
      <c r="K446" s="24">
        <f>IF(OR(F446="",J446=0,LEFT(I446,11)="KAPSAM DIŞI",LEFT(I446,11)="DAHİL DEĞİL"),0,F446*J446)</f>
        <v/>
      </c>
    </row>
    <row r="447">
      <c r="A447" s="5" t="n"/>
      <c r="B447" s="5" t="n"/>
      <c r="C447" s="5" t="n"/>
      <c r="D447" s="5" t="n"/>
      <c r="E447" s="5" t="n"/>
      <c r="F447" s="23" t="n"/>
      <c r="G447" s="5" t="n"/>
      <c r="H447" s="5" t="n"/>
      <c r="I447" s="5" t="n"/>
      <c r="J447" s="24">
        <f>IF(C447="",0,IFERROR(VLOOKUP(C447,BFTC!$B$5:$F$504,5,FALSE),0))</f>
        <v/>
      </c>
      <c r="K447" s="24">
        <f>IF(OR(F447="",J447=0,LEFT(I447,11)="KAPSAM DIŞI",LEFT(I447,11)="DAHİL DEĞİL"),0,F447*J447)</f>
        <v/>
      </c>
    </row>
    <row r="448">
      <c r="A448" s="5" t="n"/>
      <c r="B448" s="5" t="n"/>
      <c r="C448" s="5" t="n"/>
      <c r="D448" s="5" t="n"/>
      <c r="E448" s="5" t="n"/>
      <c r="F448" s="23" t="n"/>
      <c r="G448" s="5" t="n"/>
      <c r="H448" s="5" t="n"/>
      <c r="I448" s="5" t="n"/>
      <c r="J448" s="24">
        <f>IF(C448="",0,IFERROR(VLOOKUP(C448,BFTC!$B$5:$F$504,5,FALSE),0))</f>
        <v/>
      </c>
      <c r="K448" s="24">
        <f>IF(OR(F448="",J448=0,LEFT(I448,11)="KAPSAM DIŞI",LEFT(I448,11)="DAHİL DEĞİL"),0,F448*J448)</f>
        <v/>
      </c>
    </row>
    <row r="449">
      <c r="A449" s="5" t="n"/>
      <c r="B449" s="5" t="n"/>
      <c r="C449" s="5" t="n"/>
      <c r="D449" s="5" t="n"/>
      <c r="E449" s="5" t="n"/>
      <c r="F449" s="23" t="n"/>
      <c r="G449" s="5" t="n"/>
      <c r="H449" s="5" t="n"/>
      <c r="I449" s="5" t="n"/>
      <c r="J449" s="24">
        <f>IF(C449="",0,IFERROR(VLOOKUP(C449,BFTC!$B$5:$F$504,5,FALSE),0))</f>
        <v/>
      </c>
      <c r="K449" s="24">
        <f>IF(OR(F449="",J449=0,LEFT(I449,11)="KAPSAM DIŞI",LEFT(I449,11)="DAHİL DEĞİL"),0,F449*J449)</f>
        <v/>
      </c>
    </row>
    <row r="450">
      <c r="A450" s="5" t="n"/>
      <c r="B450" s="5" t="n"/>
      <c r="C450" s="5" t="n"/>
      <c r="D450" s="5" t="n"/>
      <c r="E450" s="5" t="n"/>
      <c r="F450" s="23" t="n"/>
      <c r="G450" s="5" t="n"/>
      <c r="H450" s="5" t="n"/>
      <c r="I450" s="5" t="n"/>
      <c r="J450" s="24">
        <f>IF(C450="",0,IFERROR(VLOOKUP(C450,BFTC!$B$5:$F$504,5,FALSE),0))</f>
        <v/>
      </c>
      <c r="K450" s="24">
        <f>IF(OR(F450="",J450=0,LEFT(I450,11)="KAPSAM DIŞI",LEFT(I450,11)="DAHİL DEĞİL"),0,F450*J450)</f>
        <v/>
      </c>
    </row>
    <row r="451">
      <c r="A451" s="5" t="n"/>
      <c r="B451" s="5" t="n"/>
      <c r="C451" s="5" t="n"/>
      <c r="D451" s="5" t="n"/>
      <c r="E451" s="5" t="n"/>
      <c r="F451" s="23" t="n"/>
      <c r="G451" s="5" t="n"/>
      <c r="H451" s="5" t="n"/>
      <c r="I451" s="5" t="n"/>
      <c r="J451" s="24">
        <f>IF(C451="",0,IFERROR(VLOOKUP(C451,BFTC!$B$5:$F$504,5,FALSE),0))</f>
        <v/>
      </c>
      <c r="K451" s="24">
        <f>IF(OR(F451="",J451=0,LEFT(I451,11)="KAPSAM DIŞI",LEFT(I451,11)="DAHİL DEĞİL"),0,F451*J451)</f>
        <v/>
      </c>
    </row>
    <row r="452">
      <c r="A452" s="5" t="n"/>
      <c r="B452" s="5" t="n"/>
      <c r="C452" s="5" t="n"/>
      <c r="D452" s="5" t="n"/>
      <c r="E452" s="5" t="n"/>
      <c r="F452" s="23" t="n"/>
      <c r="G452" s="5" t="n"/>
      <c r="H452" s="5" t="n"/>
      <c r="I452" s="5" t="n"/>
      <c r="J452" s="24">
        <f>IF(C452="",0,IFERROR(VLOOKUP(C452,BFTC!$B$5:$F$504,5,FALSE),0))</f>
        <v/>
      </c>
      <c r="K452" s="24">
        <f>IF(OR(F452="",J452=0,LEFT(I452,11)="KAPSAM DIŞI",LEFT(I452,11)="DAHİL DEĞİL"),0,F452*J452)</f>
        <v/>
      </c>
    </row>
    <row r="453">
      <c r="A453" s="5" t="n"/>
      <c r="B453" s="5" t="n"/>
      <c r="C453" s="5" t="n"/>
      <c r="D453" s="5" t="n"/>
      <c r="E453" s="5" t="n"/>
      <c r="F453" s="23" t="n"/>
      <c r="G453" s="5" t="n"/>
      <c r="H453" s="5" t="n"/>
      <c r="I453" s="5" t="n"/>
      <c r="J453" s="24">
        <f>IF(C453="",0,IFERROR(VLOOKUP(C453,BFTC!$B$5:$F$504,5,FALSE),0))</f>
        <v/>
      </c>
      <c r="K453" s="24">
        <f>IF(OR(F453="",J453=0,LEFT(I453,11)="KAPSAM DIŞI",LEFT(I453,11)="DAHİL DEĞİL"),0,F453*J453)</f>
        <v/>
      </c>
    </row>
    <row r="454">
      <c r="A454" s="5" t="n"/>
      <c r="B454" s="5" t="n"/>
      <c r="C454" s="5" t="n"/>
      <c r="D454" s="5" t="n"/>
      <c r="E454" s="5" t="n"/>
      <c r="F454" s="23" t="n"/>
      <c r="G454" s="5" t="n"/>
      <c r="H454" s="5" t="n"/>
      <c r="I454" s="5" t="n"/>
      <c r="J454" s="24">
        <f>IF(C454="",0,IFERROR(VLOOKUP(C454,BFTC!$B$5:$F$504,5,FALSE),0))</f>
        <v/>
      </c>
      <c r="K454" s="24">
        <f>IF(OR(F454="",J454=0,LEFT(I454,11)="KAPSAM DIŞI",LEFT(I454,11)="DAHİL DEĞİL"),0,F454*J454)</f>
        <v/>
      </c>
    </row>
    <row r="455">
      <c r="A455" s="5" t="n"/>
      <c r="B455" s="5" t="n"/>
      <c r="C455" s="5" t="n"/>
      <c r="D455" s="5" t="n"/>
      <c r="E455" s="5" t="n"/>
      <c r="F455" s="23" t="n"/>
      <c r="G455" s="5" t="n"/>
      <c r="H455" s="5" t="n"/>
      <c r="I455" s="5" t="n"/>
      <c r="J455" s="24">
        <f>IF(C455="",0,IFERROR(VLOOKUP(C455,BFTC!$B$5:$F$504,5,FALSE),0))</f>
        <v/>
      </c>
      <c r="K455" s="24">
        <f>IF(OR(F455="",J455=0,LEFT(I455,11)="KAPSAM DIŞI",LEFT(I455,11)="DAHİL DEĞİL"),0,F455*J455)</f>
        <v/>
      </c>
    </row>
    <row r="456">
      <c r="A456" s="5" t="n"/>
      <c r="B456" s="5" t="n"/>
      <c r="C456" s="5" t="n"/>
      <c r="D456" s="5" t="n"/>
      <c r="E456" s="5" t="n"/>
      <c r="F456" s="23" t="n"/>
      <c r="G456" s="5" t="n"/>
      <c r="H456" s="5" t="n"/>
      <c r="I456" s="5" t="n"/>
      <c r="J456" s="24">
        <f>IF(C456="",0,IFERROR(VLOOKUP(C456,BFTC!$B$5:$F$504,5,FALSE),0))</f>
        <v/>
      </c>
      <c r="K456" s="24">
        <f>IF(OR(F456="",J456=0,LEFT(I456,11)="KAPSAM DIŞI",LEFT(I456,11)="DAHİL DEĞİL"),0,F456*J456)</f>
        <v/>
      </c>
    </row>
    <row r="457">
      <c r="A457" s="5" t="n"/>
      <c r="B457" s="5" t="n"/>
      <c r="C457" s="5" t="n"/>
      <c r="D457" s="5" t="n"/>
      <c r="E457" s="5" t="n"/>
      <c r="F457" s="23" t="n"/>
      <c r="G457" s="5" t="n"/>
      <c r="H457" s="5" t="n"/>
      <c r="I457" s="5" t="n"/>
      <c r="J457" s="24">
        <f>IF(C457="",0,IFERROR(VLOOKUP(C457,BFTC!$B$5:$F$504,5,FALSE),0))</f>
        <v/>
      </c>
      <c r="K457" s="24">
        <f>IF(OR(F457="",J457=0,LEFT(I457,11)="KAPSAM DIŞI",LEFT(I457,11)="DAHİL DEĞİL"),0,F457*J457)</f>
        <v/>
      </c>
    </row>
    <row r="458">
      <c r="A458" s="5" t="n"/>
      <c r="B458" s="5" t="n"/>
      <c r="C458" s="5" t="n"/>
      <c r="D458" s="5" t="n"/>
      <c r="E458" s="5" t="n"/>
      <c r="F458" s="23" t="n"/>
      <c r="G458" s="5" t="n"/>
      <c r="H458" s="5" t="n"/>
      <c r="I458" s="5" t="n"/>
      <c r="J458" s="24">
        <f>IF(C458="",0,IFERROR(VLOOKUP(C458,BFTC!$B$5:$F$504,5,FALSE),0))</f>
        <v/>
      </c>
      <c r="K458" s="24">
        <f>IF(OR(F458="",J458=0,LEFT(I458,11)="KAPSAM DIŞI",LEFT(I458,11)="DAHİL DEĞİL"),0,F458*J458)</f>
        <v/>
      </c>
    </row>
    <row r="459">
      <c r="A459" s="5" t="n"/>
      <c r="B459" s="5" t="n"/>
      <c r="C459" s="5" t="n"/>
      <c r="D459" s="5" t="n"/>
      <c r="E459" s="5" t="n"/>
      <c r="F459" s="23" t="n"/>
      <c r="G459" s="5" t="n"/>
      <c r="H459" s="5" t="n"/>
      <c r="I459" s="5" t="n"/>
      <c r="J459" s="24">
        <f>IF(C459="",0,IFERROR(VLOOKUP(C459,BFTC!$B$5:$F$504,5,FALSE),0))</f>
        <v/>
      </c>
      <c r="K459" s="24">
        <f>IF(OR(F459="",J459=0,LEFT(I459,11)="KAPSAM DIŞI",LEFT(I459,11)="DAHİL DEĞİL"),0,F459*J459)</f>
        <v/>
      </c>
    </row>
    <row r="460">
      <c r="A460" s="5" t="n"/>
      <c r="B460" s="5" t="n"/>
      <c r="C460" s="5" t="n"/>
      <c r="D460" s="5" t="n"/>
      <c r="E460" s="5" t="n"/>
      <c r="F460" s="23" t="n"/>
      <c r="G460" s="5" t="n"/>
      <c r="H460" s="5" t="n"/>
      <c r="I460" s="5" t="n"/>
      <c r="J460" s="24">
        <f>IF(C460="",0,IFERROR(VLOOKUP(C460,BFTC!$B$5:$F$504,5,FALSE),0))</f>
        <v/>
      </c>
      <c r="K460" s="24">
        <f>IF(OR(F460="",J460=0,LEFT(I460,11)="KAPSAM DIŞI",LEFT(I460,11)="DAHİL DEĞİL"),0,F460*J460)</f>
        <v/>
      </c>
    </row>
    <row r="461">
      <c r="A461" s="5" t="n"/>
      <c r="B461" s="5" t="n"/>
      <c r="C461" s="5" t="n"/>
      <c r="D461" s="5" t="n"/>
      <c r="E461" s="5" t="n"/>
      <c r="F461" s="23" t="n"/>
      <c r="G461" s="5" t="n"/>
      <c r="H461" s="5" t="n"/>
      <c r="I461" s="5" t="n"/>
      <c r="J461" s="24">
        <f>IF(C461="",0,IFERROR(VLOOKUP(C461,BFTC!$B$5:$F$504,5,FALSE),0))</f>
        <v/>
      </c>
      <c r="K461" s="24">
        <f>IF(OR(F461="",J461=0,LEFT(I461,11)="KAPSAM DIŞI",LEFT(I461,11)="DAHİL DEĞİL"),0,F461*J461)</f>
        <v/>
      </c>
    </row>
    <row r="462">
      <c r="A462" s="5" t="n"/>
      <c r="B462" s="5" t="n"/>
      <c r="C462" s="5" t="n"/>
      <c r="D462" s="5" t="n"/>
      <c r="E462" s="5" t="n"/>
      <c r="F462" s="23" t="n"/>
      <c r="G462" s="5" t="n"/>
      <c r="H462" s="5" t="n"/>
      <c r="I462" s="5" t="n"/>
      <c r="J462" s="24">
        <f>IF(C462="",0,IFERROR(VLOOKUP(C462,BFTC!$B$5:$F$504,5,FALSE),0))</f>
        <v/>
      </c>
      <c r="K462" s="24">
        <f>IF(OR(F462="",J462=0,LEFT(I462,11)="KAPSAM DIŞI",LEFT(I462,11)="DAHİL DEĞİL"),0,F462*J462)</f>
        <v/>
      </c>
    </row>
    <row r="463">
      <c r="A463" s="5" t="n"/>
      <c r="B463" s="5" t="n"/>
      <c r="C463" s="5" t="n"/>
      <c r="D463" s="5" t="n"/>
      <c r="E463" s="5" t="n"/>
      <c r="F463" s="23" t="n"/>
      <c r="G463" s="5" t="n"/>
      <c r="H463" s="5" t="n"/>
      <c r="I463" s="5" t="n"/>
      <c r="J463" s="24">
        <f>IF(C463="",0,IFERROR(VLOOKUP(C463,BFTC!$B$5:$F$504,5,FALSE),0))</f>
        <v/>
      </c>
      <c r="K463" s="24">
        <f>IF(OR(F463="",J463=0,LEFT(I463,11)="KAPSAM DIŞI",LEFT(I463,11)="DAHİL DEĞİL"),0,F463*J463)</f>
        <v/>
      </c>
    </row>
    <row r="464">
      <c r="A464" s="5" t="n"/>
      <c r="B464" s="5" t="n"/>
      <c r="C464" s="5" t="n"/>
      <c r="D464" s="5" t="n"/>
      <c r="E464" s="5" t="n"/>
      <c r="F464" s="23" t="n"/>
      <c r="G464" s="5" t="n"/>
      <c r="H464" s="5" t="n"/>
      <c r="I464" s="5" t="n"/>
      <c r="J464" s="24">
        <f>IF(C464="",0,IFERROR(VLOOKUP(C464,BFTC!$B$5:$F$504,5,FALSE),0))</f>
        <v/>
      </c>
      <c r="K464" s="24">
        <f>IF(OR(F464="",J464=0,LEFT(I464,11)="KAPSAM DIŞI",LEFT(I464,11)="DAHİL DEĞİL"),0,F464*J464)</f>
        <v/>
      </c>
    </row>
    <row r="465">
      <c r="A465" s="5" t="n"/>
      <c r="B465" s="5" t="n"/>
      <c r="C465" s="5" t="n"/>
      <c r="D465" s="5" t="n"/>
      <c r="E465" s="5" t="n"/>
      <c r="F465" s="23" t="n"/>
      <c r="G465" s="5" t="n"/>
      <c r="H465" s="5" t="n"/>
      <c r="I465" s="5" t="n"/>
      <c r="J465" s="24">
        <f>IF(C465="",0,IFERROR(VLOOKUP(C465,BFTC!$B$5:$F$504,5,FALSE),0))</f>
        <v/>
      </c>
      <c r="K465" s="24">
        <f>IF(OR(F465="",J465=0,LEFT(I465,11)="KAPSAM DIŞI",LEFT(I465,11)="DAHİL DEĞİL"),0,F465*J465)</f>
        <v/>
      </c>
    </row>
    <row r="466">
      <c r="A466" s="5" t="n"/>
      <c r="B466" s="5" t="n"/>
      <c r="C466" s="5" t="n"/>
      <c r="D466" s="5" t="n"/>
      <c r="E466" s="5" t="n"/>
      <c r="F466" s="23" t="n"/>
      <c r="G466" s="5" t="n"/>
      <c r="H466" s="5" t="n"/>
      <c r="I466" s="5" t="n"/>
      <c r="J466" s="24">
        <f>IF(C466="",0,IFERROR(VLOOKUP(C466,BFTC!$B$5:$F$504,5,FALSE),0))</f>
        <v/>
      </c>
      <c r="K466" s="24">
        <f>IF(OR(F466="",J466=0,LEFT(I466,11)="KAPSAM DIŞI",LEFT(I466,11)="DAHİL DEĞİL"),0,F466*J466)</f>
        <v/>
      </c>
    </row>
    <row r="467">
      <c r="A467" s="5" t="n"/>
      <c r="B467" s="5" t="n"/>
      <c r="C467" s="5" t="n"/>
      <c r="D467" s="5" t="n"/>
      <c r="E467" s="5" t="n"/>
      <c r="F467" s="23" t="n"/>
      <c r="G467" s="5" t="n"/>
      <c r="H467" s="5" t="n"/>
      <c r="I467" s="5" t="n"/>
      <c r="J467" s="24">
        <f>IF(C467="",0,IFERROR(VLOOKUP(C467,BFTC!$B$5:$F$504,5,FALSE),0))</f>
        <v/>
      </c>
      <c r="K467" s="24">
        <f>IF(OR(F467="",J467=0,LEFT(I467,11)="KAPSAM DIŞI",LEFT(I467,11)="DAHİL DEĞİL"),0,F467*J467)</f>
        <v/>
      </c>
    </row>
    <row r="468">
      <c r="A468" s="5" t="n"/>
      <c r="B468" s="5" t="n"/>
      <c r="C468" s="5" t="n"/>
      <c r="D468" s="5" t="n"/>
      <c r="E468" s="5" t="n"/>
      <c r="F468" s="23" t="n"/>
      <c r="G468" s="5" t="n"/>
      <c r="H468" s="5" t="n"/>
      <c r="I468" s="5" t="n"/>
      <c r="J468" s="24">
        <f>IF(C468="",0,IFERROR(VLOOKUP(C468,BFTC!$B$5:$F$504,5,FALSE),0))</f>
        <v/>
      </c>
      <c r="K468" s="24">
        <f>IF(OR(F468="",J468=0,LEFT(I468,11)="KAPSAM DIŞI",LEFT(I468,11)="DAHİL DEĞİL"),0,F468*J468)</f>
        <v/>
      </c>
    </row>
    <row r="469">
      <c r="A469" s="5" t="n"/>
      <c r="B469" s="5" t="n"/>
      <c r="C469" s="5" t="n"/>
      <c r="D469" s="5" t="n"/>
      <c r="E469" s="5" t="n"/>
      <c r="F469" s="23" t="n"/>
      <c r="G469" s="5" t="n"/>
      <c r="H469" s="5" t="n"/>
      <c r="I469" s="5" t="n"/>
      <c r="J469" s="24">
        <f>IF(C469="",0,IFERROR(VLOOKUP(C469,BFTC!$B$5:$F$504,5,FALSE),0))</f>
        <v/>
      </c>
      <c r="K469" s="24">
        <f>IF(OR(F469="",J469=0,LEFT(I469,11)="KAPSAM DIŞI",LEFT(I469,11)="DAHİL DEĞİL"),0,F469*J469)</f>
        <v/>
      </c>
    </row>
    <row r="470">
      <c r="A470" s="5" t="n"/>
      <c r="B470" s="5" t="n"/>
      <c r="C470" s="5" t="n"/>
      <c r="D470" s="5" t="n"/>
      <c r="E470" s="5" t="n"/>
      <c r="F470" s="23" t="n"/>
      <c r="G470" s="5" t="n"/>
      <c r="H470" s="5" t="n"/>
      <c r="I470" s="5" t="n"/>
      <c r="J470" s="24">
        <f>IF(C470="",0,IFERROR(VLOOKUP(C470,BFTC!$B$5:$F$504,5,FALSE),0))</f>
        <v/>
      </c>
      <c r="K470" s="24">
        <f>IF(OR(F470="",J470=0,LEFT(I470,11)="KAPSAM DIŞI",LEFT(I470,11)="DAHİL DEĞİL"),0,F470*J470)</f>
        <v/>
      </c>
    </row>
    <row r="471">
      <c r="A471" s="5" t="n"/>
      <c r="B471" s="5" t="n"/>
      <c r="C471" s="5" t="n"/>
      <c r="D471" s="5" t="n"/>
      <c r="E471" s="5" t="n"/>
      <c r="F471" s="23" t="n"/>
      <c r="G471" s="5" t="n"/>
      <c r="H471" s="5" t="n"/>
      <c r="I471" s="5" t="n"/>
      <c r="J471" s="24">
        <f>IF(C471="",0,IFERROR(VLOOKUP(C471,BFTC!$B$5:$F$504,5,FALSE),0))</f>
        <v/>
      </c>
      <c r="K471" s="24">
        <f>IF(OR(F471="",J471=0,LEFT(I471,11)="KAPSAM DIŞI",LEFT(I471,11)="DAHİL DEĞİL"),0,F471*J471)</f>
        <v/>
      </c>
    </row>
    <row r="472">
      <c r="A472" s="5" t="n"/>
      <c r="B472" s="5" t="n"/>
      <c r="C472" s="5" t="n"/>
      <c r="D472" s="5" t="n"/>
      <c r="E472" s="5" t="n"/>
      <c r="F472" s="23" t="n"/>
      <c r="G472" s="5" t="n"/>
      <c r="H472" s="5" t="n"/>
      <c r="I472" s="5" t="n"/>
      <c r="J472" s="24">
        <f>IF(C472="",0,IFERROR(VLOOKUP(C472,BFTC!$B$5:$F$504,5,FALSE),0))</f>
        <v/>
      </c>
      <c r="K472" s="24">
        <f>IF(OR(F472="",J472=0,LEFT(I472,11)="KAPSAM DIŞI",LEFT(I472,11)="DAHİL DEĞİL"),0,F472*J472)</f>
        <v/>
      </c>
    </row>
    <row r="473">
      <c r="A473" s="5" t="n"/>
      <c r="B473" s="5" t="n"/>
      <c r="C473" s="5" t="n"/>
      <c r="D473" s="5" t="n"/>
      <c r="E473" s="5" t="n"/>
      <c r="F473" s="23" t="n"/>
      <c r="G473" s="5" t="n"/>
      <c r="H473" s="5" t="n"/>
      <c r="I473" s="5" t="n"/>
      <c r="J473" s="24">
        <f>IF(C473="",0,IFERROR(VLOOKUP(C473,BFTC!$B$5:$F$504,5,FALSE),0))</f>
        <v/>
      </c>
      <c r="K473" s="24">
        <f>IF(OR(F473="",J473=0,LEFT(I473,11)="KAPSAM DIŞI",LEFT(I473,11)="DAHİL DEĞİL"),0,F473*J473)</f>
        <v/>
      </c>
    </row>
    <row r="474">
      <c r="A474" s="5" t="n"/>
      <c r="B474" s="5" t="n"/>
      <c r="C474" s="5" t="n"/>
      <c r="D474" s="5" t="n"/>
      <c r="E474" s="5" t="n"/>
      <c r="F474" s="23" t="n"/>
      <c r="G474" s="5" t="n"/>
      <c r="H474" s="5" t="n"/>
      <c r="I474" s="5" t="n"/>
      <c r="J474" s="24">
        <f>IF(C474="",0,IFERROR(VLOOKUP(C474,BFTC!$B$5:$F$504,5,FALSE),0))</f>
        <v/>
      </c>
      <c r="K474" s="24">
        <f>IF(OR(F474="",J474=0,LEFT(I474,11)="KAPSAM DIŞI",LEFT(I474,11)="DAHİL DEĞİL"),0,F474*J474)</f>
        <v/>
      </c>
    </row>
    <row r="475">
      <c r="A475" s="5" t="n"/>
      <c r="B475" s="5" t="n"/>
      <c r="C475" s="5" t="n"/>
      <c r="D475" s="5" t="n"/>
      <c r="E475" s="5" t="n"/>
      <c r="F475" s="23" t="n"/>
      <c r="G475" s="5" t="n"/>
      <c r="H475" s="5" t="n"/>
      <c r="I475" s="5" t="n"/>
      <c r="J475" s="24">
        <f>IF(C475="",0,IFERROR(VLOOKUP(C475,BFTC!$B$5:$F$504,5,FALSE),0))</f>
        <v/>
      </c>
      <c r="K475" s="24">
        <f>IF(OR(F475="",J475=0,LEFT(I475,11)="KAPSAM DIŞI",LEFT(I475,11)="DAHİL DEĞİL"),0,F475*J475)</f>
        <v/>
      </c>
    </row>
    <row r="476">
      <c r="A476" s="5" t="n"/>
      <c r="B476" s="5" t="n"/>
      <c r="C476" s="5" t="n"/>
      <c r="D476" s="5" t="n"/>
      <c r="E476" s="5" t="n"/>
      <c r="F476" s="23" t="n"/>
      <c r="G476" s="5" t="n"/>
      <c r="H476" s="5" t="n"/>
      <c r="I476" s="5" t="n"/>
      <c r="J476" s="24">
        <f>IF(C476="",0,IFERROR(VLOOKUP(C476,BFTC!$B$5:$F$504,5,FALSE),0))</f>
        <v/>
      </c>
      <c r="K476" s="24">
        <f>IF(OR(F476="",J476=0,LEFT(I476,11)="KAPSAM DIŞI",LEFT(I476,11)="DAHİL DEĞİL"),0,F476*J476)</f>
        <v/>
      </c>
    </row>
    <row r="477">
      <c r="A477" s="5" t="n"/>
      <c r="B477" s="5" t="n"/>
      <c r="C477" s="5" t="n"/>
      <c r="D477" s="5" t="n"/>
      <c r="E477" s="5" t="n"/>
      <c r="F477" s="23" t="n"/>
      <c r="G477" s="5" t="n"/>
      <c r="H477" s="5" t="n"/>
      <c r="I477" s="5" t="n"/>
      <c r="J477" s="24">
        <f>IF(C477="",0,IFERROR(VLOOKUP(C477,BFTC!$B$5:$F$504,5,FALSE),0))</f>
        <v/>
      </c>
      <c r="K477" s="24">
        <f>IF(OR(F477="",J477=0,LEFT(I477,11)="KAPSAM DIŞI",LEFT(I477,11)="DAHİL DEĞİL"),0,F477*J477)</f>
        <v/>
      </c>
    </row>
    <row r="478">
      <c r="A478" s="5" t="n"/>
      <c r="B478" s="5" t="n"/>
      <c r="C478" s="5" t="n"/>
      <c r="D478" s="5" t="n"/>
      <c r="E478" s="5" t="n"/>
      <c r="F478" s="23" t="n"/>
      <c r="G478" s="5" t="n"/>
      <c r="H478" s="5" t="n"/>
      <c r="I478" s="5" t="n"/>
      <c r="J478" s="24">
        <f>IF(C478="",0,IFERROR(VLOOKUP(C478,BFTC!$B$5:$F$504,5,FALSE),0))</f>
        <v/>
      </c>
      <c r="K478" s="24">
        <f>IF(OR(F478="",J478=0,LEFT(I478,11)="KAPSAM DIŞI",LEFT(I478,11)="DAHİL DEĞİL"),0,F478*J478)</f>
        <v/>
      </c>
    </row>
    <row r="479">
      <c r="A479" s="5" t="n"/>
      <c r="B479" s="5" t="n"/>
      <c r="C479" s="5" t="n"/>
      <c r="D479" s="5" t="n"/>
      <c r="E479" s="5" t="n"/>
      <c r="F479" s="23" t="n"/>
      <c r="G479" s="5" t="n"/>
      <c r="H479" s="5" t="n"/>
      <c r="I479" s="5" t="n"/>
      <c r="J479" s="24">
        <f>IF(C479="",0,IFERROR(VLOOKUP(C479,BFTC!$B$5:$F$504,5,FALSE),0))</f>
        <v/>
      </c>
      <c r="K479" s="24">
        <f>IF(OR(F479="",J479=0,LEFT(I479,11)="KAPSAM DIŞI",LEFT(I479,11)="DAHİL DEĞİL"),0,F479*J479)</f>
        <v/>
      </c>
    </row>
    <row r="480">
      <c r="A480" s="5" t="n"/>
      <c r="B480" s="5" t="n"/>
      <c r="C480" s="5" t="n"/>
      <c r="D480" s="5" t="n"/>
      <c r="E480" s="5" t="n"/>
      <c r="F480" s="23" t="n"/>
      <c r="G480" s="5" t="n"/>
      <c r="H480" s="5" t="n"/>
      <c r="I480" s="5" t="n"/>
      <c r="J480" s="24">
        <f>IF(C480="",0,IFERROR(VLOOKUP(C480,BFTC!$B$5:$F$504,5,FALSE),0))</f>
        <v/>
      </c>
      <c r="K480" s="24">
        <f>IF(OR(F480="",J480=0,LEFT(I480,11)="KAPSAM DIŞI",LEFT(I480,11)="DAHİL DEĞİL"),0,F480*J480)</f>
        <v/>
      </c>
    </row>
    <row r="481">
      <c r="A481" s="5" t="n"/>
      <c r="B481" s="5" t="n"/>
      <c r="C481" s="5" t="n"/>
      <c r="D481" s="5" t="n"/>
      <c r="E481" s="5" t="n"/>
      <c r="F481" s="23" t="n"/>
      <c r="G481" s="5" t="n"/>
      <c r="H481" s="5" t="n"/>
      <c r="I481" s="5" t="n"/>
      <c r="J481" s="24">
        <f>IF(C481="",0,IFERROR(VLOOKUP(C481,BFTC!$B$5:$F$504,5,FALSE),0))</f>
        <v/>
      </c>
      <c r="K481" s="24">
        <f>IF(OR(F481="",J481=0,LEFT(I481,11)="KAPSAM DIŞI",LEFT(I481,11)="DAHİL DEĞİL"),0,F481*J481)</f>
        <v/>
      </c>
    </row>
    <row r="482">
      <c r="A482" s="5" t="n"/>
      <c r="B482" s="5" t="n"/>
      <c r="C482" s="5" t="n"/>
      <c r="D482" s="5" t="n"/>
      <c r="E482" s="5" t="n"/>
      <c r="F482" s="23" t="n"/>
      <c r="G482" s="5" t="n"/>
      <c r="H482" s="5" t="n"/>
      <c r="I482" s="5" t="n"/>
      <c r="J482" s="24">
        <f>IF(C482="",0,IFERROR(VLOOKUP(C482,BFTC!$B$5:$F$504,5,FALSE),0))</f>
        <v/>
      </c>
      <c r="K482" s="24">
        <f>IF(OR(F482="",J482=0,LEFT(I482,11)="KAPSAM DIŞI",LEFT(I482,11)="DAHİL DEĞİL"),0,F482*J482)</f>
        <v/>
      </c>
    </row>
    <row r="483">
      <c r="A483" s="5" t="n"/>
      <c r="B483" s="5" t="n"/>
      <c r="C483" s="5" t="n"/>
      <c r="D483" s="5" t="n"/>
      <c r="E483" s="5" t="n"/>
      <c r="F483" s="23" t="n"/>
      <c r="G483" s="5" t="n"/>
      <c r="H483" s="5" t="n"/>
      <c r="I483" s="5" t="n"/>
      <c r="J483" s="24">
        <f>IF(C483="",0,IFERROR(VLOOKUP(C483,BFTC!$B$5:$F$504,5,FALSE),0))</f>
        <v/>
      </c>
      <c r="K483" s="24">
        <f>IF(OR(F483="",J483=0,LEFT(I483,11)="KAPSAM DIŞI",LEFT(I483,11)="DAHİL DEĞİL"),0,F483*J483)</f>
        <v/>
      </c>
    </row>
    <row r="484">
      <c r="A484" s="5" t="n"/>
      <c r="B484" s="5" t="n"/>
      <c r="C484" s="5" t="n"/>
      <c r="D484" s="5" t="n"/>
      <c r="E484" s="5" t="n"/>
      <c r="F484" s="23" t="n"/>
      <c r="G484" s="5" t="n"/>
      <c r="H484" s="5" t="n"/>
      <c r="I484" s="5" t="n"/>
      <c r="J484" s="24">
        <f>IF(C484="",0,IFERROR(VLOOKUP(C484,BFTC!$B$5:$F$504,5,FALSE),0))</f>
        <v/>
      </c>
      <c r="K484" s="24">
        <f>IF(OR(F484="",J484=0,LEFT(I484,11)="KAPSAM DIŞI",LEFT(I484,11)="DAHİL DEĞİL"),0,F484*J484)</f>
        <v/>
      </c>
    </row>
    <row r="485">
      <c r="A485" s="5" t="n"/>
      <c r="B485" s="5" t="n"/>
      <c r="C485" s="5" t="n"/>
      <c r="D485" s="5" t="n"/>
      <c r="E485" s="5" t="n"/>
      <c r="F485" s="23" t="n"/>
      <c r="G485" s="5" t="n"/>
      <c r="H485" s="5" t="n"/>
      <c r="I485" s="5" t="n"/>
      <c r="J485" s="24">
        <f>IF(C485="",0,IFERROR(VLOOKUP(C485,BFTC!$B$5:$F$504,5,FALSE),0))</f>
        <v/>
      </c>
      <c r="K485" s="24">
        <f>IF(OR(F485="",J485=0,LEFT(I485,11)="KAPSAM DIŞI",LEFT(I485,11)="DAHİL DEĞİL"),0,F485*J485)</f>
        <v/>
      </c>
    </row>
    <row r="486">
      <c r="A486" s="5" t="n"/>
      <c r="B486" s="5" t="n"/>
      <c r="C486" s="5" t="n"/>
      <c r="D486" s="5" t="n"/>
      <c r="E486" s="5" t="n"/>
      <c r="F486" s="23" t="n"/>
      <c r="G486" s="5" t="n"/>
      <c r="H486" s="5" t="n"/>
      <c r="I486" s="5" t="n"/>
      <c r="J486" s="24">
        <f>IF(C486="",0,IFERROR(VLOOKUP(C486,BFTC!$B$5:$F$504,5,FALSE),0))</f>
        <v/>
      </c>
      <c r="K486" s="24">
        <f>IF(OR(F486="",J486=0,LEFT(I486,11)="KAPSAM DIŞI",LEFT(I486,11)="DAHİL DEĞİL"),0,F486*J486)</f>
        <v/>
      </c>
    </row>
    <row r="487">
      <c r="A487" s="5" t="n"/>
      <c r="B487" s="5" t="n"/>
      <c r="C487" s="5" t="n"/>
      <c r="D487" s="5" t="n"/>
      <c r="E487" s="5" t="n"/>
      <c r="F487" s="23" t="n"/>
      <c r="G487" s="5" t="n"/>
      <c r="H487" s="5" t="n"/>
      <c r="I487" s="5" t="n"/>
      <c r="J487" s="24">
        <f>IF(C487="",0,IFERROR(VLOOKUP(C487,BFTC!$B$5:$F$504,5,FALSE),0))</f>
        <v/>
      </c>
      <c r="K487" s="24">
        <f>IF(OR(F487="",J487=0,LEFT(I487,11)="KAPSAM DIŞI",LEFT(I487,11)="DAHİL DEĞİL"),0,F487*J487)</f>
        <v/>
      </c>
    </row>
    <row r="488">
      <c r="A488" s="5" t="n"/>
      <c r="B488" s="5" t="n"/>
      <c r="C488" s="5" t="n"/>
      <c r="D488" s="5" t="n"/>
      <c r="E488" s="5" t="n"/>
      <c r="F488" s="23" t="n"/>
      <c r="G488" s="5" t="n"/>
      <c r="H488" s="5" t="n"/>
      <c r="I488" s="5" t="n"/>
      <c r="J488" s="24">
        <f>IF(C488="",0,IFERROR(VLOOKUP(C488,BFTC!$B$5:$F$504,5,FALSE),0))</f>
        <v/>
      </c>
      <c r="K488" s="24">
        <f>IF(OR(F488="",J488=0,LEFT(I488,11)="KAPSAM DIŞI",LEFT(I488,11)="DAHİL DEĞİL"),0,F488*J488)</f>
        <v/>
      </c>
    </row>
    <row r="489">
      <c r="A489" s="5" t="n"/>
      <c r="B489" s="5" t="n"/>
      <c r="C489" s="5" t="n"/>
      <c r="D489" s="5" t="n"/>
      <c r="E489" s="5" t="n"/>
      <c r="F489" s="23" t="n"/>
      <c r="G489" s="5" t="n"/>
      <c r="H489" s="5" t="n"/>
      <c r="I489" s="5" t="n"/>
      <c r="J489" s="24">
        <f>IF(C489="",0,IFERROR(VLOOKUP(C489,BFTC!$B$5:$F$504,5,FALSE),0))</f>
        <v/>
      </c>
      <c r="K489" s="24">
        <f>IF(OR(F489="",J489=0,LEFT(I489,11)="KAPSAM DIŞI",LEFT(I489,11)="DAHİL DEĞİL"),0,F489*J489)</f>
        <v/>
      </c>
    </row>
    <row r="490">
      <c r="A490" s="5" t="n"/>
      <c r="B490" s="5" t="n"/>
      <c r="C490" s="5" t="n"/>
      <c r="D490" s="5" t="n"/>
      <c r="E490" s="5" t="n"/>
      <c r="F490" s="23" t="n"/>
      <c r="G490" s="5" t="n"/>
      <c r="H490" s="5" t="n"/>
      <c r="I490" s="5" t="n"/>
      <c r="J490" s="24">
        <f>IF(C490="",0,IFERROR(VLOOKUP(C490,BFTC!$B$5:$F$504,5,FALSE),0))</f>
        <v/>
      </c>
      <c r="K490" s="24">
        <f>IF(OR(F490="",J490=0,LEFT(I490,11)="KAPSAM DIŞI",LEFT(I490,11)="DAHİL DEĞİL"),0,F490*J490)</f>
        <v/>
      </c>
    </row>
    <row r="491">
      <c r="A491" s="5" t="n"/>
      <c r="B491" s="5" t="n"/>
      <c r="C491" s="5" t="n"/>
      <c r="D491" s="5" t="n"/>
      <c r="E491" s="5" t="n"/>
      <c r="F491" s="23" t="n"/>
      <c r="G491" s="5" t="n"/>
      <c r="H491" s="5" t="n"/>
      <c r="I491" s="5" t="n"/>
      <c r="J491" s="24">
        <f>IF(C491="",0,IFERROR(VLOOKUP(C491,BFTC!$B$5:$F$504,5,FALSE),0))</f>
        <v/>
      </c>
      <c r="K491" s="24">
        <f>IF(OR(F491="",J491=0,LEFT(I491,11)="KAPSAM DIŞI",LEFT(I491,11)="DAHİL DEĞİL"),0,F491*J491)</f>
        <v/>
      </c>
    </row>
    <row r="492">
      <c r="A492" s="5" t="n"/>
      <c r="B492" s="5" t="n"/>
      <c r="C492" s="5" t="n"/>
      <c r="D492" s="5" t="n"/>
      <c r="E492" s="5" t="n"/>
      <c r="F492" s="23" t="n"/>
      <c r="G492" s="5" t="n"/>
      <c r="H492" s="5" t="n"/>
      <c r="I492" s="5" t="n"/>
      <c r="J492" s="24">
        <f>IF(C492="",0,IFERROR(VLOOKUP(C492,BFTC!$B$5:$F$504,5,FALSE),0))</f>
        <v/>
      </c>
      <c r="K492" s="24">
        <f>IF(OR(F492="",J492=0,LEFT(I492,11)="KAPSAM DIŞI",LEFT(I492,11)="DAHİL DEĞİL"),0,F492*J492)</f>
        <v/>
      </c>
    </row>
    <row r="493">
      <c r="A493" s="5" t="n"/>
      <c r="B493" s="5" t="n"/>
      <c r="C493" s="5" t="n"/>
      <c r="D493" s="5" t="n"/>
      <c r="E493" s="5" t="n"/>
      <c r="F493" s="23" t="n"/>
      <c r="G493" s="5" t="n"/>
      <c r="H493" s="5" t="n"/>
      <c r="I493" s="5" t="n"/>
      <c r="J493" s="24">
        <f>IF(C493="",0,IFERROR(VLOOKUP(C493,BFTC!$B$5:$F$504,5,FALSE),0))</f>
        <v/>
      </c>
      <c r="K493" s="24">
        <f>IF(OR(F493="",J493=0,LEFT(I493,11)="KAPSAM DIŞI",LEFT(I493,11)="DAHİL DEĞİL"),0,F493*J493)</f>
        <v/>
      </c>
    </row>
    <row r="494">
      <c r="A494" s="5" t="n"/>
      <c r="B494" s="5" t="n"/>
      <c r="C494" s="5" t="n"/>
      <c r="D494" s="5" t="n"/>
      <c r="E494" s="5" t="n"/>
      <c r="F494" s="23" t="n"/>
      <c r="G494" s="5" t="n"/>
      <c r="H494" s="5" t="n"/>
      <c r="I494" s="5" t="n"/>
      <c r="J494" s="24">
        <f>IF(C494="",0,IFERROR(VLOOKUP(C494,BFTC!$B$5:$F$504,5,FALSE),0))</f>
        <v/>
      </c>
      <c r="K494" s="24">
        <f>IF(OR(F494="",J494=0,LEFT(I494,11)="KAPSAM DIŞI",LEFT(I494,11)="DAHİL DEĞİL"),0,F494*J494)</f>
        <v/>
      </c>
    </row>
    <row r="495">
      <c r="A495" s="5" t="n"/>
      <c r="B495" s="5" t="n"/>
      <c r="C495" s="5" t="n"/>
      <c r="D495" s="5" t="n"/>
      <c r="E495" s="5" t="n"/>
      <c r="F495" s="23" t="n"/>
      <c r="G495" s="5" t="n"/>
      <c r="H495" s="5" t="n"/>
      <c r="I495" s="5" t="n"/>
      <c r="J495" s="24">
        <f>IF(C495="",0,IFERROR(VLOOKUP(C495,BFTC!$B$5:$F$504,5,FALSE),0))</f>
        <v/>
      </c>
      <c r="K495" s="24">
        <f>IF(OR(F495="",J495=0,LEFT(I495,11)="KAPSAM DIŞI",LEFT(I495,11)="DAHİL DEĞİL"),0,F495*J495)</f>
        <v/>
      </c>
    </row>
    <row r="496">
      <c r="A496" s="5" t="n"/>
      <c r="B496" s="5" t="n"/>
      <c r="C496" s="5" t="n"/>
      <c r="D496" s="5" t="n"/>
      <c r="E496" s="5" t="n"/>
      <c r="F496" s="23" t="n"/>
      <c r="G496" s="5" t="n"/>
      <c r="H496" s="5" t="n"/>
      <c r="I496" s="5" t="n"/>
      <c r="J496" s="24">
        <f>IF(C496="",0,IFERROR(VLOOKUP(C496,BFTC!$B$5:$F$504,5,FALSE),0))</f>
        <v/>
      </c>
      <c r="K496" s="24">
        <f>IF(OR(F496="",J496=0,LEFT(I496,11)="KAPSAM DIŞI",LEFT(I496,11)="DAHİL DEĞİL"),0,F496*J496)</f>
        <v/>
      </c>
    </row>
    <row r="497">
      <c r="A497" s="5" t="n"/>
      <c r="B497" s="5" t="n"/>
      <c r="C497" s="5" t="n"/>
      <c r="D497" s="5" t="n"/>
      <c r="E497" s="5" t="n"/>
      <c r="F497" s="23" t="n"/>
      <c r="G497" s="5" t="n"/>
      <c r="H497" s="5" t="n"/>
      <c r="I497" s="5" t="n"/>
      <c r="J497" s="24">
        <f>IF(C497="",0,IFERROR(VLOOKUP(C497,BFTC!$B$5:$F$504,5,FALSE),0))</f>
        <v/>
      </c>
      <c r="K497" s="24">
        <f>IF(OR(F497="",J497=0,LEFT(I497,11)="KAPSAM DIŞI",LEFT(I497,11)="DAHİL DEĞİL"),0,F497*J497)</f>
        <v/>
      </c>
    </row>
    <row r="498">
      <c r="A498" s="5" t="n"/>
      <c r="B498" s="5" t="n"/>
      <c r="C498" s="5" t="n"/>
      <c r="D498" s="5" t="n"/>
      <c r="E498" s="5" t="n"/>
      <c r="F498" s="23" t="n"/>
      <c r="G498" s="5" t="n"/>
      <c r="H498" s="5" t="n"/>
      <c r="I498" s="5" t="n"/>
      <c r="J498" s="24">
        <f>IF(C498="",0,IFERROR(VLOOKUP(C498,BFTC!$B$5:$F$504,5,FALSE),0))</f>
        <v/>
      </c>
      <c r="K498" s="24">
        <f>IF(OR(F498="",J498=0,LEFT(I498,11)="KAPSAM DIŞI",LEFT(I498,11)="DAHİL DEĞİL"),0,F498*J498)</f>
        <v/>
      </c>
    </row>
    <row r="499">
      <c r="A499" s="5" t="n"/>
      <c r="B499" s="5" t="n"/>
      <c r="C499" s="5" t="n"/>
      <c r="D499" s="5" t="n"/>
      <c r="E499" s="5" t="n"/>
      <c r="F499" s="23" t="n"/>
      <c r="G499" s="5" t="n"/>
      <c r="H499" s="5" t="n"/>
      <c r="I499" s="5" t="n"/>
      <c r="J499" s="24">
        <f>IF(C499="",0,IFERROR(VLOOKUP(C499,BFTC!$B$5:$F$504,5,FALSE),0))</f>
        <v/>
      </c>
      <c r="K499" s="24">
        <f>IF(OR(F499="",J499=0,LEFT(I499,11)="KAPSAM DIŞI",LEFT(I499,11)="DAHİL DEĞİL"),0,F499*J499)</f>
        <v/>
      </c>
    </row>
    <row r="500">
      <c r="A500" s="5" t="n"/>
      <c r="B500" s="5" t="n"/>
      <c r="C500" s="5" t="n"/>
      <c r="D500" s="5" t="n"/>
      <c r="E500" s="5" t="n"/>
      <c r="F500" s="23" t="n"/>
      <c r="G500" s="5" t="n"/>
      <c r="H500" s="5" t="n"/>
      <c r="I500" s="5" t="n"/>
      <c r="J500" s="24">
        <f>IF(C500="",0,IFERROR(VLOOKUP(C500,BFTC!$B$5:$F$504,5,FALSE),0))</f>
        <v/>
      </c>
      <c r="K500" s="24">
        <f>IF(OR(F500="",J500=0,LEFT(I500,11)="KAPSAM DIŞI",LEFT(I500,11)="DAHİL DEĞİL"),0,F500*J500)</f>
        <v/>
      </c>
    </row>
    <row r="501">
      <c r="A501" s="5" t="n"/>
      <c r="B501" s="5" t="n"/>
      <c r="C501" s="5" t="n"/>
      <c r="D501" s="5" t="n"/>
      <c r="E501" s="5" t="n"/>
      <c r="F501" s="23" t="n"/>
      <c r="G501" s="5" t="n"/>
      <c r="H501" s="5" t="n"/>
      <c r="I501" s="5" t="n"/>
      <c r="J501" s="24">
        <f>IF(C501="",0,IFERROR(VLOOKUP(C501,BFTC!$B$5:$F$504,5,FALSE),0))</f>
        <v/>
      </c>
      <c r="K501" s="24">
        <f>IF(OR(F501="",J501=0,LEFT(I501,11)="KAPSAM DIŞI",LEFT(I501,11)="DAHİL DEĞİL"),0,F501*J501)</f>
        <v/>
      </c>
    </row>
    <row r="502">
      <c r="A502" s="5" t="n"/>
      <c r="B502" s="5" t="n"/>
      <c r="C502" s="5" t="n"/>
      <c r="D502" s="5" t="n"/>
      <c r="E502" s="5" t="n"/>
      <c r="F502" s="23" t="n"/>
      <c r="G502" s="5" t="n"/>
      <c r="H502" s="5" t="n"/>
      <c r="I502" s="5" t="n"/>
      <c r="J502" s="24">
        <f>IF(C502="",0,IFERROR(VLOOKUP(C502,BFTC!$B$5:$F$504,5,FALSE),0))</f>
        <v/>
      </c>
      <c r="K502" s="24">
        <f>IF(OR(F502="",J502=0,LEFT(I502,11)="KAPSAM DIŞI",LEFT(I502,11)="DAHİL DEĞİL"),0,F502*J502)</f>
        <v/>
      </c>
    </row>
    <row r="503">
      <c r="A503" s="5" t="n"/>
      <c r="B503" s="5" t="n"/>
      <c r="C503" s="5" t="n"/>
      <c r="D503" s="5" t="n"/>
      <c r="E503" s="5" t="n"/>
      <c r="F503" s="23" t="n"/>
      <c r="G503" s="5" t="n"/>
      <c r="H503" s="5" t="n"/>
      <c r="I503" s="5" t="n"/>
      <c r="J503" s="24">
        <f>IF(C503="",0,IFERROR(VLOOKUP(C503,BFTC!$B$5:$F$504,5,FALSE),0))</f>
        <v/>
      </c>
      <c r="K503" s="24">
        <f>IF(OR(F503="",J503=0,LEFT(I503,11)="KAPSAM DIŞI",LEFT(I503,11)="DAHİL DEĞİL"),0,F503*J503)</f>
        <v/>
      </c>
    </row>
    <row r="504">
      <c r="A504" s="5" t="n"/>
      <c r="B504" s="5" t="n"/>
      <c r="C504" s="5" t="n"/>
      <c r="D504" s="5" t="n"/>
      <c r="E504" s="5" t="n"/>
      <c r="F504" s="23" t="n"/>
      <c r="G504" s="5" t="n"/>
      <c r="H504" s="5" t="n"/>
      <c r="I504" s="5" t="n"/>
      <c r="J504" s="24">
        <f>IF(C504="",0,IFERROR(VLOOKUP(C504,BFTC!$B$5:$F$504,5,FALSE),0))</f>
        <v/>
      </c>
      <c r="K504" s="24">
        <f>IF(OR(F504="",J504=0,LEFT(I504,11)="KAPSAM DIŞI",LEFT(I504,11)="DAHİL DEĞİL"),0,F504*J504)</f>
        <v/>
      </c>
    </row>
  </sheetData>
  <autoFilter ref="A4:K504"/>
  <mergeCells count="2">
    <mergeCell ref="A2:K2"/>
    <mergeCell ref="A1:K1"/>
  </mergeCells>
  <conditionalFormatting sqref="I5:I504">
    <cfRule type="expression" priority="1" dxfId="1">
      <formula>ISNUMBER(SEARCH("BEKLİYOR",I5))</formula>
    </cfRule>
    <cfRule type="expression" priority="2" dxfId="2">
      <formula>ISNUMBER(SEARCH("KAPSAM DIŞI",I5))</formula>
    </cfRule>
    <cfRule type="expression" priority="3" dxfId="2">
      <formula>ISNUMBER(SEARCH("DAHİL DEĞİL",I5))</formula>
    </cfRule>
    <cfRule type="expression" priority="4" dxfId="0">
      <formula>ISNUMBER(SEARCH("HESAPLANDI",I5))</formula>
    </cfRule>
    <cfRule type="expression" priority="5" dxfId="0">
      <formula>ISNUMBER(SEARCH("DOĞRULANDI",I5))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40" customWidth="1" min="3" max="3"/>
    <col width="8" customWidth="1" min="4" max="4"/>
    <col width="13" customWidth="1" min="5" max="5"/>
    <col width="28" customWidth="1" min="6" max="6"/>
    <col width="34" customWidth="1" min="7" max="7"/>
    <col width="30" customWidth="1" min="8" max="8"/>
  </cols>
  <sheetData>
    <row r="1" ht="28" customHeight="1">
      <c r="A1" s="1" t="inlineStr">
        <is>
          <t>MEVCUT MAHAL LİSTESİ</t>
        </is>
      </c>
    </row>
    <row r="2" ht="30" customHeight="1">
      <c r="A2" s="2" t="inlineStr">
        <is>
          <t>Sahada mevcut olan ve yeni imalata dahil olmayan tesisler. Kapsam dışı bırakmanın şartname dayanağı Durum sütununa yazılır.</t>
        </is>
      </c>
    </row>
    <row r="3">
      <c r="A3" s="15" t="inlineStr">
        <is>
          <t>TOPLAM</t>
        </is>
      </c>
      <c r="B3" s="16" t="n"/>
      <c r="C3" s="16" t="n"/>
      <c r="D3" s="16" t="n"/>
      <c r="E3" s="16" t="n"/>
      <c r="F3" s="16" t="n"/>
      <c r="G3" s="16" t="n"/>
      <c r="H3" s="16" t="n"/>
    </row>
    <row r="4" ht="32" customHeight="1">
      <c r="A4" s="18" t="inlineStr">
        <is>
          <t>Sıra No</t>
        </is>
      </c>
      <c r="B4" s="18" t="inlineStr">
        <is>
          <t>Grup</t>
        </is>
      </c>
      <c r="C4" s="18" t="inlineStr">
        <is>
          <t>İmalat / Mevcut Tesis</t>
        </is>
      </c>
      <c r="D4" s="18" t="inlineStr">
        <is>
          <t>Birim</t>
        </is>
      </c>
      <c r="E4" s="18" t="inlineStr">
        <is>
          <t>Miktar</t>
        </is>
      </c>
      <c r="F4" s="18" t="inlineStr">
        <is>
          <t>Ölçüm Kaynağı</t>
        </is>
      </c>
      <c r="G4" s="18" t="inlineStr">
        <is>
          <t>Hesap / Ölçüm Esası</t>
        </is>
      </c>
      <c r="H4" s="18" t="inlineStr">
        <is>
          <t>Durum</t>
        </is>
      </c>
    </row>
    <row r="5">
      <c r="A5" s="5" t="n"/>
      <c r="B5" s="5" t="n"/>
      <c r="C5" s="5" t="n"/>
      <c r="D5" s="5" t="n"/>
      <c r="E5" s="23" t="n"/>
      <c r="F5" s="5" t="n"/>
      <c r="G5" s="5" t="n"/>
      <c r="H5" s="5" t="n"/>
    </row>
    <row r="6">
      <c r="A6" s="5" t="n"/>
      <c r="B6" s="5" t="n"/>
      <c r="C6" s="5" t="n"/>
      <c r="D6" s="5" t="n"/>
      <c r="E6" s="23" t="n"/>
      <c r="F6" s="5" t="n"/>
      <c r="G6" s="5" t="n"/>
      <c r="H6" s="5" t="n"/>
    </row>
    <row r="7">
      <c r="A7" s="5" t="n"/>
      <c r="B7" s="5" t="n"/>
      <c r="C7" s="5" t="n"/>
      <c r="D7" s="5" t="n"/>
      <c r="E7" s="23" t="n"/>
      <c r="F7" s="5" t="n"/>
      <c r="G7" s="5" t="n"/>
      <c r="H7" s="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</row>
    <row r="9">
      <c r="A9" s="5" t="n"/>
      <c r="B9" s="5" t="n"/>
      <c r="C9" s="5" t="n"/>
      <c r="D9" s="5" t="n"/>
      <c r="E9" s="23" t="n"/>
      <c r="F9" s="5" t="n"/>
      <c r="G9" s="5" t="n"/>
      <c r="H9" s="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</row>
    <row r="11">
      <c r="A11" s="5" t="n"/>
      <c r="B11" s="5" t="n"/>
      <c r="C11" s="5" t="n"/>
      <c r="D11" s="5" t="n"/>
      <c r="E11" s="23" t="n"/>
      <c r="F11" s="5" t="n"/>
      <c r="G11" s="5" t="n"/>
      <c r="H11" s="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</row>
    <row r="13">
      <c r="A13" s="5" t="n"/>
      <c r="B13" s="5" t="n"/>
      <c r="C13" s="5" t="n"/>
      <c r="D13" s="5" t="n"/>
      <c r="E13" s="23" t="n"/>
      <c r="F13" s="5" t="n"/>
      <c r="G13" s="5" t="n"/>
      <c r="H13" s="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</row>
    <row r="15">
      <c r="A15" s="5" t="n"/>
      <c r="B15" s="5" t="n"/>
      <c r="C15" s="5" t="n"/>
      <c r="D15" s="5" t="n"/>
      <c r="E15" s="23" t="n"/>
      <c r="F15" s="5" t="n"/>
      <c r="G15" s="5" t="n"/>
      <c r="H15" s="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</row>
    <row r="17">
      <c r="A17" s="5" t="n"/>
      <c r="B17" s="5" t="n"/>
      <c r="C17" s="5" t="n"/>
      <c r="D17" s="5" t="n"/>
      <c r="E17" s="23" t="n"/>
      <c r="F17" s="5" t="n"/>
      <c r="G17" s="5" t="n"/>
      <c r="H17" s="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</row>
    <row r="19">
      <c r="A19" s="5" t="n"/>
      <c r="B19" s="5" t="n"/>
      <c r="C19" s="5" t="n"/>
      <c r="D19" s="5" t="n"/>
      <c r="E19" s="23" t="n"/>
      <c r="F19" s="5" t="n"/>
      <c r="G19" s="5" t="n"/>
      <c r="H19" s="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</row>
    <row r="21">
      <c r="A21" s="5" t="n"/>
      <c r="B21" s="5" t="n"/>
      <c r="C21" s="5" t="n"/>
      <c r="D21" s="5" t="n"/>
      <c r="E21" s="23" t="n"/>
      <c r="F21" s="5" t="n"/>
      <c r="G21" s="5" t="n"/>
      <c r="H21" s="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</row>
    <row r="23">
      <c r="A23" s="5" t="n"/>
      <c r="B23" s="5" t="n"/>
      <c r="C23" s="5" t="n"/>
      <c r="D23" s="5" t="n"/>
      <c r="E23" s="23" t="n"/>
      <c r="F23" s="5" t="n"/>
      <c r="G23" s="5" t="n"/>
      <c r="H23" s="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</row>
    <row r="25">
      <c r="A25" s="5" t="n"/>
      <c r="B25" s="5" t="n"/>
      <c r="C25" s="5" t="n"/>
      <c r="D25" s="5" t="n"/>
      <c r="E25" s="23" t="n"/>
      <c r="F25" s="5" t="n"/>
      <c r="G25" s="5" t="n"/>
      <c r="H25" s="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</row>
    <row r="27">
      <c r="A27" s="5" t="n"/>
      <c r="B27" s="5" t="n"/>
      <c r="C27" s="5" t="n"/>
      <c r="D27" s="5" t="n"/>
      <c r="E27" s="23" t="n"/>
      <c r="F27" s="5" t="n"/>
      <c r="G27" s="5" t="n"/>
      <c r="H27" s="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</row>
    <row r="29">
      <c r="A29" s="5" t="n"/>
      <c r="B29" s="5" t="n"/>
      <c r="C29" s="5" t="n"/>
      <c r="D29" s="5" t="n"/>
      <c r="E29" s="23" t="n"/>
      <c r="F29" s="5" t="n"/>
      <c r="G29" s="5" t="n"/>
      <c r="H29" s="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</row>
    <row r="31">
      <c r="A31" s="5" t="n"/>
      <c r="B31" s="5" t="n"/>
      <c r="C31" s="5" t="n"/>
      <c r="D31" s="5" t="n"/>
      <c r="E31" s="23" t="n"/>
      <c r="F31" s="5" t="n"/>
      <c r="G31" s="5" t="n"/>
      <c r="H31" s="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</row>
    <row r="33">
      <c r="A33" s="5" t="n"/>
      <c r="B33" s="5" t="n"/>
      <c r="C33" s="5" t="n"/>
      <c r="D33" s="5" t="n"/>
      <c r="E33" s="23" t="n"/>
      <c r="F33" s="5" t="n"/>
      <c r="G33" s="5" t="n"/>
      <c r="H33" s="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</row>
    <row r="35">
      <c r="A35" s="5" t="n"/>
      <c r="B35" s="5" t="n"/>
      <c r="C35" s="5" t="n"/>
      <c r="D35" s="5" t="n"/>
      <c r="E35" s="23" t="n"/>
      <c r="F35" s="5" t="n"/>
      <c r="G35" s="5" t="n"/>
      <c r="H35" s="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</row>
    <row r="37">
      <c r="A37" s="5" t="n"/>
      <c r="B37" s="5" t="n"/>
      <c r="C37" s="5" t="n"/>
      <c r="D37" s="5" t="n"/>
      <c r="E37" s="23" t="n"/>
      <c r="F37" s="5" t="n"/>
      <c r="G37" s="5" t="n"/>
      <c r="H37" s="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</row>
    <row r="39">
      <c r="A39" s="5" t="n"/>
      <c r="B39" s="5" t="n"/>
      <c r="C39" s="5" t="n"/>
      <c r="D39" s="5" t="n"/>
      <c r="E39" s="23" t="n"/>
      <c r="F39" s="5" t="n"/>
      <c r="G39" s="5" t="n"/>
      <c r="H39" s="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</row>
    <row r="41">
      <c r="A41" s="5" t="n"/>
      <c r="B41" s="5" t="n"/>
      <c r="C41" s="5" t="n"/>
      <c r="D41" s="5" t="n"/>
      <c r="E41" s="23" t="n"/>
      <c r="F41" s="5" t="n"/>
      <c r="G41" s="5" t="n"/>
      <c r="H41" s="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</row>
    <row r="43">
      <c r="A43" s="5" t="n"/>
      <c r="B43" s="5" t="n"/>
      <c r="C43" s="5" t="n"/>
      <c r="D43" s="5" t="n"/>
      <c r="E43" s="23" t="n"/>
      <c r="F43" s="5" t="n"/>
      <c r="G43" s="5" t="n"/>
      <c r="H43" s="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</row>
    <row r="45">
      <c r="A45" s="5" t="n"/>
      <c r="B45" s="5" t="n"/>
      <c r="C45" s="5" t="n"/>
      <c r="D45" s="5" t="n"/>
      <c r="E45" s="23" t="n"/>
      <c r="F45" s="5" t="n"/>
      <c r="G45" s="5" t="n"/>
      <c r="H45" s="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</row>
    <row r="47">
      <c r="A47" s="5" t="n"/>
      <c r="B47" s="5" t="n"/>
      <c r="C47" s="5" t="n"/>
      <c r="D47" s="5" t="n"/>
      <c r="E47" s="23" t="n"/>
      <c r="F47" s="5" t="n"/>
      <c r="G47" s="5" t="n"/>
      <c r="H47" s="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</row>
    <row r="49">
      <c r="A49" s="5" t="n"/>
      <c r="B49" s="5" t="n"/>
      <c r="C49" s="5" t="n"/>
      <c r="D49" s="5" t="n"/>
      <c r="E49" s="23" t="n"/>
      <c r="F49" s="5" t="n"/>
      <c r="G49" s="5" t="n"/>
      <c r="H49" s="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</row>
    <row r="51">
      <c r="A51" s="5" t="n"/>
      <c r="B51" s="5" t="n"/>
      <c r="C51" s="5" t="n"/>
      <c r="D51" s="5" t="n"/>
      <c r="E51" s="23" t="n"/>
      <c r="F51" s="5" t="n"/>
      <c r="G51" s="5" t="n"/>
      <c r="H51" s="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</row>
    <row r="53">
      <c r="A53" s="5" t="n"/>
      <c r="B53" s="5" t="n"/>
      <c r="C53" s="5" t="n"/>
      <c r="D53" s="5" t="n"/>
      <c r="E53" s="23" t="n"/>
      <c r="F53" s="5" t="n"/>
      <c r="G53" s="5" t="n"/>
      <c r="H53" s="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</row>
    <row r="55">
      <c r="A55" s="5" t="n"/>
      <c r="B55" s="5" t="n"/>
      <c r="C55" s="5" t="n"/>
      <c r="D55" s="5" t="n"/>
      <c r="E55" s="23" t="n"/>
      <c r="F55" s="5" t="n"/>
      <c r="G55" s="5" t="n"/>
      <c r="H55" s="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</row>
    <row r="57">
      <c r="A57" s="5" t="n"/>
      <c r="B57" s="5" t="n"/>
      <c r="C57" s="5" t="n"/>
      <c r="D57" s="5" t="n"/>
      <c r="E57" s="23" t="n"/>
      <c r="F57" s="5" t="n"/>
      <c r="G57" s="5" t="n"/>
      <c r="H57" s="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</row>
    <row r="59">
      <c r="A59" s="5" t="n"/>
      <c r="B59" s="5" t="n"/>
      <c r="C59" s="5" t="n"/>
      <c r="D59" s="5" t="n"/>
      <c r="E59" s="23" t="n"/>
      <c r="F59" s="5" t="n"/>
      <c r="G59" s="5" t="n"/>
      <c r="H59" s="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</row>
    <row r="61">
      <c r="A61" s="5" t="n"/>
      <c r="B61" s="5" t="n"/>
      <c r="C61" s="5" t="n"/>
      <c r="D61" s="5" t="n"/>
      <c r="E61" s="23" t="n"/>
      <c r="F61" s="5" t="n"/>
      <c r="G61" s="5" t="n"/>
      <c r="H61" s="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</row>
    <row r="63">
      <c r="A63" s="5" t="n"/>
      <c r="B63" s="5" t="n"/>
      <c r="C63" s="5" t="n"/>
      <c r="D63" s="5" t="n"/>
      <c r="E63" s="23" t="n"/>
      <c r="F63" s="5" t="n"/>
      <c r="G63" s="5" t="n"/>
      <c r="H63" s="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</row>
    <row r="65">
      <c r="A65" s="5" t="n"/>
      <c r="B65" s="5" t="n"/>
      <c r="C65" s="5" t="n"/>
      <c r="D65" s="5" t="n"/>
      <c r="E65" s="23" t="n"/>
      <c r="F65" s="5" t="n"/>
      <c r="G65" s="5" t="n"/>
      <c r="H65" s="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</row>
    <row r="67">
      <c r="A67" s="5" t="n"/>
      <c r="B67" s="5" t="n"/>
      <c r="C67" s="5" t="n"/>
      <c r="D67" s="5" t="n"/>
      <c r="E67" s="23" t="n"/>
      <c r="F67" s="5" t="n"/>
      <c r="G67" s="5" t="n"/>
      <c r="H67" s="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</row>
    <row r="69">
      <c r="A69" s="5" t="n"/>
      <c r="B69" s="5" t="n"/>
      <c r="C69" s="5" t="n"/>
      <c r="D69" s="5" t="n"/>
      <c r="E69" s="23" t="n"/>
      <c r="F69" s="5" t="n"/>
      <c r="G69" s="5" t="n"/>
      <c r="H69" s="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</row>
    <row r="71">
      <c r="A71" s="5" t="n"/>
      <c r="B71" s="5" t="n"/>
      <c r="C71" s="5" t="n"/>
      <c r="D71" s="5" t="n"/>
      <c r="E71" s="23" t="n"/>
      <c r="F71" s="5" t="n"/>
      <c r="G71" s="5" t="n"/>
      <c r="H71" s="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</row>
    <row r="73">
      <c r="A73" s="5" t="n"/>
      <c r="B73" s="5" t="n"/>
      <c r="C73" s="5" t="n"/>
      <c r="D73" s="5" t="n"/>
      <c r="E73" s="23" t="n"/>
      <c r="F73" s="5" t="n"/>
      <c r="G73" s="5" t="n"/>
      <c r="H73" s="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</row>
    <row r="75">
      <c r="A75" s="5" t="n"/>
      <c r="B75" s="5" t="n"/>
      <c r="C75" s="5" t="n"/>
      <c r="D75" s="5" t="n"/>
      <c r="E75" s="23" t="n"/>
      <c r="F75" s="5" t="n"/>
      <c r="G75" s="5" t="n"/>
      <c r="H75" s="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</row>
    <row r="77">
      <c r="A77" s="5" t="n"/>
      <c r="B77" s="5" t="n"/>
      <c r="C77" s="5" t="n"/>
      <c r="D77" s="5" t="n"/>
      <c r="E77" s="23" t="n"/>
      <c r="F77" s="5" t="n"/>
      <c r="G77" s="5" t="n"/>
      <c r="H77" s="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</row>
    <row r="79">
      <c r="A79" s="5" t="n"/>
      <c r="B79" s="5" t="n"/>
      <c r="C79" s="5" t="n"/>
      <c r="D79" s="5" t="n"/>
      <c r="E79" s="23" t="n"/>
      <c r="F79" s="5" t="n"/>
      <c r="G79" s="5" t="n"/>
      <c r="H79" s="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</row>
    <row r="81">
      <c r="A81" s="5" t="n"/>
      <c r="B81" s="5" t="n"/>
      <c r="C81" s="5" t="n"/>
      <c r="D81" s="5" t="n"/>
      <c r="E81" s="23" t="n"/>
      <c r="F81" s="5" t="n"/>
      <c r="G81" s="5" t="n"/>
      <c r="H81" s="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</row>
    <row r="83">
      <c r="A83" s="5" t="n"/>
      <c r="B83" s="5" t="n"/>
      <c r="C83" s="5" t="n"/>
      <c r="D83" s="5" t="n"/>
      <c r="E83" s="23" t="n"/>
      <c r="F83" s="5" t="n"/>
      <c r="G83" s="5" t="n"/>
      <c r="H83" s="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</row>
    <row r="85">
      <c r="A85" s="5" t="n"/>
      <c r="B85" s="5" t="n"/>
      <c r="C85" s="5" t="n"/>
      <c r="D85" s="5" t="n"/>
      <c r="E85" s="23" t="n"/>
      <c r="F85" s="5" t="n"/>
      <c r="G85" s="5" t="n"/>
      <c r="H85" s="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</row>
    <row r="87">
      <c r="A87" s="5" t="n"/>
      <c r="B87" s="5" t="n"/>
      <c r="C87" s="5" t="n"/>
      <c r="D87" s="5" t="n"/>
      <c r="E87" s="23" t="n"/>
      <c r="F87" s="5" t="n"/>
      <c r="G87" s="5" t="n"/>
      <c r="H87" s="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</row>
    <row r="89">
      <c r="A89" s="5" t="n"/>
      <c r="B89" s="5" t="n"/>
      <c r="C89" s="5" t="n"/>
      <c r="D89" s="5" t="n"/>
      <c r="E89" s="23" t="n"/>
      <c r="F89" s="5" t="n"/>
      <c r="G89" s="5" t="n"/>
      <c r="H89" s="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</row>
    <row r="91">
      <c r="A91" s="5" t="n"/>
      <c r="B91" s="5" t="n"/>
      <c r="C91" s="5" t="n"/>
      <c r="D91" s="5" t="n"/>
      <c r="E91" s="23" t="n"/>
      <c r="F91" s="5" t="n"/>
      <c r="G91" s="5" t="n"/>
      <c r="H91" s="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</row>
    <row r="93">
      <c r="A93" s="5" t="n"/>
      <c r="B93" s="5" t="n"/>
      <c r="C93" s="5" t="n"/>
      <c r="D93" s="5" t="n"/>
      <c r="E93" s="23" t="n"/>
      <c r="F93" s="5" t="n"/>
      <c r="G93" s="5" t="n"/>
      <c r="H93" s="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</row>
    <row r="95">
      <c r="A95" s="5" t="n"/>
      <c r="B95" s="5" t="n"/>
      <c r="C95" s="5" t="n"/>
      <c r="D95" s="5" t="n"/>
      <c r="E95" s="23" t="n"/>
      <c r="F95" s="5" t="n"/>
      <c r="G95" s="5" t="n"/>
      <c r="H95" s="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</row>
    <row r="97">
      <c r="A97" s="5" t="n"/>
      <c r="B97" s="5" t="n"/>
      <c r="C97" s="5" t="n"/>
      <c r="D97" s="5" t="n"/>
      <c r="E97" s="23" t="n"/>
      <c r="F97" s="5" t="n"/>
      <c r="G97" s="5" t="n"/>
      <c r="H97" s="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</row>
    <row r="99">
      <c r="A99" s="5" t="n"/>
      <c r="B99" s="5" t="n"/>
      <c r="C99" s="5" t="n"/>
      <c r="D99" s="5" t="n"/>
      <c r="E99" s="23" t="n"/>
      <c r="F99" s="5" t="n"/>
      <c r="G99" s="5" t="n"/>
      <c r="H99" s="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</row>
    <row r="101">
      <c r="A101" s="5" t="n"/>
      <c r="B101" s="5" t="n"/>
      <c r="C101" s="5" t="n"/>
      <c r="D101" s="5" t="n"/>
      <c r="E101" s="23" t="n"/>
      <c r="F101" s="5" t="n"/>
      <c r="G101" s="5" t="n"/>
      <c r="H101" s="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</row>
    <row r="103">
      <c r="A103" s="5" t="n"/>
      <c r="B103" s="5" t="n"/>
      <c r="C103" s="5" t="n"/>
      <c r="D103" s="5" t="n"/>
      <c r="E103" s="23" t="n"/>
      <c r="F103" s="5" t="n"/>
      <c r="G103" s="5" t="n"/>
      <c r="H103" s="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</row>
    <row r="105">
      <c r="A105" s="5" t="n"/>
      <c r="B105" s="5" t="n"/>
      <c r="C105" s="5" t="n"/>
      <c r="D105" s="5" t="n"/>
      <c r="E105" s="23" t="n"/>
      <c r="F105" s="5" t="n"/>
      <c r="G105" s="5" t="n"/>
      <c r="H105" s="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</row>
    <row r="107">
      <c r="A107" s="5" t="n"/>
      <c r="B107" s="5" t="n"/>
      <c r="C107" s="5" t="n"/>
      <c r="D107" s="5" t="n"/>
      <c r="E107" s="23" t="n"/>
      <c r="F107" s="5" t="n"/>
      <c r="G107" s="5" t="n"/>
      <c r="H107" s="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</row>
    <row r="109">
      <c r="A109" s="5" t="n"/>
      <c r="B109" s="5" t="n"/>
      <c r="C109" s="5" t="n"/>
      <c r="D109" s="5" t="n"/>
      <c r="E109" s="23" t="n"/>
      <c r="F109" s="5" t="n"/>
      <c r="G109" s="5" t="n"/>
      <c r="H109" s="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</row>
    <row r="111">
      <c r="A111" s="5" t="n"/>
      <c r="B111" s="5" t="n"/>
      <c r="C111" s="5" t="n"/>
      <c r="D111" s="5" t="n"/>
      <c r="E111" s="23" t="n"/>
      <c r="F111" s="5" t="n"/>
      <c r="G111" s="5" t="n"/>
      <c r="H111" s="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</row>
    <row r="113">
      <c r="A113" s="5" t="n"/>
      <c r="B113" s="5" t="n"/>
      <c r="C113" s="5" t="n"/>
      <c r="D113" s="5" t="n"/>
      <c r="E113" s="23" t="n"/>
      <c r="F113" s="5" t="n"/>
      <c r="G113" s="5" t="n"/>
      <c r="H113" s="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</row>
    <row r="115">
      <c r="A115" s="5" t="n"/>
      <c r="B115" s="5" t="n"/>
      <c r="C115" s="5" t="n"/>
      <c r="D115" s="5" t="n"/>
      <c r="E115" s="23" t="n"/>
      <c r="F115" s="5" t="n"/>
      <c r="G115" s="5" t="n"/>
      <c r="H115" s="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</row>
    <row r="117">
      <c r="A117" s="5" t="n"/>
      <c r="B117" s="5" t="n"/>
      <c r="C117" s="5" t="n"/>
      <c r="D117" s="5" t="n"/>
      <c r="E117" s="23" t="n"/>
      <c r="F117" s="5" t="n"/>
      <c r="G117" s="5" t="n"/>
      <c r="H117" s="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</row>
    <row r="119">
      <c r="A119" s="5" t="n"/>
      <c r="B119" s="5" t="n"/>
      <c r="C119" s="5" t="n"/>
      <c r="D119" s="5" t="n"/>
      <c r="E119" s="23" t="n"/>
      <c r="F119" s="5" t="n"/>
      <c r="G119" s="5" t="n"/>
      <c r="H119" s="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</row>
    <row r="121">
      <c r="A121" s="5" t="n"/>
      <c r="B121" s="5" t="n"/>
      <c r="C121" s="5" t="n"/>
      <c r="D121" s="5" t="n"/>
      <c r="E121" s="23" t="n"/>
      <c r="F121" s="5" t="n"/>
      <c r="G121" s="5" t="n"/>
      <c r="H121" s="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</row>
    <row r="123">
      <c r="A123" s="5" t="n"/>
      <c r="B123" s="5" t="n"/>
      <c r="C123" s="5" t="n"/>
      <c r="D123" s="5" t="n"/>
      <c r="E123" s="23" t="n"/>
      <c r="F123" s="5" t="n"/>
      <c r="G123" s="5" t="n"/>
      <c r="H123" s="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</row>
    <row r="125">
      <c r="A125" s="5" t="n"/>
      <c r="B125" s="5" t="n"/>
      <c r="C125" s="5" t="n"/>
      <c r="D125" s="5" t="n"/>
      <c r="E125" s="23" t="n"/>
      <c r="F125" s="5" t="n"/>
      <c r="G125" s="5" t="n"/>
      <c r="H125" s="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</row>
    <row r="127">
      <c r="A127" s="5" t="n"/>
      <c r="B127" s="5" t="n"/>
      <c r="C127" s="5" t="n"/>
      <c r="D127" s="5" t="n"/>
      <c r="E127" s="23" t="n"/>
      <c r="F127" s="5" t="n"/>
      <c r="G127" s="5" t="n"/>
      <c r="H127" s="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</row>
    <row r="129">
      <c r="A129" s="5" t="n"/>
      <c r="B129" s="5" t="n"/>
      <c r="C129" s="5" t="n"/>
      <c r="D129" s="5" t="n"/>
      <c r="E129" s="23" t="n"/>
      <c r="F129" s="5" t="n"/>
      <c r="G129" s="5" t="n"/>
      <c r="H129" s="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</row>
    <row r="131">
      <c r="A131" s="5" t="n"/>
      <c r="B131" s="5" t="n"/>
      <c r="C131" s="5" t="n"/>
      <c r="D131" s="5" t="n"/>
      <c r="E131" s="23" t="n"/>
      <c r="F131" s="5" t="n"/>
      <c r="G131" s="5" t="n"/>
      <c r="H131" s="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</row>
    <row r="133">
      <c r="A133" s="5" t="n"/>
      <c r="B133" s="5" t="n"/>
      <c r="C133" s="5" t="n"/>
      <c r="D133" s="5" t="n"/>
      <c r="E133" s="23" t="n"/>
      <c r="F133" s="5" t="n"/>
      <c r="G133" s="5" t="n"/>
      <c r="H133" s="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</row>
    <row r="135">
      <c r="A135" s="5" t="n"/>
      <c r="B135" s="5" t="n"/>
      <c r="C135" s="5" t="n"/>
      <c r="D135" s="5" t="n"/>
      <c r="E135" s="23" t="n"/>
      <c r="F135" s="5" t="n"/>
      <c r="G135" s="5" t="n"/>
      <c r="H135" s="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</row>
    <row r="137">
      <c r="A137" s="5" t="n"/>
      <c r="B137" s="5" t="n"/>
      <c r="C137" s="5" t="n"/>
      <c r="D137" s="5" t="n"/>
      <c r="E137" s="23" t="n"/>
      <c r="F137" s="5" t="n"/>
      <c r="G137" s="5" t="n"/>
      <c r="H137" s="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</row>
    <row r="139">
      <c r="A139" s="5" t="n"/>
      <c r="B139" s="5" t="n"/>
      <c r="C139" s="5" t="n"/>
      <c r="D139" s="5" t="n"/>
      <c r="E139" s="23" t="n"/>
      <c r="F139" s="5" t="n"/>
      <c r="G139" s="5" t="n"/>
      <c r="H139" s="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</row>
    <row r="141">
      <c r="A141" s="5" t="n"/>
      <c r="B141" s="5" t="n"/>
      <c r="C141" s="5" t="n"/>
      <c r="D141" s="5" t="n"/>
      <c r="E141" s="23" t="n"/>
      <c r="F141" s="5" t="n"/>
      <c r="G141" s="5" t="n"/>
      <c r="H141" s="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</row>
    <row r="143">
      <c r="A143" s="5" t="n"/>
      <c r="B143" s="5" t="n"/>
      <c r="C143" s="5" t="n"/>
      <c r="D143" s="5" t="n"/>
      <c r="E143" s="23" t="n"/>
      <c r="F143" s="5" t="n"/>
      <c r="G143" s="5" t="n"/>
      <c r="H143" s="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</row>
    <row r="145">
      <c r="A145" s="5" t="n"/>
      <c r="B145" s="5" t="n"/>
      <c r="C145" s="5" t="n"/>
      <c r="D145" s="5" t="n"/>
      <c r="E145" s="23" t="n"/>
      <c r="F145" s="5" t="n"/>
      <c r="G145" s="5" t="n"/>
      <c r="H145" s="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</row>
    <row r="147">
      <c r="A147" s="5" t="n"/>
      <c r="B147" s="5" t="n"/>
      <c r="C147" s="5" t="n"/>
      <c r="D147" s="5" t="n"/>
      <c r="E147" s="23" t="n"/>
      <c r="F147" s="5" t="n"/>
      <c r="G147" s="5" t="n"/>
      <c r="H147" s="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</row>
    <row r="149">
      <c r="A149" s="5" t="n"/>
      <c r="B149" s="5" t="n"/>
      <c r="C149" s="5" t="n"/>
      <c r="D149" s="5" t="n"/>
      <c r="E149" s="23" t="n"/>
      <c r="F149" s="5" t="n"/>
      <c r="G149" s="5" t="n"/>
      <c r="H149" s="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</row>
    <row r="151">
      <c r="A151" s="5" t="n"/>
      <c r="B151" s="5" t="n"/>
      <c r="C151" s="5" t="n"/>
      <c r="D151" s="5" t="n"/>
      <c r="E151" s="23" t="n"/>
      <c r="F151" s="5" t="n"/>
      <c r="G151" s="5" t="n"/>
      <c r="H151" s="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</row>
    <row r="153">
      <c r="A153" s="5" t="n"/>
      <c r="B153" s="5" t="n"/>
      <c r="C153" s="5" t="n"/>
      <c r="D153" s="5" t="n"/>
      <c r="E153" s="23" t="n"/>
      <c r="F153" s="5" t="n"/>
      <c r="G153" s="5" t="n"/>
      <c r="H153" s="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</row>
    <row r="155">
      <c r="A155" s="5" t="n"/>
      <c r="B155" s="5" t="n"/>
      <c r="C155" s="5" t="n"/>
      <c r="D155" s="5" t="n"/>
      <c r="E155" s="23" t="n"/>
      <c r="F155" s="5" t="n"/>
      <c r="G155" s="5" t="n"/>
      <c r="H155" s="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</row>
    <row r="157">
      <c r="A157" s="5" t="n"/>
      <c r="B157" s="5" t="n"/>
      <c r="C157" s="5" t="n"/>
      <c r="D157" s="5" t="n"/>
      <c r="E157" s="23" t="n"/>
      <c r="F157" s="5" t="n"/>
      <c r="G157" s="5" t="n"/>
      <c r="H157" s="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</row>
    <row r="159">
      <c r="A159" s="5" t="n"/>
      <c r="B159" s="5" t="n"/>
      <c r="C159" s="5" t="n"/>
      <c r="D159" s="5" t="n"/>
      <c r="E159" s="23" t="n"/>
      <c r="F159" s="5" t="n"/>
      <c r="G159" s="5" t="n"/>
      <c r="H159" s="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</row>
    <row r="161">
      <c r="A161" s="5" t="n"/>
      <c r="B161" s="5" t="n"/>
      <c r="C161" s="5" t="n"/>
      <c r="D161" s="5" t="n"/>
      <c r="E161" s="23" t="n"/>
      <c r="F161" s="5" t="n"/>
      <c r="G161" s="5" t="n"/>
      <c r="H161" s="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</row>
    <row r="163">
      <c r="A163" s="5" t="n"/>
      <c r="B163" s="5" t="n"/>
      <c r="C163" s="5" t="n"/>
      <c r="D163" s="5" t="n"/>
      <c r="E163" s="23" t="n"/>
      <c r="F163" s="5" t="n"/>
      <c r="G163" s="5" t="n"/>
      <c r="H163" s="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</row>
    <row r="165">
      <c r="A165" s="5" t="n"/>
      <c r="B165" s="5" t="n"/>
      <c r="C165" s="5" t="n"/>
      <c r="D165" s="5" t="n"/>
      <c r="E165" s="23" t="n"/>
      <c r="F165" s="5" t="n"/>
      <c r="G165" s="5" t="n"/>
      <c r="H165" s="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</row>
    <row r="167">
      <c r="A167" s="5" t="n"/>
      <c r="B167" s="5" t="n"/>
      <c r="C167" s="5" t="n"/>
      <c r="D167" s="5" t="n"/>
      <c r="E167" s="23" t="n"/>
      <c r="F167" s="5" t="n"/>
      <c r="G167" s="5" t="n"/>
      <c r="H167" s="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</row>
    <row r="169">
      <c r="A169" s="5" t="n"/>
      <c r="B169" s="5" t="n"/>
      <c r="C169" s="5" t="n"/>
      <c r="D169" s="5" t="n"/>
      <c r="E169" s="23" t="n"/>
      <c r="F169" s="5" t="n"/>
      <c r="G169" s="5" t="n"/>
      <c r="H169" s="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</row>
    <row r="171">
      <c r="A171" s="5" t="n"/>
      <c r="B171" s="5" t="n"/>
      <c r="C171" s="5" t="n"/>
      <c r="D171" s="5" t="n"/>
      <c r="E171" s="23" t="n"/>
      <c r="F171" s="5" t="n"/>
      <c r="G171" s="5" t="n"/>
      <c r="H171" s="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</row>
    <row r="173">
      <c r="A173" s="5" t="n"/>
      <c r="B173" s="5" t="n"/>
      <c r="C173" s="5" t="n"/>
      <c r="D173" s="5" t="n"/>
      <c r="E173" s="23" t="n"/>
      <c r="F173" s="5" t="n"/>
      <c r="G173" s="5" t="n"/>
      <c r="H173" s="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</row>
    <row r="175">
      <c r="A175" s="5" t="n"/>
      <c r="B175" s="5" t="n"/>
      <c r="C175" s="5" t="n"/>
      <c r="D175" s="5" t="n"/>
      <c r="E175" s="23" t="n"/>
      <c r="F175" s="5" t="n"/>
      <c r="G175" s="5" t="n"/>
      <c r="H175" s="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</row>
    <row r="177">
      <c r="A177" s="5" t="n"/>
      <c r="B177" s="5" t="n"/>
      <c r="C177" s="5" t="n"/>
      <c r="D177" s="5" t="n"/>
      <c r="E177" s="23" t="n"/>
      <c r="F177" s="5" t="n"/>
      <c r="G177" s="5" t="n"/>
      <c r="H177" s="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</row>
    <row r="179">
      <c r="A179" s="5" t="n"/>
      <c r="B179" s="5" t="n"/>
      <c r="C179" s="5" t="n"/>
      <c r="D179" s="5" t="n"/>
      <c r="E179" s="23" t="n"/>
      <c r="F179" s="5" t="n"/>
      <c r="G179" s="5" t="n"/>
      <c r="H179" s="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</row>
    <row r="181">
      <c r="A181" s="5" t="n"/>
      <c r="B181" s="5" t="n"/>
      <c r="C181" s="5" t="n"/>
      <c r="D181" s="5" t="n"/>
      <c r="E181" s="23" t="n"/>
      <c r="F181" s="5" t="n"/>
      <c r="G181" s="5" t="n"/>
      <c r="H181" s="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</row>
    <row r="183">
      <c r="A183" s="5" t="n"/>
      <c r="B183" s="5" t="n"/>
      <c r="C183" s="5" t="n"/>
      <c r="D183" s="5" t="n"/>
      <c r="E183" s="23" t="n"/>
      <c r="F183" s="5" t="n"/>
      <c r="G183" s="5" t="n"/>
      <c r="H183" s="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</row>
    <row r="185">
      <c r="A185" s="5" t="n"/>
      <c r="B185" s="5" t="n"/>
      <c r="C185" s="5" t="n"/>
      <c r="D185" s="5" t="n"/>
      <c r="E185" s="23" t="n"/>
      <c r="F185" s="5" t="n"/>
      <c r="G185" s="5" t="n"/>
      <c r="H185" s="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</row>
    <row r="187">
      <c r="A187" s="5" t="n"/>
      <c r="B187" s="5" t="n"/>
      <c r="C187" s="5" t="n"/>
      <c r="D187" s="5" t="n"/>
      <c r="E187" s="23" t="n"/>
      <c r="F187" s="5" t="n"/>
      <c r="G187" s="5" t="n"/>
      <c r="H187" s="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</row>
    <row r="189">
      <c r="A189" s="5" t="n"/>
      <c r="B189" s="5" t="n"/>
      <c r="C189" s="5" t="n"/>
      <c r="D189" s="5" t="n"/>
      <c r="E189" s="23" t="n"/>
      <c r="F189" s="5" t="n"/>
      <c r="G189" s="5" t="n"/>
      <c r="H189" s="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</row>
    <row r="191">
      <c r="A191" s="5" t="n"/>
      <c r="B191" s="5" t="n"/>
      <c r="C191" s="5" t="n"/>
      <c r="D191" s="5" t="n"/>
      <c r="E191" s="23" t="n"/>
      <c r="F191" s="5" t="n"/>
      <c r="G191" s="5" t="n"/>
      <c r="H191" s="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</row>
    <row r="193">
      <c r="A193" s="5" t="n"/>
      <c r="B193" s="5" t="n"/>
      <c r="C193" s="5" t="n"/>
      <c r="D193" s="5" t="n"/>
      <c r="E193" s="23" t="n"/>
      <c r="F193" s="5" t="n"/>
      <c r="G193" s="5" t="n"/>
      <c r="H193" s="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</row>
    <row r="195">
      <c r="A195" s="5" t="n"/>
      <c r="B195" s="5" t="n"/>
      <c r="C195" s="5" t="n"/>
      <c r="D195" s="5" t="n"/>
      <c r="E195" s="23" t="n"/>
      <c r="F195" s="5" t="n"/>
      <c r="G195" s="5" t="n"/>
      <c r="H195" s="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</row>
    <row r="197">
      <c r="A197" s="5" t="n"/>
      <c r="B197" s="5" t="n"/>
      <c r="C197" s="5" t="n"/>
      <c r="D197" s="5" t="n"/>
      <c r="E197" s="23" t="n"/>
      <c r="F197" s="5" t="n"/>
      <c r="G197" s="5" t="n"/>
      <c r="H197" s="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</row>
    <row r="199">
      <c r="A199" s="5" t="n"/>
      <c r="B199" s="5" t="n"/>
      <c r="C199" s="5" t="n"/>
      <c r="D199" s="5" t="n"/>
      <c r="E199" s="23" t="n"/>
      <c r="F199" s="5" t="n"/>
      <c r="G199" s="5" t="n"/>
      <c r="H199" s="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</row>
    <row r="201">
      <c r="A201" s="5" t="n"/>
      <c r="B201" s="5" t="n"/>
      <c r="C201" s="5" t="n"/>
      <c r="D201" s="5" t="n"/>
      <c r="E201" s="23" t="n"/>
      <c r="F201" s="5" t="n"/>
      <c r="G201" s="5" t="n"/>
      <c r="H201" s="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</row>
    <row r="203">
      <c r="A203" s="5" t="n"/>
      <c r="B203" s="5" t="n"/>
      <c r="C203" s="5" t="n"/>
      <c r="D203" s="5" t="n"/>
      <c r="E203" s="23" t="n"/>
      <c r="F203" s="5" t="n"/>
      <c r="G203" s="5" t="n"/>
      <c r="H203" s="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</row>
    <row r="205">
      <c r="A205" s="5" t="n"/>
      <c r="B205" s="5" t="n"/>
      <c r="C205" s="5" t="n"/>
      <c r="D205" s="5" t="n"/>
      <c r="E205" s="23" t="n"/>
      <c r="F205" s="5" t="n"/>
      <c r="G205" s="5" t="n"/>
      <c r="H205" s="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</row>
    <row r="207">
      <c r="A207" s="5" t="n"/>
      <c r="B207" s="5" t="n"/>
      <c r="C207" s="5" t="n"/>
      <c r="D207" s="5" t="n"/>
      <c r="E207" s="23" t="n"/>
      <c r="F207" s="5" t="n"/>
      <c r="G207" s="5" t="n"/>
      <c r="H207" s="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</row>
    <row r="209">
      <c r="A209" s="5" t="n"/>
      <c r="B209" s="5" t="n"/>
      <c r="C209" s="5" t="n"/>
      <c r="D209" s="5" t="n"/>
      <c r="E209" s="23" t="n"/>
      <c r="F209" s="5" t="n"/>
      <c r="G209" s="5" t="n"/>
      <c r="H209" s="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</row>
    <row r="211">
      <c r="A211" s="5" t="n"/>
      <c r="B211" s="5" t="n"/>
      <c r="C211" s="5" t="n"/>
      <c r="D211" s="5" t="n"/>
      <c r="E211" s="23" t="n"/>
      <c r="F211" s="5" t="n"/>
      <c r="G211" s="5" t="n"/>
      <c r="H211" s="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</row>
    <row r="213">
      <c r="A213" s="5" t="n"/>
      <c r="B213" s="5" t="n"/>
      <c r="C213" s="5" t="n"/>
      <c r="D213" s="5" t="n"/>
      <c r="E213" s="23" t="n"/>
      <c r="F213" s="5" t="n"/>
      <c r="G213" s="5" t="n"/>
      <c r="H213" s="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</row>
    <row r="215">
      <c r="A215" s="5" t="n"/>
      <c r="B215" s="5" t="n"/>
      <c r="C215" s="5" t="n"/>
      <c r="D215" s="5" t="n"/>
      <c r="E215" s="23" t="n"/>
      <c r="F215" s="5" t="n"/>
      <c r="G215" s="5" t="n"/>
      <c r="H215" s="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</row>
    <row r="217">
      <c r="A217" s="5" t="n"/>
      <c r="B217" s="5" t="n"/>
      <c r="C217" s="5" t="n"/>
      <c r="D217" s="5" t="n"/>
      <c r="E217" s="23" t="n"/>
      <c r="F217" s="5" t="n"/>
      <c r="G217" s="5" t="n"/>
      <c r="H217" s="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</row>
    <row r="219">
      <c r="A219" s="5" t="n"/>
      <c r="B219" s="5" t="n"/>
      <c r="C219" s="5" t="n"/>
      <c r="D219" s="5" t="n"/>
      <c r="E219" s="23" t="n"/>
      <c r="F219" s="5" t="n"/>
      <c r="G219" s="5" t="n"/>
      <c r="H219" s="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</row>
    <row r="221">
      <c r="A221" s="5" t="n"/>
      <c r="B221" s="5" t="n"/>
      <c r="C221" s="5" t="n"/>
      <c r="D221" s="5" t="n"/>
      <c r="E221" s="23" t="n"/>
      <c r="F221" s="5" t="n"/>
      <c r="G221" s="5" t="n"/>
      <c r="H221" s="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</row>
    <row r="223">
      <c r="A223" s="5" t="n"/>
      <c r="B223" s="5" t="n"/>
      <c r="C223" s="5" t="n"/>
      <c r="D223" s="5" t="n"/>
      <c r="E223" s="23" t="n"/>
      <c r="F223" s="5" t="n"/>
      <c r="G223" s="5" t="n"/>
      <c r="H223" s="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</row>
    <row r="225">
      <c r="A225" s="5" t="n"/>
      <c r="B225" s="5" t="n"/>
      <c r="C225" s="5" t="n"/>
      <c r="D225" s="5" t="n"/>
      <c r="E225" s="23" t="n"/>
      <c r="F225" s="5" t="n"/>
      <c r="G225" s="5" t="n"/>
      <c r="H225" s="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</row>
    <row r="227">
      <c r="A227" s="5" t="n"/>
      <c r="B227" s="5" t="n"/>
      <c r="C227" s="5" t="n"/>
      <c r="D227" s="5" t="n"/>
      <c r="E227" s="23" t="n"/>
      <c r="F227" s="5" t="n"/>
      <c r="G227" s="5" t="n"/>
      <c r="H227" s="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</row>
    <row r="229">
      <c r="A229" s="5" t="n"/>
      <c r="B229" s="5" t="n"/>
      <c r="C229" s="5" t="n"/>
      <c r="D229" s="5" t="n"/>
      <c r="E229" s="23" t="n"/>
      <c r="F229" s="5" t="n"/>
      <c r="G229" s="5" t="n"/>
      <c r="H229" s="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</row>
    <row r="231">
      <c r="A231" s="5" t="n"/>
      <c r="B231" s="5" t="n"/>
      <c r="C231" s="5" t="n"/>
      <c r="D231" s="5" t="n"/>
      <c r="E231" s="23" t="n"/>
      <c r="F231" s="5" t="n"/>
      <c r="G231" s="5" t="n"/>
      <c r="H231" s="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</row>
    <row r="233">
      <c r="A233" s="5" t="n"/>
      <c r="B233" s="5" t="n"/>
      <c r="C233" s="5" t="n"/>
      <c r="D233" s="5" t="n"/>
      <c r="E233" s="23" t="n"/>
      <c r="F233" s="5" t="n"/>
      <c r="G233" s="5" t="n"/>
      <c r="H233" s="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</row>
    <row r="235">
      <c r="A235" s="5" t="n"/>
      <c r="B235" s="5" t="n"/>
      <c r="C235" s="5" t="n"/>
      <c r="D235" s="5" t="n"/>
      <c r="E235" s="23" t="n"/>
      <c r="F235" s="5" t="n"/>
      <c r="G235" s="5" t="n"/>
      <c r="H235" s="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</row>
    <row r="237">
      <c r="A237" s="5" t="n"/>
      <c r="B237" s="5" t="n"/>
      <c r="C237" s="5" t="n"/>
      <c r="D237" s="5" t="n"/>
      <c r="E237" s="23" t="n"/>
      <c r="F237" s="5" t="n"/>
      <c r="G237" s="5" t="n"/>
      <c r="H237" s="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</row>
    <row r="239">
      <c r="A239" s="5" t="n"/>
      <c r="B239" s="5" t="n"/>
      <c r="C239" s="5" t="n"/>
      <c r="D239" s="5" t="n"/>
      <c r="E239" s="23" t="n"/>
      <c r="F239" s="5" t="n"/>
      <c r="G239" s="5" t="n"/>
      <c r="H239" s="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</row>
    <row r="241">
      <c r="A241" s="5" t="n"/>
      <c r="B241" s="5" t="n"/>
      <c r="C241" s="5" t="n"/>
      <c r="D241" s="5" t="n"/>
      <c r="E241" s="23" t="n"/>
      <c r="F241" s="5" t="n"/>
      <c r="G241" s="5" t="n"/>
      <c r="H241" s="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</row>
    <row r="243">
      <c r="A243" s="5" t="n"/>
      <c r="B243" s="5" t="n"/>
      <c r="C243" s="5" t="n"/>
      <c r="D243" s="5" t="n"/>
      <c r="E243" s="23" t="n"/>
      <c r="F243" s="5" t="n"/>
      <c r="G243" s="5" t="n"/>
      <c r="H243" s="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</row>
    <row r="245">
      <c r="A245" s="5" t="n"/>
      <c r="B245" s="5" t="n"/>
      <c r="C245" s="5" t="n"/>
      <c r="D245" s="5" t="n"/>
      <c r="E245" s="23" t="n"/>
      <c r="F245" s="5" t="n"/>
      <c r="G245" s="5" t="n"/>
      <c r="H245" s="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</row>
    <row r="247">
      <c r="A247" s="5" t="n"/>
      <c r="B247" s="5" t="n"/>
      <c r="C247" s="5" t="n"/>
      <c r="D247" s="5" t="n"/>
      <c r="E247" s="23" t="n"/>
      <c r="F247" s="5" t="n"/>
      <c r="G247" s="5" t="n"/>
      <c r="H247" s="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</row>
    <row r="249">
      <c r="A249" s="5" t="n"/>
      <c r="B249" s="5" t="n"/>
      <c r="C249" s="5" t="n"/>
      <c r="D249" s="5" t="n"/>
      <c r="E249" s="23" t="n"/>
      <c r="F249" s="5" t="n"/>
      <c r="G249" s="5" t="n"/>
      <c r="H249" s="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</row>
    <row r="251">
      <c r="A251" s="5" t="n"/>
      <c r="B251" s="5" t="n"/>
      <c r="C251" s="5" t="n"/>
      <c r="D251" s="5" t="n"/>
      <c r="E251" s="23" t="n"/>
      <c r="F251" s="5" t="n"/>
      <c r="G251" s="5" t="n"/>
      <c r="H251" s="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</row>
    <row r="253">
      <c r="A253" s="5" t="n"/>
      <c r="B253" s="5" t="n"/>
      <c r="C253" s="5" t="n"/>
      <c r="D253" s="5" t="n"/>
      <c r="E253" s="23" t="n"/>
      <c r="F253" s="5" t="n"/>
      <c r="G253" s="5" t="n"/>
      <c r="H253" s="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</row>
    <row r="255">
      <c r="A255" s="5" t="n"/>
      <c r="B255" s="5" t="n"/>
      <c r="C255" s="5" t="n"/>
      <c r="D255" s="5" t="n"/>
      <c r="E255" s="23" t="n"/>
      <c r="F255" s="5" t="n"/>
      <c r="G255" s="5" t="n"/>
      <c r="H255" s="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</row>
    <row r="257">
      <c r="A257" s="5" t="n"/>
      <c r="B257" s="5" t="n"/>
      <c r="C257" s="5" t="n"/>
      <c r="D257" s="5" t="n"/>
      <c r="E257" s="23" t="n"/>
      <c r="F257" s="5" t="n"/>
      <c r="G257" s="5" t="n"/>
      <c r="H257" s="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</row>
    <row r="259">
      <c r="A259" s="5" t="n"/>
      <c r="B259" s="5" t="n"/>
      <c r="C259" s="5" t="n"/>
      <c r="D259" s="5" t="n"/>
      <c r="E259" s="23" t="n"/>
      <c r="F259" s="5" t="n"/>
      <c r="G259" s="5" t="n"/>
      <c r="H259" s="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</row>
    <row r="261">
      <c r="A261" s="5" t="n"/>
      <c r="B261" s="5" t="n"/>
      <c r="C261" s="5" t="n"/>
      <c r="D261" s="5" t="n"/>
      <c r="E261" s="23" t="n"/>
      <c r="F261" s="5" t="n"/>
      <c r="G261" s="5" t="n"/>
      <c r="H261" s="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</row>
    <row r="263">
      <c r="A263" s="5" t="n"/>
      <c r="B263" s="5" t="n"/>
      <c r="C263" s="5" t="n"/>
      <c r="D263" s="5" t="n"/>
      <c r="E263" s="23" t="n"/>
      <c r="F263" s="5" t="n"/>
      <c r="G263" s="5" t="n"/>
      <c r="H263" s="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</row>
    <row r="265">
      <c r="A265" s="5" t="n"/>
      <c r="B265" s="5" t="n"/>
      <c r="C265" s="5" t="n"/>
      <c r="D265" s="5" t="n"/>
      <c r="E265" s="23" t="n"/>
      <c r="F265" s="5" t="n"/>
      <c r="G265" s="5" t="n"/>
      <c r="H265" s="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</row>
    <row r="267">
      <c r="A267" s="5" t="n"/>
      <c r="B267" s="5" t="n"/>
      <c r="C267" s="5" t="n"/>
      <c r="D267" s="5" t="n"/>
      <c r="E267" s="23" t="n"/>
      <c r="F267" s="5" t="n"/>
      <c r="G267" s="5" t="n"/>
      <c r="H267" s="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</row>
    <row r="269">
      <c r="A269" s="5" t="n"/>
      <c r="B269" s="5" t="n"/>
      <c r="C269" s="5" t="n"/>
      <c r="D269" s="5" t="n"/>
      <c r="E269" s="23" t="n"/>
      <c r="F269" s="5" t="n"/>
      <c r="G269" s="5" t="n"/>
      <c r="H269" s="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</row>
    <row r="271">
      <c r="A271" s="5" t="n"/>
      <c r="B271" s="5" t="n"/>
      <c r="C271" s="5" t="n"/>
      <c r="D271" s="5" t="n"/>
      <c r="E271" s="23" t="n"/>
      <c r="F271" s="5" t="n"/>
      <c r="G271" s="5" t="n"/>
      <c r="H271" s="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</row>
    <row r="273">
      <c r="A273" s="5" t="n"/>
      <c r="B273" s="5" t="n"/>
      <c r="C273" s="5" t="n"/>
      <c r="D273" s="5" t="n"/>
      <c r="E273" s="23" t="n"/>
      <c r="F273" s="5" t="n"/>
      <c r="G273" s="5" t="n"/>
      <c r="H273" s="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</row>
    <row r="275">
      <c r="A275" s="5" t="n"/>
      <c r="B275" s="5" t="n"/>
      <c r="C275" s="5" t="n"/>
      <c r="D275" s="5" t="n"/>
      <c r="E275" s="23" t="n"/>
      <c r="F275" s="5" t="n"/>
      <c r="G275" s="5" t="n"/>
      <c r="H275" s="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</row>
    <row r="277">
      <c r="A277" s="5" t="n"/>
      <c r="B277" s="5" t="n"/>
      <c r="C277" s="5" t="n"/>
      <c r="D277" s="5" t="n"/>
      <c r="E277" s="23" t="n"/>
      <c r="F277" s="5" t="n"/>
      <c r="G277" s="5" t="n"/>
      <c r="H277" s="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</row>
    <row r="279">
      <c r="A279" s="5" t="n"/>
      <c r="B279" s="5" t="n"/>
      <c r="C279" s="5" t="n"/>
      <c r="D279" s="5" t="n"/>
      <c r="E279" s="23" t="n"/>
      <c r="F279" s="5" t="n"/>
      <c r="G279" s="5" t="n"/>
      <c r="H279" s="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</row>
    <row r="281">
      <c r="A281" s="5" t="n"/>
      <c r="B281" s="5" t="n"/>
      <c r="C281" s="5" t="n"/>
      <c r="D281" s="5" t="n"/>
      <c r="E281" s="23" t="n"/>
      <c r="F281" s="5" t="n"/>
      <c r="G281" s="5" t="n"/>
      <c r="H281" s="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</row>
    <row r="283">
      <c r="A283" s="5" t="n"/>
      <c r="B283" s="5" t="n"/>
      <c r="C283" s="5" t="n"/>
      <c r="D283" s="5" t="n"/>
      <c r="E283" s="23" t="n"/>
      <c r="F283" s="5" t="n"/>
      <c r="G283" s="5" t="n"/>
      <c r="H283" s="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</row>
    <row r="285">
      <c r="A285" s="5" t="n"/>
      <c r="B285" s="5" t="n"/>
      <c r="C285" s="5" t="n"/>
      <c r="D285" s="5" t="n"/>
      <c r="E285" s="23" t="n"/>
      <c r="F285" s="5" t="n"/>
      <c r="G285" s="5" t="n"/>
      <c r="H285" s="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</row>
    <row r="287">
      <c r="A287" s="5" t="n"/>
      <c r="B287" s="5" t="n"/>
      <c r="C287" s="5" t="n"/>
      <c r="D287" s="5" t="n"/>
      <c r="E287" s="23" t="n"/>
      <c r="F287" s="5" t="n"/>
      <c r="G287" s="5" t="n"/>
      <c r="H287" s="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</row>
    <row r="289">
      <c r="A289" s="5" t="n"/>
      <c r="B289" s="5" t="n"/>
      <c r="C289" s="5" t="n"/>
      <c r="D289" s="5" t="n"/>
      <c r="E289" s="23" t="n"/>
      <c r="F289" s="5" t="n"/>
      <c r="G289" s="5" t="n"/>
      <c r="H289" s="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</row>
    <row r="291">
      <c r="A291" s="5" t="n"/>
      <c r="B291" s="5" t="n"/>
      <c r="C291" s="5" t="n"/>
      <c r="D291" s="5" t="n"/>
      <c r="E291" s="23" t="n"/>
      <c r="F291" s="5" t="n"/>
      <c r="G291" s="5" t="n"/>
      <c r="H291" s="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</row>
    <row r="293">
      <c r="A293" s="5" t="n"/>
      <c r="B293" s="5" t="n"/>
      <c r="C293" s="5" t="n"/>
      <c r="D293" s="5" t="n"/>
      <c r="E293" s="23" t="n"/>
      <c r="F293" s="5" t="n"/>
      <c r="G293" s="5" t="n"/>
      <c r="H293" s="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</row>
    <row r="295">
      <c r="A295" s="5" t="n"/>
      <c r="B295" s="5" t="n"/>
      <c r="C295" s="5" t="n"/>
      <c r="D295" s="5" t="n"/>
      <c r="E295" s="23" t="n"/>
      <c r="F295" s="5" t="n"/>
      <c r="G295" s="5" t="n"/>
      <c r="H295" s="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</row>
    <row r="297">
      <c r="A297" s="5" t="n"/>
      <c r="B297" s="5" t="n"/>
      <c r="C297" s="5" t="n"/>
      <c r="D297" s="5" t="n"/>
      <c r="E297" s="23" t="n"/>
      <c r="F297" s="5" t="n"/>
      <c r="G297" s="5" t="n"/>
      <c r="H297" s="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</row>
    <row r="299">
      <c r="A299" s="5" t="n"/>
      <c r="B299" s="5" t="n"/>
      <c r="C299" s="5" t="n"/>
      <c r="D299" s="5" t="n"/>
      <c r="E299" s="23" t="n"/>
      <c r="F299" s="5" t="n"/>
      <c r="G299" s="5" t="n"/>
      <c r="H299" s="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</row>
    <row r="301">
      <c r="A301" s="5" t="n"/>
      <c r="B301" s="5" t="n"/>
      <c r="C301" s="5" t="n"/>
      <c r="D301" s="5" t="n"/>
      <c r="E301" s="23" t="n"/>
      <c r="F301" s="5" t="n"/>
      <c r="G301" s="5" t="n"/>
      <c r="H301" s="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</row>
    <row r="303">
      <c r="A303" s="5" t="n"/>
      <c r="B303" s="5" t="n"/>
      <c r="C303" s="5" t="n"/>
      <c r="D303" s="5" t="n"/>
      <c r="E303" s="23" t="n"/>
      <c r="F303" s="5" t="n"/>
      <c r="G303" s="5" t="n"/>
      <c r="H303" s="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</row>
    <row r="305">
      <c r="A305" s="5" t="n"/>
      <c r="B305" s="5" t="n"/>
      <c r="C305" s="5" t="n"/>
      <c r="D305" s="5" t="n"/>
      <c r="E305" s="23" t="n"/>
      <c r="F305" s="5" t="n"/>
      <c r="G305" s="5" t="n"/>
      <c r="H305" s="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</row>
    <row r="307">
      <c r="A307" s="5" t="n"/>
      <c r="B307" s="5" t="n"/>
      <c r="C307" s="5" t="n"/>
      <c r="D307" s="5" t="n"/>
      <c r="E307" s="23" t="n"/>
      <c r="F307" s="5" t="n"/>
      <c r="G307" s="5" t="n"/>
      <c r="H307" s="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</row>
    <row r="309">
      <c r="A309" s="5" t="n"/>
      <c r="B309" s="5" t="n"/>
      <c r="C309" s="5" t="n"/>
      <c r="D309" s="5" t="n"/>
      <c r="E309" s="23" t="n"/>
      <c r="F309" s="5" t="n"/>
      <c r="G309" s="5" t="n"/>
      <c r="H309" s="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</row>
    <row r="311">
      <c r="A311" s="5" t="n"/>
      <c r="B311" s="5" t="n"/>
      <c r="C311" s="5" t="n"/>
      <c r="D311" s="5" t="n"/>
      <c r="E311" s="23" t="n"/>
      <c r="F311" s="5" t="n"/>
      <c r="G311" s="5" t="n"/>
      <c r="H311" s="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</row>
    <row r="313">
      <c r="A313" s="5" t="n"/>
      <c r="B313" s="5" t="n"/>
      <c r="C313" s="5" t="n"/>
      <c r="D313" s="5" t="n"/>
      <c r="E313" s="23" t="n"/>
      <c r="F313" s="5" t="n"/>
      <c r="G313" s="5" t="n"/>
      <c r="H313" s="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</row>
    <row r="315">
      <c r="A315" s="5" t="n"/>
      <c r="B315" s="5" t="n"/>
      <c r="C315" s="5" t="n"/>
      <c r="D315" s="5" t="n"/>
      <c r="E315" s="23" t="n"/>
      <c r="F315" s="5" t="n"/>
      <c r="G315" s="5" t="n"/>
      <c r="H315" s="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</row>
    <row r="317">
      <c r="A317" s="5" t="n"/>
      <c r="B317" s="5" t="n"/>
      <c r="C317" s="5" t="n"/>
      <c r="D317" s="5" t="n"/>
      <c r="E317" s="23" t="n"/>
      <c r="F317" s="5" t="n"/>
      <c r="G317" s="5" t="n"/>
      <c r="H317" s="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</row>
    <row r="319">
      <c r="A319" s="5" t="n"/>
      <c r="B319" s="5" t="n"/>
      <c r="C319" s="5" t="n"/>
      <c r="D319" s="5" t="n"/>
      <c r="E319" s="23" t="n"/>
      <c r="F319" s="5" t="n"/>
      <c r="G319" s="5" t="n"/>
      <c r="H319" s="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</row>
    <row r="321">
      <c r="A321" s="5" t="n"/>
      <c r="B321" s="5" t="n"/>
      <c r="C321" s="5" t="n"/>
      <c r="D321" s="5" t="n"/>
      <c r="E321" s="23" t="n"/>
      <c r="F321" s="5" t="n"/>
      <c r="G321" s="5" t="n"/>
      <c r="H321" s="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</row>
    <row r="323">
      <c r="A323" s="5" t="n"/>
      <c r="B323" s="5" t="n"/>
      <c r="C323" s="5" t="n"/>
      <c r="D323" s="5" t="n"/>
      <c r="E323" s="23" t="n"/>
      <c r="F323" s="5" t="n"/>
      <c r="G323" s="5" t="n"/>
      <c r="H323" s="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</row>
    <row r="325">
      <c r="A325" s="5" t="n"/>
      <c r="B325" s="5" t="n"/>
      <c r="C325" s="5" t="n"/>
      <c r="D325" s="5" t="n"/>
      <c r="E325" s="23" t="n"/>
      <c r="F325" s="5" t="n"/>
      <c r="G325" s="5" t="n"/>
      <c r="H325" s="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</row>
    <row r="327">
      <c r="A327" s="5" t="n"/>
      <c r="B327" s="5" t="n"/>
      <c r="C327" s="5" t="n"/>
      <c r="D327" s="5" t="n"/>
      <c r="E327" s="23" t="n"/>
      <c r="F327" s="5" t="n"/>
      <c r="G327" s="5" t="n"/>
      <c r="H327" s="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</row>
    <row r="329">
      <c r="A329" s="5" t="n"/>
      <c r="B329" s="5" t="n"/>
      <c r="C329" s="5" t="n"/>
      <c r="D329" s="5" t="n"/>
      <c r="E329" s="23" t="n"/>
      <c r="F329" s="5" t="n"/>
      <c r="G329" s="5" t="n"/>
      <c r="H329" s="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</row>
    <row r="331">
      <c r="A331" s="5" t="n"/>
      <c r="B331" s="5" t="n"/>
      <c r="C331" s="5" t="n"/>
      <c r="D331" s="5" t="n"/>
      <c r="E331" s="23" t="n"/>
      <c r="F331" s="5" t="n"/>
      <c r="G331" s="5" t="n"/>
      <c r="H331" s="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</row>
    <row r="333">
      <c r="A333" s="5" t="n"/>
      <c r="B333" s="5" t="n"/>
      <c r="C333" s="5" t="n"/>
      <c r="D333" s="5" t="n"/>
      <c r="E333" s="23" t="n"/>
      <c r="F333" s="5" t="n"/>
      <c r="G333" s="5" t="n"/>
      <c r="H333" s="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</row>
    <row r="335">
      <c r="A335" s="5" t="n"/>
      <c r="B335" s="5" t="n"/>
      <c r="C335" s="5" t="n"/>
      <c r="D335" s="5" t="n"/>
      <c r="E335" s="23" t="n"/>
      <c r="F335" s="5" t="n"/>
      <c r="G335" s="5" t="n"/>
      <c r="H335" s="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</row>
    <row r="337">
      <c r="A337" s="5" t="n"/>
      <c r="B337" s="5" t="n"/>
      <c r="C337" s="5" t="n"/>
      <c r="D337" s="5" t="n"/>
      <c r="E337" s="23" t="n"/>
      <c r="F337" s="5" t="n"/>
      <c r="G337" s="5" t="n"/>
      <c r="H337" s="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</row>
    <row r="339">
      <c r="A339" s="5" t="n"/>
      <c r="B339" s="5" t="n"/>
      <c r="C339" s="5" t="n"/>
      <c r="D339" s="5" t="n"/>
      <c r="E339" s="23" t="n"/>
      <c r="F339" s="5" t="n"/>
      <c r="G339" s="5" t="n"/>
      <c r="H339" s="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</row>
    <row r="341">
      <c r="A341" s="5" t="n"/>
      <c r="B341" s="5" t="n"/>
      <c r="C341" s="5" t="n"/>
      <c r="D341" s="5" t="n"/>
      <c r="E341" s="23" t="n"/>
      <c r="F341" s="5" t="n"/>
      <c r="G341" s="5" t="n"/>
      <c r="H341" s="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</row>
    <row r="343">
      <c r="A343" s="5" t="n"/>
      <c r="B343" s="5" t="n"/>
      <c r="C343" s="5" t="n"/>
      <c r="D343" s="5" t="n"/>
      <c r="E343" s="23" t="n"/>
      <c r="F343" s="5" t="n"/>
      <c r="G343" s="5" t="n"/>
      <c r="H343" s="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</row>
    <row r="345">
      <c r="A345" s="5" t="n"/>
      <c r="B345" s="5" t="n"/>
      <c r="C345" s="5" t="n"/>
      <c r="D345" s="5" t="n"/>
      <c r="E345" s="23" t="n"/>
      <c r="F345" s="5" t="n"/>
      <c r="G345" s="5" t="n"/>
      <c r="H345" s="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</row>
    <row r="347">
      <c r="A347" s="5" t="n"/>
      <c r="B347" s="5" t="n"/>
      <c r="C347" s="5" t="n"/>
      <c r="D347" s="5" t="n"/>
      <c r="E347" s="23" t="n"/>
      <c r="F347" s="5" t="n"/>
      <c r="G347" s="5" t="n"/>
      <c r="H347" s="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</row>
    <row r="349">
      <c r="A349" s="5" t="n"/>
      <c r="B349" s="5" t="n"/>
      <c r="C349" s="5" t="n"/>
      <c r="D349" s="5" t="n"/>
      <c r="E349" s="23" t="n"/>
      <c r="F349" s="5" t="n"/>
      <c r="G349" s="5" t="n"/>
      <c r="H349" s="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</row>
    <row r="351">
      <c r="A351" s="5" t="n"/>
      <c r="B351" s="5" t="n"/>
      <c r="C351" s="5" t="n"/>
      <c r="D351" s="5" t="n"/>
      <c r="E351" s="23" t="n"/>
      <c r="F351" s="5" t="n"/>
      <c r="G351" s="5" t="n"/>
      <c r="H351" s="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</row>
    <row r="353">
      <c r="A353" s="5" t="n"/>
      <c r="B353" s="5" t="n"/>
      <c r="C353" s="5" t="n"/>
      <c r="D353" s="5" t="n"/>
      <c r="E353" s="23" t="n"/>
      <c r="F353" s="5" t="n"/>
      <c r="G353" s="5" t="n"/>
      <c r="H353" s="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</row>
    <row r="355">
      <c r="A355" s="5" t="n"/>
      <c r="B355" s="5" t="n"/>
      <c r="C355" s="5" t="n"/>
      <c r="D355" s="5" t="n"/>
      <c r="E355" s="23" t="n"/>
      <c r="F355" s="5" t="n"/>
      <c r="G355" s="5" t="n"/>
      <c r="H355" s="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</row>
    <row r="357">
      <c r="A357" s="5" t="n"/>
      <c r="B357" s="5" t="n"/>
      <c r="C357" s="5" t="n"/>
      <c r="D357" s="5" t="n"/>
      <c r="E357" s="23" t="n"/>
      <c r="F357" s="5" t="n"/>
      <c r="G357" s="5" t="n"/>
      <c r="H357" s="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</row>
    <row r="359">
      <c r="A359" s="5" t="n"/>
      <c r="B359" s="5" t="n"/>
      <c r="C359" s="5" t="n"/>
      <c r="D359" s="5" t="n"/>
      <c r="E359" s="23" t="n"/>
      <c r="F359" s="5" t="n"/>
      <c r="G359" s="5" t="n"/>
      <c r="H359" s="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</row>
    <row r="361">
      <c r="A361" s="5" t="n"/>
      <c r="B361" s="5" t="n"/>
      <c r="C361" s="5" t="n"/>
      <c r="D361" s="5" t="n"/>
      <c r="E361" s="23" t="n"/>
      <c r="F361" s="5" t="n"/>
      <c r="G361" s="5" t="n"/>
      <c r="H361" s="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</row>
    <row r="363">
      <c r="A363" s="5" t="n"/>
      <c r="B363" s="5" t="n"/>
      <c r="C363" s="5" t="n"/>
      <c r="D363" s="5" t="n"/>
      <c r="E363" s="23" t="n"/>
      <c r="F363" s="5" t="n"/>
      <c r="G363" s="5" t="n"/>
      <c r="H363" s="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</row>
    <row r="365">
      <c r="A365" s="5" t="n"/>
      <c r="B365" s="5" t="n"/>
      <c r="C365" s="5" t="n"/>
      <c r="D365" s="5" t="n"/>
      <c r="E365" s="23" t="n"/>
      <c r="F365" s="5" t="n"/>
      <c r="G365" s="5" t="n"/>
      <c r="H365" s="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</row>
    <row r="367">
      <c r="A367" s="5" t="n"/>
      <c r="B367" s="5" t="n"/>
      <c r="C367" s="5" t="n"/>
      <c r="D367" s="5" t="n"/>
      <c r="E367" s="23" t="n"/>
      <c r="F367" s="5" t="n"/>
      <c r="G367" s="5" t="n"/>
      <c r="H367" s="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</row>
    <row r="369">
      <c r="A369" s="5" t="n"/>
      <c r="B369" s="5" t="n"/>
      <c r="C369" s="5" t="n"/>
      <c r="D369" s="5" t="n"/>
      <c r="E369" s="23" t="n"/>
      <c r="F369" s="5" t="n"/>
      <c r="G369" s="5" t="n"/>
      <c r="H369" s="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</row>
    <row r="371">
      <c r="A371" s="5" t="n"/>
      <c r="B371" s="5" t="n"/>
      <c r="C371" s="5" t="n"/>
      <c r="D371" s="5" t="n"/>
      <c r="E371" s="23" t="n"/>
      <c r="F371" s="5" t="n"/>
      <c r="G371" s="5" t="n"/>
      <c r="H371" s="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</row>
    <row r="373">
      <c r="A373" s="5" t="n"/>
      <c r="B373" s="5" t="n"/>
      <c r="C373" s="5" t="n"/>
      <c r="D373" s="5" t="n"/>
      <c r="E373" s="23" t="n"/>
      <c r="F373" s="5" t="n"/>
      <c r="G373" s="5" t="n"/>
      <c r="H373" s="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</row>
    <row r="375">
      <c r="A375" s="5" t="n"/>
      <c r="B375" s="5" t="n"/>
      <c r="C375" s="5" t="n"/>
      <c r="D375" s="5" t="n"/>
      <c r="E375" s="23" t="n"/>
      <c r="F375" s="5" t="n"/>
      <c r="G375" s="5" t="n"/>
      <c r="H375" s="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</row>
    <row r="377">
      <c r="A377" s="5" t="n"/>
      <c r="B377" s="5" t="n"/>
      <c r="C377" s="5" t="n"/>
      <c r="D377" s="5" t="n"/>
      <c r="E377" s="23" t="n"/>
      <c r="F377" s="5" t="n"/>
      <c r="G377" s="5" t="n"/>
      <c r="H377" s="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</row>
    <row r="379">
      <c r="A379" s="5" t="n"/>
      <c r="B379" s="5" t="n"/>
      <c r="C379" s="5" t="n"/>
      <c r="D379" s="5" t="n"/>
      <c r="E379" s="23" t="n"/>
      <c r="F379" s="5" t="n"/>
      <c r="G379" s="5" t="n"/>
      <c r="H379" s="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</row>
    <row r="381">
      <c r="A381" s="5" t="n"/>
      <c r="B381" s="5" t="n"/>
      <c r="C381" s="5" t="n"/>
      <c r="D381" s="5" t="n"/>
      <c r="E381" s="23" t="n"/>
      <c r="F381" s="5" t="n"/>
      <c r="G381" s="5" t="n"/>
      <c r="H381" s="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</row>
    <row r="383">
      <c r="A383" s="5" t="n"/>
      <c r="B383" s="5" t="n"/>
      <c r="C383" s="5" t="n"/>
      <c r="D383" s="5" t="n"/>
      <c r="E383" s="23" t="n"/>
      <c r="F383" s="5" t="n"/>
      <c r="G383" s="5" t="n"/>
      <c r="H383" s="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</row>
    <row r="385">
      <c r="A385" s="5" t="n"/>
      <c r="B385" s="5" t="n"/>
      <c r="C385" s="5" t="n"/>
      <c r="D385" s="5" t="n"/>
      <c r="E385" s="23" t="n"/>
      <c r="F385" s="5" t="n"/>
      <c r="G385" s="5" t="n"/>
      <c r="H385" s="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</row>
    <row r="387">
      <c r="A387" s="5" t="n"/>
      <c r="B387" s="5" t="n"/>
      <c r="C387" s="5" t="n"/>
      <c r="D387" s="5" t="n"/>
      <c r="E387" s="23" t="n"/>
      <c r="F387" s="5" t="n"/>
      <c r="G387" s="5" t="n"/>
      <c r="H387" s="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</row>
    <row r="389">
      <c r="A389" s="5" t="n"/>
      <c r="B389" s="5" t="n"/>
      <c r="C389" s="5" t="n"/>
      <c r="D389" s="5" t="n"/>
      <c r="E389" s="23" t="n"/>
      <c r="F389" s="5" t="n"/>
      <c r="G389" s="5" t="n"/>
      <c r="H389" s="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</row>
    <row r="391">
      <c r="A391" s="5" t="n"/>
      <c r="B391" s="5" t="n"/>
      <c r="C391" s="5" t="n"/>
      <c r="D391" s="5" t="n"/>
      <c r="E391" s="23" t="n"/>
      <c r="F391" s="5" t="n"/>
      <c r="G391" s="5" t="n"/>
      <c r="H391" s="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</row>
    <row r="393">
      <c r="A393" s="5" t="n"/>
      <c r="B393" s="5" t="n"/>
      <c r="C393" s="5" t="n"/>
      <c r="D393" s="5" t="n"/>
      <c r="E393" s="23" t="n"/>
      <c r="F393" s="5" t="n"/>
      <c r="G393" s="5" t="n"/>
      <c r="H393" s="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</row>
    <row r="395">
      <c r="A395" s="5" t="n"/>
      <c r="B395" s="5" t="n"/>
      <c r="C395" s="5" t="n"/>
      <c r="D395" s="5" t="n"/>
      <c r="E395" s="23" t="n"/>
      <c r="F395" s="5" t="n"/>
      <c r="G395" s="5" t="n"/>
      <c r="H395" s="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</row>
    <row r="397">
      <c r="A397" s="5" t="n"/>
      <c r="B397" s="5" t="n"/>
      <c r="C397" s="5" t="n"/>
      <c r="D397" s="5" t="n"/>
      <c r="E397" s="23" t="n"/>
      <c r="F397" s="5" t="n"/>
      <c r="G397" s="5" t="n"/>
      <c r="H397" s="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</row>
    <row r="399">
      <c r="A399" s="5" t="n"/>
      <c r="B399" s="5" t="n"/>
      <c r="C399" s="5" t="n"/>
      <c r="D399" s="5" t="n"/>
      <c r="E399" s="23" t="n"/>
      <c r="F399" s="5" t="n"/>
      <c r="G399" s="5" t="n"/>
      <c r="H399" s="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</row>
    <row r="401">
      <c r="A401" s="5" t="n"/>
      <c r="B401" s="5" t="n"/>
      <c r="C401" s="5" t="n"/>
      <c r="D401" s="5" t="n"/>
      <c r="E401" s="23" t="n"/>
      <c r="F401" s="5" t="n"/>
      <c r="G401" s="5" t="n"/>
      <c r="H401" s="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</row>
    <row r="403">
      <c r="A403" s="5" t="n"/>
      <c r="B403" s="5" t="n"/>
      <c r="C403" s="5" t="n"/>
      <c r="D403" s="5" t="n"/>
      <c r="E403" s="23" t="n"/>
      <c r="F403" s="5" t="n"/>
      <c r="G403" s="5" t="n"/>
      <c r="H403" s="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</row>
    <row r="405">
      <c r="A405" s="5" t="n"/>
      <c r="B405" s="5" t="n"/>
      <c r="C405" s="5" t="n"/>
      <c r="D405" s="5" t="n"/>
      <c r="E405" s="23" t="n"/>
      <c r="F405" s="5" t="n"/>
      <c r="G405" s="5" t="n"/>
      <c r="H405" s="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</row>
    <row r="407">
      <c r="A407" s="5" t="n"/>
      <c r="B407" s="5" t="n"/>
      <c r="C407" s="5" t="n"/>
      <c r="D407" s="5" t="n"/>
      <c r="E407" s="23" t="n"/>
      <c r="F407" s="5" t="n"/>
      <c r="G407" s="5" t="n"/>
      <c r="H407" s="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</row>
    <row r="409">
      <c r="A409" s="5" t="n"/>
      <c r="B409" s="5" t="n"/>
      <c r="C409" s="5" t="n"/>
      <c r="D409" s="5" t="n"/>
      <c r="E409" s="23" t="n"/>
      <c r="F409" s="5" t="n"/>
      <c r="G409" s="5" t="n"/>
      <c r="H409" s="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</row>
    <row r="411">
      <c r="A411" s="5" t="n"/>
      <c r="B411" s="5" t="n"/>
      <c r="C411" s="5" t="n"/>
      <c r="D411" s="5" t="n"/>
      <c r="E411" s="23" t="n"/>
      <c r="F411" s="5" t="n"/>
      <c r="G411" s="5" t="n"/>
      <c r="H411" s="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</row>
    <row r="413">
      <c r="A413" s="5" t="n"/>
      <c r="B413" s="5" t="n"/>
      <c r="C413" s="5" t="n"/>
      <c r="D413" s="5" t="n"/>
      <c r="E413" s="23" t="n"/>
      <c r="F413" s="5" t="n"/>
      <c r="G413" s="5" t="n"/>
      <c r="H413" s="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</row>
    <row r="415">
      <c r="A415" s="5" t="n"/>
      <c r="B415" s="5" t="n"/>
      <c r="C415" s="5" t="n"/>
      <c r="D415" s="5" t="n"/>
      <c r="E415" s="23" t="n"/>
      <c r="F415" s="5" t="n"/>
      <c r="G415" s="5" t="n"/>
      <c r="H415" s="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</row>
    <row r="417">
      <c r="A417" s="5" t="n"/>
      <c r="B417" s="5" t="n"/>
      <c r="C417" s="5" t="n"/>
      <c r="D417" s="5" t="n"/>
      <c r="E417" s="23" t="n"/>
      <c r="F417" s="5" t="n"/>
      <c r="G417" s="5" t="n"/>
      <c r="H417" s="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</row>
    <row r="419">
      <c r="A419" s="5" t="n"/>
      <c r="B419" s="5" t="n"/>
      <c r="C419" s="5" t="n"/>
      <c r="D419" s="5" t="n"/>
      <c r="E419" s="23" t="n"/>
      <c r="F419" s="5" t="n"/>
      <c r="G419" s="5" t="n"/>
      <c r="H419" s="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</row>
    <row r="421">
      <c r="A421" s="5" t="n"/>
      <c r="B421" s="5" t="n"/>
      <c r="C421" s="5" t="n"/>
      <c r="D421" s="5" t="n"/>
      <c r="E421" s="23" t="n"/>
      <c r="F421" s="5" t="n"/>
      <c r="G421" s="5" t="n"/>
      <c r="H421" s="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</row>
    <row r="423">
      <c r="A423" s="5" t="n"/>
      <c r="B423" s="5" t="n"/>
      <c r="C423" s="5" t="n"/>
      <c r="D423" s="5" t="n"/>
      <c r="E423" s="23" t="n"/>
      <c r="F423" s="5" t="n"/>
      <c r="G423" s="5" t="n"/>
      <c r="H423" s="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</row>
    <row r="425">
      <c r="A425" s="5" t="n"/>
      <c r="B425" s="5" t="n"/>
      <c r="C425" s="5" t="n"/>
      <c r="D425" s="5" t="n"/>
      <c r="E425" s="23" t="n"/>
      <c r="F425" s="5" t="n"/>
      <c r="G425" s="5" t="n"/>
      <c r="H425" s="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</row>
    <row r="427">
      <c r="A427" s="5" t="n"/>
      <c r="B427" s="5" t="n"/>
      <c r="C427" s="5" t="n"/>
      <c r="D427" s="5" t="n"/>
      <c r="E427" s="23" t="n"/>
      <c r="F427" s="5" t="n"/>
      <c r="G427" s="5" t="n"/>
      <c r="H427" s="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</row>
    <row r="429">
      <c r="A429" s="5" t="n"/>
      <c r="B429" s="5" t="n"/>
      <c r="C429" s="5" t="n"/>
      <c r="D429" s="5" t="n"/>
      <c r="E429" s="23" t="n"/>
      <c r="F429" s="5" t="n"/>
      <c r="G429" s="5" t="n"/>
      <c r="H429" s="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</row>
    <row r="431">
      <c r="A431" s="5" t="n"/>
      <c r="B431" s="5" t="n"/>
      <c r="C431" s="5" t="n"/>
      <c r="D431" s="5" t="n"/>
      <c r="E431" s="23" t="n"/>
      <c r="F431" s="5" t="n"/>
      <c r="G431" s="5" t="n"/>
      <c r="H431" s="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</row>
    <row r="433">
      <c r="A433" s="5" t="n"/>
      <c r="B433" s="5" t="n"/>
      <c r="C433" s="5" t="n"/>
      <c r="D433" s="5" t="n"/>
      <c r="E433" s="23" t="n"/>
      <c r="F433" s="5" t="n"/>
      <c r="G433" s="5" t="n"/>
      <c r="H433" s="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</row>
    <row r="435">
      <c r="A435" s="5" t="n"/>
      <c r="B435" s="5" t="n"/>
      <c r="C435" s="5" t="n"/>
      <c r="D435" s="5" t="n"/>
      <c r="E435" s="23" t="n"/>
      <c r="F435" s="5" t="n"/>
      <c r="G435" s="5" t="n"/>
      <c r="H435" s="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</row>
    <row r="437">
      <c r="A437" s="5" t="n"/>
      <c r="B437" s="5" t="n"/>
      <c r="C437" s="5" t="n"/>
      <c r="D437" s="5" t="n"/>
      <c r="E437" s="23" t="n"/>
      <c r="F437" s="5" t="n"/>
      <c r="G437" s="5" t="n"/>
      <c r="H437" s="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</row>
    <row r="439">
      <c r="A439" s="5" t="n"/>
      <c r="B439" s="5" t="n"/>
      <c r="C439" s="5" t="n"/>
      <c r="D439" s="5" t="n"/>
      <c r="E439" s="23" t="n"/>
      <c r="F439" s="5" t="n"/>
      <c r="G439" s="5" t="n"/>
      <c r="H439" s="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</row>
    <row r="441">
      <c r="A441" s="5" t="n"/>
      <c r="B441" s="5" t="n"/>
      <c r="C441" s="5" t="n"/>
      <c r="D441" s="5" t="n"/>
      <c r="E441" s="23" t="n"/>
      <c r="F441" s="5" t="n"/>
      <c r="G441" s="5" t="n"/>
      <c r="H441" s="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</row>
    <row r="443">
      <c r="A443" s="5" t="n"/>
      <c r="B443" s="5" t="n"/>
      <c r="C443" s="5" t="n"/>
      <c r="D443" s="5" t="n"/>
      <c r="E443" s="23" t="n"/>
      <c r="F443" s="5" t="n"/>
      <c r="G443" s="5" t="n"/>
      <c r="H443" s="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</row>
    <row r="445">
      <c r="A445" s="5" t="n"/>
      <c r="B445" s="5" t="n"/>
      <c r="C445" s="5" t="n"/>
      <c r="D445" s="5" t="n"/>
      <c r="E445" s="23" t="n"/>
      <c r="F445" s="5" t="n"/>
      <c r="G445" s="5" t="n"/>
      <c r="H445" s="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</row>
    <row r="447">
      <c r="A447" s="5" t="n"/>
      <c r="B447" s="5" t="n"/>
      <c r="C447" s="5" t="n"/>
      <c r="D447" s="5" t="n"/>
      <c r="E447" s="23" t="n"/>
      <c r="F447" s="5" t="n"/>
      <c r="G447" s="5" t="n"/>
      <c r="H447" s="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</row>
    <row r="449">
      <c r="A449" s="5" t="n"/>
      <c r="B449" s="5" t="n"/>
      <c r="C449" s="5" t="n"/>
      <c r="D449" s="5" t="n"/>
      <c r="E449" s="23" t="n"/>
      <c r="F449" s="5" t="n"/>
      <c r="G449" s="5" t="n"/>
      <c r="H449" s="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</row>
    <row r="451">
      <c r="A451" s="5" t="n"/>
      <c r="B451" s="5" t="n"/>
      <c r="C451" s="5" t="n"/>
      <c r="D451" s="5" t="n"/>
      <c r="E451" s="23" t="n"/>
      <c r="F451" s="5" t="n"/>
      <c r="G451" s="5" t="n"/>
      <c r="H451" s="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</row>
    <row r="453">
      <c r="A453" s="5" t="n"/>
      <c r="B453" s="5" t="n"/>
      <c r="C453" s="5" t="n"/>
      <c r="D453" s="5" t="n"/>
      <c r="E453" s="23" t="n"/>
      <c r="F453" s="5" t="n"/>
      <c r="G453" s="5" t="n"/>
      <c r="H453" s="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</row>
    <row r="455">
      <c r="A455" s="5" t="n"/>
      <c r="B455" s="5" t="n"/>
      <c r="C455" s="5" t="n"/>
      <c r="D455" s="5" t="n"/>
      <c r="E455" s="23" t="n"/>
      <c r="F455" s="5" t="n"/>
      <c r="G455" s="5" t="n"/>
      <c r="H455" s="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</row>
    <row r="457">
      <c r="A457" s="5" t="n"/>
      <c r="B457" s="5" t="n"/>
      <c r="C457" s="5" t="n"/>
      <c r="D457" s="5" t="n"/>
      <c r="E457" s="23" t="n"/>
      <c r="F457" s="5" t="n"/>
      <c r="G457" s="5" t="n"/>
      <c r="H457" s="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</row>
    <row r="459">
      <c r="A459" s="5" t="n"/>
      <c r="B459" s="5" t="n"/>
      <c r="C459" s="5" t="n"/>
      <c r="D459" s="5" t="n"/>
      <c r="E459" s="23" t="n"/>
      <c r="F459" s="5" t="n"/>
      <c r="G459" s="5" t="n"/>
      <c r="H459" s="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</row>
    <row r="461">
      <c r="A461" s="5" t="n"/>
      <c r="B461" s="5" t="n"/>
      <c r="C461" s="5" t="n"/>
      <c r="D461" s="5" t="n"/>
      <c r="E461" s="23" t="n"/>
      <c r="F461" s="5" t="n"/>
      <c r="G461" s="5" t="n"/>
      <c r="H461" s="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</row>
    <row r="463">
      <c r="A463" s="5" t="n"/>
      <c r="B463" s="5" t="n"/>
      <c r="C463" s="5" t="n"/>
      <c r="D463" s="5" t="n"/>
      <c r="E463" s="23" t="n"/>
      <c r="F463" s="5" t="n"/>
      <c r="G463" s="5" t="n"/>
      <c r="H463" s="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</row>
    <row r="465">
      <c r="A465" s="5" t="n"/>
      <c r="B465" s="5" t="n"/>
      <c r="C465" s="5" t="n"/>
      <c r="D465" s="5" t="n"/>
      <c r="E465" s="23" t="n"/>
      <c r="F465" s="5" t="n"/>
      <c r="G465" s="5" t="n"/>
      <c r="H465" s="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</row>
    <row r="467">
      <c r="A467" s="5" t="n"/>
      <c r="B467" s="5" t="n"/>
      <c r="C467" s="5" t="n"/>
      <c r="D467" s="5" t="n"/>
      <c r="E467" s="23" t="n"/>
      <c r="F467" s="5" t="n"/>
      <c r="G467" s="5" t="n"/>
      <c r="H467" s="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</row>
    <row r="469">
      <c r="A469" s="5" t="n"/>
      <c r="B469" s="5" t="n"/>
      <c r="C469" s="5" t="n"/>
      <c r="D469" s="5" t="n"/>
      <c r="E469" s="23" t="n"/>
      <c r="F469" s="5" t="n"/>
      <c r="G469" s="5" t="n"/>
      <c r="H469" s="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</row>
    <row r="471">
      <c r="A471" s="5" t="n"/>
      <c r="B471" s="5" t="n"/>
      <c r="C471" s="5" t="n"/>
      <c r="D471" s="5" t="n"/>
      <c r="E471" s="23" t="n"/>
      <c r="F471" s="5" t="n"/>
      <c r="G471" s="5" t="n"/>
      <c r="H471" s="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</row>
    <row r="473">
      <c r="A473" s="5" t="n"/>
      <c r="B473" s="5" t="n"/>
      <c r="C473" s="5" t="n"/>
      <c r="D473" s="5" t="n"/>
      <c r="E473" s="23" t="n"/>
      <c r="F473" s="5" t="n"/>
      <c r="G473" s="5" t="n"/>
      <c r="H473" s="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</row>
    <row r="475">
      <c r="A475" s="5" t="n"/>
      <c r="B475" s="5" t="n"/>
      <c r="C475" s="5" t="n"/>
      <c r="D475" s="5" t="n"/>
      <c r="E475" s="23" t="n"/>
      <c r="F475" s="5" t="n"/>
      <c r="G475" s="5" t="n"/>
      <c r="H475" s="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</row>
    <row r="477">
      <c r="A477" s="5" t="n"/>
      <c r="B477" s="5" t="n"/>
      <c r="C477" s="5" t="n"/>
      <c r="D477" s="5" t="n"/>
      <c r="E477" s="23" t="n"/>
      <c r="F477" s="5" t="n"/>
      <c r="G477" s="5" t="n"/>
      <c r="H477" s="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</row>
    <row r="479">
      <c r="A479" s="5" t="n"/>
      <c r="B479" s="5" t="n"/>
      <c r="C479" s="5" t="n"/>
      <c r="D479" s="5" t="n"/>
      <c r="E479" s="23" t="n"/>
      <c r="F479" s="5" t="n"/>
      <c r="G479" s="5" t="n"/>
      <c r="H479" s="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</row>
    <row r="481">
      <c r="A481" s="5" t="n"/>
      <c r="B481" s="5" t="n"/>
      <c r="C481" s="5" t="n"/>
      <c r="D481" s="5" t="n"/>
      <c r="E481" s="23" t="n"/>
      <c r="F481" s="5" t="n"/>
      <c r="G481" s="5" t="n"/>
      <c r="H481" s="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</row>
    <row r="483">
      <c r="A483" s="5" t="n"/>
      <c r="B483" s="5" t="n"/>
      <c r="C483" s="5" t="n"/>
      <c r="D483" s="5" t="n"/>
      <c r="E483" s="23" t="n"/>
      <c r="F483" s="5" t="n"/>
      <c r="G483" s="5" t="n"/>
      <c r="H483" s="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</row>
    <row r="485">
      <c r="A485" s="5" t="n"/>
      <c r="B485" s="5" t="n"/>
      <c r="C485" s="5" t="n"/>
      <c r="D485" s="5" t="n"/>
      <c r="E485" s="23" t="n"/>
      <c r="F485" s="5" t="n"/>
      <c r="G485" s="5" t="n"/>
      <c r="H485" s="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</row>
    <row r="487">
      <c r="A487" s="5" t="n"/>
      <c r="B487" s="5" t="n"/>
      <c r="C487" s="5" t="n"/>
      <c r="D487" s="5" t="n"/>
      <c r="E487" s="23" t="n"/>
      <c r="F487" s="5" t="n"/>
      <c r="G487" s="5" t="n"/>
      <c r="H487" s="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</row>
    <row r="489">
      <c r="A489" s="5" t="n"/>
      <c r="B489" s="5" t="n"/>
      <c r="C489" s="5" t="n"/>
      <c r="D489" s="5" t="n"/>
      <c r="E489" s="23" t="n"/>
      <c r="F489" s="5" t="n"/>
      <c r="G489" s="5" t="n"/>
      <c r="H489" s="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</row>
    <row r="491">
      <c r="A491" s="5" t="n"/>
      <c r="B491" s="5" t="n"/>
      <c r="C491" s="5" t="n"/>
      <c r="D491" s="5" t="n"/>
      <c r="E491" s="23" t="n"/>
      <c r="F491" s="5" t="n"/>
      <c r="G491" s="5" t="n"/>
      <c r="H491" s="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</row>
    <row r="493">
      <c r="A493" s="5" t="n"/>
      <c r="B493" s="5" t="n"/>
      <c r="C493" s="5" t="n"/>
      <c r="D493" s="5" t="n"/>
      <c r="E493" s="23" t="n"/>
      <c r="F493" s="5" t="n"/>
      <c r="G493" s="5" t="n"/>
      <c r="H493" s="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</row>
    <row r="495">
      <c r="A495" s="5" t="n"/>
      <c r="B495" s="5" t="n"/>
      <c r="C495" s="5" t="n"/>
      <c r="D495" s="5" t="n"/>
      <c r="E495" s="23" t="n"/>
      <c r="F495" s="5" t="n"/>
      <c r="G495" s="5" t="n"/>
      <c r="H495" s="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</row>
    <row r="497">
      <c r="A497" s="5" t="n"/>
      <c r="B497" s="5" t="n"/>
      <c r="C497" s="5" t="n"/>
      <c r="D497" s="5" t="n"/>
      <c r="E497" s="23" t="n"/>
      <c r="F497" s="5" t="n"/>
      <c r="G497" s="5" t="n"/>
      <c r="H497" s="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</row>
    <row r="499">
      <c r="A499" s="5" t="n"/>
      <c r="B499" s="5" t="n"/>
      <c r="C499" s="5" t="n"/>
      <c r="D499" s="5" t="n"/>
      <c r="E499" s="23" t="n"/>
      <c r="F499" s="5" t="n"/>
      <c r="G499" s="5" t="n"/>
      <c r="H499" s="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</row>
    <row r="501">
      <c r="A501" s="5" t="n"/>
      <c r="B501" s="5" t="n"/>
      <c r="C501" s="5" t="n"/>
      <c r="D501" s="5" t="n"/>
      <c r="E501" s="23" t="n"/>
      <c r="F501" s="5" t="n"/>
      <c r="G501" s="5" t="n"/>
      <c r="H501" s="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</row>
    <row r="503">
      <c r="A503" s="5" t="n"/>
      <c r="B503" s="5" t="n"/>
      <c r="C503" s="5" t="n"/>
      <c r="D503" s="5" t="n"/>
      <c r="E503" s="23" t="n"/>
      <c r="F503" s="5" t="n"/>
      <c r="G503" s="5" t="n"/>
      <c r="H503" s="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</row>
  </sheetData>
  <autoFilter ref="A4:H504"/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2" customWidth="1" min="3" max="3"/>
    <col width="12" customWidth="1" min="4" max="4"/>
    <col width="17" customWidth="1" min="5" max="5"/>
    <col width="11" customWidth="1" min="6" max="6"/>
    <col width="11" customWidth="1" min="7" max="7"/>
    <col width="10" customWidth="1" min="8" max="8"/>
    <col width="22" customWidth="1" min="9" max="9"/>
    <col width="24" customWidth="1" min="10" max="10"/>
    <col width="34" customWidth="1" min="11" max="11"/>
  </cols>
  <sheetData>
    <row r="1" ht="28" customHeight="1">
      <c r="A1" s="1" t="inlineStr">
        <is>
          <t>PURSANTAJ KEŞİF ANALİZİ · ANAHTAR TESLİM SAĞLAMASI</t>
        </is>
      </c>
    </row>
    <row r="2" ht="30" customHeight="1">
      <c r="A2" s="2" t="inlineStr">
        <is>
          <t>Kurumun pursantaj oranları ile bizim metrajımızdaki grup payları karşılaştırılır. Oranlar yüzde sayısıdır (3,2164 = %3,2164), Fark yüzde puanıdır. ✔ / ⚠ / ✗ eşikleri Özet sayfasından değiştirilir. Bizim grupların hangi kurum grubuna sayılacağı Grup Eşleme sayfasında seçilir.</t>
        </is>
      </c>
    </row>
    <row r="3">
      <c r="A3" s="15" t="inlineStr">
        <is>
          <t>TOPLAM</t>
        </is>
      </c>
      <c r="B3" s="16" t="n"/>
      <c r="C3" s="16" t="n"/>
      <c r="D3" s="16" t="n"/>
      <c r="E3" s="17">
        <f>SUMPRODUCT((COUNTIF($B$5:$B$504,$A$5:$A$504)=0)*($A$5:$A$504&lt;&gt;""),E5:E504)</f>
        <v/>
      </c>
      <c r="F3" s="25">
        <f>SUMPRODUCT((COUNTIF($B$5:$B$504,$A$5:$A$504)=0)*($A$5:$A$504&lt;&gt;""),F5:F504)</f>
        <v/>
      </c>
      <c r="G3" s="16" t="n"/>
      <c r="H3" s="16" t="n"/>
      <c r="I3" s="16" t="n"/>
      <c r="J3" s="16" t="n"/>
      <c r="K3" s="16" t="n"/>
    </row>
    <row r="4" ht="32" customHeight="1">
      <c r="A4" s="18" t="inlineStr">
        <is>
          <t>İş Grubu (kurum)</t>
        </is>
      </c>
      <c r="B4" s="18" t="inlineStr">
        <is>
          <t>Üst Grup</t>
        </is>
      </c>
      <c r="C4" s="18" t="inlineStr">
        <is>
          <t>Oran (üst gruba göre, %)</t>
        </is>
      </c>
      <c r="D4" s="18" t="inlineStr">
        <is>
          <t>Genel Oran (%)</t>
        </is>
      </c>
      <c r="E4" s="18" t="inlineStr">
        <is>
          <t>Bizim Tutar (₺)</t>
        </is>
      </c>
      <c r="F4" s="18" t="inlineStr">
        <is>
          <t>Bizim Pay (%)</t>
        </is>
      </c>
      <c r="G4" s="18" t="inlineStr">
        <is>
          <t>Fark (puan)</t>
        </is>
      </c>
      <c r="H4" s="18" t="inlineStr">
        <is>
          <t>Fark (%)</t>
        </is>
      </c>
      <c r="I4" s="18" t="inlineStr">
        <is>
          <t>Durum</t>
        </is>
      </c>
      <c r="J4" s="18" t="inlineStr">
        <is>
          <t>Kaynak</t>
        </is>
      </c>
      <c r="K4" s="18" t="inlineStr">
        <is>
          <t>Not</t>
        </is>
      </c>
    </row>
    <row r="5">
      <c r="A5" s="5" t="n"/>
      <c r="B5" s="5" t="n"/>
      <c r="C5" s="26" t="n"/>
      <c r="D5" s="27">
        <f>IF(OR(A5="",C5=""),"",C5*IFERROR(VLOOKUP(B5,$A$5:$C$504,3,FALSE)/100,1)*IFERROR(VLOOKUP(IFERROR(VLOOKUP(B5,$A$5:$B$504,2,FALSE),""),$A$5:$C$504,3,FALSE)/100,1)*IFERROR(VLOOKUP(IFERROR(VLOOKUP(IFERROR(VLOOKUP(B5,$A$5:$B$504,2,FALSE),""),$A$5:$B$504,2,FALSE),""),$A$5:$C$504,3,FALSE)/100,1))</f>
        <v/>
      </c>
      <c r="E5" s="21">
        <f>IF(A5="","",SUMIF('Grup Eşleme'!$B$5:$B$504,A5,'Grup Eşleme'!$C$5:$C$504))</f>
        <v/>
      </c>
      <c r="F5" s="27">
        <f>IF(OR(A5="",'Metraj Mahal Listesi'!$K$3=0,COUNTIF($B$5:$B$504,A5)&gt;0),"",E5/'Metraj Mahal Listesi'!$K$3*100)</f>
        <v/>
      </c>
      <c r="G5" s="28">
        <f>IF(OR(D5="",F5=""),"",F5-D5)</f>
        <v/>
      </c>
      <c r="H5" s="29">
        <f>IF(OR(G5="",D5=0),"",G5/D5*100)</f>
        <v/>
      </c>
      <c r="I5" s="30">
        <f>IF(A5="","",IF(COUNTIF($B$5:$B$504,A5)&gt;0,IF(ABS(SUMIF($B$5:$B$504,A5,$C$5:$C$504)-100)&lt;0.0001,"✔ alt gruplar Σ=100","⚠ alt gruplar Σ≠100"),IF(G5="","—",IF(ABS(G5)&lt;=PursUyum,"✔ uyumlu",IF(ABS(G5)&lt;=PursCiddi,"⚠ dikkat","✗ ciddi fark")))))</f>
        <v/>
      </c>
      <c r="J5" s="5" t="n"/>
      <c r="K5" s="5" t="n"/>
    </row>
    <row r="6">
      <c r="A6" s="5" t="n"/>
      <c r="B6" s="5" t="n"/>
      <c r="C6" s="26" t="n"/>
      <c r="D6" s="27">
        <f>IF(OR(A6="",C6=""),"",C6*IFERROR(VLOOKUP(B6,$A$5:$C$504,3,FALSE)/100,1)*IFERROR(VLOOKUP(IFERROR(VLOOKUP(B6,$A$5:$B$504,2,FALSE),""),$A$5:$C$504,3,FALSE)/100,1)*IFERROR(VLOOKUP(IFERROR(VLOOKUP(IFERROR(VLOOKUP(B6,$A$5:$B$504,2,FALSE),""),$A$5:$B$504,2,FALSE),""),$A$5:$C$504,3,FALSE)/100,1))</f>
        <v/>
      </c>
      <c r="E6" s="21">
        <f>IF(A6="","",SUMIF('Grup Eşleme'!$B$5:$B$504,A6,'Grup Eşleme'!$C$5:$C$504))</f>
        <v/>
      </c>
      <c r="F6" s="27">
        <f>IF(OR(A6="",'Metraj Mahal Listesi'!$K$3=0,COUNTIF($B$5:$B$504,A6)&gt;0),"",E6/'Metraj Mahal Listesi'!$K$3*100)</f>
        <v/>
      </c>
      <c r="G6" s="28">
        <f>IF(OR(D6="",F6=""),"",F6-D6)</f>
        <v/>
      </c>
      <c r="H6" s="29">
        <f>IF(OR(G6="",D6=0),"",G6/D6*100)</f>
        <v/>
      </c>
      <c r="I6" s="30">
        <f>IF(A6="","",IF(COUNTIF($B$5:$B$504,A6)&gt;0,IF(ABS(SUMIF($B$5:$B$504,A6,$C$5:$C$504)-100)&lt;0.0001,"✔ alt gruplar Σ=100","⚠ alt gruplar Σ≠100"),IF(G6="","—",IF(ABS(G6)&lt;=PursUyum,"✔ uyumlu",IF(ABS(G6)&lt;=PursCiddi,"⚠ dikkat","✗ ciddi fark")))))</f>
        <v/>
      </c>
      <c r="J6" s="5" t="n"/>
      <c r="K6" s="5" t="n"/>
    </row>
    <row r="7">
      <c r="A7" s="5" t="n"/>
      <c r="B7" s="5" t="n"/>
      <c r="C7" s="26" t="n"/>
      <c r="D7" s="27">
        <f>IF(OR(A7="",C7=""),"",C7*IFERROR(VLOOKUP(B7,$A$5:$C$504,3,FALSE)/100,1)*IFERROR(VLOOKUP(IFERROR(VLOOKUP(B7,$A$5:$B$504,2,FALSE),""),$A$5:$C$504,3,FALSE)/100,1)*IFERROR(VLOOKUP(IFERROR(VLOOKUP(IFERROR(VLOOKUP(B7,$A$5:$B$504,2,FALSE),""),$A$5:$B$504,2,FALSE),""),$A$5:$C$504,3,FALSE)/100,1))</f>
        <v/>
      </c>
      <c r="E7" s="21">
        <f>IF(A7="","",SUMIF('Grup Eşleme'!$B$5:$B$504,A7,'Grup Eşleme'!$C$5:$C$504))</f>
        <v/>
      </c>
      <c r="F7" s="27">
        <f>IF(OR(A7="",'Metraj Mahal Listesi'!$K$3=0,COUNTIF($B$5:$B$504,A7)&gt;0),"",E7/'Metraj Mahal Listesi'!$K$3*100)</f>
        <v/>
      </c>
      <c r="G7" s="28">
        <f>IF(OR(D7="",F7=""),"",F7-D7)</f>
        <v/>
      </c>
      <c r="H7" s="29">
        <f>IF(OR(G7="",D7=0),"",G7/D7*100)</f>
        <v/>
      </c>
      <c r="I7" s="30">
        <f>IF(A7="","",IF(COUNTIF($B$5:$B$504,A7)&gt;0,IF(ABS(SUMIF($B$5:$B$504,A7,$C$5:$C$504)-100)&lt;0.0001,"✔ alt gruplar Σ=100","⚠ alt gruplar Σ≠100"),IF(G7="","—",IF(ABS(G7)&lt;=PursUyum,"✔ uyumlu",IF(ABS(G7)&lt;=PursCiddi,"⚠ dikkat","✗ ciddi fark")))))</f>
        <v/>
      </c>
      <c r="J7" s="5" t="n"/>
      <c r="K7" s="5" t="n"/>
    </row>
    <row r="8">
      <c r="A8" s="5" t="n"/>
      <c r="B8" s="5" t="n"/>
      <c r="C8" s="26" t="n"/>
      <c r="D8" s="27">
        <f>IF(OR(A8="",C8=""),"",C8*IFERROR(VLOOKUP(B8,$A$5:$C$504,3,FALSE)/100,1)*IFERROR(VLOOKUP(IFERROR(VLOOKUP(B8,$A$5:$B$504,2,FALSE),""),$A$5:$C$504,3,FALSE)/100,1)*IFERROR(VLOOKUP(IFERROR(VLOOKUP(IFERROR(VLOOKUP(B8,$A$5:$B$504,2,FALSE),""),$A$5:$B$504,2,FALSE),""),$A$5:$C$504,3,FALSE)/100,1))</f>
        <v/>
      </c>
      <c r="E8" s="21">
        <f>IF(A8="","",SUMIF('Grup Eşleme'!$B$5:$B$504,A8,'Grup Eşleme'!$C$5:$C$504))</f>
        <v/>
      </c>
      <c r="F8" s="27">
        <f>IF(OR(A8="",'Metraj Mahal Listesi'!$K$3=0,COUNTIF($B$5:$B$504,A8)&gt;0),"",E8/'Metraj Mahal Listesi'!$K$3*100)</f>
        <v/>
      </c>
      <c r="G8" s="28">
        <f>IF(OR(D8="",F8=""),"",F8-D8)</f>
        <v/>
      </c>
      <c r="H8" s="29">
        <f>IF(OR(G8="",D8=0),"",G8/D8*100)</f>
        <v/>
      </c>
      <c r="I8" s="30">
        <f>IF(A8="","",IF(COUNTIF($B$5:$B$504,A8)&gt;0,IF(ABS(SUMIF($B$5:$B$504,A8,$C$5:$C$504)-100)&lt;0.0001,"✔ alt gruplar Σ=100","⚠ alt gruplar Σ≠100"),IF(G8="","—",IF(ABS(G8)&lt;=PursUyum,"✔ uyumlu",IF(ABS(G8)&lt;=PursCiddi,"⚠ dikkat","✗ ciddi fark")))))</f>
        <v/>
      </c>
      <c r="J8" s="5" t="n"/>
      <c r="K8" s="5" t="n"/>
    </row>
    <row r="9">
      <c r="A9" s="5" t="n"/>
      <c r="B9" s="5" t="n"/>
      <c r="C9" s="26" t="n"/>
      <c r="D9" s="27">
        <f>IF(OR(A9="",C9=""),"",C9*IFERROR(VLOOKUP(B9,$A$5:$C$504,3,FALSE)/100,1)*IFERROR(VLOOKUP(IFERROR(VLOOKUP(B9,$A$5:$B$504,2,FALSE),""),$A$5:$C$504,3,FALSE)/100,1)*IFERROR(VLOOKUP(IFERROR(VLOOKUP(IFERROR(VLOOKUP(B9,$A$5:$B$504,2,FALSE),""),$A$5:$B$504,2,FALSE),""),$A$5:$C$504,3,FALSE)/100,1))</f>
        <v/>
      </c>
      <c r="E9" s="21">
        <f>IF(A9="","",SUMIF('Grup Eşleme'!$B$5:$B$504,A9,'Grup Eşleme'!$C$5:$C$504))</f>
        <v/>
      </c>
      <c r="F9" s="27">
        <f>IF(OR(A9="",'Metraj Mahal Listesi'!$K$3=0,COUNTIF($B$5:$B$504,A9)&gt;0),"",E9/'Metraj Mahal Listesi'!$K$3*100)</f>
        <v/>
      </c>
      <c r="G9" s="28">
        <f>IF(OR(D9="",F9=""),"",F9-D9)</f>
        <v/>
      </c>
      <c r="H9" s="29">
        <f>IF(OR(G9="",D9=0),"",G9/D9*100)</f>
        <v/>
      </c>
      <c r="I9" s="30">
        <f>IF(A9="","",IF(COUNTIF($B$5:$B$504,A9)&gt;0,IF(ABS(SUMIF($B$5:$B$504,A9,$C$5:$C$504)-100)&lt;0.0001,"✔ alt gruplar Σ=100","⚠ alt gruplar Σ≠100"),IF(G9="","—",IF(ABS(G9)&lt;=PursUyum,"✔ uyumlu",IF(ABS(G9)&lt;=PursCiddi,"⚠ dikkat","✗ ciddi fark")))))</f>
        <v/>
      </c>
      <c r="J9" s="5" t="n"/>
      <c r="K9" s="5" t="n"/>
    </row>
    <row r="10">
      <c r="A10" s="5" t="n"/>
      <c r="B10" s="5" t="n"/>
      <c r="C10" s="26" t="n"/>
      <c r="D10" s="27">
        <f>IF(OR(A10="",C10=""),"",C10*IFERROR(VLOOKUP(B10,$A$5:$C$504,3,FALSE)/100,1)*IFERROR(VLOOKUP(IFERROR(VLOOKUP(B10,$A$5:$B$504,2,FALSE),""),$A$5:$C$504,3,FALSE)/100,1)*IFERROR(VLOOKUP(IFERROR(VLOOKUP(IFERROR(VLOOKUP(B10,$A$5:$B$504,2,FALSE),""),$A$5:$B$504,2,FALSE),""),$A$5:$C$504,3,FALSE)/100,1))</f>
        <v/>
      </c>
      <c r="E10" s="21">
        <f>IF(A10="","",SUMIF('Grup Eşleme'!$B$5:$B$504,A10,'Grup Eşleme'!$C$5:$C$504))</f>
        <v/>
      </c>
      <c r="F10" s="27">
        <f>IF(OR(A10="",'Metraj Mahal Listesi'!$K$3=0,COUNTIF($B$5:$B$504,A10)&gt;0),"",E10/'Metraj Mahal Listesi'!$K$3*100)</f>
        <v/>
      </c>
      <c r="G10" s="28">
        <f>IF(OR(D10="",F10=""),"",F10-D10)</f>
        <v/>
      </c>
      <c r="H10" s="29">
        <f>IF(OR(G10="",D10=0),"",G10/D10*100)</f>
        <v/>
      </c>
      <c r="I10" s="30">
        <f>IF(A10="","",IF(COUNTIF($B$5:$B$504,A10)&gt;0,IF(ABS(SUMIF($B$5:$B$504,A10,$C$5:$C$504)-100)&lt;0.0001,"✔ alt gruplar Σ=100","⚠ alt gruplar Σ≠100"),IF(G10="","—",IF(ABS(G10)&lt;=PursUyum,"✔ uyumlu",IF(ABS(G10)&lt;=PursCiddi,"⚠ dikkat","✗ ciddi fark")))))</f>
        <v/>
      </c>
      <c r="J10" s="5" t="n"/>
      <c r="K10" s="5" t="n"/>
    </row>
    <row r="11">
      <c r="A11" s="5" t="n"/>
      <c r="B11" s="5" t="n"/>
      <c r="C11" s="26" t="n"/>
      <c r="D11" s="27">
        <f>IF(OR(A11="",C11=""),"",C11*IFERROR(VLOOKUP(B11,$A$5:$C$504,3,FALSE)/100,1)*IFERROR(VLOOKUP(IFERROR(VLOOKUP(B11,$A$5:$B$504,2,FALSE),""),$A$5:$C$504,3,FALSE)/100,1)*IFERROR(VLOOKUP(IFERROR(VLOOKUP(IFERROR(VLOOKUP(B11,$A$5:$B$504,2,FALSE),""),$A$5:$B$504,2,FALSE),""),$A$5:$C$504,3,FALSE)/100,1))</f>
        <v/>
      </c>
      <c r="E11" s="21">
        <f>IF(A11="","",SUMIF('Grup Eşleme'!$B$5:$B$504,A11,'Grup Eşleme'!$C$5:$C$504))</f>
        <v/>
      </c>
      <c r="F11" s="27">
        <f>IF(OR(A11="",'Metraj Mahal Listesi'!$K$3=0,COUNTIF($B$5:$B$504,A11)&gt;0),"",E11/'Metraj Mahal Listesi'!$K$3*100)</f>
        <v/>
      </c>
      <c r="G11" s="28">
        <f>IF(OR(D11="",F11=""),"",F11-D11)</f>
        <v/>
      </c>
      <c r="H11" s="29">
        <f>IF(OR(G11="",D11=0),"",G11/D11*100)</f>
        <v/>
      </c>
      <c r="I11" s="30">
        <f>IF(A11="","",IF(COUNTIF($B$5:$B$504,A11)&gt;0,IF(ABS(SUMIF($B$5:$B$504,A11,$C$5:$C$504)-100)&lt;0.0001,"✔ alt gruplar Σ=100","⚠ alt gruplar Σ≠100"),IF(G11="","—",IF(ABS(G11)&lt;=PursUyum,"✔ uyumlu",IF(ABS(G11)&lt;=PursCiddi,"⚠ dikkat","✗ ciddi fark")))))</f>
        <v/>
      </c>
      <c r="J11" s="5" t="n"/>
      <c r="K11" s="5" t="n"/>
    </row>
    <row r="12">
      <c r="A12" s="5" t="n"/>
      <c r="B12" s="5" t="n"/>
      <c r="C12" s="26" t="n"/>
      <c r="D12" s="27">
        <f>IF(OR(A12="",C12=""),"",C12*IFERROR(VLOOKUP(B12,$A$5:$C$504,3,FALSE)/100,1)*IFERROR(VLOOKUP(IFERROR(VLOOKUP(B12,$A$5:$B$504,2,FALSE),""),$A$5:$C$504,3,FALSE)/100,1)*IFERROR(VLOOKUP(IFERROR(VLOOKUP(IFERROR(VLOOKUP(B12,$A$5:$B$504,2,FALSE),""),$A$5:$B$504,2,FALSE),""),$A$5:$C$504,3,FALSE)/100,1))</f>
        <v/>
      </c>
      <c r="E12" s="21">
        <f>IF(A12="","",SUMIF('Grup Eşleme'!$B$5:$B$504,A12,'Grup Eşleme'!$C$5:$C$504))</f>
        <v/>
      </c>
      <c r="F12" s="27">
        <f>IF(OR(A12="",'Metraj Mahal Listesi'!$K$3=0,COUNTIF($B$5:$B$504,A12)&gt;0),"",E12/'Metraj Mahal Listesi'!$K$3*100)</f>
        <v/>
      </c>
      <c r="G12" s="28">
        <f>IF(OR(D12="",F12=""),"",F12-D12)</f>
        <v/>
      </c>
      <c r="H12" s="29">
        <f>IF(OR(G12="",D12=0),"",G12/D12*100)</f>
        <v/>
      </c>
      <c r="I12" s="30">
        <f>IF(A12="","",IF(COUNTIF($B$5:$B$504,A12)&gt;0,IF(ABS(SUMIF($B$5:$B$504,A12,$C$5:$C$504)-100)&lt;0.0001,"✔ alt gruplar Σ=100","⚠ alt gruplar Σ≠100"),IF(G12="","—",IF(ABS(G12)&lt;=PursUyum,"✔ uyumlu",IF(ABS(G12)&lt;=PursCiddi,"⚠ dikkat","✗ ciddi fark")))))</f>
        <v/>
      </c>
      <c r="J12" s="5" t="n"/>
      <c r="K12" s="5" t="n"/>
    </row>
    <row r="13">
      <c r="A13" s="5" t="n"/>
      <c r="B13" s="5" t="n"/>
      <c r="C13" s="26" t="n"/>
      <c r="D13" s="27">
        <f>IF(OR(A13="",C13=""),"",C13*IFERROR(VLOOKUP(B13,$A$5:$C$504,3,FALSE)/100,1)*IFERROR(VLOOKUP(IFERROR(VLOOKUP(B13,$A$5:$B$504,2,FALSE),""),$A$5:$C$504,3,FALSE)/100,1)*IFERROR(VLOOKUP(IFERROR(VLOOKUP(IFERROR(VLOOKUP(B13,$A$5:$B$504,2,FALSE),""),$A$5:$B$504,2,FALSE),""),$A$5:$C$504,3,FALSE)/100,1))</f>
        <v/>
      </c>
      <c r="E13" s="21">
        <f>IF(A13="","",SUMIF('Grup Eşleme'!$B$5:$B$504,A13,'Grup Eşleme'!$C$5:$C$504))</f>
        <v/>
      </c>
      <c r="F13" s="27">
        <f>IF(OR(A13="",'Metraj Mahal Listesi'!$K$3=0,COUNTIF($B$5:$B$504,A13)&gt;0),"",E13/'Metraj Mahal Listesi'!$K$3*100)</f>
        <v/>
      </c>
      <c r="G13" s="28">
        <f>IF(OR(D13="",F13=""),"",F13-D13)</f>
        <v/>
      </c>
      <c r="H13" s="29">
        <f>IF(OR(G13="",D13=0),"",G13/D13*100)</f>
        <v/>
      </c>
      <c r="I13" s="30">
        <f>IF(A13="","",IF(COUNTIF($B$5:$B$504,A13)&gt;0,IF(ABS(SUMIF($B$5:$B$504,A13,$C$5:$C$504)-100)&lt;0.0001,"✔ alt gruplar Σ=100","⚠ alt gruplar Σ≠100"),IF(G13="","—",IF(ABS(G13)&lt;=PursUyum,"✔ uyumlu",IF(ABS(G13)&lt;=PursCiddi,"⚠ dikkat","✗ ciddi fark")))))</f>
        <v/>
      </c>
      <c r="J13" s="5" t="n"/>
      <c r="K13" s="5" t="n"/>
    </row>
    <row r="14">
      <c r="A14" s="5" t="n"/>
      <c r="B14" s="5" t="n"/>
      <c r="C14" s="26" t="n"/>
      <c r="D14" s="27">
        <f>IF(OR(A14="",C14=""),"",C14*IFERROR(VLOOKUP(B14,$A$5:$C$504,3,FALSE)/100,1)*IFERROR(VLOOKUP(IFERROR(VLOOKUP(B14,$A$5:$B$504,2,FALSE),""),$A$5:$C$504,3,FALSE)/100,1)*IFERROR(VLOOKUP(IFERROR(VLOOKUP(IFERROR(VLOOKUP(B14,$A$5:$B$504,2,FALSE),""),$A$5:$B$504,2,FALSE),""),$A$5:$C$504,3,FALSE)/100,1))</f>
        <v/>
      </c>
      <c r="E14" s="21">
        <f>IF(A14="","",SUMIF('Grup Eşleme'!$B$5:$B$504,A14,'Grup Eşleme'!$C$5:$C$504))</f>
        <v/>
      </c>
      <c r="F14" s="27">
        <f>IF(OR(A14="",'Metraj Mahal Listesi'!$K$3=0,COUNTIF($B$5:$B$504,A14)&gt;0),"",E14/'Metraj Mahal Listesi'!$K$3*100)</f>
        <v/>
      </c>
      <c r="G14" s="28">
        <f>IF(OR(D14="",F14=""),"",F14-D14)</f>
        <v/>
      </c>
      <c r="H14" s="29">
        <f>IF(OR(G14="",D14=0),"",G14/D14*100)</f>
        <v/>
      </c>
      <c r="I14" s="30">
        <f>IF(A14="","",IF(COUNTIF($B$5:$B$504,A14)&gt;0,IF(ABS(SUMIF($B$5:$B$504,A14,$C$5:$C$504)-100)&lt;0.0001,"✔ alt gruplar Σ=100","⚠ alt gruplar Σ≠100"),IF(G14="","—",IF(ABS(G14)&lt;=PursUyum,"✔ uyumlu",IF(ABS(G14)&lt;=PursCiddi,"⚠ dikkat","✗ ciddi fark")))))</f>
        <v/>
      </c>
      <c r="J14" s="5" t="n"/>
      <c r="K14" s="5" t="n"/>
    </row>
    <row r="15">
      <c r="A15" s="5" t="n"/>
      <c r="B15" s="5" t="n"/>
      <c r="C15" s="26" t="n"/>
      <c r="D15" s="27">
        <f>IF(OR(A15="",C15=""),"",C15*IFERROR(VLOOKUP(B15,$A$5:$C$504,3,FALSE)/100,1)*IFERROR(VLOOKUP(IFERROR(VLOOKUP(B15,$A$5:$B$504,2,FALSE),""),$A$5:$C$504,3,FALSE)/100,1)*IFERROR(VLOOKUP(IFERROR(VLOOKUP(IFERROR(VLOOKUP(B15,$A$5:$B$504,2,FALSE),""),$A$5:$B$504,2,FALSE),""),$A$5:$C$504,3,FALSE)/100,1))</f>
        <v/>
      </c>
      <c r="E15" s="21">
        <f>IF(A15="","",SUMIF('Grup Eşleme'!$B$5:$B$504,A15,'Grup Eşleme'!$C$5:$C$504))</f>
        <v/>
      </c>
      <c r="F15" s="27">
        <f>IF(OR(A15="",'Metraj Mahal Listesi'!$K$3=0,COUNTIF($B$5:$B$504,A15)&gt;0),"",E15/'Metraj Mahal Listesi'!$K$3*100)</f>
        <v/>
      </c>
      <c r="G15" s="28">
        <f>IF(OR(D15="",F15=""),"",F15-D15)</f>
        <v/>
      </c>
      <c r="H15" s="29">
        <f>IF(OR(G15="",D15=0),"",G15/D15*100)</f>
        <v/>
      </c>
      <c r="I15" s="30">
        <f>IF(A15="","",IF(COUNTIF($B$5:$B$504,A15)&gt;0,IF(ABS(SUMIF($B$5:$B$504,A15,$C$5:$C$504)-100)&lt;0.0001,"✔ alt gruplar Σ=100","⚠ alt gruplar Σ≠100"),IF(G15="","—",IF(ABS(G15)&lt;=PursUyum,"✔ uyumlu",IF(ABS(G15)&lt;=PursCiddi,"⚠ dikkat","✗ ciddi fark")))))</f>
        <v/>
      </c>
      <c r="J15" s="5" t="n"/>
      <c r="K15" s="5" t="n"/>
    </row>
    <row r="16">
      <c r="A16" s="5" t="n"/>
      <c r="B16" s="5" t="n"/>
      <c r="C16" s="26" t="n"/>
      <c r="D16" s="27">
        <f>IF(OR(A16="",C16=""),"",C16*IFERROR(VLOOKUP(B16,$A$5:$C$504,3,FALSE)/100,1)*IFERROR(VLOOKUP(IFERROR(VLOOKUP(B16,$A$5:$B$504,2,FALSE),""),$A$5:$C$504,3,FALSE)/100,1)*IFERROR(VLOOKUP(IFERROR(VLOOKUP(IFERROR(VLOOKUP(B16,$A$5:$B$504,2,FALSE),""),$A$5:$B$504,2,FALSE),""),$A$5:$C$504,3,FALSE)/100,1))</f>
        <v/>
      </c>
      <c r="E16" s="21">
        <f>IF(A16="","",SUMIF('Grup Eşleme'!$B$5:$B$504,A16,'Grup Eşleme'!$C$5:$C$504))</f>
        <v/>
      </c>
      <c r="F16" s="27">
        <f>IF(OR(A16="",'Metraj Mahal Listesi'!$K$3=0,COUNTIF($B$5:$B$504,A16)&gt;0),"",E16/'Metraj Mahal Listesi'!$K$3*100)</f>
        <v/>
      </c>
      <c r="G16" s="28">
        <f>IF(OR(D16="",F16=""),"",F16-D16)</f>
        <v/>
      </c>
      <c r="H16" s="29">
        <f>IF(OR(G16="",D16=0),"",G16/D16*100)</f>
        <v/>
      </c>
      <c r="I16" s="30">
        <f>IF(A16="","",IF(COUNTIF($B$5:$B$504,A16)&gt;0,IF(ABS(SUMIF($B$5:$B$504,A16,$C$5:$C$504)-100)&lt;0.0001,"✔ alt gruplar Σ=100","⚠ alt gruplar Σ≠100"),IF(G16="","—",IF(ABS(G16)&lt;=PursUyum,"✔ uyumlu",IF(ABS(G16)&lt;=PursCiddi,"⚠ dikkat","✗ ciddi fark")))))</f>
        <v/>
      </c>
      <c r="J16" s="5" t="n"/>
      <c r="K16" s="5" t="n"/>
    </row>
    <row r="17">
      <c r="A17" s="5" t="n"/>
      <c r="B17" s="5" t="n"/>
      <c r="C17" s="26" t="n"/>
      <c r="D17" s="27">
        <f>IF(OR(A17="",C17=""),"",C17*IFERROR(VLOOKUP(B17,$A$5:$C$504,3,FALSE)/100,1)*IFERROR(VLOOKUP(IFERROR(VLOOKUP(B17,$A$5:$B$504,2,FALSE),""),$A$5:$C$504,3,FALSE)/100,1)*IFERROR(VLOOKUP(IFERROR(VLOOKUP(IFERROR(VLOOKUP(B17,$A$5:$B$504,2,FALSE),""),$A$5:$B$504,2,FALSE),""),$A$5:$C$504,3,FALSE)/100,1))</f>
        <v/>
      </c>
      <c r="E17" s="21">
        <f>IF(A17="","",SUMIF('Grup Eşleme'!$B$5:$B$504,A17,'Grup Eşleme'!$C$5:$C$504))</f>
        <v/>
      </c>
      <c r="F17" s="27">
        <f>IF(OR(A17="",'Metraj Mahal Listesi'!$K$3=0,COUNTIF($B$5:$B$504,A17)&gt;0),"",E17/'Metraj Mahal Listesi'!$K$3*100)</f>
        <v/>
      </c>
      <c r="G17" s="28">
        <f>IF(OR(D17="",F17=""),"",F17-D17)</f>
        <v/>
      </c>
      <c r="H17" s="29">
        <f>IF(OR(G17="",D17=0),"",G17/D17*100)</f>
        <v/>
      </c>
      <c r="I17" s="30">
        <f>IF(A17="","",IF(COUNTIF($B$5:$B$504,A17)&gt;0,IF(ABS(SUMIF($B$5:$B$504,A17,$C$5:$C$504)-100)&lt;0.0001,"✔ alt gruplar Σ=100","⚠ alt gruplar Σ≠100"),IF(G17="","—",IF(ABS(G17)&lt;=PursUyum,"✔ uyumlu",IF(ABS(G17)&lt;=PursCiddi,"⚠ dikkat","✗ ciddi fark")))))</f>
        <v/>
      </c>
      <c r="J17" s="5" t="n"/>
      <c r="K17" s="5" t="n"/>
    </row>
    <row r="18">
      <c r="A18" s="5" t="n"/>
      <c r="B18" s="5" t="n"/>
      <c r="C18" s="26" t="n"/>
      <c r="D18" s="27">
        <f>IF(OR(A18="",C18=""),"",C18*IFERROR(VLOOKUP(B18,$A$5:$C$504,3,FALSE)/100,1)*IFERROR(VLOOKUP(IFERROR(VLOOKUP(B18,$A$5:$B$504,2,FALSE),""),$A$5:$C$504,3,FALSE)/100,1)*IFERROR(VLOOKUP(IFERROR(VLOOKUP(IFERROR(VLOOKUP(B18,$A$5:$B$504,2,FALSE),""),$A$5:$B$504,2,FALSE),""),$A$5:$C$504,3,FALSE)/100,1))</f>
        <v/>
      </c>
      <c r="E18" s="21">
        <f>IF(A18="","",SUMIF('Grup Eşleme'!$B$5:$B$504,A18,'Grup Eşleme'!$C$5:$C$504))</f>
        <v/>
      </c>
      <c r="F18" s="27">
        <f>IF(OR(A18="",'Metraj Mahal Listesi'!$K$3=0,COUNTIF($B$5:$B$504,A18)&gt;0),"",E18/'Metraj Mahal Listesi'!$K$3*100)</f>
        <v/>
      </c>
      <c r="G18" s="28">
        <f>IF(OR(D18="",F18=""),"",F18-D18)</f>
        <v/>
      </c>
      <c r="H18" s="29">
        <f>IF(OR(G18="",D18=0),"",G18/D18*100)</f>
        <v/>
      </c>
      <c r="I18" s="30">
        <f>IF(A18="","",IF(COUNTIF($B$5:$B$504,A18)&gt;0,IF(ABS(SUMIF($B$5:$B$504,A18,$C$5:$C$504)-100)&lt;0.0001,"✔ alt gruplar Σ=100","⚠ alt gruplar Σ≠100"),IF(G18="","—",IF(ABS(G18)&lt;=PursUyum,"✔ uyumlu",IF(ABS(G18)&lt;=PursCiddi,"⚠ dikkat","✗ ciddi fark")))))</f>
        <v/>
      </c>
      <c r="J18" s="5" t="n"/>
      <c r="K18" s="5" t="n"/>
    </row>
    <row r="19">
      <c r="A19" s="5" t="n"/>
      <c r="B19" s="5" t="n"/>
      <c r="C19" s="26" t="n"/>
      <c r="D19" s="27">
        <f>IF(OR(A19="",C19=""),"",C19*IFERROR(VLOOKUP(B19,$A$5:$C$504,3,FALSE)/100,1)*IFERROR(VLOOKUP(IFERROR(VLOOKUP(B19,$A$5:$B$504,2,FALSE),""),$A$5:$C$504,3,FALSE)/100,1)*IFERROR(VLOOKUP(IFERROR(VLOOKUP(IFERROR(VLOOKUP(B19,$A$5:$B$504,2,FALSE),""),$A$5:$B$504,2,FALSE),""),$A$5:$C$504,3,FALSE)/100,1))</f>
        <v/>
      </c>
      <c r="E19" s="21">
        <f>IF(A19="","",SUMIF('Grup Eşleme'!$B$5:$B$504,A19,'Grup Eşleme'!$C$5:$C$504))</f>
        <v/>
      </c>
      <c r="F19" s="27">
        <f>IF(OR(A19="",'Metraj Mahal Listesi'!$K$3=0,COUNTIF($B$5:$B$504,A19)&gt;0),"",E19/'Metraj Mahal Listesi'!$K$3*100)</f>
        <v/>
      </c>
      <c r="G19" s="28">
        <f>IF(OR(D19="",F19=""),"",F19-D19)</f>
        <v/>
      </c>
      <c r="H19" s="29">
        <f>IF(OR(G19="",D19=0),"",G19/D19*100)</f>
        <v/>
      </c>
      <c r="I19" s="30">
        <f>IF(A19="","",IF(COUNTIF($B$5:$B$504,A19)&gt;0,IF(ABS(SUMIF($B$5:$B$504,A19,$C$5:$C$504)-100)&lt;0.0001,"✔ alt gruplar Σ=100","⚠ alt gruplar Σ≠100"),IF(G19="","—",IF(ABS(G19)&lt;=PursUyum,"✔ uyumlu",IF(ABS(G19)&lt;=PursCiddi,"⚠ dikkat","✗ ciddi fark")))))</f>
        <v/>
      </c>
      <c r="J19" s="5" t="n"/>
      <c r="K19" s="5" t="n"/>
    </row>
    <row r="20">
      <c r="A20" s="5" t="n"/>
      <c r="B20" s="5" t="n"/>
      <c r="C20" s="26" t="n"/>
      <c r="D20" s="27">
        <f>IF(OR(A20="",C20=""),"",C20*IFERROR(VLOOKUP(B20,$A$5:$C$504,3,FALSE)/100,1)*IFERROR(VLOOKUP(IFERROR(VLOOKUP(B20,$A$5:$B$504,2,FALSE),""),$A$5:$C$504,3,FALSE)/100,1)*IFERROR(VLOOKUP(IFERROR(VLOOKUP(IFERROR(VLOOKUP(B20,$A$5:$B$504,2,FALSE),""),$A$5:$B$504,2,FALSE),""),$A$5:$C$504,3,FALSE)/100,1))</f>
        <v/>
      </c>
      <c r="E20" s="21">
        <f>IF(A20="","",SUMIF('Grup Eşleme'!$B$5:$B$504,A20,'Grup Eşleme'!$C$5:$C$504))</f>
        <v/>
      </c>
      <c r="F20" s="27">
        <f>IF(OR(A20="",'Metraj Mahal Listesi'!$K$3=0,COUNTIF($B$5:$B$504,A20)&gt;0),"",E20/'Metraj Mahal Listesi'!$K$3*100)</f>
        <v/>
      </c>
      <c r="G20" s="28">
        <f>IF(OR(D20="",F20=""),"",F20-D20)</f>
        <v/>
      </c>
      <c r="H20" s="29">
        <f>IF(OR(G20="",D20=0),"",G20/D20*100)</f>
        <v/>
      </c>
      <c r="I20" s="30">
        <f>IF(A20="","",IF(COUNTIF($B$5:$B$504,A20)&gt;0,IF(ABS(SUMIF($B$5:$B$504,A20,$C$5:$C$504)-100)&lt;0.0001,"✔ alt gruplar Σ=100","⚠ alt gruplar Σ≠100"),IF(G20="","—",IF(ABS(G20)&lt;=PursUyum,"✔ uyumlu",IF(ABS(G20)&lt;=PursCiddi,"⚠ dikkat","✗ ciddi fark")))))</f>
        <v/>
      </c>
      <c r="J20" s="5" t="n"/>
      <c r="K20" s="5" t="n"/>
    </row>
    <row r="21">
      <c r="A21" s="5" t="n"/>
      <c r="B21" s="5" t="n"/>
      <c r="C21" s="26" t="n"/>
      <c r="D21" s="27">
        <f>IF(OR(A21="",C21=""),"",C21*IFERROR(VLOOKUP(B21,$A$5:$C$504,3,FALSE)/100,1)*IFERROR(VLOOKUP(IFERROR(VLOOKUP(B21,$A$5:$B$504,2,FALSE),""),$A$5:$C$504,3,FALSE)/100,1)*IFERROR(VLOOKUP(IFERROR(VLOOKUP(IFERROR(VLOOKUP(B21,$A$5:$B$504,2,FALSE),""),$A$5:$B$504,2,FALSE),""),$A$5:$C$504,3,FALSE)/100,1))</f>
        <v/>
      </c>
      <c r="E21" s="21">
        <f>IF(A21="","",SUMIF('Grup Eşleme'!$B$5:$B$504,A21,'Grup Eşleme'!$C$5:$C$504))</f>
        <v/>
      </c>
      <c r="F21" s="27">
        <f>IF(OR(A21="",'Metraj Mahal Listesi'!$K$3=0,COUNTIF($B$5:$B$504,A21)&gt;0),"",E21/'Metraj Mahal Listesi'!$K$3*100)</f>
        <v/>
      </c>
      <c r="G21" s="28">
        <f>IF(OR(D21="",F21=""),"",F21-D21)</f>
        <v/>
      </c>
      <c r="H21" s="29">
        <f>IF(OR(G21="",D21=0),"",G21/D21*100)</f>
        <v/>
      </c>
      <c r="I21" s="30">
        <f>IF(A21="","",IF(COUNTIF($B$5:$B$504,A21)&gt;0,IF(ABS(SUMIF($B$5:$B$504,A21,$C$5:$C$504)-100)&lt;0.0001,"✔ alt gruplar Σ=100","⚠ alt gruplar Σ≠100"),IF(G21="","—",IF(ABS(G21)&lt;=PursUyum,"✔ uyumlu",IF(ABS(G21)&lt;=PursCiddi,"⚠ dikkat","✗ ciddi fark")))))</f>
        <v/>
      </c>
      <c r="J21" s="5" t="n"/>
      <c r="K21" s="5" t="n"/>
    </row>
    <row r="22">
      <c r="A22" s="5" t="n"/>
      <c r="B22" s="5" t="n"/>
      <c r="C22" s="26" t="n"/>
      <c r="D22" s="27">
        <f>IF(OR(A22="",C22=""),"",C22*IFERROR(VLOOKUP(B22,$A$5:$C$504,3,FALSE)/100,1)*IFERROR(VLOOKUP(IFERROR(VLOOKUP(B22,$A$5:$B$504,2,FALSE),""),$A$5:$C$504,3,FALSE)/100,1)*IFERROR(VLOOKUP(IFERROR(VLOOKUP(IFERROR(VLOOKUP(B22,$A$5:$B$504,2,FALSE),""),$A$5:$B$504,2,FALSE),""),$A$5:$C$504,3,FALSE)/100,1))</f>
        <v/>
      </c>
      <c r="E22" s="21">
        <f>IF(A22="","",SUMIF('Grup Eşleme'!$B$5:$B$504,A22,'Grup Eşleme'!$C$5:$C$504))</f>
        <v/>
      </c>
      <c r="F22" s="27">
        <f>IF(OR(A22="",'Metraj Mahal Listesi'!$K$3=0,COUNTIF($B$5:$B$504,A22)&gt;0),"",E22/'Metraj Mahal Listesi'!$K$3*100)</f>
        <v/>
      </c>
      <c r="G22" s="28">
        <f>IF(OR(D22="",F22=""),"",F22-D22)</f>
        <v/>
      </c>
      <c r="H22" s="29">
        <f>IF(OR(G22="",D22=0),"",G22/D22*100)</f>
        <v/>
      </c>
      <c r="I22" s="30">
        <f>IF(A22="","",IF(COUNTIF($B$5:$B$504,A22)&gt;0,IF(ABS(SUMIF($B$5:$B$504,A22,$C$5:$C$504)-100)&lt;0.0001,"✔ alt gruplar Σ=100","⚠ alt gruplar Σ≠100"),IF(G22="","—",IF(ABS(G22)&lt;=PursUyum,"✔ uyumlu",IF(ABS(G22)&lt;=PursCiddi,"⚠ dikkat","✗ ciddi fark")))))</f>
        <v/>
      </c>
      <c r="J22" s="5" t="n"/>
      <c r="K22" s="5" t="n"/>
    </row>
    <row r="23">
      <c r="A23" s="5" t="n"/>
      <c r="B23" s="5" t="n"/>
      <c r="C23" s="26" t="n"/>
      <c r="D23" s="27">
        <f>IF(OR(A23="",C23=""),"",C23*IFERROR(VLOOKUP(B23,$A$5:$C$504,3,FALSE)/100,1)*IFERROR(VLOOKUP(IFERROR(VLOOKUP(B23,$A$5:$B$504,2,FALSE),""),$A$5:$C$504,3,FALSE)/100,1)*IFERROR(VLOOKUP(IFERROR(VLOOKUP(IFERROR(VLOOKUP(B23,$A$5:$B$504,2,FALSE),""),$A$5:$B$504,2,FALSE),""),$A$5:$C$504,3,FALSE)/100,1))</f>
        <v/>
      </c>
      <c r="E23" s="21">
        <f>IF(A23="","",SUMIF('Grup Eşleme'!$B$5:$B$504,A23,'Grup Eşleme'!$C$5:$C$504))</f>
        <v/>
      </c>
      <c r="F23" s="27">
        <f>IF(OR(A23="",'Metraj Mahal Listesi'!$K$3=0,COUNTIF($B$5:$B$504,A23)&gt;0),"",E23/'Metraj Mahal Listesi'!$K$3*100)</f>
        <v/>
      </c>
      <c r="G23" s="28">
        <f>IF(OR(D23="",F23=""),"",F23-D23)</f>
        <v/>
      </c>
      <c r="H23" s="29">
        <f>IF(OR(G23="",D23=0),"",G23/D23*100)</f>
        <v/>
      </c>
      <c r="I23" s="30">
        <f>IF(A23="","",IF(COUNTIF($B$5:$B$504,A23)&gt;0,IF(ABS(SUMIF($B$5:$B$504,A23,$C$5:$C$504)-100)&lt;0.0001,"✔ alt gruplar Σ=100","⚠ alt gruplar Σ≠100"),IF(G23="","—",IF(ABS(G23)&lt;=PursUyum,"✔ uyumlu",IF(ABS(G23)&lt;=PursCiddi,"⚠ dikkat","✗ ciddi fark")))))</f>
        <v/>
      </c>
      <c r="J23" s="5" t="n"/>
      <c r="K23" s="5" t="n"/>
    </row>
    <row r="24">
      <c r="A24" s="5" t="n"/>
      <c r="B24" s="5" t="n"/>
      <c r="C24" s="26" t="n"/>
      <c r="D24" s="27">
        <f>IF(OR(A24="",C24=""),"",C24*IFERROR(VLOOKUP(B24,$A$5:$C$504,3,FALSE)/100,1)*IFERROR(VLOOKUP(IFERROR(VLOOKUP(B24,$A$5:$B$504,2,FALSE),""),$A$5:$C$504,3,FALSE)/100,1)*IFERROR(VLOOKUP(IFERROR(VLOOKUP(IFERROR(VLOOKUP(B24,$A$5:$B$504,2,FALSE),""),$A$5:$B$504,2,FALSE),""),$A$5:$C$504,3,FALSE)/100,1))</f>
        <v/>
      </c>
      <c r="E24" s="21">
        <f>IF(A24="","",SUMIF('Grup Eşleme'!$B$5:$B$504,A24,'Grup Eşleme'!$C$5:$C$504))</f>
        <v/>
      </c>
      <c r="F24" s="27">
        <f>IF(OR(A24="",'Metraj Mahal Listesi'!$K$3=0,COUNTIF($B$5:$B$504,A24)&gt;0),"",E24/'Metraj Mahal Listesi'!$K$3*100)</f>
        <v/>
      </c>
      <c r="G24" s="28">
        <f>IF(OR(D24="",F24=""),"",F24-D24)</f>
        <v/>
      </c>
      <c r="H24" s="29">
        <f>IF(OR(G24="",D24=0),"",G24/D24*100)</f>
        <v/>
      </c>
      <c r="I24" s="30">
        <f>IF(A24="","",IF(COUNTIF($B$5:$B$504,A24)&gt;0,IF(ABS(SUMIF($B$5:$B$504,A24,$C$5:$C$504)-100)&lt;0.0001,"✔ alt gruplar Σ=100","⚠ alt gruplar Σ≠100"),IF(G24="","—",IF(ABS(G24)&lt;=PursUyum,"✔ uyumlu",IF(ABS(G24)&lt;=PursCiddi,"⚠ dikkat","✗ ciddi fark")))))</f>
        <v/>
      </c>
      <c r="J24" s="5" t="n"/>
      <c r="K24" s="5" t="n"/>
    </row>
    <row r="25">
      <c r="A25" s="5" t="n"/>
      <c r="B25" s="5" t="n"/>
      <c r="C25" s="26" t="n"/>
      <c r="D25" s="27">
        <f>IF(OR(A25="",C25=""),"",C25*IFERROR(VLOOKUP(B25,$A$5:$C$504,3,FALSE)/100,1)*IFERROR(VLOOKUP(IFERROR(VLOOKUP(B25,$A$5:$B$504,2,FALSE),""),$A$5:$C$504,3,FALSE)/100,1)*IFERROR(VLOOKUP(IFERROR(VLOOKUP(IFERROR(VLOOKUP(B25,$A$5:$B$504,2,FALSE),""),$A$5:$B$504,2,FALSE),""),$A$5:$C$504,3,FALSE)/100,1))</f>
        <v/>
      </c>
      <c r="E25" s="21">
        <f>IF(A25="","",SUMIF('Grup Eşleme'!$B$5:$B$504,A25,'Grup Eşleme'!$C$5:$C$504))</f>
        <v/>
      </c>
      <c r="F25" s="27">
        <f>IF(OR(A25="",'Metraj Mahal Listesi'!$K$3=0,COUNTIF($B$5:$B$504,A25)&gt;0),"",E25/'Metraj Mahal Listesi'!$K$3*100)</f>
        <v/>
      </c>
      <c r="G25" s="28">
        <f>IF(OR(D25="",F25=""),"",F25-D25)</f>
        <v/>
      </c>
      <c r="H25" s="29">
        <f>IF(OR(G25="",D25=0),"",G25/D25*100)</f>
        <v/>
      </c>
      <c r="I25" s="30">
        <f>IF(A25="","",IF(COUNTIF($B$5:$B$504,A25)&gt;0,IF(ABS(SUMIF($B$5:$B$504,A25,$C$5:$C$504)-100)&lt;0.0001,"✔ alt gruplar Σ=100","⚠ alt gruplar Σ≠100"),IF(G25="","—",IF(ABS(G25)&lt;=PursUyum,"✔ uyumlu",IF(ABS(G25)&lt;=PursCiddi,"⚠ dikkat","✗ ciddi fark")))))</f>
        <v/>
      </c>
      <c r="J25" s="5" t="n"/>
      <c r="K25" s="5" t="n"/>
    </row>
    <row r="26">
      <c r="A26" s="5" t="n"/>
      <c r="B26" s="5" t="n"/>
      <c r="C26" s="26" t="n"/>
      <c r="D26" s="27">
        <f>IF(OR(A26="",C26=""),"",C26*IFERROR(VLOOKUP(B26,$A$5:$C$504,3,FALSE)/100,1)*IFERROR(VLOOKUP(IFERROR(VLOOKUP(B26,$A$5:$B$504,2,FALSE),""),$A$5:$C$504,3,FALSE)/100,1)*IFERROR(VLOOKUP(IFERROR(VLOOKUP(IFERROR(VLOOKUP(B26,$A$5:$B$504,2,FALSE),""),$A$5:$B$504,2,FALSE),""),$A$5:$C$504,3,FALSE)/100,1))</f>
        <v/>
      </c>
      <c r="E26" s="21">
        <f>IF(A26="","",SUMIF('Grup Eşleme'!$B$5:$B$504,A26,'Grup Eşleme'!$C$5:$C$504))</f>
        <v/>
      </c>
      <c r="F26" s="27">
        <f>IF(OR(A26="",'Metraj Mahal Listesi'!$K$3=0,COUNTIF($B$5:$B$504,A26)&gt;0),"",E26/'Metraj Mahal Listesi'!$K$3*100)</f>
        <v/>
      </c>
      <c r="G26" s="28">
        <f>IF(OR(D26="",F26=""),"",F26-D26)</f>
        <v/>
      </c>
      <c r="H26" s="29">
        <f>IF(OR(G26="",D26=0),"",G26/D26*100)</f>
        <v/>
      </c>
      <c r="I26" s="30">
        <f>IF(A26="","",IF(COUNTIF($B$5:$B$504,A26)&gt;0,IF(ABS(SUMIF($B$5:$B$504,A26,$C$5:$C$504)-100)&lt;0.0001,"✔ alt gruplar Σ=100","⚠ alt gruplar Σ≠100"),IF(G26="","—",IF(ABS(G26)&lt;=PursUyum,"✔ uyumlu",IF(ABS(G26)&lt;=PursCiddi,"⚠ dikkat","✗ ciddi fark")))))</f>
        <v/>
      </c>
      <c r="J26" s="5" t="n"/>
      <c r="K26" s="5" t="n"/>
    </row>
    <row r="27">
      <c r="A27" s="5" t="n"/>
      <c r="B27" s="5" t="n"/>
      <c r="C27" s="26" t="n"/>
      <c r="D27" s="27">
        <f>IF(OR(A27="",C27=""),"",C27*IFERROR(VLOOKUP(B27,$A$5:$C$504,3,FALSE)/100,1)*IFERROR(VLOOKUP(IFERROR(VLOOKUP(B27,$A$5:$B$504,2,FALSE),""),$A$5:$C$504,3,FALSE)/100,1)*IFERROR(VLOOKUP(IFERROR(VLOOKUP(IFERROR(VLOOKUP(B27,$A$5:$B$504,2,FALSE),""),$A$5:$B$504,2,FALSE),""),$A$5:$C$504,3,FALSE)/100,1))</f>
        <v/>
      </c>
      <c r="E27" s="21">
        <f>IF(A27="","",SUMIF('Grup Eşleme'!$B$5:$B$504,A27,'Grup Eşleme'!$C$5:$C$504))</f>
        <v/>
      </c>
      <c r="F27" s="27">
        <f>IF(OR(A27="",'Metraj Mahal Listesi'!$K$3=0,COUNTIF($B$5:$B$504,A27)&gt;0),"",E27/'Metraj Mahal Listesi'!$K$3*100)</f>
        <v/>
      </c>
      <c r="G27" s="28">
        <f>IF(OR(D27="",F27=""),"",F27-D27)</f>
        <v/>
      </c>
      <c r="H27" s="29">
        <f>IF(OR(G27="",D27=0),"",G27/D27*100)</f>
        <v/>
      </c>
      <c r="I27" s="30">
        <f>IF(A27="","",IF(COUNTIF($B$5:$B$504,A27)&gt;0,IF(ABS(SUMIF($B$5:$B$504,A27,$C$5:$C$504)-100)&lt;0.0001,"✔ alt gruplar Σ=100","⚠ alt gruplar Σ≠100"),IF(G27="","—",IF(ABS(G27)&lt;=PursUyum,"✔ uyumlu",IF(ABS(G27)&lt;=PursCiddi,"⚠ dikkat","✗ ciddi fark")))))</f>
        <v/>
      </c>
      <c r="J27" s="5" t="n"/>
      <c r="K27" s="5" t="n"/>
    </row>
    <row r="28">
      <c r="A28" s="5" t="n"/>
      <c r="B28" s="5" t="n"/>
      <c r="C28" s="26" t="n"/>
      <c r="D28" s="27">
        <f>IF(OR(A28="",C28=""),"",C28*IFERROR(VLOOKUP(B28,$A$5:$C$504,3,FALSE)/100,1)*IFERROR(VLOOKUP(IFERROR(VLOOKUP(B28,$A$5:$B$504,2,FALSE),""),$A$5:$C$504,3,FALSE)/100,1)*IFERROR(VLOOKUP(IFERROR(VLOOKUP(IFERROR(VLOOKUP(B28,$A$5:$B$504,2,FALSE),""),$A$5:$B$504,2,FALSE),""),$A$5:$C$504,3,FALSE)/100,1))</f>
        <v/>
      </c>
      <c r="E28" s="21">
        <f>IF(A28="","",SUMIF('Grup Eşleme'!$B$5:$B$504,A28,'Grup Eşleme'!$C$5:$C$504))</f>
        <v/>
      </c>
      <c r="F28" s="27">
        <f>IF(OR(A28="",'Metraj Mahal Listesi'!$K$3=0,COUNTIF($B$5:$B$504,A28)&gt;0),"",E28/'Metraj Mahal Listesi'!$K$3*100)</f>
        <v/>
      </c>
      <c r="G28" s="28">
        <f>IF(OR(D28="",F28=""),"",F28-D28)</f>
        <v/>
      </c>
      <c r="H28" s="29">
        <f>IF(OR(G28="",D28=0),"",G28/D28*100)</f>
        <v/>
      </c>
      <c r="I28" s="30">
        <f>IF(A28="","",IF(COUNTIF($B$5:$B$504,A28)&gt;0,IF(ABS(SUMIF($B$5:$B$504,A28,$C$5:$C$504)-100)&lt;0.0001,"✔ alt gruplar Σ=100","⚠ alt gruplar Σ≠100"),IF(G28="","—",IF(ABS(G28)&lt;=PursUyum,"✔ uyumlu",IF(ABS(G28)&lt;=PursCiddi,"⚠ dikkat","✗ ciddi fark")))))</f>
        <v/>
      </c>
      <c r="J28" s="5" t="n"/>
      <c r="K28" s="5" t="n"/>
    </row>
    <row r="29">
      <c r="A29" s="5" t="n"/>
      <c r="B29" s="5" t="n"/>
      <c r="C29" s="26" t="n"/>
      <c r="D29" s="27">
        <f>IF(OR(A29="",C29=""),"",C29*IFERROR(VLOOKUP(B29,$A$5:$C$504,3,FALSE)/100,1)*IFERROR(VLOOKUP(IFERROR(VLOOKUP(B29,$A$5:$B$504,2,FALSE),""),$A$5:$C$504,3,FALSE)/100,1)*IFERROR(VLOOKUP(IFERROR(VLOOKUP(IFERROR(VLOOKUP(B29,$A$5:$B$504,2,FALSE),""),$A$5:$B$504,2,FALSE),""),$A$5:$C$504,3,FALSE)/100,1))</f>
        <v/>
      </c>
      <c r="E29" s="21">
        <f>IF(A29="","",SUMIF('Grup Eşleme'!$B$5:$B$504,A29,'Grup Eşleme'!$C$5:$C$504))</f>
        <v/>
      </c>
      <c r="F29" s="27">
        <f>IF(OR(A29="",'Metraj Mahal Listesi'!$K$3=0,COUNTIF($B$5:$B$504,A29)&gt;0),"",E29/'Metraj Mahal Listesi'!$K$3*100)</f>
        <v/>
      </c>
      <c r="G29" s="28">
        <f>IF(OR(D29="",F29=""),"",F29-D29)</f>
        <v/>
      </c>
      <c r="H29" s="29">
        <f>IF(OR(G29="",D29=0),"",G29/D29*100)</f>
        <v/>
      </c>
      <c r="I29" s="30">
        <f>IF(A29="","",IF(COUNTIF($B$5:$B$504,A29)&gt;0,IF(ABS(SUMIF($B$5:$B$504,A29,$C$5:$C$504)-100)&lt;0.0001,"✔ alt gruplar Σ=100","⚠ alt gruplar Σ≠100"),IF(G29="","—",IF(ABS(G29)&lt;=PursUyum,"✔ uyumlu",IF(ABS(G29)&lt;=PursCiddi,"⚠ dikkat","✗ ciddi fark")))))</f>
        <v/>
      </c>
      <c r="J29" s="5" t="n"/>
      <c r="K29" s="5" t="n"/>
    </row>
    <row r="30">
      <c r="A30" s="5" t="n"/>
      <c r="B30" s="5" t="n"/>
      <c r="C30" s="26" t="n"/>
      <c r="D30" s="27">
        <f>IF(OR(A30="",C30=""),"",C30*IFERROR(VLOOKUP(B30,$A$5:$C$504,3,FALSE)/100,1)*IFERROR(VLOOKUP(IFERROR(VLOOKUP(B30,$A$5:$B$504,2,FALSE),""),$A$5:$C$504,3,FALSE)/100,1)*IFERROR(VLOOKUP(IFERROR(VLOOKUP(IFERROR(VLOOKUP(B30,$A$5:$B$504,2,FALSE),""),$A$5:$B$504,2,FALSE),""),$A$5:$C$504,3,FALSE)/100,1))</f>
        <v/>
      </c>
      <c r="E30" s="21">
        <f>IF(A30="","",SUMIF('Grup Eşleme'!$B$5:$B$504,A30,'Grup Eşleme'!$C$5:$C$504))</f>
        <v/>
      </c>
      <c r="F30" s="27">
        <f>IF(OR(A30="",'Metraj Mahal Listesi'!$K$3=0,COUNTIF($B$5:$B$504,A30)&gt;0),"",E30/'Metraj Mahal Listesi'!$K$3*100)</f>
        <v/>
      </c>
      <c r="G30" s="28">
        <f>IF(OR(D30="",F30=""),"",F30-D30)</f>
        <v/>
      </c>
      <c r="H30" s="29">
        <f>IF(OR(G30="",D30=0),"",G30/D30*100)</f>
        <v/>
      </c>
      <c r="I30" s="30">
        <f>IF(A30="","",IF(COUNTIF($B$5:$B$504,A30)&gt;0,IF(ABS(SUMIF($B$5:$B$504,A30,$C$5:$C$504)-100)&lt;0.0001,"✔ alt gruplar Σ=100","⚠ alt gruplar Σ≠100"),IF(G30="","—",IF(ABS(G30)&lt;=PursUyum,"✔ uyumlu",IF(ABS(G30)&lt;=PursCiddi,"⚠ dikkat","✗ ciddi fark")))))</f>
        <v/>
      </c>
      <c r="J30" s="5" t="n"/>
      <c r="K30" s="5" t="n"/>
    </row>
    <row r="31">
      <c r="A31" s="5" t="n"/>
      <c r="B31" s="5" t="n"/>
      <c r="C31" s="26" t="n"/>
      <c r="D31" s="27">
        <f>IF(OR(A31="",C31=""),"",C31*IFERROR(VLOOKUP(B31,$A$5:$C$504,3,FALSE)/100,1)*IFERROR(VLOOKUP(IFERROR(VLOOKUP(B31,$A$5:$B$504,2,FALSE),""),$A$5:$C$504,3,FALSE)/100,1)*IFERROR(VLOOKUP(IFERROR(VLOOKUP(IFERROR(VLOOKUP(B31,$A$5:$B$504,2,FALSE),""),$A$5:$B$504,2,FALSE),""),$A$5:$C$504,3,FALSE)/100,1))</f>
        <v/>
      </c>
      <c r="E31" s="21">
        <f>IF(A31="","",SUMIF('Grup Eşleme'!$B$5:$B$504,A31,'Grup Eşleme'!$C$5:$C$504))</f>
        <v/>
      </c>
      <c r="F31" s="27">
        <f>IF(OR(A31="",'Metraj Mahal Listesi'!$K$3=0,COUNTIF($B$5:$B$504,A31)&gt;0),"",E31/'Metraj Mahal Listesi'!$K$3*100)</f>
        <v/>
      </c>
      <c r="G31" s="28">
        <f>IF(OR(D31="",F31=""),"",F31-D31)</f>
        <v/>
      </c>
      <c r="H31" s="29">
        <f>IF(OR(G31="",D31=0),"",G31/D31*100)</f>
        <v/>
      </c>
      <c r="I31" s="30">
        <f>IF(A31="","",IF(COUNTIF($B$5:$B$504,A31)&gt;0,IF(ABS(SUMIF($B$5:$B$504,A31,$C$5:$C$504)-100)&lt;0.0001,"✔ alt gruplar Σ=100","⚠ alt gruplar Σ≠100"),IF(G31="","—",IF(ABS(G31)&lt;=PursUyum,"✔ uyumlu",IF(ABS(G31)&lt;=PursCiddi,"⚠ dikkat","✗ ciddi fark")))))</f>
        <v/>
      </c>
      <c r="J31" s="5" t="n"/>
      <c r="K31" s="5" t="n"/>
    </row>
    <row r="32">
      <c r="A32" s="5" t="n"/>
      <c r="B32" s="5" t="n"/>
      <c r="C32" s="26" t="n"/>
      <c r="D32" s="27">
        <f>IF(OR(A32="",C32=""),"",C32*IFERROR(VLOOKUP(B32,$A$5:$C$504,3,FALSE)/100,1)*IFERROR(VLOOKUP(IFERROR(VLOOKUP(B32,$A$5:$B$504,2,FALSE),""),$A$5:$C$504,3,FALSE)/100,1)*IFERROR(VLOOKUP(IFERROR(VLOOKUP(IFERROR(VLOOKUP(B32,$A$5:$B$504,2,FALSE),""),$A$5:$B$504,2,FALSE),""),$A$5:$C$504,3,FALSE)/100,1))</f>
        <v/>
      </c>
      <c r="E32" s="21">
        <f>IF(A32="","",SUMIF('Grup Eşleme'!$B$5:$B$504,A32,'Grup Eşleme'!$C$5:$C$504))</f>
        <v/>
      </c>
      <c r="F32" s="27">
        <f>IF(OR(A32="",'Metraj Mahal Listesi'!$K$3=0,COUNTIF($B$5:$B$504,A32)&gt;0),"",E32/'Metraj Mahal Listesi'!$K$3*100)</f>
        <v/>
      </c>
      <c r="G32" s="28">
        <f>IF(OR(D32="",F32=""),"",F32-D32)</f>
        <v/>
      </c>
      <c r="H32" s="29">
        <f>IF(OR(G32="",D32=0),"",G32/D32*100)</f>
        <v/>
      </c>
      <c r="I32" s="30">
        <f>IF(A32="","",IF(COUNTIF($B$5:$B$504,A32)&gt;0,IF(ABS(SUMIF($B$5:$B$504,A32,$C$5:$C$504)-100)&lt;0.0001,"✔ alt gruplar Σ=100","⚠ alt gruplar Σ≠100"),IF(G32="","—",IF(ABS(G32)&lt;=PursUyum,"✔ uyumlu",IF(ABS(G32)&lt;=PursCiddi,"⚠ dikkat","✗ ciddi fark")))))</f>
        <v/>
      </c>
      <c r="J32" s="5" t="n"/>
      <c r="K32" s="5" t="n"/>
    </row>
    <row r="33">
      <c r="A33" s="5" t="n"/>
      <c r="B33" s="5" t="n"/>
      <c r="C33" s="26" t="n"/>
      <c r="D33" s="27">
        <f>IF(OR(A33="",C33=""),"",C33*IFERROR(VLOOKUP(B33,$A$5:$C$504,3,FALSE)/100,1)*IFERROR(VLOOKUP(IFERROR(VLOOKUP(B33,$A$5:$B$504,2,FALSE),""),$A$5:$C$504,3,FALSE)/100,1)*IFERROR(VLOOKUP(IFERROR(VLOOKUP(IFERROR(VLOOKUP(B33,$A$5:$B$504,2,FALSE),""),$A$5:$B$504,2,FALSE),""),$A$5:$C$504,3,FALSE)/100,1))</f>
        <v/>
      </c>
      <c r="E33" s="21">
        <f>IF(A33="","",SUMIF('Grup Eşleme'!$B$5:$B$504,A33,'Grup Eşleme'!$C$5:$C$504))</f>
        <v/>
      </c>
      <c r="F33" s="27">
        <f>IF(OR(A33="",'Metraj Mahal Listesi'!$K$3=0,COUNTIF($B$5:$B$504,A33)&gt;0),"",E33/'Metraj Mahal Listesi'!$K$3*100)</f>
        <v/>
      </c>
      <c r="G33" s="28">
        <f>IF(OR(D33="",F33=""),"",F33-D33)</f>
        <v/>
      </c>
      <c r="H33" s="29">
        <f>IF(OR(G33="",D33=0),"",G33/D33*100)</f>
        <v/>
      </c>
      <c r="I33" s="30">
        <f>IF(A33="","",IF(COUNTIF($B$5:$B$504,A33)&gt;0,IF(ABS(SUMIF($B$5:$B$504,A33,$C$5:$C$504)-100)&lt;0.0001,"✔ alt gruplar Σ=100","⚠ alt gruplar Σ≠100"),IF(G33="","—",IF(ABS(G33)&lt;=PursUyum,"✔ uyumlu",IF(ABS(G33)&lt;=PursCiddi,"⚠ dikkat","✗ ciddi fark")))))</f>
        <v/>
      </c>
      <c r="J33" s="5" t="n"/>
      <c r="K33" s="5" t="n"/>
    </row>
    <row r="34">
      <c r="A34" s="5" t="n"/>
      <c r="B34" s="5" t="n"/>
      <c r="C34" s="26" t="n"/>
      <c r="D34" s="27">
        <f>IF(OR(A34="",C34=""),"",C34*IFERROR(VLOOKUP(B34,$A$5:$C$504,3,FALSE)/100,1)*IFERROR(VLOOKUP(IFERROR(VLOOKUP(B34,$A$5:$B$504,2,FALSE),""),$A$5:$C$504,3,FALSE)/100,1)*IFERROR(VLOOKUP(IFERROR(VLOOKUP(IFERROR(VLOOKUP(B34,$A$5:$B$504,2,FALSE),""),$A$5:$B$504,2,FALSE),""),$A$5:$C$504,3,FALSE)/100,1))</f>
        <v/>
      </c>
      <c r="E34" s="21">
        <f>IF(A34="","",SUMIF('Grup Eşleme'!$B$5:$B$504,A34,'Grup Eşleme'!$C$5:$C$504))</f>
        <v/>
      </c>
      <c r="F34" s="27">
        <f>IF(OR(A34="",'Metraj Mahal Listesi'!$K$3=0,COUNTIF($B$5:$B$504,A34)&gt;0),"",E34/'Metraj Mahal Listesi'!$K$3*100)</f>
        <v/>
      </c>
      <c r="G34" s="28">
        <f>IF(OR(D34="",F34=""),"",F34-D34)</f>
        <v/>
      </c>
      <c r="H34" s="29">
        <f>IF(OR(G34="",D34=0),"",G34/D34*100)</f>
        <v/>
      </c>
      <c r="I34" s="30">
        <f>IF(A34="","",IF(COUNTIF($B$5:$B$504,A34)&gt;0,IF(ABS(SUMIF($B$5:$B$504,A34,$C$5:$C$504)-100)&lt;0.0001,"✔ alt gruplar Σ=100","⚠ alt gruplar Σ≠100"),IF(G34="","—",IF(ABS(G34)&lt;=PursUyum,"✔ uyumlu",IF(ABS(G34)&lt;=PursCiddi,"⚠ dikkat","✗ ciddi fark")))))</f>
        <v/>
      </c>
      <c r="J34" s="5" t="n"/>
      <c r="K34" s="5" t="n"/>
    </row>
    <row r="35">
      <c r="A35" s="5" t="n"/>
      <c r="B35" s="5" t="n"/>
      <c r="C35" s="26" t="n"/>
      <c r="D35" s="27">
        <f>IF(OR(A35="",C35=""),"",C35*IFERROR(VLOOKUP(B35,$A$5:$C$504,3,FALSE)/100,1)*IFERROR(VLOOKUP(IFERROR(VLOOKUP(B35,$A$5:$B$504,2,FALSE),""),$A$5:$C$504,3,FALSE)/100,1)*IFERROR(VLOOKUP(IFERROR(VLOOKUP(IFERROR(VLOOKUP(B35,$A$5:$B$504,2,FALSE),""),$A$5:$B$504,2,FALSE),""),$A$5:$C$504,3,FALSE)/100,1))</f>
        <v/>
      </c>
      <c r="E35" s="21">
        <f>IF(A35="","",SUMIF('Grup Eşleme'!$B$5:$B$504,A35,'Grup Eşleme'!$C$5:$C$504))</f>
        <v/>
      </c>
      <c r="F35" s="27">
        <f>IF(OR(A35="",'Metraj Mahal Listesi'!$K$3=0,COUNTIF($B$5:$B$504,A35)&gt;0),"",E35/'Metraj Mahal Listesi'!$K$3*100)</f>
        <v/>
      </c>
      <c r="G35" s="28">
        <f>IF(OR(D35="",F35=""),"",F35-D35)</f>
        <v/>
      </c>
      <c r="H35" s="29">
        <f>IF(OR(G35="",D35=0),"",G35/D35*100)</f>
        <v/>
      </c>
      <c r="I35" s="30">
        <f>IF(A35="","",IF(COUNTIF($B$5:$B$504,A35)&gt;0,IF(ABS(SUMIF($B$5:$B$504,A35,$C$5:$C$504)-100)&lt;0.0001,"✔ alt gruplar Σ=100","⚠ alt gruplar Σ≠100"),IF(G35="","—",IF(ABS(G35)&lt;=PursUyum,"✔ uyumlu",IF(ABS(G35)&lt;=PursCiddi,"⚠ dikkat","✗ ciddi fark")))))</f>
        <v/>
      </c>
      <c r="J35" s="5" t="n"/>
      <c r="K35" s="5" t="n"/>
    </row>
    <row r="36">
      <c r="A36" s="5" t="n"/>
      <c r="B36" s="5" t="n"/>
      <c r="C36" s="26" t="n"/>
      <c r="D36" s="27">
        <f>IF(OR(A36="",C36=""),"",C36*IFERROR(VLOOKUP(B36,$A$5:$C$504,3,FALSE)/100,1)*IFERROR(VLOOKUP(IFERROR(VLOOKUP(B36,$A$5:$B$504,2,FALSE),""),$A$5:$C$504,3,FALSE)/100,1)*IFERROR(VLOOKUP(IFERROR(VLOOKUP(IFERROR(VLOOKUP(B36,$A$5:$B$504,2,FALSE),""),$A$5:$B$504,2,FALSE),""),$A$5:$C$504,3,FALSE)/100,1))</f>
        <v/>
      </c>
      <c r="E36" s="21">
        <f>IF(A36="","",SUMIF('Grup Eşleme'!$B$5:$B$504,A36,'Grup Eşleme'!$C$5:$C$504))</f>
        <v/>
      </c>
      <c r="F36" s="27">
        <f>IF(OR(A36="",'Metraj Mahal Listesi'!$K$3=0,COUNTIF($B$5:$B$504,A36)&gt;0),"",E36/'Metraj Mahal Listesi'!$K$3*100)</f>
        <v/>
      </c>
      <c r="G36" s="28">
        <f>IF(OR(D36="",F36=""),"",F36-D36)</f>
        <v/>
      </c>
      <c r="H36" s="29">
        <f>IF(OR(G36="",D36=0),"",G36/D36*100)</f>
        <v/>
      </c>
      <c r="I36" s="30">
        <f>IF(A36="","",IF(COUNTIF($B$5:$B$504,A36)&gt;0,IF(ABS(SUMIF($B$5:$B$504,A36,$C$5:$C$504)-100)&lt;0.0001,"✔ alt gruplar Σ=100","⚠ alt gruplar Σ≠100"),IF(G36="","—",IF(ABS(G36)&lt;=PursUyum,"✔ uyumlu",IF(ABS(G36)&lt;=PursCiddi,"⚠ dikkat","✗ ciddi fark")))))</f>
        <v/>
      </c>
      <c r="J36" s="5" t="n"/>
      <c r="K36" s="5" t="n"/>
    </row>
    <row r="37">
      <c r="A37" s="5" t="n"/>
      <c r="B37" s="5" t="n"/>
      <c r="C37" s="26" t="n"/>
      <c r="D37" s="27">
        <f>IF(OR(A37="",C37=""),"",C37*IFERROR(VLOOKUP(B37,$A$5:$C$504,3,FALSE)/100,1)*IFERROR(VLOOKUP(IFERROR(VLOOKUP(B37,$A$5:$B$504,2,FALSE),""),$A$5:$C$504,3,FALSE)/100,1)*IFERROR(VLOOKUP(IFERROR(VLOOKUP(IFERROR(VLOOKUP(B37,$A$5:$B$504,2,FALSE),""),$A$5:$B$504,2,FALSE),""),$A$5:$C$504,3,FALSE)/100,1))</f>
        <v/>
      </c>
      <c r="E37" s="21">
        <f>IF(A37="","",SUMIF('Grup Eşleme'!$B$5:$B$504,A37,'Grup Eşleme'!$C$5:$C$504))</f>
        <v/>
      </c>
      <c r="F37" s="27">
        <f>IF(OR(A37="",'Metraj Mahal Listesi'!$K$3=0,COUNTIF($B$5:$B$504,A37)&gt;0),"",E37/'Metraj Mahal Listesi'!$K$3*100)</f>
        <v/>
      </c>
      <c r="G37" s="28">
        <f>IF(OR(D37="",F37=""),"",F37-D37)</f>
        <v/>
      </c>
      <c r="H37" s="29">
        <f>IF(OR(G37="",D37=0),"",G37/D37*100)</f>
        <v/>
      </c>
      <c r="I37" s="30">
        <f>IF(A37="","",IF(COUNTIF($B$5:$B$504,A37)&gt;0,IF(ABS(SUMIF($B$5:$B$504,A37,$C$5:$C$504)-100)&lt;0.0001,"✔ alt gruplar Σ=100","⚠ alt gruplar Σ≠100"),IF(G37="","—",IF(ABS(G37)&lt;=PursUyum,"✔ uyumlu",IF(ABS(G37)&lt;=PursCiddi,"⚠ dikkat","✗ ciddi fark")))))</f>
        <v/>
      </c>
      <c r="J37" s="5" t="n"/>
      <c r="K37" s="5" t="n"/>
    </row>
    <row r="38">
      <c r="A38" s="5" t="n"/>
      <c r="B38" s="5" t="n"/>
      <c r="C38" s="26" t="n"/>
      <c r="D38" s="27">
        <f>IF(OR(A38="",C38=""),"",C38*IFERROR(VLOOKUP(B38,$A$5:$C$504,3,FALSE)/100,1)*IFERROR(VLOOKUP(IFERROR(VLOOKUP(B38,$A$5:$B$504,2,FALSE),""),$A$5:$C$504,3,FALSE)/100,1)*IFERROR(VLOOKUP(IFERROR(VLOOKUP(IFERROR(VLOOKUP(B38,$A$5:$B$504,2,FALSE),""),$A$5:$B$504,2,FALSE),""),$A$5:$C$504,3,FALSE)/100,1))</f>
        <v/>
      </c>
      <c r="E38" s="21">
        <f>IF(A38="","",SUMIF('Grup Eşleme'!$B$5:$B$504,A38,'Grup Eşleme'!$C$5:$C$504))</f>
        <v/>
      </c>
      <c r="F38" s="27">
        <f>IF(OR(A38="",'Metraj Mahal Listesi'!$K$3=0,COUNTIF($B$5:$B$504,A38)&gt;0),"",E38/'Metraj Mahal Listesi'!$K$3*100)</f>
        <v/>
      </c>
      <c r="G38" s="28">
        <f>IF(OR(D38="",F38=""),"",F38-D38)</f>
        <v/>
      </c>
      <c r="H38" s="29">
        <f>IF(OR(G38="",D38=0),"",G38/D38*100)</f>
        <v/>
      </c>
      <c r="I38" s="30">
        <f>IF(A38="","",IF(COUNTIF($B$5:$B$504,A38)&gt;0,IF(ABS(SUMIF($B$5:$B$504,A38,$C$5:$C$504)-100)&lt;0.0001,"✔ alt gruplar Σ=100","⚠ alt gruplar Σ≠100"),IF(G38="","—",IF(ABS(G38)&lt;=PursUyum,"✔ uyumlu",IF(ABS(G38)&lt;=PursCiddi,"⚠ dikkat","✗ ciddi fark")))))</f>
        <v/>
      </c>
      <c r="J38" s="5" t="n"/>
      <c r="K38" s="5" t="n"/>
    </row>
    <row r="39">
      <c r="A39" s="5" t="n"/>
      <c r="B39" s="5" t="n"/>
      <c r="C39" s="26" t="n"/>
      <c r="D39" s="27">
        <f>IF(OR(A39="",C39=""),"",C39*IFERROR(VLOOKUP(B39,$A$5:$C$504,3,FALSE)/100,1)*IFERROR(VLOOKUP(IFERROR(VLOOKUP(B39,$A$5:$B$504,2,FALSE),""),$A$5:$C$504,3,FALSE)/100,1)*IFERROR(VLOOKUP(IFERROR(VLOOKUP(IFERROR(VLOOKUP(B39,$A$5:$B$504,2,FALSE),""),$A$5:$B$504,2,FALSE),""),$A$5:$C$504,3,FALSE)/100,1))</f>
        <v/>
      </c>
      <c r="E39" s="21">
        <f>IF(A39="","",SUMIF('Grup Eşleme'!$B$5:$B$504,A39,'Grup Eşleme'!$C$5:$C$504))</f>
        <v/>
      </c>
      <c r="F39" s="27">
        <f>IF(OR(A39="",'Metraj Mahal Listesi'!$K$3=0,COUNTIF($B$5:$B$504,A39)&gt;0),"",E39/'Metraj Mahal Listesi'!$K$3*100)</f>
        <v/>
      </c>
      <c r="G39" s="28">
        <f>IF(OR(D39="",F39=""),"",F39-D39)</f>
        <v/>
      </c>
      <c r="H39" s="29">
        <f>IF(OR(G39="",D39=0),"",G39/D39*100)</f>
        <v/>
      </c>
      <c r="I39" s="30">
        <f>IF(A39="","",IF(COUNTIF($B$5:$B$504,A39)&gt;0,IF(ABS(SUMIF($B$5:$B$504,A39,$C$5:$C$504)-100)&lt;0.0001,"✔ alt gruplar Σ=100","⚠ alt gruplar Σ≠100"),IF(G39="","—",IF(ABS(G39)&lt;=PursUyum,"✔ uyumlu",IF(ABS(G39)&lt;=PursCiddi,"⚠ dikkat","✗ ciddi fark")))))</f>
        <v/>
      </c>
      <c r="J39" s="5" t="n"/>
      <c r="K39" s="5" t="n"/>
    </row>
    <row r="40">
      <c r="A40" s="5" t="n"/>
      <c r="B40" s="5" t="n"/>
      <c r="C40" s="26" t="n"/>
      <c r="D40" s="27">
        <f>IF(OR(A40="",C40=""),"",C40*IFERROR(VLOOKUP(B40,$A$5:$C$504,3,FALSE)/100,1)*IFERROR(VLOOKUP(IFERROR(VLOOKUP(B40,$A$5:$B$504,2,FALSE),""),$A$5:$C$504,3,FALSE)/100,1)*IFERROR(VLOOKUP(IFERROR(VLOOKUP(IFERROR(VLOOKUP(B40,$A$5:$B$504,2,FALSE),""),$A$5:$B$504,2,FALSE),""),$A$5:$C$504,3,FALSE)/100,1))</f>
        <v/>
      </c>
      <c r="E40" s="21">
        <f>IF(A40="","",SUMIF('Grup Eşleme'!$B$5:$B$504,A40,'Grup Eşleme'!$C$5:$C$504))</f>
        <v/>
      </c>
      <c r="F40" s="27">
        <f>IF(OR(A40="",'Metraj Mahal Listesi'!$K$3=0,COUNTIF($B$5:$B$504,A40)&gt;0),"",E40/'Metraj Mahal Listesi'!$K$3*100)</f>
        <v/>
      </c>
      <c r="G40" s="28">
        <f>IF(OR(D40="",F40=""),"",F40-D40)</f>
        <v/>
      </c>
      <c r="H40" s="29">
        <f>IF(OR(G40="",D40=0),"",G40/D40*100)</f>
        <v/>
      </c>
      <c r="I40" s="30">
        <f>IF(A40="","",IF(COUNTIF($B$5:$B$504,A40)&gt;0,IF(ABS(SUMIF($B$5:$B$504,A40,$C$5:$C$504)-100)&lt;0.0001,"✔ alt gruplar Σ=100","⚠ alt gruplar Σ≠100"),IF(G40="","—",IF(ABS(G40)&lt;=PursUyum,"✔ uyumlu",IF(ABS(G40)&lt;=PursCiddi,"⚠ dikkat","✗ ciddi fark")))))</f>
        <v/>
      </c>
      <c r="J40" s="5" t="n"/>
      <c r="K40" s="5" t="n"/>
    </row>
    <row r="41">
      <c r="A41" s="5" t="n"/>
      <c r="B41" s="5" t="n"/>
      <c r="C41" s="26" t="n"/>
      <c r="D41" s="27">
        <f>IF(OR(A41="",C41=""),"",C41*IFERROR(VLOOKUP(B41,$A$5:$C$504,3,FALSE)/100,1)*IFERROR(VLOOKUP(IFERROR(VLOOKUP(B41,$A$5:$B$504,2,FALSE),""),$A$5:$C$504,3,FALSE)/100,1)*IFERROR(VLOOKUP(IFERROR(VLOOKUP(IFERROR(VLOOKUP(B41,$A$5:$B$504,2,FALSE),""),$A$5:$B$504,2,FALSE),""),$A$5:$C$504,3,FALSE)/100,1))</f>
        <v/>
      </c>
      <c r="E41" s="21">
        <f>IF(A41="","",SUMIF('Grup Eşleme'!$B$5:$B$504,A41,'Grup Eşleme'!$C$5:$C$504))</f>
        <v/>
      </c>
      <c r="F41" s="27">
        <f>IF(OR(A41="",'Metraj Mahal Listesi'!$K$3=0,COUNTIF($B$5:$B$504,A41)&gt;0),"",E41/'Metraj Mahal Listesi'!$K$3*100)</f>
        <v/>
      </c>
      <c r="G41" s="28">
        <f>IF(OR(D41="",F41=""),"",F41-D41)</f>
        <v/>
      </c>
      <c r="H41" s="29">
        <f>IF(OR(G41="",D41=0),"",G41/D41*100)</f>
        <v/>
      </c>
      <c r="I41" s="30">
        <f>IF(A41="","",IF(COUNTIF($B$5:$B$504,A41)&gt;0,IF(ABS(SUMIF($B$5:$B$504,A41,$C$5:$C$504)-100)&lt;0.0001,"✔ alt gruplar Σ=100","⚠ alt gruplar Σ≠100"),IF(G41="","—",IF(ABS(G41)&lt;=PursUyum,"✔ uyumlu",IF(ABS(G41)&lt;=PursCiddi,"⚠ dikkat","✗ ciddi fark")))))</f>
        <v/>
      </c>
      <c r="J41" s="5" t="n"/>
      <c r="K41" s="5" t="n"/>
    </row>
    <row r="42">
      <c r="A42" s="5" t="n"/>
      <c r="B42" s="5" t="n"/>
      <c r="C42" s="26" t="n"/>
      <c r="D42" s="27">
        <f>IF(OR(A42="",C42=""),"",C42*IFERROR(VLOOKUP(B42,$A$5:$C$504,3,FALSE)/100,1)*IFERROR(VLOOKUP(IFERROR(VLOOKUP(B42,$A$5:$B$504,2,FALSE),""),$A$5:$C$504,3,FALSE)/100,1)*IFERROR(VLOOKUP(IFERROR(VLOOKUP(IFERROR(VLOOKUP(B42,$A$5:$B$504,2,FALSE),""),$A$5:$B$504,2,FALSE),""),$A$5:$C$504,3,FALSE)/100,1))</f>
        <v/>
      </c>
      <c r="E42" s="21">
        <f>IF(A42="","",SUMIF('Grup Eşleme'!$B$5:$B$504,A42,'Grup Eşleme'!$C$5:$C$504))</f>
        <v/>
      </c>
      <c r="F42" s="27">
        <f>IF(OR(A42="",'Metraj Mahal Listesi'!$K$3=0,COUNTIF($B$5:$B$504,A42)&gt;0),"",E42/'Metraj Mahal Listesi'!$K$3*100)</f>
        <v/>
      </c>
      <c r="G42" s="28">
        <f>IF(OR(D42="",F42=""),"",F42-D42)</f>
        <v/>
      </c>
      <c r="H42" s="29">
        <f>IF(OR(G42="",D42=0),"",G42/D42*100)</f>
        <v/>
      </c>
      <c r="I42" s="30">
        <f>IF(A42="","",IF(COUNTIF($B$5:$B$504,A42)&gt;0,IF(ABS(SUMIF($B$5:$B$504,A42,$C$5:$C$504)-100)&lt;0.0001,"✔ alt gruplar Σ=100","⚠ alt gruplar Σ≠100"),IF(G42="","—",IF(ABS(G42)&lt;=PursUyum,"✔ uyumlu",IF(ABS(G42)&lt;=PursCiddi,"⚠ dikkat","✗ ciddi fark")))))</f>
        <v/>
      </c>
      <c r="J42" s="5" t="n"/>
      <c r="K42" s="5" t="n"/>
    </row>
    <row r="43">
      <c r="A43" s="5" t="n"/>
      <c r="B43" s="5" t="n"/>
      <c r="C43" s="26" t="n"/>
      <c r="D43" s="27">
        <f>IF(OR(A43="",C43=""),"",C43*IFERROR(VLOOKUP(B43,$A$5:$C$504,3,FALSE)/100,1)*IFERROR(VLOOKUP(IFERROR(VLOOKUP(B43,$A$5:$B$504,2,FALSE),""),$A$5:$C$504,3,FALSE)/100,1)*IFERROR(VLOOKUP(IFERROR(VLOOKUP(IFERROR(VLOOKUP(B43,$A$5:$B$504,2,FALSE),""),$A$5:$B$504,2,FALSE),""),$A$5:$C$504,3,FALSE)/100,1))</f>
        <v/>
      </c>
      <c r="E43" s="21">
        <f>IF(A43="","",SUMIF('Grup Eşleme'!$B$5:$B$504,A43,'Grup Eşleme'!$C$5:$C$504))</f>
        <v/>
      </c>
      <c r="F43" s="27">
        <f>IF(OR(A43="",'Metraj Mahal Listesi'!$K$3=0,COUNTIF($B$5:$B$504,A43)&gt;0),"",E43/'Metraj Mahal Listesi'!$K$3*100)</f>
        <v/>
      </c>
      <c r="G43" s="28">
        <f>IF(OR(D43="",F43=""),"",F43-D43)</f>
        <v/>
      </c>
      <c r="H43" s="29">
        <f>IF(OR(G43="",D43=0),"",G43/D43*100)</f>
        <v/>
      </c>
      <c r="I43" s="30">
        <f>IF(A43="","",IF(COUNTIF($B$5:$B$504,A43)&gt;0,IF(ABS(SUMIF($B$5:$B$504,A43,$C$5:$C$504)-100)&lt;0.0001,"✔ alt gruplar Σ=100","⚠ alt gruplar Σ≠100"),IF(G43="","—",IF(ABS(G43)&lt;=PursUyum,"✔ uyumlu",IF(ABS(G43)&lt;=PursCiddi,"⚠ dikkat","✗ ciddi fark")))))</f>
        <v/>
      </c>
      <c r="J43" s="5" t="n"/>
      <c r="K43" s="5" t="n"/>
    </row>
    <row r="44">
      <c r="A44" s="5" t="n"/>
      <c r="B44" s="5" t="n"/>
      <c r="C44" s="26" t="n"/>
      <c r="D44" s="27">
        <f>IF(OR(A44="",C44=""),"",C44*IFERROR(VLOOKUP(B44,$A$5:$C$504,3,FALSE)/100,1)*IFERROR(VLOOKUP(IFERROR(VLOOKUP(B44,$A$5:$B$504,2,FALSE),""),$A$5:$C$504,3,FALSE)/100,1)*IFERROR(VLOOKUP(IFERROR(VLOOKUP(IFERROR(VLOOKUP(B44,$A$5:$B$504,2,FALSE),""),$A$5:$B$504,2,FALSE),""),$A$5:$C$504,3,FALSE)/100,1))</f>
        <v/>
      </c>
      <c r="E44" s="21">
        <f>IF(A44="","",SUMIF('Grup Eşleme'!$B$5:$B$504,A44,'Grup Eşleme'!$C$5:$C$504))</f>
        <v/>
      </c>
      <c r="F44" s="27">
        <f>IF(OR(A44="",'Metraj Mahal Listesi'!$K$3=0,COUNTIF($B$5:$B$504,A44)&gt;0),"",E44/'Metraj Mahal Listesi'!$K$3*100)</f>
        <v/>
      </c>
      <c r="G44" s="28">
        <f>IF(OR(D44="",F44=""),"",F44-D44)</f>
        <v/>
      </c>
      <c r="H44" s="29">
        <f>IF(OR(G44="",D44=0),"",G44/D44*100)</f>
        <v/>
      </c>
      <c r="I44" s="30">
        <f>IF(A44="","",IF(COUNTIF($B$5:$B$504,A44)&gt;0,IF(ABS(SUMIF($B$5:$B$504,A44,$C$5:$C$504)-100)&lt;0.0001,"✔ alt gruplar Σ=100","⚠ alt gruplar Σ≠100"),IF(G44="","—",IF(ABS(G44)&lt;=PursUyum,"✔ uyumlu",IF(ABS(G44)&lt;=PursCiddi,"⚠ dikkat","✗ ciddi fark")))))</f>
        <v/>
      </c>
      <c r="J44" s="5" t="n"/>
      <c r="K44" s="5" t="n"/>
    </row>
    <row r="45">
      <c r="A45" s="5" t="n"/>
      <c r="B45" s="5" t="n"/>
      <c r="C45" s="26" t="n"/>
      <c r="D45" s="27">
        <f>IF(OR(A45="",C45=""),"",C45*IFERROR(VLOOKUP(B45,$A$5:$C$504,3,FALSE)/100,1)*IFERROR(VLOOKUP(IFERROR(VLOOKUP(B45,$A$5:$B$504,2,FALSE),""),$A$5:$C$504,3,FALSE)/100,1)*IFERROR(VLOOKUP(IFERROR(VLOOKUP(IFERROR(VLOOKUP(B45,$A$5:$B$504,2,FALSE),""),$A$5:$B$504,2,FALSE),""),$A$5:$C$504,3,FALSE)/100,1))</f>
        <v/>
      </c>
      <c r="E45" s="21">
        <f>IF(A45="","",SUMIF('Grup Eşleme'!$B$5:$B$504,A45,'Grup Eşleme'!$C$5:$C$504))</f>
        <v/>
      </c>
      <c r="F45" s="27">
        <f>IF(OR(A45="",'Metraj Mahal Listesi'!$K$3=0,COUNTIF($B$5:$B$504,A45)&gt;0),"",E45/'Metraj Mahal Listesi'!$K$3*100)</f>
        <v/>
      </c>
      <c r="G45" s="28">
        <f>IF(OR(D45="",F45=""),"",F45-D45)</f>
        <v/>
      </c>
      <c r="H45" s="29">
        <f>IF(OR(G45="",D45=0),"",G45/D45*100)</f>
        <v/>
      </c>
      <c r="I45" s="30">
        <f>IF(A45="","",IF(COUNTIF($B$5:$B$504,A45)&gt;0,IF(ABS(SUMIF($B$5:$B$504,A45,$C$5:$C$504)-100)&lt;0.0001,"✔ alt gruplar Σ=100","⚠ alt gruplar Σ≠100"),IF(G45="","—",IF(ABS(G45)&lt;=PursUyum,"✔ uyumlu",IF(ABS(G45)&lt;=PursCiddi,"⚠ dikkat","✗ ciddi fark")))))</f>
        <v/>
      </c>
      <c r="J45" s="5" t="n"/>
      <c r="K45" s="5" t="n"/>
    </row>
    <row r="46">
      <c r="A46" s="5" t="n"/>
      <c r="B46" s="5" t="n"/>
      <c r="C46" s="26" t="n"/>
      <c r="D46" s="27">
        <f>IF(OR(A46="",C46=""),"",C46*IFERROR(VLOOKUP(B46,$A$5:$C$504,3,FALSE)/100,1)*IFERROR(VLOOKUP(IFERROR(VLOOKUP(B46,$A$5:$B$504,2,FALSE),""),$A$5:$C$504,3,FALSE)/100,1)*IFERROR(VLOOKUP(IFERROR(VLOOKUP(IFERROR(VLOOKUP(B46,$A$5:$B$504,2,FALSE),""),$A$5:$B$504,2,FALSE),""),$A$5:$C$504,3,FALSE)/100,1))</f>
        <v/>
      </c>
      <c r="E46" s="21">
        <f>IF(A46="","",SUMIF('Grup Eşleme'!$B$5:$B$504,A46,'Grup Eşleme'!$C$5:$C$504))</f>
        <v/>
      </c>
      <c r="F46" s="27">
        <f>IF(OR(A46="",'Metraj Mahal Listesi'!$K$3=0,COUNTIF($B$5:$B$504,A46)&gt;0),"",E46/'Metraj Mahal Listesi'!$K$3*100)</f>
        <v/>
      </c>
      <c r="G46" s="28">
        <f>IF(OR(D46="",F46=""),"",F46-D46)</f>
        <v/>
      </c>
      <c r="H46" s="29">
        <f>IF(OR(G46="",D46=0),"",G46/D46*100)</f>
        <v/>
      </c>
      <c r="I46" s="30">
        <f>IF(A46="","",IF(COUNTIF($B$5:$B$504,A46)&gt;0,IF(ABS(SUMIF($B$5:$B$504,A46,$C$5:$C$504)-100)&lt;0.0001,"✔ alt gruplar Σ=100","⚠ alt gruplar Σ≠100"),IF(G46="","—",IF(ABS(G46)&lt;=PursUyum,"✔ uyumlu",IF(ABS(G46)&lt;=PursCiddi,"⚠ dikkat","✗ ciddi fark")))))</f>
        <v/>
      </c>
      <c r="J46" s="5" t="n"/>
      <c r="K46" s="5" t="n"/>
    </row>
    <row r="47">
      <c r="A47" s="5" t="n"/>
      <c r="B47" s="5" t="n"/>
      <c r="C47" s="26" t="n"/>
      <c r="D47" s="27">
        <f>IF(OR(A47="",C47=""),"",C47*IFERROR(VLOOKUP(B47,$A$5:$C$504,3,FALSE)/100,1)*IFERROR(VLOOKUP(IFERROR(VLOOKUP(B47,$A$5:$B$504,2,FALSE),""),$A$5:$C$504,3,FALSE)/100,1)*IFERROR(VLOOKUP(IFERROR(VLOOKUP(IFERROR(VLOOKUP(B47,$A$5:$B$504,2,FALSE),""),$A$5:$B$504,2,FALSE),""),$A$5:$C$504,3,FALSE)/100,1))</f>
        <v/>
      </c>
      <c r="E47" s="21">
        <f>IF(A47="","",SUMIF('Grup Eşleme'!$B$5:$B$504,A47,'Grup Eşleme'!$C$5:$C$504))</f>
        <v/>
      </c>
      <c r="F47" s="27">
        <f>IF(OR(A47="",'Metraj Mahal Listesi'!$K$3=0,COUNTIF($B$5:$B$504,A47)&gt;0),"",E47/'Metraj Mahal Listesi'!$K$3*100)</f>
        <v/>
      </c>
      <c r="G47" s="28">
        <f>IF(OR(D47="",F47=""),"",F47-D47)</f>
        <v/>
      </c>
      <c r="H47" s="29">
        <f>IF(OR(G47="",D47=0),"",G47/D47*100)</f>
        <v/>
      </c>
      <c r="I47" s="30">
        <f>IF(A47="","",IF(COUNTIF($B$5:$B$504,A47)&gt;0,IF(ABS(SUMIF($B$5:$B$504,A47,$C$5:$C$504)-100)&lt;0.0001,"✔ alt gruplar Σ=100","⚠ alt gruplar Σ≠100"),IF(G47="","—",IF(ABS(G47)&lt;=PursUyum,"✔ uyumlu",IF(ABS(G47)&lt;=PursCiddi,"⚠ dikkat","✗ ciddi fark")))))</f>
        <v/>
      </c>
      <c r="J47" s="5" t="n"/>
      <c r="K47" s="5" t="n"/>
    </row>
    <row r="48">
      <c r="A48" s="5" t="n"/>
      <c r="B48" s="5" t="n"/>
      <c r="C48" s="26" t="n"/>
      <c r="D48" s="27">
        <f>IF(OR(A48="",C48=""),"",C48*IFERROR(VLOOKUP(B48,$A$5:$C$504,3,FALSE)/100,1)*IFERROR(VLOOKUP(IFERROR(VLOOKUP(B48,$A$5:$B$504,2,FALSE),""),$A$5:$C$504,3,FALSE)/100,1)*IFERROR(VLOOKUP(IFERROR(VLOOKUP(IFERROR(VLOOKUP(B48,$A$5:$B$504,2,FALSE),""),$A$5:$B$504,2,FALSE),""),$A$5:$C$504,3,FALSE)/100,1))</f>
        <v/>
      </c>
      <c r="E48" s="21">
        <f>IF(A48="","",SUMIF('Grup Eşleme'!$B$5:$B$504,A48,'Grup Eşleme'!$C$5:$C$504))</f>
        <v/>
      </c>
      <c r="F48" s="27">
        <f>IF(OR(A48="",'Metraj Mahal Listesi'!$K$3=0,COUNTIF($B$5:$B$504,A48)&gt;0),"",E48/'Metraj Mahal Listesi'!$K$3*100)</f>
        <v/>
      </c>
      <c r="G48" s="28">
        <f>IF(OR(D48="",F48=""),"",F48-D48)</f>
        <v/>
      </c>
      <c r="H48" s="29">
        <f>IF(OR(G48="",D48=0),"",G48/D48*100)</f>
        <v/>
      </c>
      <c r="I48" s="30">
        <f>IF(A48="","",IF(COUNTIF($B$5:$B$504,A48)&gt;0,IF(ABS(SUMIF($B$5:$B$504,A48,$C$5:$C$504)-100)&lt;0.0001,"✔ alt gruplar Σ=100","⚠ alt gruplar Σ≠100"),IF(G48="","—",IF(ABS(G48)&lt;=PursUyum,"✔ uyumlu",IF(ABS(G48)&lt;=PursCiddi,"⚠ dikkat","✗ ciddi fark")))))</f>
        <v/>
      </c>
      <c r="J48" s="5" t="n"/>
      <c r="K48" s="5" t="n"/>
    </row>
    <row r="49">
      <c r="A49" s="5" t="n"/>
      <c r="B49" s="5" t="n"/>
      <c r="C49" s="26" t="n"/>
      <c r="D49" s="27">
        <f>IF(OR(A49="",C49=""),"",C49*IFERROR(VLOOKUP(B49,$A$5:$C$504,3,FALSE)/100,1)*IFERROR(VLOOKUP(IFERROR(VLOOKUP(B49,$A$5:$B$504,2,FALSE),""),$A$5:$C$504,3,FALSE)/100,1)*IFERROR(VLOOKUP(IFERROR(VLOOKUP(IFERROR(VLOOKUP(B49,$A$5:$B$504,2,FALSE),""),$A$5:$B$504,2,FALSE),""),$A$5:$C$504,3,FALSE)/100,1))</f>
        <v/>
      </c>
      <c r="E49" s="21">
        <f>IF(A49="","",SUMIF('Grup Eşleme'!$B$5:$B$504,A49,'Grup Eşleme'!$C$5:$C$504))</f>
        <v/>
      </c>
      <c r="F49" s="27">
        <f>IF(OR(A49="",'Metraj Mahal Listesi'!$K$3=0,COUNTIF($B$5:$B$504,A49)&gt;0),"",E49/'Metraj Mahal Listesi'!$K$3*100)</f>
        <v/>
      </c>
      <c r="G49" s="28">
        <f>IF(OR(D49="",F49=""),"",F49-D49)</f>
        <v/>
      </c>
      <c r="H49" s="29">
        <f>IF(OR(G49="",D49=0),"",G49/D49*100)</f>
        <v/>
      </c>
      <c r="I49" s="30">
        <f>IF(A49="","",IF(COUNTIF($B$5:$B$504,A49)&gt;0,IF(ABS(SUMIF($B$5:$B$504,A49,$C$5:$C$504)-100)&lt;0.0001,"✔ alt gruplar Σ=100","⚠ alt gruplar Σ≠100"),IF(G49="","—",IF(ABS(G49)&lt;=PursUyum,"✔ uyumlu",IF(ABS(G49)&lt;=PursCiddi,"⚠ dikkat","✗ ciddi fark")))))</f>
        <v/>
      </c>
      <c r="J49" s="5" t="n"/>
      <c r="K49" s="5" t="n"/>
    </row>
    <row r="50">
      <c r="A50" s="5" t="n"/>
      <c r="B50" s="5" t="n"/>
      <c r="C50" s="26" t="n"/>
      <c r="D50" s="27">
        <f>IF(OR(A50="",C50=""),"",C50*IFERROR(VLOOKUP(B50,$A$5:$C$504,3,FALSE)/100,1)*IFERROR(VLOOKUP(IFERROR(VLOOKUP(B50,$A$5:$B$504,2,FALSE),""),$A$5:$C$504,3,FALSE)/100,1)*IFERROR(VLOOKUP(IFERROR(VLOOKUP(IFERROR(VLOOKUP(B50,$A$5:$B$504,2,FALSE),""),$A$5:$B$504,2,FALSE),""),$A$5:$C$504,3,FALSE)/100,1))</f>
        <v/>
      </c>
      <c r="E50" s="21">
        <f>IF(A50="","",SUMIF('Grup Eşleme'!$B$5:$B$504,A50,'Grup Eşleme'!$C$5:$C$504))</f>
        <v/>
      </c>
      <c r="F50" s="27">
        <f>IF(OR(A50="",'Metraj Mahal Listesi'!$K$3=0,COUNTIF($B$5:$B$504,A50)&gt;0),"",E50/'Metraj Mahal Listesi'!$K$3*100)</f>
        <v/>
      </c>
      <c r="G50" s="28">
        <f>IF(OR(D50="",F50=""),"",F50-D50)</f>
        <v/>
      </c>
      <c r="H50" s="29">
        <f>IF(OR(G50="",D50=0),"",G50/D50*100)</f>
        <v/>
      </c>
      <c r="I50" s="30">
        <f>IF(A50="","",IF(COUNTIF($B$5:$B$504,A50)&gt;0,IF(ABS(SUMIF($B$5:$B$504,A50,$C$5:$C$504)-100)&lt;0.0001,"✔ alt gruplar Σ=100","⚠ alt gruplar Σ≠100"),IF(G50="","—",IF(ABS(G50)&lt;=PursUyum,"✔ uyumlu",IF(ABS(G50)&lt;=PursCiddi,"⚠ dikkat","✗ ciddi fark")))))</f>
        <v/>
      </c>
      <c r="J50" s="5" t="n"/>
      <c r="K50" s="5" t="n"/>
    </row>
    <row r="51">
      <c r="A51" s="5" t="n"/>
      <c r="B51" s="5" t="n"/>
      <c r="C51" s="26" t="n"/>
      <c r="D51" s="27">
        <f>IF(OR(A51="",C51=""),"",C51*IFERROR(VLOOKUP(B51,$A$5:$C$504,3,FALSE)/100,1)*IFERROR(VLOOKUP(IFERROR(VLOOKUP(B51,$A$5:$B$504,2,FALSE),""),$A$5:$C$504,3,FALSE)/100,1)*IFERROR(VLOOKUP(IFERROR(VLOOKUP(IFERROR(VLOOKUP(B51,$A$5:$B$504,2,FALSE),""),$A$5:$B$504,2,FALSE),""),$A$5:$C$504,3,FALSE)/100,1))</f>
        <v/>
      </c>
      <c r="E51" s="21">
        <f>IF(A51="","",SUMIF('Grup Eşleme'!$B$5:$B$504,A51,'Grup Eşleme'!$C$5:$C$504))</f>
        <v/>
      </c>
      <c r="F51" s="27">
        <f>IF(OR(A51="",'Metraj Mahal Listesi'!$K$3=0,COUNTIF($B$5:$B$504,A51)&gt;0),"",E51/'Metraj Mahal Listesi'!$K$3*100)</f>
        <v/>
      </c>
      <c r="G51" s="28">
        <f>IF(OR(D51="",F51=""),"",F51-D51)</f>
        <v/>
      </c>
      <c r="H51" s="29">
        <f>IF(OR(G51="",D51=0),"",G51/D51*100)</f>
        <v/>
      </c>
      <c r="I51" s="30">
        <f>IF(A51="","",IF(COUNTIF($B$5:$B$504,A51)&gt;0,IF(ABS(SUMIF($B$5:$B$504,A51,$C$5:$C$504)-100)&lt;0.0001,"✔ alt gruplar Σ=100","⚠ alt gruplar Σ≠100"),IF(G51="","—",IF(ABS(G51)&lt;=PursUyum,"✔ uyumlu",IF(ABS(G51)&lt;=PursCiddi,"⚠ dikkat","✗ ciddi fark")))))</f>
        <v/>
      </c>
      <c r="J51" s="5" t="n"/>
      <c r="K51" s="5" t="n"/>
    </row>
    <row r="52">
      <c r="A52" s="5" t="n"/>
      <c r="B52" s="5" t="n"/>
      <c r="C52" s="26" t="n"/>
      <c r="D52" s="27">
        <f>IF(OR(A52="",C52=""),"",C52*IFERROR(VLOOKUP(B52,$A$5:$C$504,3,FALSE)/100,1)*IFERROR(VLOOKUP(IFERROR(VLOOKUP(B52,$A$5:$B$504,2,FALSE),""),$A$5:$C$504,3,FALSE)/100,1)*IFERROR(VLOOKUP(IFERROR(VLOOKUP(IFERROR(VLOOKUP(B52,$A$5:$B$504,2,FALSE),""),$A$5:$B$504,2,FALSE),""),$A$5:$C$504,3,FALSE)/100,1))</f>
        <v/>
      </c>
      <c r="E52" s="21">
        <f>IF(A52="","",SUMIF('Grup Eşleme'!$B$5:$B$504,A52,'Grup Eşleme'!$C$5:$C$504))</f>
        <v/>
      </c>
      <c r="F52" s="27">
        <f>IF(OR(A52="",'Metraj Mahal Listesi'!$K$3=0,COUNTIF($B$5:$B$504,A52)&gt;0),"",E52/'Metraj Mahal Listesi'!$K$3*100)</f>
        <v/>
      </c>
      <c r="G52" s="28">
        <f>IF(OR(D52="",F52=""),"",F52-D52)</f>
        <v/>
      </c>
      <c r="H52" s="29">
        <f>IF(OR(G52="",D52=0),"",G52/D52*100)</f>
        <v/>
      </c>
      <c r="I52" s="30">
        <f>IF(A52="","",IF(COUNTIF($B$5:$B$504,A52)&gt;0,IF(ABS(SUMIF($B$5:$B$504,A52,$C$5:$C$504)-100)&lt;0.0001,"✔ alt gruplar Σ=100","⚠ alt gruplar Σ≠100"),IF(G52="","—",IF(ABS(G52)&lt;=PursUyum,"✔ uyumlu",IF(ABS(G52)&lt;=PursCiddi,"⚠ dikkat","✗ ciddi fark")))))</f>
        <v/>
      </c>
      <c r="J52" s="5" t="n"/>
      <c r="K52" s="5" t="n"/>
    </row>
    <row r="53">
      <c r="A53" s="5" t="n"/>
      <c r="B53" s="5" t="n"/>
      <c r="C53" s="26" t="n"/>
      <c r="D53" s="27">
        <f>IF(OR(A53="",C53=""),"",C53*IFERROR(VLOOKUP(B53,$A$5:$C$504,3,FALSE)/100,1)*IFERROR(VLOOKUP(IFERROR(VLOOKUP(B53,$A$5:$B$504,2,FALSE),""),$A$5:$C$504,3,FALSE)/100,1)*IFERROR(VLOOKUP(IFERROR(VLOOKUP(IFERROR(VLOOKUP(B53,$A$5:$B$504,2,FALSE),""),$A$5:$B$504,2,FALSE),""),$A$5:$C$504,3,FALSE)/100,1))</f>
        <v/>
      </c>
      <c r="E53" s="21">
        <f>IF(A53="","",SUMIF('Grup Eşleme'!$B$5:$B$504,A53,'Grup Eşleme'!$C$5:$C$504))</f>
        <v/>
      </c>
      <c r="F53" s="27">
        <f>IF(OR(A53="",'Metraj Mahal Listesi'!$K$3=0,COUNTIF($B$5:$B$504,A53)&gt;0),"",E53/'Metraj Mahal Listesi'!$K$3*100)</f>
        <v/>
      </c>
      <c r="G53" s="28">
        <f>IF(OR(D53="",F53=""),"",F53-D53)</f>
        <v/>
      </c>
      <c r="H53" s="29">
        <f>IF(OR(G53="",D53=0),"",G53/D53*100)</f>
        <v/>
      </c>
      <c r="I53" s="30">
        <f>IF(A53="","",IF(COUNTIF($B$5:$B$504,A53)&gt;0,IF(ABS(SUMIF($B$5:$B$504,A53,$C$5:$C$504)-100)&lt;0.0001,"✔ alt gruplar Σ=100","⚠ alt gruplar Σ≠100"),IF(G53="","—",IF(ABS(G53)&lt;=PursUyum,"✔ uyumlu",IF(ABS(G53)&lt;=PursCiddi,"⚠ dikkat","✗ ciddi fark")))))</f>
        <v/>
      </c>
      <c r="J53" s="5" t="n"/>
      <c r="K53" s="5" t="n"/>
    </row>
    <row r="54">
      <c r="A54" s="5" t="n"/>
      <c r="B54" s="5" t="n"/>
      <c r="C54" s="26" t="n"/>
      <c r="D54" s="27">
        <f>IF(OR(A54="",C54=""),"",C54*IFERROR(VLOOKUP(B54,$A$5:$C$504,3,FALSE)/100,1)*IFERROR(VLOOKUP(IFERROR(VLOOKUP(B54,$A$5:$B$504,2,FALSE),""),$A$5:$C$504,3,FALSE)/100,1)*IFERROR(VLOOKUP(IFERROR(VLOOKUP(IFERROR(VLOOKUP(B54,$A$5:$B$504,2,FALSE),""),$A$5:$B$504,2,FALSE),""),$A$5:$C$504,3,FALSE)/100,1))</f>
        <v/>
      </c>
      <c r="E54" s="21">
        <f>IF(A54="","",SUMIF('Grup Eşleme'!$B$5:$B$504,A54,'Grup Eşleme'!$C$5:$C$504))</f>
        <v/>
      </c>
      <c r="F54" s="27">
        <f>IF(OR(A54="",'Metraj Mahal Listesi'!$K$3=0,COUNTIF($B$5:$B$504,A54)&gt;0),"",E54/'Metraj Mahal Listesi'!$K$3*100)</f>
        <v/>
      </c>
      <c r="G54" s="28">
        <f>IF(OR(D54="",F54=""),"",F54-D54)</f>
        <v/>
      </c>
      <c r="H54" s="29">
        <f>IF(OR(G54="",D54=0),"",G54/D54*100)</f>
        <v/>
      </c>
      <c r="I54" s="30">
        <f>IF(A54="","",IF(COUNTIF($B$5:$B$504,A54)&gt;0,IF(ABS(SUMIF($B$5:$B$504,A54,$C$5:$C$504)-100)&lt;0.0001,"✔ alt gruplar Σ=100","⚠ alt gruplar Σ≠100"),IF(G54="","—",IF(ABS(G54)&lt;=PursUyum,"✔ uyumlu",IF(ABS(G54)&lt;=PursCiddi,"⚠ dikkat","✗ ciddi fark")))))</f>
        <v/>
      </c>
      <c r="J54" s="5" t="n"/>
      <c r="K54" s="5" t="n"/>
    </row>
    <row r="55">
      <c r="A55" s="5" t="n"/>
      <c r="B55" s="5" t="n"/>
      <c r="C55" s="26" t="n"/>
      <c r="D55" s="27">
        <f>IF(OR(A55="",C55=""),"",C55*IFERROR(VLOOKUP(B55,$A$5:$C$504,3,FALSE)/100,1)*IFERROR(VLOOKUP(IFERROR(VLOOKUP(B55,$A$5:$B$504,2,FALSE),""),$A$5:$C$504,3,FALSE)/100,1)*IFERROR(VLOOKUP(IFERROR(VLOOKUP(IFERROR(VLOOKUP(B55,$A$5:$B$504,2,FALSE),""),$A$5:$B$504,2,FALSE),""),$A$5:$C$504,3,FALSE)/100,1))</f>
        <v/>
      </c>
      <c r="E55" s="21">
        <f>IF(A55="","",SUMIF('Grup Eşleme'!$B$5:$B$504,A55,'Grup Eşleme'!$C$5:$C$504))</f>
        <v/>
      </c>
      <c r="F55" s="27">
        <f>IF(OR(A55="",'Metraj Mahal Listesi'!$K$3=0,COUNTIF($B$5:$B$504,A55)&gt;0),"",E55/'Metraj Mahal Listesi'!$K$3*100)</f>
        <v/>
      </c>
      <c r="G55" s="28">
        <f>IF(OR(D55="",F55=""),"",F55-D55)</f>
        <v/>
      </c>
      <c r="H55" s="29">
        <f>IF(OR(G55="",D55=0),"",G55/D55*100)</f>
        <v/>
      </c>
      <c r="I55" s="30">
        <f>IF(A55="","",IF(COUNTIF($B$5:$B$504,A55)&gt;0,IF(ABS(SUMIF($B$5:$B$504,A55,$C$5:$C$504)-100)&lt;0.0001,"✔ alt gruplar Σ=100","⚠ alt gruplar Σ≠100"),IF(G55="","—",IF(ABS(G55)&lt;=PursUyum,"✔ uyumlu",IF(ABS(G55)&lt;=PursCiddi,"⚠ dikkat","✗ ciddi fark")))))</f>
        <v/>
      </c>
      <c r="J55" s="5" t="n"/>
      <c r="K55" s="5" t="n"/>
    </row>
    <row r="56">
      <c r="A56" s="5" t="n"/>
      <c r="B56" s="5" t="n"/>
      <c r="C56" s="26" t="n"/>
      <c r="D56" s="27">
        <f>IF(OR(A56="",C56=""),"",C56*IFERROR(VLOOKUP(B56,$A$5:$C$504,3,FALSE)/100,1)*IFERROR(VLOOKUP(IFERROR(VLOOKUP(B56,$A$5:$B$504,2,FALSE),""),$A$5:$C$504,3,FALSE)/100,1)*IFERROR(VLOOKUP(IFERROR(VLOOKUP(IFERROR(VLOOKUP(B56,$A$5:$B$504,2,FALSE),""),$A$5:$B$504,2,FALSE),""),$A$5:$C$504,3,FALSE)/100,1))</f>
        <v/>
      </c>
      <c r="E56" s="21">
        <f>IF(A56="","",SUMIF('Grup Eşleme'!$B$5:$B$504,A56,'Grup Eşleme'!$C$5:$C$504))</f>
        <v/>
      </c>
      <c r="F56" s="27">
        <f>IF(OR(A56="",'Metraj Mahal Listesi'!$K$3=0,COUNTIF($B$5:$B$504,A56)&gt;0),"",E56/'Metraj Mahal Listesi'!$K$3*100)</f>
        <v/>
      </c>
      <c r="G56" s="28">
        <f>IF(OR(D56="",F56=""),"",F56-D56)</f>
        <v/>
      </c>
      <c r="H56" s="29">
        <f>IF(OR(G56="",D56=0),"",G56/D56*100)</f>
        <v/>
      </c>
      <c r="I56" s="30">
        <f>IF(A56="","",IF(COUNTIF($B$5:$B$504,A56)&gt;0,IF(ABS(SUMIF($B$5:$B$504,A56,$C$5:$C$504)-100)&lt;0.0001,"✔ alt gruplar Σ=100","⚠ alt gruplar Σ≠100"),IF(G56="","—",IF(ABS(G56)&lt;=PursUyum,"✔ uyumlu",IF(ABS(G56)&lt;=PursCiddi,"⚠ dikkat","✗ ciddi fark")))))</f>
        <v/>
      </c>
      <c r="J56" s="5" t="n"/>
      <c r="K56" s="5" t="n"/>
    </row>
    <row r="57">
      <c r="A57" s="5" t="n"/>
      <c r="B57" s="5" t="n"/>
      <c r="C57" s="26" t="n"/>
      <c r="D57" s="27">
        <f>IF(OR(A57="",C57=""),"",C57*IFERROR(VLOOKUP(B57,$A$5:$C$504,3,FALSE)/100,1)*IFERROR(VLOOKUP(IFERROR(VLOOKUP(B57,$A$5:$B$504,2,FALSE),""),$A$5:$C$504,3,FALSE)/100,1)*IFERROR(VLOOKUP(IFERROR(VLOOKUP(IFERROR(VLOOKUP(B57,$A$5:$B$504,2,FALSE),""),$A$5:$B$504,2,FALSE),""),$A$5:$C$504,3,FALSE)/100,1))</f>
        <v/>
      </c>
      <c r="E57" s="21">
        <f>IF(A57="","",SUMIF('Grup Eşleme'!$B$5:$B$504,A57,'Grup Eşleme'!$C$5:$C$504))</f>
        <v/>
      </c>
      <c r="F57" s="27">
        <f>IF(OR(A57="",'Metraj Mahal Listesi'!$K$3=0,COUNTIF($B$5:$B$504,A57)&gt;0),"",E57/'Metraj Mahal Listesi'!$K$3*100)</f>
        <v/>
      </c>
      <c r="G57" s="28">
        <f>IF(OR(D57="",F57=""),"",F57-D57)</f>
        <v/>
      </c>
      <c r="H57" s="29">
        <f>IF(OR(G57="",D57=0),"",G57/D57*100)</f>
        <v/>
      </c>
      <c r="I57" s="30">
        <f>IF(A57="","",IF(COUNTIF($B$5:$B$504,A57)&gt;0,IF(ABS(SUMIF($B$5:$B$504,A57,$C$5:$C$504)-100)&lt;0.0001,"✔ alt gruplar Σ=100","⚠ alt gruplar Σ≠100"),IF(G57="","—",IF(ABS(G57)&lt;=PursUyum,"✔ uyumlu",IF(ABS(G57)&lt;=PursCiddi,"⚠ dikkat","✗ ciddi fark")))))</f>
        <v/>
      </c>
      <c r="J57" s="5" t="n"/>
      <c r="K57" s="5" t="n"/>
    </row>
    <row r="58">
      <c r="A58" s="5" t="n"/>
      <c r="B58" s="5" t="n"/>
      <c r="C58" s="26" t="n"/>
      <c r="D58" s="27">
        <f>IF(OR(A58="",C58=""),"",C58*IFERROR(VLOOKUP(B58,$A$5:$C$504,3,FALSE)/100,1)*IFERROR(VLOOKUP(IFERROR(VLOOKUP(B58,$A$5:$B$504,2,FALSE),""),$A$5:$C$504,3,FALSE)/100,1)*IFERROR(VLOOKUP(IFERROR(VLOOKUP(IFERROR(VLOOKUP(B58,$A$5:$B$504,2,FALSE),""),$A$5:$B$504,2,FALSE),""),$A$5:$C$504,3,FALSE)/100,1))</f>
        <v/>
      </c>
      <c r="E58" s="21">
        <f>IF(A58="","",SUMIF('Grup Eşleme'!$B$5:$B$504,A58,'Grup Eşleme'!$C$5:$C$504))</f>
        <v/>
      </c>
      <c r="F58" s="27">
        <f>IF(OR(A58="",'Metraj Mahal Listesi'!$K$3=0,COUNTIF($B$5:$B$504,A58)&gt;0),"",E58/'Metraj Mahal Listesi'!$K$3*100)</f>
        <v/>
      </c>
      <c r="G58" s="28">
        <f>IF(OR(D58="",F58=""),"",F58-D58)</f>
        <v/>
      </c>
      <c r="H58" s="29">
        <f>IF(OR(G58="",D58=0),"",G58/D58*100)</f>
        <v/>
      </c>
      <c r="I58" s="30">
        <f>IF(A58="","",IF(COUNTIF($B$5:$B$504,A58)&gt;0,IF(ABS(SUMIF($B$5:$B$504,A58,$C$5:$C$504)-100)&lt;0.0001,"✔ alt gruplar Σ=100","⚠ alt gruplar Σ≠100"),IF(G58="","—",IF(ABS(G58)&lt;=PursUyum,"✔ uyumlu",IF(ABS(G58)&lt;=PursCiddi,"⚠ dikkat","✗ ciddi fark")))))</f>
        <v/>
      </c>
      <c r="J58" s="5" t="n"/>
      <c r="K58" s="5" t="n"/>
    </row>
    <row r="59">
      <c r="A59" s="5" t="n"/>
      <c r="B59" s="5" t="n"/>
      <c r="C59" s="26" t="n"/>
      <c r="D59" s="27">
        <f>IF(OR(A59="",C59=""),"",C59*IFERROR(VLOOKUP(B59,$A$5:$C$504,3,FALSE)/100,1)*IFERROR(VLOOKUP(IFERROR(VLOOKUP(B59,$A$5:$B$504,2,FALSE),""),$A$5:$C$504,3,FALSE)/100,1)*IFERROR(VLOOKUP(IFERROR(VLOOKUP(IFERROR(VLOOKUP(B59,$A$5:$B$504,2,FALSE),""),$A$5:$B$504,2,FALSE),""),$A$5:$C$504,3,FALSE)/100,1))</f>
        <v/>
      </c>
      <c r="E59" s="21">
        <f>IF(A59="","",SUMIF('Grup Eşleme'!$B$5:$B$504,A59,'Grup Eşleme'!$C$5:$C$504))</f>
        <v/>
      </c>
      <c r="F59" s="27">
        <f>IF(OR(A59="",'Metraj Mahal Listesi'!$K$3=0,COUNTIF($B$5:$B$504,A59)&gt;0),"",E59/'Metraj Mahal Listesi'!$K$3*100)</f>
        <v/>
      </c>
      <c r="G59" s="28">
        <f>IF(OR(D59="",F59=""),"",F59-D59)</f>
        <v/>
      </c>
      <c r="H59" s="29">
        <f>IF(OR(G59="",D59=0),"",G59/D59*100)</f>
        <v/>
      </c>
      <c r="I59" s="30">
        <f>IF(A59="","",IF(COUNTIF($B$5:$B$504,A59)&gt;0,IF(ABS(SUMIF($B$5:$B$504,A59,$C$5:$C$504)-100)&lt;0.0001,"✔ alt gruplar Σ=100","⚠ alt gruplar Σ≠100"),IF(G59="","—",IF(ABS(G59)&lt;=PursUyum,"✔ uyumlu",IF(ABS(G59)&lt;=PursCiddi,"⚠ dikkat","✗ ciddi fark")))))</f>
        <v/>
      </c>
      <c r="J59" s="5" t="n"/>
      <c r="K59" s="5" t="n"/>
    </row>
    <row r="60">
      <c r="A60" s="5" t="n"/>
      <c r="B60" s="5" t="n"/>
      <c r="C60" s="26" t="n"/>
      <c r="D60" s="27">
        <f>IF(OR(A60="",C60=""),"",C60*IFERROR(VLOOKUP(B60,$A$5:$C$504,3,FALSE)/100,1)*IFERROR(VLOOKUP(IFERROR(VLOOKUP(B60,$A$5:$B$504,2,FALSE),""),$A$5:$C$504,3,FALSE)/100,1)*IFERROR(VLOOKUP(IFERROR(VLOOKUP(IFERROR(VLOOKUP(B60,$A$5:$B$504,2,FALSE),""),$A$5:$B$504,2,FALSE),""),$A$5:$C$504,3,FALSE)/100,1))</f>
        <v/>
      </c>
      <c r="E60" s="21">
        <f>IF(A60="","",SUMIF('Grup Eşleme'!$B$5:$B$504,A60,'Grup Eşleme'!$C$5:$C$504))</f>
        <v/>
      </c>
      <c r="F60" s="27">
        <f>IF(OR(A60="",'Metraj Mahal Listesi'!$K$3=0,COUNTIF($B$5:$B$504,A60)&gt;0),"",E60/'Metraj Mahal Listesi'!$K$3*100)</f>
        <v/>
      </c>
      <c r="G60" s="28">
        <f>IF(OR(D60="",F60=""),"",F60-D60)</f>
        <v/>
      </c>
      <c r="H60" s="29">
        <f>IF(OR(G60="",D60=0),"",G60/D60*100)</f>
        <v/>
      </c>
      <c r="I60" s="30">
        <f>IF(A60="","",IF(COUNTIF($B$5:$B$504,A60)&gt;0,IF(ABS(SUMIF($B$5:$B$504,A60,$C$5:$C$504)-100)&lt;0.0001,"✔ alt gruplar Σ=100","⚠ alt gruplar Σ≠100"),IF(G60="","—",IF(ABS(G60)&lt;=PursUyum,"✔ uyumlu",IF(ABS(G60)&lt;=PursCiddi,"⚠ dikkat","✗ ciddi fark")))))</f>
        <v/>
      </c>
      <c r="J60" s="5" t="n"/>
      <c r="K60" s="5" t="n"/>
    </row>
    <row r="61">
      <c r="A61" s="5" t="n"/>
      <c r="B61" s="5" t="n"/>
      <c r="C61" s="26" t="n"/>
      <c r="D61" s="27">
        <f>IF(OR(A61="",C61=""),"",C61*IFERROR(VLOOKUP(B61,$A$5:$C$504,3,FALSE)/100,1)*IFERROR(VLOOKUP(IFERROR(VLOOKUP(B61,$A$5:$B$504,2,FALSE),""),$A$5:$C$504,3,FALSE)/100,1)*IFERROR(VLOOKUP(IFERROR(VLOOKUP(IFERROR(VLOOKUP(B61,$A$5:$B$504,2,FALSE),""),$A$5:$B$504,2,FALSE),""),$A$5:$C$504,3,FALSE)/100,1))</f>
        <v/>
      </c>
      <c r="E61" s="21">
        <f>IF(A61="","",SUMIF('Grup Eşleme'!$B$5:$B$504,A61,'Grup Eşleme'!$C$5:$C$504))</f>
        <v/>
      </c>
      <c r="F61" s="27">
        <f>IF(OR(A61="",'Metraj Mahal Listesi'!$K$3=0,COUNTIF($B$5:$B$504,A61)&gt;0),"",E61/'Metraj Mahal Listesi'!$K$3*100)</f>
        <v/>
      </c>
      <c r="G61" s="28">
        <f>IF(OR(D61="",F61=""),"",F61-D61)</f>
        <v/>
      </c>
      <c r="H61" s="29">
        <f>IF(OR(G61="",D61=0),"",G61/D61*100)</f>
        <v/>
      </c>
      <c r="I61" s="30">
        <f>IF(A61="","",IF(COUNTIF($B$5:$B$504,A61)&gt;0,IF(ABS(SUMIF($B$5:$B$504,A61,$C$5:$C$504)-100)&lt;0.0001,"✔ alt gruplar Σ=100","⚠ alt gruplar Σ≠100"),IF(G61="","—",IF(ABS(G61)&lt;=PursUyum,"✔ uyumlu",IF(ABS(G61)&lt;=PursCiddi,"⚠ dikkat","✗ ciddi fark")))))</f>
        <v/>
      </c>
      <c r="J61" s="5" t="n"/>
      <c r="K61" s="5" t="n"/>
    </row>
    <row r="62">
      <c r="A62" s="5" t="n"/>
      <c r="B62" s="5" t="n"/>
      <c r="C62" s="26" t="n"/>
      <c r="D62" s="27">
        <f>IF(OR(A62="",C62=""),"",C62*IFERROR(VLOOKUP(B62,$A$5:$C$504,3,FALSE)/100,1)*IFERROR(VLOOKUP(IFERROR(VLOOKUP(B62,$A$5:$B$504,2,FALSE),""),$A$5:$C$504,3,FALSE)/100,1)*IFERROR(VLOOKUP(IFERROR(VLOOKUP(IFERROR(VLOOKUP(B62,$A$5:$B$504,2,FALSE),""),$A$5:$B$504,2,FALSE),""),$A$5:$C$504,3,FALSE)/100,1))</f>
        <v/>
      </c>
      <c r="E62" s="21">
        <f>IF(A62="","",SUMIF('Grup Eşleme'!$B$5:$B$504,A62,'Grup Eşleme'!$C$5:$C$504))</f>
        <v/>
      </c>
      <c r="F62" s="27">
        <f>IF(OR(A62="",'Metraj Mahal Listesi'!$K$3=0,COUNTIF($B$5:$B$504,A62)&gt;0),"",E62/'Metraj Mahal Listesi'!$K$3*100)</f>
        <v/>
      </c>
      <c r="G62" s="28">
        <f>IF(OR(D62="",F62=""),"",F62-D62)</f>
        <v/>
      </c>
      <c r="H62" s="29">
        <f>IF(OR(G62="",D62=0),"",G62/D62*100)</f>
        <v/>
      </c>
      <c r="I62" s="30">
        <f>IF(A62="","",IF(COUNTIF($B$5:$B$504,A62)&gt;0,IF(ABS(SUMIF($B$5:$B$504,A62,$C$5:$C$504)-100)&lt;0.0001,"✔ alt gruplar Σ=100","⚠ alt gruplar Σ≠100"),IF(G62="","—",IF(ABS(G62)&lt;=PursUyum,"✔ uyumlu",IF(ABS(G62)&lt;=PursCiddi,"⚠ dikkat","✗ ciddi fark")))))</f>
        <v/>
      </c>
      <c r="J62" s="5" t="n"/>
      <c r="K62" s="5" t="n"/>
    </row>
    <row r="63">
      <c r="A63" s="5" t="n"/>
      <c r="B63" s="5" t="n"/>
      <c r="C63" s="26" t="n"/>
      <c r="D63" s="27">
        <f>IF(OR(A63="",C63=""),"",C63*IFERROR(VLOOKUP(B63,$A$5:$C$504,3,FALSE)/100,1)*IFERROR(VLOOKUP(IFERROR(VLOOKUP(B63,$A$5:$B$504,2,FALSE),""),$A$5:$C$504,3,FALSE)/100,1)*IFERROR(VLOOKUP(IFERROR(VLOOKUP(IFERROR(VLOOKUP(B63,$A$5:$B$504,2,FALSE),""),$A$5:$B$504,2,FALSE),""),$A$5:$C$504,3,FALSE)/100,1))</f>
        <v/>
      </c>
      <c r="E63" s="21">
        <f>IF(A63="","",SUMIF('Grup Eşleme'!$B$5:$B$504,A63,'Grup Eşleme'!$C$5:$C$504))</f>
        <v/>
      </c>
      <c r="F63" s="27">
        <f>IF(OR(A63="",'Metraj Mahal Listesi'!$K$3=0,COUNTIF($B$5:$B$504,A63)&gt;0),"",E63/'Metraj Mahal Listesi'!$K$3*100)</f>
        <v/>
      </c>
      <c r="G63" s="28">
        <f>IF(OR(D63="",F63=""),"",F63-D63)</f>
        <v/>
      </c>
      <c r="H63" s="29">
        <f>IF(OR(G63="",D63=0),"",G63/D63*100)</f>
        <v/>
      </c>
      <c r="I63" s="30">
        <f>IF(A63="","",IF(COUNTIF($B$5:$B$504,A63)&gt;0,IF(ABS(SUMIF($B$5:$B$504,A63,$C$5:$C$504)-100)&lt;0.0001,"✔ alt gruplar Σ=100","⚠ alt gruplar Σ≠100"),IF(G63="","—",IF(ABS(G63)&lt;=PursUyum,"✔ uyumlu",IF(ABS(G63)&lt;=PursCiddi,"⚠ dikkat","✗ ciddi fark")))))</f>
        <v/>
      </c>
      <c r="J63" s="5" t="n"/>
      <c r="K63" s="5" t="n"/>
    </row>
    <row r="64">
      <c r="A64" s="5" t="n"/>
      <c r="B64" s="5" t="n"/>
      <c r="C64" s="26" t="n"/>
      <c r="D64" s="27">
        <f>IF(OR(A64="",C64=""),"",C64*IFERROR(VLOOKUP(B64,$A$5:$C$504,3,FALSE)/100,1)*IFERROR(VLOOKUP(IFERROR(VLOOKUP(B64,$A$5:$B$504,2,FALSE),""),$A$5:$C$504,3,FALSE)/100,1)*IFERROR(VLOOKUP(IFERROR(VLOOKUP(IFERROR(VLOOKUP(B64,$A$5:$B$504,2,FALSE),""),$A$5:$B$504,2,FALSE),""),$A$5:$C$504,3,FALSE)/100,1))</f>
        <v/>
      </c>
      <c r="E64" s="21">
        <f>IF(A64="","",SUMIF('Grup Eşleme'!$B$5:$B$504,A64,'Grup Eşleme'!$C$5:$C$504))</f>
        <v/>
      </c>
      <c r="F64" s="27">
        <f>IF(OR(A64="",'Metraj Mahal Listesi'!$K$3=0,COUNTIF($B$5:$B$504,A64)&gt;0),"",E64/'Metraj Mahal Listesi'!$K$3*100)</f>
        <v/>
      </c>
      <c r="G64" s="28">
        <f>IF(OR(D64="",F64=""),"",F64-D64)</f>
        <v/>
      </c>
      <c r="H64" s="29">
        <f>IF(OR(G64="",D64=0),"",G64/D64*100)</f>
        <v/>
      </c>
      <c r="I64" s="30">
        <f>IF(A64="","",IF(COUNTIF($B$5:$B$504,A64)&gt;0,IF(ABS(SUMIF($B$5:$B$504,A64,$C$5:$C$504)-100)&lt;0.0001,"✔ alt gruplar Σ=100","⚠ alt gruplar Σ≠100"),IF(G64="","—",IF(ABS(G64)&lt;=PursUyum,"✔ uyumlu",IF(ABS(G64)&lt;=PursCiddi,"⚠ dikkat","✗ ciddi fark")))))</f>
        <v/>
      </c>
      <c r="J64" s="5" t="n"/>
      <c r="K64" s="5" t="n"/>
    </row>
    <row r="65">
      <c r="A65" s="5" t="n"/>
      <c r="B65" s="5" t="n"/>
      <c r="C65" s="26" t="n"/>
      <c r="D65" s="27">
        <f>IF(OR(A65="",C65=""),"",C65*IFERROR(VLOOKUP(B65,$A$5:$C$504,3,FALSE)/100,1)*IFERROR(VLOOKUP(IFERROR(VLOOKUP(B65,$A$5:$B$504,2,FALSE),""),$A$5:$C$504,3,FALSE)/100,1)*IFERROR(VLOOKUP(IFERROR(VLOOKUP(IFERROR(VLOOKUP(B65,$A$5:$B$504,2,FALSE),""),$A$5:$B$504,2,FALSE),""),$A$5:$C$504,3,FALSE)/100,1))</f>
        <v/>
      </c>
      <c r="E65" s="21">
        <f>IF(A65="","",SUMIF('Grup Eşleme'!$B$5:$B$504,A65,'Grup Eşleme'!$C$5:$C$504))</f>
        <v/>
      </c>
      <c r="F65" s="27">
        <f>IF(OR(A65="",'Metraj Mahal Listesi'!$K$3=0,COUNTIF($B$5:$B$504,A65)&gt;0),"",E65/'Metraj Mahal Listesi'!$K$3*100)</f>
        <v/>
      </c>
      <c r="G65" s="28">
        <f>IF(OR(D65="",F65=""),"",F65-D65)</f>
        <v/>
      </c>
      <c r="H65" s="29">
        <f>IF(OR(G65="",D65=0),"",G65/D65*100)</f>
        <v/>
      </c>
      <c r="I65" s="30">
        <f>IF(A65="","",IF(COUNTIF($B$5:$B$504,A65)&gt;0,IF(ABS(SUMIF($B$5:$B$504,A65,$C$5:$C$504)-100)&lt;0.0001,"✔ alt gruplar Σ=100","⚠ alt gruplar Σ≠100"),IF(G65="","—",IF(ABS(G65)&lt;=PursUyum,"✔ uyumlu",IF(ABS(G65)&lt;=PursCiddi,"⚠ dikkat","✗ ciddi fark")))))</f>
        <v/>
      </c>
      <c r="J65" s="5" t="n"/>
      <c r="K65" s="5" t="n"/>
    </row>
    <row r="66">
      <c r="A66" s="5" t="n"/>
      <c r="B66" s="5" t="n"/>
      <c r="C66" s="26" t="n"/>
      <c r="D66" s="27">
        <f>IF(OR(A66="",C66=""),"",C66*IFERROR(VLOOKUP(B66,$A$5:$C$504,3,FALSE)/100,1)*IFERROR(VLOOKUP(IFERROR(VLOOKUP(B66,$A$5:$B$504,2,FALSE),""),$A$5:$C$504,3,FALSE)/100,1)*IFERROR(VLOOKUP(IFERROR(VLOOKUP(IFERROR(VLOOKUP(B66,$A$5:$B$504,2,FALSE),""),$A$5:$B$504,2,FALSE),""),$A$5:$C$504,3,FALSE)/100,1))</f>
        <v/>
      </c>
      <c r="E66" s="21">
        <f>IF(A66="","",SUMIF('Grup Eşleme'!$B$5:$B$504,A66,'Grup Eşleme'!$C$5:$C$504))</f>
        <v/>
      </c>
      <c r="F66" s="27">
        <f>IF(OR(A66="",'Metraj Mahal Listesi'!$K$3=0,COUNTIF($B$5:$B$504,A66)&gt;0),"",E66/'Metraj Mahal Listesi'!$K$3*100)</f>
        <v/>
      </c>
      <c r="G66" s="28">
        <f>IF(OR(D66="",F66=""),"",F66-D66)</f>
        <v/>
      </c>
      <c r="H66" s="29">
        <f>IF(OR(G66="",D66=0),"",G66/D66*100)</f>
        <v/>
      </c>
      <c r="I66" s="30">
        <f>IF(A66="","",IF(COUNTIF($B$5:$B$504,A66)&gt;0,IF(ABS(SUMIF($B$5:$B$504,A66,$C$5:$C$504)-100)&lt;0.0001,"✔ alt gruplar Σ=100","⚠ alt gruplar Σ≠100"),IF(G66="","—",IF(ABS(G66)&lt;=PursUyum,"✔ uyumlu",IF(ABS(G66)&lt;=PursCiddi,"⚠ dikkat","✗ ciddi fark")))))</f>
        <v/>
      </c>
      <c r="J66" s="5" t="n"/>
      <c r="K66" s="5" t="n"/>
    </row>
    <row r="67">
      <c r="A67" s="5" t="n"/>
      <c r="B67" s="5" t="n"/>
      <c r="C67" s="26" t="n"/>
      <c r="D67" s="27">
        <f>IF(OR(A67="",C67=""),"",C67*IFERROR(VLOOKUP(B67,$A$5:$C$504,3,FALSE)/100,1)*IFERROR(VLOOKUP(IFERROR(VLOOKUP(B67,$A$5:$B$504,2,FALSE),""),$A$5:$C$504,3,FALSE)/100,1)*IFERROR(VLOOKUP(IFERROR(VLOOKUP(IFERROR(VLOOKUP(B67,$A$5:$B$504,2,FALSE),""),$A$5:$B$504,2,FALSE),""),$A$5:$C$504,3,FALSE)/100,1))</f>
        <v/>
      </c>
      <c r="E67" s="21">
        <f>IF(A67="","",SUMIF('Grup Eşleme'!$B$5:$B$504,A67,'Grup Eşleme'!$C$5:$C$504))</f>
        <v/>
      </c>
      <c r="F67" s="27">
        <f>IF(OR(A67="",'Metraj Mahal Listesi'!$K$3=0,COUNTIF($B$5:$B$504,A67)&gt;0),"",E67/'Metraj Mahal Listesi'!$K$3*100)</f>
        <v/>
      </c>
      <c r="G67" s="28">
        <f>IF(OR(D67="",F67=""),"",F67-D67)</f>
        <v/>
      </c>
      <c r="H67" s="29">
        <f>IF(OR(G67="",D67=0),"",G67/D67*100)</f>
        <v/>
      </c>
      <c r="I67" s="30">
        <f>IF(A67="","",IF(COUNTIF($B$5:$B$504,A67)&gt;0,IF(ABS(SUMIF($B$5:$B$504,A67,$C$5:$C$504)-100)&lt;0.0001,"✔ alt gruplar Σ=100","⚠ alt gruplar Σ≠100"),IF(G67="","—",IF(ABS(G67)&lt;=PursUyum,"✔ uyumlu",IF(ABS(G67)&lt;=PursCiddi,"⚠ dikkat","✗ ciddi fark")))))</f>
        <v/>
      </c>
      <c r="J67" s="5" t="n"/>
      <c r="K67" s="5" t="n"/>
    </row>
    <row r="68">
      <c r="A68" s="5" t="n"/>
      <c r="B68" s="5" t="n"/>
      <c r="C68" s="26" t="n"/>
      <c r="D68" s="27">
        <f>IF(OR(A68="",C68=""),"",C68*IFERROR(VLOOKUP(B68,$A$5:$C$504,3,FALSE)/100,1)*IFERROR(VLOOKUP(IFERROR(VLOOKUP(B68,$A$5:$B$504,2,FALSE),""),$A$5:$C$504,3,FALSE)/100,1)*IFERROR(VLOOKUP(IFERROR(VLOOKUP(IFERROR(VLOOKUP(B68,$A$5:$B$504,2,FALSE),""),$A$5:$B$504,2,FALSE),""),$A$5:$C$504,3,FALSE)/100,1))</f>
        <v/>
      </c>
      <c r="E68" s="21">
        <f>IF(A68="","",SUMIF('Grup Eşleme'!$B$5:$B$504,A68,'Grup Eşleme'!$C$5:$C$504))</f>
        <v/>
      </c>
      <c r="F68" s="27">
        <f>IF(OR(A68="",'Metraj Mahal Listesi'!$K$3=0,COUNTIF($B$5:$B$504,A68)&gt;0),"",E68/'Metraj Mahal Listesi'!$K$3*100)</f>
        <v/>
      </c>
      <c r="G68" s="28">
        <f>IF(OR(D68="",F68=""),"",F68-D68)</f>
        <v/>
      </c>
      <c r="H68" s="29">
        <f>IF(OR(G68="",D68=0),"",G68/D68*100)</f>
        <v/>
      </c>
      <c r="I68" s="30">
        <f>IF(A68="","",IF(COUNTIF($B$5:$B$504,A68)&gt;0,IF(ABS(SUMIF($B$5:$B$504,A68,$C$5:$C$504)-100)&lt;0.0001,"✔ alt gruplar Σ=100","⚠ alt gruplar Σ≠100"),IF(G68="","—",IF(ABS(G68)&lt;=PursUyum,"✔ uyumlu",IF(ABS(G68)&lt;=PursCiddi,"⚠ dikkat","✗ ciddi fark")))))</f>
        <v/>
      </c>
      <c r="J68" s="5" t="n"/>
      <c r="K68" s="5" t="n"/>
    </row>
    <row r="69">
      <c r="A69" s="5" t="n"/>
      <c r="B69" s="5" t="n"/>
      <c r="C69" s="26" t="n"/>
      <c r="D69" s="27">
        <f>IF(OR(A69="",C69=""),"",C69*IFERROR(VLOOKUP(B69,$A$5:$C$504,3,FALSE)/100,1)*IFERROR(VLOOKUP(IFERROR(VLOOKUP(B69,$A$5:$B$504,2,FALSE),""),$A$5:$C$504,3,FALSE)/100,1)*IFERROR(VLOOKUP(IFERROR(VLOOKUP(IFERROR(VLOOKUP(B69,$A$5:$B$504,2,FALSE),""),$A$5:$B$504,2,FALSE),""),$A$5:$C$504,3,FALSE)/100,1))</f>
        <v/>
      </c>
      <c r="E69" s="21">
        <f>IF(A69="","",SUMIF('Grup Eşleme'!$B$5:$B$504,A69,'Grup Eşleme'!$C$5:$C$504))</f>
        <v/>
      </c>
      <c r="F69" s="27">
        <f>IF(OR(A69="",'Metraj Mahal Listesi'!$K$3=0,COUNTIF($B$5:$B$504,A69)&gt;0),"",E69/'Metraj Mahal Listesi'!$K$3*100)</f>
        <v/>
      </c>
      <c r="G69" s="28">
        <f>IF(OR(D69="",F69=""),"",F69-D69)</f>
        <v/>
      </c>
      <c r="H69" s="29">
        <f>IF(OR(G69="",D69=0),"",G69/D69*100)</f>
        <v/>
      </c>
      <c r="I69" s="30">
        <f>IF(A69="","",IF(COUNTIF($B$5:$B$504,A69)&gt;0,IF(ABS(SUMIF($B$5:$B$504,A69,$C$5:$C$504)-100)&lt;0.0001,"✔ alt gruplar Σ=100","⚠ alt gruplar Σ≠100"),IF(G69="","—",IF(ABS(G69)&lt;=PursUyum,"✔ uyumlu",IF(ABS(G69)&lt;=PursCiddi,"⚠ dikkat","✗ ciddi fark")))))</f>
        <v/>
      </c>
      <c r="J69" s="5" t="n"/>
      <c r="K69" s="5" t="n"/>
    </row>
    <row r="70">
      <c r="A70" s="5" t="n"/>
      <c r="B70" s="5" t="n"/>
      <c r="C70" s="26" t="n"/>
      <c r="D70" s="27">
        <f>IF(OR(A70="",C70=""),"",C70*IFERROR(VLOOKUP(B70,$A$5:$C$504,3,FALSE)/100,1)*IFERROR(VLOOKUP(IFERROR(VLOOKUP(B70,$A$5:$B$504,2,FALSE),""),$A$5:$C$504,3,FALSE)/100,1)*IFERROR(VLOOKUP(IFERROR(VLOOKUP(IFERROR(VLOOKUP(B70,$A$5:$B$504,2,FALSE),""),$A$5:$B$504,2,FALSE),""),$A$5:$C$504,3,FALSE)/100,1))</f>
        <v/>
      </c>
      <c r="E70" s="21">
        <f>IF(A70="","",SUMIF('Grup Eşleme'!$B$5:$B$504,A70,'Grup Eşleme'!$C$5:$C$504))</f>
        <v/>
      </c>
      <c r="F70" s="27">
        <f>IF(OR(A70="",'Metraj Mahal Listesi'!$K$3=0,COUNTIF($B$5:$B$504,A70)&gt;0),"",E70/'Metraj Mahal Listesi'!$K$3*100)</f>
        <v/>
      </c>
      <c r="G70" s="28">
        <f>IF(OR(D70="",F70=""),"",F70-D70)</f>
        <v/>
      </c>
      <c r="H70" s="29">
        <f>IF(OR(G70="",D70=0),"",G70/D70*100)</f>
        <v/>
      </c>
      <c r="I70" s="30">
        <f>IF(A70="","",IF(COUNTIF($B$5:$B$504,A70)&gt;0,IF(ABS(SUMIF($B$5:$B$504,A70,$C$5:$C$504)-100)&lt;0.0001,"✔ alt gruplar Σ=100","⚠ alt gruplar Σ≠100"),IF(G70="","—",IF(ABS(G70)&lt;=PursUyum,"✔ uyumlu",IF(ABS(G70)&lt;=PursCiddi,"⚠ dikkat","✗ ciddi fark")))))</f>
        <v/>
      </c>
      <c r="J70" s="5" t="n"/>
      <c r="K70" s="5" t="n"/>
    </row>
    <row r="71">
      <c r="A71" s="5" t="n"/>
      <c r="B71" s="5" t="n"/>
      <c r="C71" s="26" t="n"/>
      <c r="D71" s="27">
        <f>IF(OR(A71="",C71=""),"",C71*IFERROR(VLOOKUP(B71,$A$5:$C$504,3,FALSE)/100,1)*IFERROR(VLOOKUP(IFERROR(VLOOKUP(B71,$A$5:$B$504,2,FALSE),""),$A$5:$C$504,3,FALSE)/100,1)*IFERROR(VLOOKUP(IFERROR(VLOOKUP(IFERROR(VLOOKUP(B71,$A$5:$B$504,2,FALSE),""),$A$5:$B$504,2,FALSE),""),$A$5:$C$504,3,FALSE)/100,1))</f>
        <v/>
      </c>
      <c r="E71" s="21">
        <f>IF(A71="","",SUMIF('Grup Eşleme'!$B$5:$B$504,A71,'Grup Eşleme'!$C$5:$C$504))</f>
        <v/>
      </c>
      <c r="F71" s="27">
        <f>IF(OR(A71="",'Metraj Mahal Listesi'!$K$3=0,COUNTIF($B$5:$B$504,A71)&gt;0),"",E71/'Metraj Mahal Listesi'!$K$3*100)</f>
        <v/>
      </c>
      <c r="G71" s="28">
        <f>IF(OR(D71="",F71=""),"",F71-D71)</f>
        <v/>
      </c>
      <c r="H71" s="29">
        <f>IF(OR(G71="",D71=0),"",G71/D71*100)</f>
        <v/>
      </c>
      <c r="I71" s="30">
        <f>IF(A71="","",IF(COUNTIF($B$5:$B$504,A71)&gt;0,IF(ABS(SUMIF($B$5:$B$504,A71,$C$5:$C$504)-100)&lt;0.0001,"✔ alt gruplar Σ=100","⚠ alt gruplar Σ≠100"),IF(G71="","—",IF(ABS(G71)&lt;=PursUyum,"✔ uyumlu",IF(ABS(G71)&lt;=PursCiddi,"⚠ dikkat","✗ ciddi fark")))))</f>
        <v/>
      </c>
      <c r="J71" s="5" t="n"/>
      <c r="K71" s="5" t="n"/>
    </row>
    <row r="72">
      <c r="A72" s="5" t="n"/>
      <c r="B72" s="5" t="n"/>
      <c r="C72" s="26" t="n"/>
      <c r="D72" s="27">
        <f>IF(OR(A72="",C72=""),"",C72*IFERROR(VLOOKUP(B72,$A$5:$C$504,3,FALSE)/100,1)*IFERROR(VLOOKUP(IFERROR(VLOOKUP(B72,$A$5:$B$504,2,FALSE),""),$A$5:$C$504,3,FALSE)/100,1)*IFERROR(VLOOKUP(IFERROR(VLOOKUP(IFERROR(VLOOKUP(B72,$A$5:$B$504,2,FALSE),""),$A$5:$B$504,2,FALSE),""),$A$5:$C$504,3,FALSE)/100,1))</f>
        <v/>
      </c>
      <c r="E72" s="21">
        <f>IF(A72="","",SUMIF('Grup Eşleme'!$B$5:$B$504,A72,'Grup Eşleme'!$C$5:$C$504))</f>
        <v/>
      </c>
      <c r="F72" s="27">
        <f>IF(OR(A72="",'Metraj Mahal Listesi'!$K$3=0,COUNTIF($B$5:$B$504,A72)&gt;0),"",E72/'Metraj Mahal Listesi'!$K$3*100)</f>
        <v/>
      </c>
      <c r="G72" s="28">
        <f>IF(OR(D72="",F72=""),"",F72-D72)</f>
        <v/>
      </c>
      <c r="H72" s="29">
        <f>IF(OR(G72="",D72=0),"",G72/D72*100)</f>
        <v/>
      </c>
      <c r="I72" s="30">
        <f>IF(A72="","",IF(COUNTIF($B$5:$B$504,A72)&gt;0,IF(ABS(SUMIF($B$5:$B$504,A72,$C$5:$C$504)-100)&lt;0.0001,"✔ alt gruplar Σ=100","⚠ alt gruplar Σ≠100"),IF(G72="","—",IF(ABS(G72)&lt;=PursUyum,"✔ uyumlu",IF(ABS(G72)&lt;=PursCiddi,"⚠ dikkat","✗ ciddi fark")))))</f>
        <v/>
      </c>
      <c r="J72" s="5" t="n"/>
      <c r="K72" s="5" t="n"/>
    </row>
    <row r="73">
      <c r="A73" s="5" t="n"/>
      <c r="B73" s="5" t="n"/>
      <c r="C73" s="26" t="n"/>
      <c r="D73" s="27">
        <f>IF(OR(A73="",C73=""),"",C73*IFERROR(VLOOKUP(B73,$A$5:$C$504,3,FALSE)/100,1)*IFERROR(VLOOKUP(IFERROR(VLOOKUP(B73,$A$5:$B$504,2,FALSE),""),$A$5:$C$504,3,FALSE)/100,1)*IFERROR(VLOOKUP(IFERROR(VLOOKUP(IFERROR(VLOOKUP(B73,$A$5:$B$504,2,FALSE),""),$A$5:$B$504,2,FALSE),""),$A$5:$C$504,3,FALSE)/100,1))</f>
        <v/>
      </c>
      <c r="E73" s="21">
        <f>IF(A73="","",SUMIF('Grup Eşleme'!$B$5:$B$504,A73,'Grup Eşleme'!$C$5:$C$504))</f>
        <v/>
      </c>
      <c r="F73" s="27">
        <f>IF(OR(A73="",'Metraj Mahal Listesi'!$K$3=0,COUNTIF($B$5:$B$504,A73)&gt;0),"",E73/'Metraj Mahal Listesi'!$K$3*100)</f>
        <v/>
      </c>
      <c r="G73" s="28">
        <f>IF(OR(D73="",F73=""),"",F73-D73)</f>
        <v/>
      </c>
      <c r="H73" s="29">
        <f>IF(OR(G73="",D73=0),"",G73/D73*100)</f>
        <v/>
      </c>
      <c r="I73" s="30">
        <f>IF(A73="","",IF(COUNTIF($B$5:$B$504,A73)&gt;0,IF(ABS(SUMIF($B$5:$B$504,A73,$C$5:$C$504)-100)&lt;0.0001,"✔ alt gruplar Σ=100","⚠ alt gruplar Σ≠100"),IF(G73="","—",IF(ABS(G73)&lt;=PursUyum,"✔ uyumlu",IF(ABS(G73)&lt;=PursCiddi,"⚠ dikkat","✗ ciddi fark")))))</f>
        <v/>
      </c>
      <c r="J73" s="5" t="n"/>
      <c r="K73" s="5" t="n"/>
    </row>
    <row r="74">
      <c r="A74" s="5" t="n"/>
      <c r="B74" s="5" t="n"/>
      <c r="C74" s="26" t="n"/>
      <c r="D74" s="27">
        <f>IF(OR(A74="",C74=""),"",C74*IFERROR(VLOOKUP(B74,$A$5:$C$504,3,FALSE)/100,1)*IFERROR(VLOOKUP(IFERROR(VLOOKUP(B74,$A$5:$B$504,2,FALSE),""),$A$5:$C$504,3,FALSE)/100,1)*IFERROR(VLOOKUP(IFERROR(VLOOKUP(IFERROR(VLOOKUP(B74,$A$5:$B$504,2,FALSE),""),$A$5:$B$504,2,FALSE),""),$A$5:$C$504,3,FALSE)/100,1))</f>
        <v/>
      </c>
      <c r="E74" s="21">
        <f>IF(A74="","",SUMIF('Grup Eşleme'!$B$5:$B$504,A74,'Grup Eşleme'!$C$5:$C$504))</f>
        <v/>
      </c>
      <c r="F74" s="27">
        <f>IF(OR(A74="",'Metraj Mahal Listesi'!$K$3=0,COUNTIF($B$5:$B$504,A74)&gt;0),"",E74/'Metraj Mahal Listesi'!$K$3*100)</f>
        <v/>
      </c>
      <c r="G74" s="28">
        <f>IF(OR(D74="",F74=""),"",F74-D74)</f>
        <v/>
      </c>
      <c r="H74" s="29">
        <f>IF(OR(G74="",D74=0),"",G74/D74*100)</f>
        <v/>
      </c>
      <c r="I74" s="30">
        <f>IF(A74="","",IF(COUNTIF($B$5:$B$504,A74)&gt;0,IF(ABS(SUMIF($B$5:$B$504,A74,$C$5:$C$504)-100)&lt;0.0001,"✔ alt gruplar Σ=100","⚠ alt gruplar Σ≠100"),IF(G74="","—",IF(ABS(G74)&lt;=PursUyum,"✔ uyumlu",IF(ABS(G74)&lt;=PursCiddi,"⚠ dikkat","✗ ciddi fark")))))</f>
        <v/>
      </c>
      <c r="J74" s="5" t="n"/>
      <c r="K74" s="5" t="n"/>
    </row>
    <row r="75">
      <c r="A75" s="5" t="n"/>
      <c r="B75" s="5" t="n"/>
      <c r="C75" s="26" t="n"/>
      <c r="D75" s="27">
        <f>IF(OR(A75="",C75=""),"",C75*IFERROR(VLOOKUP(B75,$A$5:$C$504,3,FALSE)/100,1)*IFERROR(VLOOKUP(IFERROR(VLOOKUP(B75,$A$5:$B$504,2,FALSE),""),$A$5:$C$504,3,FALSE)/100,1)*IFERROR(VLOOKUP(IFERROR(VLOOKUP(IFERROR(VLOOKUP(B75,$A$5:$B$504,2,FALSE),""),$A$5:$B$504,2,FALSE),""),$A$5:$C$504,3,FALSE)/100,1))</f>
        <v/>
      </c>
      <c r="E75" s="21">
        <f>IF(A75="","",SUMIF('Grup Eşleme'!$B$5:$B$504,A75,'Grup Eşleme'!$C$5:$C$504))</f>
        <v/>
      </c>
      <c r="F75" s="27">
        <f>IF(OR(A75="",'Metraj Mahal Listesi'!$K$3=0,COUNTIF($B$5:$B$504,A75)&gt;0),"",E75/'Metraj Mahal Listesi'!$K$3*100)</f>
        <v/>
      </c>
      <c r="G75" s="28">
        <f>IF(OR(D75="",F75=""),"",F75-D75)</f>
        <v/>
      </c>
      <c r="H75" s="29">
        <f>IF(OR(G75="",D75=0),"",G75/D75*100)</f>
        <v/>
      </c>
      <c r="I75" s="30">
        <f>IF(A75="","",IF(COUNTIF($B$5:$B$504,A75)&gt;0,IF(ABS(SUMIF($B$5:$B$504,A75,$C$5:$C$504)-100)&lt;0.0001,"✔ alt gruplar Σ=100","⚠ alt gruplar Σ≠100"),IF(G75="","—",IF(ABS(G75)&lt;=PursUyum,"✔ uyumlu",IF(ABS(G75)&lt;=PursCiddi,"⚠ dikkat","✗ ciddi fark")))))</f>
        <v/>
      </c>
      <c r="J75" s="5" t="n"/>
      <c r="K75" s="5" t="n"/>
    </row>
    <row r="76">
      <c r="A76" s="5" t="n"/>
      <c r="B76" s="5" t="n"/>
      <c r="C76" s="26" t="n"/>
      <c r="D76" s="27">
        <f>IF(OR(A76="",C76=""),"",C76*IFERROR(VLOOKUP(B76,$A$5:$C$504,3,FALSE)/100,1)*IFERROR(VLOOKUP(IFERROR(VLOOKUP(B76,$A$5:$B$504,2,FALSE),""),$A$5:$C$504,3,FALSE)/100,1)*IFERROR(VLOOKUP(IFERROR(VLOOKUP(IFERROR(VLOOKUP(B76,$A$5:$B$504,2,FALSE),""),$A$5:$B$504,2,FALSE),""),$A$5:$C$504,3,FALSE)/100,1))</f>
        <v/>
      </c>
      <c r="E76" s="21">
        <f>IF(A76="","",SUMIF('Grup Eşleme'!$B$5:$B$504,A76,'Grup Eşleme'!$C$5:$C$504))</f>
        <v/>
      </c>
      <c r="F76" s="27">
        <f>IF(OR(A76="",'Metraj Mahal Listesi'!$K$3=0,COUNTIF($B$5:$B$504,A76)&gt;0),"",E76/'Metraj Mahal Listesi'!$K$3*100)</f>
        <v/>
      </c>
      <c r="G76" s="28">
        <f>IF(OR(D76="",F76=""),"",F76-D76)</f>
        <v/>
      </c>
      <c r="H76" s="29">
        <f>IF(OR(G76="",D76=0),"",G76/D76*100)</f>
        <v/>
      </c>
      <c r="I76" s="30">
        <f>IF(A76="","",IF(COUNTIF($B$5:$B$504,A76)&gt;0,IF(ABS(SUMIF($B$5:$B$504,A76,$C$5:$C$504)-100)&lt;0.0001,"✔ alt gruplar Σ=100","⚠ alt gruplar Σ≠100"),IF(G76="","—",IF(ABS(G76)&lt;=PursUyum,"✔ uyumlu",IF(ABS(G76)&lt;=PursCiddi,"⚠ dikkat","✗ ciddi fark")))))</f>
        <v/>
      </c>
      <c r="J76" s="5" t="n"/>
      <c r="K76" s="5" t="n"/>
    </row>
    <row r="77">
      <c r="A77" s="5" t="n"/>
      <c r="B77" s="5" t="n"/>
      <c r="C77" s="26" t="n"/>
      <c r="D77" s="27">
        <f>IF(OR(A77="",C77=""),"",C77*IFERROR(VLOOKUP(B77,$A$5:$C$504,3,FALSE)/100,1)*IFERROR(VLOOKUP(IFERROR(VLOOKUP(B77,$A$5:$B$504,2,FALSE),""),$A$5:$C$504,3,FALSE)/100,1)*IFERROR(VLOOKUP(IFERROR(VLOOKUP(IFERROR(VLOOKUP(B77,$A$5:$B$504,2,FALSE),""),$A$5:$B$504,2,FALSE),""),$A$5:$C$504,3,FALSE)/100,1))</f>
        <v/>
      </c>
      <c r="E77" s="21">
        <f>IF(A77="","",SUMIF('Grup Eşleme'!$B$5:$B$504,A77,'Grup Eşleme'!$C$5:$C$504))</f>
        <v/>
      </c>
      <c r="F77" s="27">
        <f>IF(OR(A77="",'Metraj Mahal Listesi'!$K$3=0,COUNTIF($B$5:$B$504,A77)&gt;0),"",E77/'Metraj Mahal Listesi'!$K$3*100)</f>
        <v/>
      </c>
      <c r="G77" s="28">
        <f>IF(OR(D77="",F77=""),"",F77-D77)</f>
        <v/>
      </c>
      <c r="H77" s="29">
        <f>IF(OR(G77="",D77=0),"",G77/D77*100)</f>
        <v/>
      </c>
      <c r="I77" s="30">
        <f>IF(A77="","",IF(COUNTIF($B$5:$B$504,A77)&gt;0,IF(ABS(SUMIF($B$5:$B$504,A77,$C$5:$C$504)-100)&lt;0.0001,"✔ alt gruplar Σ=100","⚠ alt gruplar Σ≠100"),IF(G77="","—",IF(ABS(G77)&lt;=PursUyum,"✔ uyumlu",IF(ABS(G77)&lt;=PursCiddi,"⚠ dikkat","✗ ciddi fark")))))</f>
        <v/>
      </c>
      <c r="J77" s="5" t="n"/>
      <c r="K77" s="5" t="n"/>
    </row>
    <row r="78">
      <c r="A78" s="5" t="n"/>
      <c r="B78" s="5" t="n"/>
      <c r="C78" s="26" t="n"/>
      <c r="D78" s="27">
        <f>IF(OR(A78="",C78=""),"",C78*IFERROR(VLOOKUP(B78,$A$5:$C$504,3,FALSE)/100,1)*IFERROR(VLOOKUP(IFERROR(VLOOKUP(B78,$A$5:$B$504,2,FALSE),""),$A$5:$C$504,3,FALSE)/100,1)*IFERROR(VLOOKUP(IFERROR(VLOOKUP(IFERROR(VLOOKUP(B78,$A$5:$B$504,2,FALSE),""),$A$5:$B$504,2,FALSE),""),$A$5:$C$504,3,FALSE)/100,1))</f>
        <v/>
      </c>
      <c r="E78" s="21">
        <f>IF(A78="","",SUMIF('Grup Eşleme'!$B$5:$B$504,A78,'Grup Eşleme'!$C$5:$C$504))</f>
        <v/>
      </c>
      <c r="F78" s="27">
        <f>IF(OR(A78="",'Metraj Mahal Listesi'!$K$3=0,COUNTIF($B$5:$B$504,A78)&gt;0),"",E78/'Metraj Mahal Listesi'!$K$3*100)</f>
        <v/>
      </c>
      <c r="G78" s="28">
        <f>IF(OR(D78="",F78=""),"",F78-D78)</f>
        <v/>
      </c>
      <c r="H78" s="29">
        <f>IF(OR(G78="",D78=0),"",G78/D78*100)</f>
        <v/>
      </c>
      <c r="I78" s="30">
        <f>IF(A78="","",IF(COUNTIF($B$5:$B$504,A78)&gt;0,IF(ABS(SUMIF($B$5:$B$504,A78,$C$5:$C$504)-100)&lt;0.0001,"✔ alt gruplar Σ=100","⚠ alt gruplar Σ≠100"),IF(G78="","—",IF(ABS(G78)&lt;=PursUyum,"✔ uyumlu",IF(ABS(G78)&lt;=PursCiddi,"⚠ dikkat","✗ ciddi fark")))))</f>
        <v/>
      </c>
      <c r="J78" s="5" t="n"/>
      <c r="K78" s="5" t="n"/>
    </row>
    <row r="79">
      <c r="A79" s="5" t="n"/>
      <c r="B79" s="5" t="n"/>
      <c r="C79" s="26" t="n"/>
      <c r="D79" s="27">
        <f>IF(OR(A79="",C79=""),"",C79*IFERROR(VLOOKUP(B79,$A$5:$C$504,3,FALSE)/100,1)*IFERROR(VLOOKUP(IFERROR(VLOOKUP(B79,$A$5:$B$504,2,FALSE),""),$A$5:$C$504,3,FALSE)/100,1)*IFERROR(VLOOKUP(IFERROR(VLOOKUP(IFERROR(VLOOKUP(B79,$A$5:$B$504,2,FALSE),""),$A$5:$B$504,2,FALSE),""),$A$5:$C$504,3,FALSE)/100,1))</f>
        <v/>
      </c>
      <c r="E79" s="21">
        <f>IF(A79="","",SUMIF('Grup Eşleme'!$B$5:$B$504,A79,'Grup Eşleme'!$C$5:$C$504))</f>
        <v/>
      </c>
      <c r="F79" s="27">
        <f>IF(OR(A79="",'Metraj Mahal Listesi'!$K$3=0,COUNTIF($B$5:$B$504,A79)&gt;0),"",E79/'Metraj Mahal Listesi'!$K$3*100)</f>
        <v/>
      </c>
      <c r="G79" s="28">
        <f>IF(OR(D79="",F79=""),"",F79-D79)</f>
        <v/>
      </c>
      <c r="H79" s="29">
        <f>IF(OR(G79="",D79=0),"",G79/D79*100)</f>
        <v/>
      </c>
      <c r="I79" s="30">
        <f>IF(A79="","",IF(COUNTIF($B$5:$B$504,A79)&gt;0,IF(ABS(SUMIF($B$5:$B$504,A79,$C$5:$C$504)-100)&lt;0.0001,"✔ alt gruplar Σ=100","⚠ alt gruplar Σ≠100"),IF(G79="","—",IF(ABS(G79)&lt;=PursUyum,"✔ uyumlu",IF(ABS(G79)&lt;=PursCiddi,"⚠ dikkat","✗ ciddi fark")))))</f>
        <v/>
      </c>
      <c r="J79" s="5" t="n"/>
      <c r="K79" s="5" t="n"/>
    </row>
    <row r="80">
      <c r="A80" s="5" t="n"/>
      <c r="B80" s="5" t="n"/>
      <c r="C80" s="26" t="n"/>
      <c r="D80" s="27">
        <f>IF(OR(A80="",C80=""),"",C80*IFERROR(VLOOKUP(B80,$A$5:$C$504,3,FALSE)/100,1)*IFERROR(VLOOKUP(IFERROR(VLOOKUP(B80,$A$5:$B$504,2,FALSE),""),$A$5:$C$504,3,FALSE)/100,1)*IFERROR(VLOOKUP(IFERROR(VLOOKUP(IFERROR(VLOOKUP(B80,$A$5:$B$504,2,FALSE),""),$A$5:$B$504,2,FALSE),""),$A$5:$C$504,3,FALSE)/100,1))</f>
        <v/>
      </c>
      <c r="E80" s="21">
        <f>IF(A80="","",SUMIF('Grup Eşleme'!$B$5:$B$504,A80,'Grup Eşleme'!$C$5:$C$504))</f>
        <v/>
      </c>
      <c r="F80" s="27">
        <f>IF(OR(A80="",'Metraj Mahal Listesi'!$K$3=0,COUNTIF($B$5:$B$504,A80)&gt;0),"",E80/'Metraj Mahal Listesi'!$K$3*100)</f>
        <v/>
      </c>
      <c r="G80" s="28">
        <f>IF(OR(D80="",F80=""),"",F80-D80)</f>
        <v/>
      </c>
      <c r="H80" s="29">
        <f>IF(OR(G80="",D80=0),"",G80/D80*100)</f>
        <v/>
      </c>
      <c r="I80" s="30">
        <f>IF(A80="","",IF(COUNTIF($B$5:$B$504,A80)&gt;0,IF(ABS(SUMIF($B$5:$B$504,A80,$C$5:$C$504)-100)&lt;0.0001,"✔ alt gruplar Σ=100","⚠ alt gruplar Σ≠100"),IF(G80="","—",IF(ABS(G80)&lt;=PursUyum,"✔ uyumlu",IF(ABS(G80)&lt;=PursCiddi,"⚠ dikkat","✗ ciddi fark")))))</f>
        <v/>
      </c>
      <c r="J80" s="5" t="n"/>
      <c r="K80" s="5" t="n"/>
    </row>
    <row r="81">
      <c r="A81" s="5" t="n"/>
      <c r="B81" s="5" t="n"/>
      <c r="C81" s="26" t="n"/>
      <c r="D81" s="27">
        <f>IF(OR(A81="",C81=""),"",C81*IFERROR(VLOOKUP(B81,$A$5:$C$504,3,FALSE)/100,1)*IFERROR(VLOOKUP(IFERROR(VLOOKUP(B81,$A$5:$B$504,2,FALSE),""),$A$5:$C$504,3,FALSE)/100,1)*IFERROR(VLOOKUP(IFERROR(VLOOKUP(IFERROR(VLOOKUP(B81,$A$5:$B$504,2,FALSE),""),$A$5:$B$504,2,FALSE),""),$A$5:$C$504,3,FALSE)/100,1))</f>
        <v/>
      </c>
      <c r="E81" s="21">
        <f>IF(A81="","",SUMIF('Grup Eşleme'!$B$5:$B$504,A81,'Grup Eşleme'!$C$5:$C$504))</f>
        <v/>
      </c>
      <c r="F81" s="27">
        <f>IF(OR(A81="",'Metraj Mahal Listesi'!$K$3=0,COUNTIF($B$5:$B$504,A81)&gt;0),"",E81/'Metraj Mahal Listesi'!$K$3*100)</f>
        <v/>
      </c>
      <c r="G81" s="28">
        <f>IF(OR(D81="",F81=""),"",F81-D81)</f>
        <v/>
      </c>
      <c r="H81" s="29">
        <f>IF(OR(G81="",D81=0),"",G81/D81*100)</f>
        <v/>
      </c>
      <c r="I81" s="30">
        <f>IF(A81="","",IF(COUNTIF($B$5:$B$504,A81)&gt;0,IF(ABS(SUMIF($B$5:$B$504,A81,$C$5:$C$504)-100)&lt;0.0001,"✔ alt gruplar Σ=100","⚠ alt gruplar Σ≠100"),IF(G81="","—",IF(ABS(G81)&lt;=PursUyum,"✔ uyumlu",IF(ABS(G81)&lt;=PursCiddi,"⚠ dikkat","✗ ciddi fark")))))</f>
        <v/>
      </c>
      <c r="J81" s="5" t="n"/>
      <c r="K81" s="5" t="n"/>
    </row>
    <row r="82">
      <c r="A82" s="5" t="n"/>
      <c r="B82" s="5" t="n"/>
      <c r="C82" s="26" t="n"/>
      <c r="D82" s="27">
        <f>IF(OR(A82="",C82=""),"",C82*IFERROR(VLOOKUP(B82,$A$5:$C$504,3,FALSE)/100,1)*IFERROR(VLOOKUP(IFERROR(VLOOKUP(B82,$A$5:$B$504,2,FALSE),""),$A$5:$C$504,3,FALSE)/100,1)*IFERROR(VLOOKUP(IFERROR(VLOOKUP(IFERROR(VLOOKUP(B82,$A$5:$B$504,2,FALSE),""),$A$5:$B$504,2,FALSE),""),$A$5:$C$504,3,FALSE)/100,1))</f>
        <v/>
      </c>
      <c r="E82" s="21">
        <f>IF(A82="","",SUMIF('Grup Eşleme'!$B$5:$B$504,A82,'Grup Eşleme'!$C$5:$C$504))</f>
        <v/>
      </c>
      <c r="F82" s="27">
        <f>IF(OR(A82="",'Metraj Mahal Listesi'!$K$3=0,COUNTIF($B$5:$B$504,A82)&gt;0),"",E82/'Metraj Mahal Listesi'!$K$3*100)</f>
        <v/>
      </c>
      <c r="G82" s="28">
        <f>IF(OR(D82="",F82=""),"",F82-D82)</f>
        <v/>
      </c>
      <c r="H82" s="29">
        <f>IF(OR(G82="",D82=0),"",G82/D82*100)</f>
        <v/>
      </c>
      <c r="I82" s="30">
        <f>IF(A82="","",IF(COUNTIF($B$5:$B$504,A82)&gt;0,IF(ABS(SUMIF($B$5:$B$504,A82,$C$5:$C$504)-100)&lt;0.0001,"✔ alt gruplar Σ=100","⚠ alt gruplar Σ≠100"),IF(G82="","—",IF(ABS(G82)&lt;=PursUyum,"✔ uyumlu",IF(ABS(G82)&lt;=PursCiddi,"⚠ dikkat","✗ ciddi fark")))))</f>
        <v/>
      </c>
      <c r="J82" s="5" t="n"/>
      <c r="K82" s="5" t="n"/>
    </row>
    <row r="83">
      <c r="A83" s="5" t="n"/>
      <c r="B83" s="5" t="n"/>
      <c r="C83" s="26" t="n"/>
      <c r="D83" s="27">
        <f>IF(OR(A83="",C83=""),"",C83*IFERROR(VLOOKUP(B83,$A$5:$C$504,3,FALSE)/100,1)*IFERROR(VLOOKUP(IFERROR(VLOOKUP(B83,$A$5:$B$504,2,FALSE),""),$A$5:$C$504,3,FALSE)/100,1)*IFERROR(VLOOKUP(IFERROR(VLOOKUP(IFERROR(VLOOKUP(B83,$A$5:$B$504,2,FALSE),""),$A$5:$B$504,2,FALSE),""),$A$5:$C$504,3,FALSE)/100,1))</f>
        <v/>
      </c>
      <c r="E83" s="21">
        <f>IF(A83="","",SUMIF('Grup Eşleme'!$B$5:$B$504,A83,'Grup Eşleme'!$C$5:$C$504))</f>
        <v/>
      </c>
      <c r="F83" s="27">
        <f>IF(OR(A83="",'Metraj Mahal Listesi'!$K$3=0,COUNTIF($B$5:$B$504,A83)&gt;0),"",E83/'Metraj Mahal Listesi'!$K$3*100)</f>
        <v/>
      </c>
      <c r="G83" s="28">
        <f>IF(OR(D83="",F83=""),"",F83-D83)</f>
        <v/>
      </c>
      <c r="H83" s="29">
        <f>IF(OR(G83="",D83=0),"",G83/D83*100)</f>
        <v/>
      </c>
      <c r="I83" s="30">
        <f>IF(A83="","",IF(COUNTIF($B$5:$B$504,A83)&gt;0,IF(ABS(SUMIF($B$5:$B$504,A83,$C$5:$C$504)-100)&lt;0.0001,"✔ alt gruplar Σ=100","⚠ alt gruplar Σ≠100"),IF(G83="","—",IF(ABS(G83)&lt;=PursUyum,"✔ uyumlu",IF(ABS(G83)&lt;=PursCiddi,"⚠ dikkat","✗ ciddi fark")))))</f>
        <v/>
      </c>
      <c r="J83" s="5" t="n"/>
      <c r="K83" s="5" t="n"/>
    </row>
    <row r="84">
      <c r="A84" s="5" t="n"/>
      <c r="B84" s="5" t="n"/>
      <c r="C84" s="26" t="n"/>
      <c r="D84" s="27">
        <f>IF(OR(A84="",C84=""),"",C84*IFERROR(VLOOKUP(B84,$A$5:$C$504,3,FALSE)/100,1)*IFERROR(VLOOKUP(IFERROR(VLOOKUP(B84,$A$5:$B$504,2,FALSE),""),$A$5:$C$504,3,FALSE)/100,1)*IFERROR(VLOOKUP(IFERROR(VLOOKUP(IFERROR(VLOOKUP(B84,$A$5:$B$504,2,FALSE),""),$A$5:$B$504,2,FALSE),""),$A$5:$C$504,3,FALSE)/100,1))</f>
        <v/>
      </c>
      <c r="E84" s="21">
        <f>IF(A84="","",SUMIF('Grup Eşleme'!$B$5:$B$504,A84,'Grup Eşleme'!$C$5:$C$504))</f>
        <v/>
      </c>
      <c r="F84" s="27">
        <f>IF(OR(A84="",'Metraj Mahal Listesi'!$K$3=0,COUNTIF($B$5:$B$504,A84)&gt;0),"",E84/'Metraj Mahal Listesi'!$K$3*100)</f>
        <v/>
      </c>
      <c r="G84" s="28">
        <f>IF(OR(D84="",F84=""),"",F84-D84)</f>
        <v/>
      </c>
      <c r="H84" s="29">
        <f>IF(OR(G84="",D84=0),"",G84/D84*100)</f>
        <v/>
      </c>
      <c r="I84" s="30">
        <f>IF(A84="","",IF(COUNTIF($B$5:$B$504,A84)&gt;0,IF(ABS(SUMIF($B$5:$B$504,A84,$C$5:$C$504)-100)&lt;0.0001,"✔ alt gruplar Σ=100","⚠ alt gruplar Σ≠100"),IF(G84="","—",IF(ABS(G84)&lt;=PursUyum,"✔ uyumlu",IF(ABS(G84)&lt;=PursCiddi,"⚠ dikkat","✗ ciddi fark")))))</f>
        <v/>
      </c>
      <c r="J84" s="5" t="n"/>
      <c r="K84" s="5" t="n"/>
    </row>
    <row r="85">
      <c r="A85" s="5" t="n"/>
      <c r="B85" s="5" t="n"/>
      <c r="C85" s="26" t="n"/>
      <c r="D85" s="27">
        <f>IF(OR(A85="",C85=""),"",C85*IFERROR(VLOOKUP(B85,$A$5:$C$504,3,FALSE)/100,1)*IFERROR(VLOOKUP(IFERROR(VLOOKUP(B85,$A$5:$B$504,2,FALSE),""),$A$5:$C$504,3,FALSE)/100,1)*IFERROR(VLOOKUP(IFERROR(VLOOKUP(IFERROR(VLOOKUP(B85,$A$5:$B$504,2,FALSE),""),$A$5:$B$504,2,FALSE),""),$A$5:$C$504,3,FALSE)/100,1))</f>
        <v/>
      </c>
      <c r="E85" s="21">
        <f>IF(A85="","",SUMIF('Grup Eşleme'!$B$5:$B$504,A85,'Grup Eşleme'!$C$5:$C$504))</f>
        <v/>
      </c>
      <c r="F85" s="27">
        <f>IF(OR(A85="",'Metraj Mahal Listesi'!$K$3=0,COUNTIF($B$5:$B$504,A85)&gt;0),"",E85/'Metraj Mahal Listesi'!$K$3*100)</f>
        <v/>
      </c>
      <c r="G85" s="28">
        <f>IF(OR(D85="",F85=""),"",F85-D85)</f>
        <v/>
      </c>
      <c r="H85" s="29">
        <f>IF(OR(G85="",D85=0),"",G85/D85*100)</f>
        <v/>
      </c>
      <c r="I85" s="30">
        <f>IF(A85="","",IF(COUNTIF($B$5:$B$504,A85)&gt;0,IF(ABS(SUMIF($B$5:$B$504,A85,$C$5:$C$504)-100)&lt;0.0001,"✔ alt gruplar Σ=100","⚠ alt gruplar Σ≠100"),IF(G85="","—",IF(ABS(G85)&lt;=PursUyum,"✔ uyumlu",IF(ABS(G85)&lt;=PursCiddi,"⚠ dikkat","✗ ciddi fark")))))</f>
        <v/>
      </c>
      <c r="J85" s="5" t="n"/>
      <c r="K85" s="5" t="n"/>
    </row>
    <row r="86">
      <c r="A86" s="5" t="n"/>
      <c r="B86" s="5" t="n"/>
      <c r="C86" s="26" t="n"/>
      <c r="D86" s="27">
        <f>IF(OR(A86="",C86=""),"",C86*IFERROR(VLOOKUP(B86,$A$5:$C$504,3,FALSE)/100,1)*IFERROR(VLOOKUP(IFERROR(VLOOKUP(B86,$A$5:$B$504,2,FALSE),""),$A$5:$C$504,3,FALSE)/100,1)*IFERROR(VLOOKUP(IFERROR(VLOOKUP(IFERROR(VLOOKUP(B86,$A$5:$B$504,2,FALSE),""),$A$5:$B$504,2,FALSE),""),$A$5:$C$504,3,FALSE)/100,1))</f>
        <v/>
      </c>
      <c r="E86" s="21">
        <f>IF(A86="","",SUMIF('Grup Eşleme'!$B$5:$B$504,A86,'Grup Eşleme'!$C$5:$C$504))</f>
        <v/>
      </c>
      <c r="F86" s="27">
        <f>IF(OR(A86="",'Metraj Mahal Listesi'!$K$3=0,COUNTIF($B$5:$B$504,A86)&gt;0),"",E86/'Metraj Mahal Listesi'!$K$3*100)</f>
        <v/>
      </c>
      <c r="G86" s="28">
        <f>IF(OR(D86="",F86=""),"",F86-D86)</f>
        <v/>
      </c>
      <c r="H86" s="29">
        <f>IF(OR(G86="",D86=0),"",G86/D86*100)</f>
        <v/>
      </c>
      <c r="I86" s="30">
        <f>IF(A86="","",IF(COUNTIF($B$5:$B$504,A86)&gt;0,IF(ABS(SUMIF($B$5:$B$504,A86,$C$5:$C$504)-100)&lt;0.0001,"✔ alt gruplar Σ=100","⚠ alt gruplar Σ≠100"),IF(G86="","—",IF(ABS(G86)&lt;=PursUyum,"✔ uyumlu",IF(ABS(G86)&lt;=PursCiddi,"⚠ dikkat","✗ ciddi fark")))))</f>
        <v/>
      </c>
      <c r="J86" s="5" t="n"/>
      <c r="K86" s="5" t="n"/>
    </row>
    <row r="87">
      <c r="A87" s="5" t="n"/>
      <c r="B87" s="5" t="n"/>
      <c r="C87" s="26" t="n"/>
      <c r="D87" s="27">
        <f>IF(OR(A87="",C87=""),"",C87*IFERROR(VLOOKUP(B87,$A$5:$C$504,3,FALSE)/100,1)*IFERROR(VLOOKUP(IFERROR(VLOOKUP(B87,$A$5:$B$504,2,FALSE),""),$A$5:$C$504,3,FALSE)/100,1)*IFERROR(VLOOKUP(IFERROR(VLOOKUP(IFERROR(VLOOKUP(B87,$A$5:$B$504,2,FALSE),""),$A$5:$B$504,2,FALSE),""),$A$5:$C$504,3,FALSE)/100,1))</f>
        <v/>
      </c>
      <c r="E87" s="21">
        <f>IF(A87="","",SUMIF('Grup Eşleme'!$B$5:$B$504,A87,'Grup Eşleme'!$C$5:$C$504))</f>
        <v/>
      </c>
      <c r="F87" s="27">
        <f>IF(OR(A87="",'Metraj Mahal Listesi'!$K$3=0,COUNTIF($B$5:$B$504,A87)&gt;0),"",E87/'Metraj Mahal Listesi'!$K$3*100)</f>
        <v/>
      </c>
      <c r="G87" s="28">
        <f>IF(OR(D87="",F87=""),"",F87-D87)</f>
        <v/>
      </c>
      <c r="H87" s="29">
        <f>IF(OR(G87="",D87=0),"",G87/D87*100)</f>
        <v/>
      </c>
      <c r="I87" s="30">
        <f>IF(A87="","",IF(COUNTIF($B$5:$B$504,A87)&gt;0,IF(ABS(SUMIF($B$5:$B$504,A87,$C$5:$C$504)-100)&lt;0.0001,"✔ alt gruplar Σ=100","⚠ alt gruplar Σ≠100"),IF(G87="","—",IF(ABS(G87)&lt;=PursUyum,"✔ uyumlu",IF(ABS(G87)&lt;=PursCiddi,"⚠ dikkat","✗ ciddi fark")))))</f>
        <v/>
      </c>
      <c r="J87" s="5" t="n"/>
      <c r="K87" s="5" t="n"/>
    </row>
    <row r="88">
      <c r="A88" s="5" t="n"/>
      <c r="B88" s="5" t="n"/>
      <c r="C88" s="26" t="n"/>
      <c r="D88" s="27">
        <f>IF(OR(A88="",C88=""),"",C88*IFERROR(VLOOKUP(B88,$A$5:$C$504,3,FALSE)/100,1)*IFERROR(VLOOKUP(IFERROR(VLOOKUP(B88,$A$5:$B$504,2,FALSE),""),$A$5:$C$504,3,FALSE)/100,1)*IFERROR(VLOOKUP(IFERROR(VLOOKUP(IFERROR(VLOOKUP(B88,$A$5:$B$504,2,FALSE),""),$A$5:$B$504,2,FALSE),""),$A$5:$C$504,3,FALSE)/100,1))</f>
        <v/>
      </c>
      <c r="E88" s="21">
        <f>IF(A88="","",SUMIF('Grup Eşleme'!$B$5:$B$504,A88,'Grup Eşleme'!$C$5:$C$504))</f>
        <v/>
      </c>
      <c r="F88" s="27">
        <f>IF(OR(A88="",'Metraj Mahal Listesi'!$K$3=0,COUNTIF($B$5:$B$504,A88)&gt;0),"",E88/'Metraj Mahal Listesi'!$K$3*100)</f>
        <v/>
      </c>
      <c r="G88" s="28">
        <f>IF(OR(D88="",F88=""),"",F88-D88)</f>
        <v/>
      </c>
      <c r="H88" s="29">
        <f>IF(OR(G88="",D88=0),"",G88/D88*100)</f>
        <v/>
      </c>
      <c r="I88" s="30">
        <f>IF(A88="","",IF(COUNTIF($B$5:$B$504,A88)&gt;0,IF(ABS(SUMIF($B$5:$B$504,A88,$C$5:$C$504)-100)&lt;0.0001,"✔ alt gruplar Σ=100","⚠ alt gruplar Σ≠100"),IF(G88="","—",IF(ABS(G88)&lt;=PursUyum,"✔ uyumlu",IF(ABS(G88)&lt;=PursCiddi,"⚠ dikkat","✗ ciddi fark")))))</f>
        <v/>
      </c>
      <c r="J88" s="5" t="n"/>
      <c r="K88" s="5" t="n"/>
    </row>
    <row r="89">
      <c r="A89" s="5" t="n"/>
      <c r="B89" s="5" t="n"/>
      <c r="C89" s="26" t="n"/>
      <c r="D89" s="27">
        <f>IF(OR(A89="",C89=""),"",C89*IFERROR(VLOOKUP(B89,$A$5:$C$504,3,FALSE)/100,1)*IFERROR(VLOOKUP(IFERROR(VLOOKUP(B89,$A$5:$B$504,2,FALSE),""),$A$5:$C$504,3,FALSE)/100,1)*IFERROR(VLOOKUP(IFERROR(VLOOKUP(IFERROR(VLOOKUP(B89,$A$5:$B$504,2,FALSE),""),$A$5:$B$504,2,FALSE),""),$A$5:$C$504,3,FALSE)/100,1))</f>
        <v/>
      </c>
      <c r="E89" s="21">
        <f>IF(A89="","",SUMIF('Grup Eşleme'!$B$5:$B$504,A89,'Grup Eşleme'!$C$5:$C$504))</f>
        <v/>
      </c>
      <c r="F89" s="27">
        <f>IF(OR(A89="",'Metraj Mahal Listesi'!$K$3=0,COUNTIF($B$5:$B$504,A89)&gt;0),"",E89/'Metraj Mahal Listesi'!$K$3*100)</f>
        <v/>
      </c>
      <c r="G89" s="28">
        <f>IF(OR(D89="",F89=""),"",F89-D89)</f>
        <v/>
      </c>
      <c r="H89" s="29">
        <f>IF(OR(G89="",D89=0),"",G89/D89*100)</f>
        <v/>
      </c>
      <c r="I89" s="30">
        <f>IF(A89="","",IF(COUNTIF($B$5:$B$504,A89)&gt;0,IF(ABS(SUMIF($B$5:$B$504,A89,$C$5:$C$504)-100)&lt;0.0001,"✔ alt gruplar Σ=100","⚠ alt gruplar Σ≠100"),IF(G89="","—",IF(ABS(G89)&lt;=PursUyum,"✔ uyumlu",IF(ABS(G89)&lt;=PursCiddi,"⚠ dikkat","✗ ciddi fark")))))</f>
        <v/>
      </c>
      <c r="J89" s="5" t="n"/>
      <c r="K89" s="5" t="n"/>
    </row>
    <row r="90">
      <c r="A90" s="5" t="n"/>
      <c r="B90" s="5" t="n"/>
      <c r="C90" s="26" t="n"/>
      <c r="D90" s="27">
        <f>IF(OR(A90="",C90=""),"",C90*IFERROR(VLOOKUP(B90,$A$5:$C$504,3,FALSE)/100,1)*IFERROR(VLOOKUP(IFERROR(VLOOKUP(B90,$A$5:$B$504,2,FALSE),""),$A$5:$C$504,3,FALSE)/100,1)*IFERROR(VLOOKUP(IFERROR(VLOOKUP(IFERROR(VLOOKUP(B90,$A$5:$B$504,2,FALSE),""),$A$5:$B$504,2,FALSE),""),$A$5:$C$504,3,FALSE)/100,1))</f>
        <v/>
      </c>
      <c r="E90" s="21">
        <f>IF(A90="","",SUMIF('Grup Eşleme'!$B$5:$B$504,A90,'Grup Eşleme'!$C$5:$C$504))</f>
        <v/>
      </c>
      <c r="F90" s="27">
        <f>IF(OR(A90="",'Metraj Mahal Listesi'!$K$3=0,COUNTIF($B$5:$B$504,A90)&gt;0),"",E90/'Metraj Mahal Listesi'!$K$3*100)</f>
        <v/>
      </c>
      <c r="G90" s="28">
        <f>IF(OR(D90="",F90=""),"",F90-D90)</f>
        <v/>
      </c>
      <c r="H90" s="29">
        <f>IF(OR(G90="",D90=0),"",G90/D90*100)</f>
        <v/>
      </c>
      <c r="I90" s="30">
        <f>IF(A90="","",IF(COUNTIF($B$5:$B$504,A90)&gt;0,IF(ABS(SUMIF($B$5:$B$504,A90,$C$5:$C$504)-100)&lt;0.0001,"✔ alt gruplar Σ=100","⚠ alt gruplar Σ≠100"),IF(G90="","—",IF(ABS(G90)&lt;=PursUyum,"✔ uyumlu",IF(ABS(G90)&lt;=PursCiddi,"⚠ dikkat","✗ ciddi fark")))))</f>
        <v/>
      </c>
      <c r="J90" s="5" t="n"/>
      <c r="K90" s="5" t="n"/>
    </row>
    <row r="91">
      <c r="A91" s="5" t="n"/>
      <c r="B91" s="5" t="n"/>
      <c r="C91" s="26" t="n"/>
      <c r="D91" s="27">
        <f>IF(OR(A91="",C91=""),"",C91*IFERROR(VLOOKUP(B91,$A$5:$C$504,3,FALSE)/100,1)*IFERROR(VLOOKUP(IFERROR(VLOOKUP(B91,$A$5:$B$504,2,FALSE),""),$A$5:$C$504,3,FALSE)/100,1)*IFERROR(VLOOKUP(IFERROR(VLOOKUP(IFERROR(VLOOKUP(B91,$A$5:$B$504,2,FALSE),""),$A$5:$B$504,2,FALSE),""),$A$5:$C$504,3,FALSE)/100,1))</f>
        <v/>
      </c>
      <c r="E91" s="21">
        <f>IF(A91="","",SUMIF('Grup Eşleme'!$B$5:$B$504,A91,'Grup Eşleme'!$C$5:$C$504))</f>
        <v/>
      </c>
      <c r="F91" s="27">
        <f>IF(OR(A91="",'Metraj Mahal Listesi'!$K$3=0,COUNTIF($B$5:$B$504,A91)&gt;0),"",E91/'Metraj Mahal Listesi'!$K$3*100)</f>
        <v/>
      </c>
      <c r="G91" s="28">
        <f>IF(OR(D91="",F91=""),"",F91-D91)</f>
        <v/>
      </c>
      <c r="H91" s="29">
        <f>IF(OR(G91="",D91=0),"",G91/D91*100)</f>
        <v/>
      </c>
      <c r="I91" s="30">
        <f>IF(A91="","",IF(COUNTIF($B$5:$B$504,A91)&gt;0,IF(ABS(SUMIF($B$5:$B$504,A91,$C$5:$C$504)-100)&lt;0.0001,"✔ alt gruplar Σ=100","⚠ alt gruplar Σ≠100"),IF(G91="","—",IF(ABS(G91)&lt;=PursUyum,"✔ uyumlu",IF(ABS(G91)&lt;=PursCiddi,"⚠ dikkat","✗ ciddi fark")))))</f>
        <v/>
      </c>
      <c r="J91" s="5" t="n"/>
      <c r="K91" s="5" t="n"/>
    </row>
    <row r="92">
      <c r="A92" s="5" t="n"/>
      <c r="B92" s="5" t="n"/>
      <c r="C92" s="26" t="n"/>
      <c r="D92" s="27">
        <f>IF(OR(A92="",C92=""),"",C92*IFERROR(VLOOKUP(B92,$A$5:$C$504,3,FALSE)/100,1)*IFERROR(VLOOKUP(IFERROR(VLOOKUP(B92,$A$5:$B$504,2,FALSE),""),$A$5:$C$504,3,FALSE)/100,1)*IFERROR(VLOOKUP(IFERROR(VLOOKUP(IFERROR(VLOOKUP(B92,$A$5:$B$504,2,FALSE),""),$A$5:$B$504,2,FALSE),""),$A$5:$C$504,3,FALSE)/100,1))</f>
        <v/>
      </c>
      <c r="E92" s="21">
        <f>IF(A92="","",SUMIF('Grup Eşleme'!$B$5:$B$504,A92,'Grup Eşleme'!$C$5:$C$504))</f>
        <v/>
      </c>
      <c r="F92" s="27">
        <f>IF(OR(A92="",'Metraj Mahal Listesi'!$K$3=0,COUNTIF($B$5:$B$504,A92)&gt;0),"",E92/'Metraj Mahal Listesi'!$K$3*100)</f>
        <v/>
      </c>
      <c r="G92" s="28">
        <f>IF(OR(D92="",F92=""),"",F92-D92)</f>
        <v/>
      </c>
      <c r="H92" s="29">
        <f>IF(OR(G92="",D92=0),"",G92/D92*100)</f>
        <v/>
      </c>
      <c r="I92" s="30">
        <f>IF(A92="","",IF(COUNTIF($B$5:$B$504,A92)&gt;0,IF(ABS(SUMIF($B$5:$B$504,A92,$C$5:$C$504)-100)&lt;0.0001,"✔ alt gruplar Σ=100","⚠ alt gruplar Σ≠100"),IF(G92="","—",IF(ABS(G92)&lt;=PursUyum,"✔ uyumlu",IF(ABS(G92)&lt;=PursCiddi,"⚠ dikkat","✗ ciddi fark")))))</f>
        <v/>
      </c>
      <c r="J92" s="5" t="n"/>
      <c r="K92" s="5" t="n"/>
    </row>
    <row r="93">
      <c r="A93" s="5" t="n"/>
      <c r="B93" s="5" t="n"/>
      <c r="C93" s="26" t="n"/>
      <c r="D93" s="27">
        <f>IF(OR(A93="",C93=""),"",C93*IFERROR(VLOOKUP(B93,$A$5:$C$504,3,FALSE)/100,1)*IFERROR(VLOOKUP(IFERROR(VLOOKUP(B93,$A$5:$B$504,2,FALSE),""),$A$5:$C$504,3,FALSE)/100,1)*IFERROR(VLOOKUP(IFERROR(VLOOKUP(IFERROR(VLOOKUP(B93,$A$5:$B$504,2,FALSE),""),$A$5:$B$504,2,FALSE),""),$A$5:$C$504,3,FALSE)/100,1))</f>
        <v/>
      </c>
      <c r="E93" s="21">
        <f>IF(A93="","",SUMIF('Grup Eşleme'!$B$5:$B$504,A93,'Grup Eşleme'!$C$5:$C$504))</f>
        <v/>
      </c>
      <c r="F93" s="27">
        <f>IF(OR(A93="",'Metraj Mahal Listesi'!$K$3=0,COUNTIF($B$5:$B$504,A93)&gt;0),"",E93/'Metraj Mahal Listesi'!$K$3*100)</f>
        <v/>
      </c>
      <c r="G93" s="28">
        <f>IF(OR(D93="",F93=""),"",F93-D93)</f>
        <v/>
      </c>
      <c r="H93" s="29">
        <f>IF(OR(G93="",D93=0),"",G93/D93*100)</f>
        <v/>
      </c>
      <c r="I93" s="30">
        <f>IF(A93="","",IF(COUNTIF($B$5:$B$504,A93)&gt;0,IF(ABS(SUMIF($B$5:$B$504,A93,$C$5:$C$504)-100)&lt;0.0001,"✔ alt gruplar Σ=100","⚠ alt gruplar Σ≠100"),IF(G93="","—",IF(ABS(G93)&lt;=PursUyum,"✔ uyumlu",IF(ABS(G93)&lt;=PursCiddi,"⚠ dikkat","✗ ciddi fark")))))</f>
        <v/>
      </c>
      <c r="J93" s="5" t="n"/>
      <c r="K93" s="5" t="n"/>
    </row>
    <row r="94">
      <c r="A94" s="5" t="n"/>
      <c r="B94" s="5" t="n"/>
      <c r="C94" s="26" t="n"/>
      <c r="D94" s="27">
        <f>IF(OR(A94="",C94=""),"",C94*IFERROR(VLOOKUP(B94,$A$5:$C$504,3,FALSE)/100,1)*IFERROR(VLOOKUP(IFERROR(VLOOKUP(B94,$A$5:$B$504,2,FALSE),""),$A$5:$C$504,3,FALSE)/100,1)*IFERROR(VLOOKUP(IFERROR(VLOOKUP(IFERROR(VLOOKUP(B94,$A$5:$B$504,2,FALSE),""),$A$5:$B$504,2,FALSE),""),$A$5:$C$504,3,FALSE)/100,1))</f>
        <v/>
      </c>
      <c r="E94" s="21">
        <f>IF(A94="","",SUMIF('Grup Eşleme'!$B$5:$B$504,A94,'Grup Eşleme'!$C$5:$C$504))</f>
        <v/>
      </c>
      <c r="F94" s="27">
        <f>IF(OR(A94="",'Metraj Mahal Listesi'!$K$3=0,COUNTIF($B$5:$B$504,A94)&gt;0),"",E94/'Metraj Mahal Listesi'!$K$3*100)</f>
        <v/>
      </c>
      <c r="G94" s="28">
        <f>IF(OR(D94="",F94=""),"",F94-D94)</f>
        <v/>
      </c>
      <c r="H94" s="29">
        <f>IF(OR(G94="",D94=0),"",G94/D94*100)</f>
        <v/>
      </c>
      <c r="I94" s="30">
        <f>IF(A94="","",IF(COUNTIF($B$5:$B$504,A94)&gt;0,IF(ABS(SUMIF($B$5:$B$504,A94,$C$5:$C$504)-100)&lt;0.0001,"✔ alt gruplar Σ=100","⚠ alt gruplar Σ≠100"),IF(G94="","—",IF(ABS(G94)&lt;=PursUyum,"✔ uyumlu",IF(ABS(G94)&lt;=PursCiddi,"⚠ dikkat","✗ ciddi fark")))))</f>
        <v/>
      </c>
      <c r="J94" s="5" t="n"/>
      <c r="K94" s="5" t="n"/>
    </row>
    <row r="95">
      <c r="A95" s="5" t="n"/>
      <c r="B95" s="5" t="n"/>
      <c r="C95" s="26" t="n"/>
      <c r="D95" s="27">
        <f>IF(OR(A95="",C95=""),"",C95*IFERROR(VLOOKUP(B95,$A$5:$C$504,3,FALSE)/100,1)*IFERROR(VLOOKUP(IFERROR(VLOOKUP(B95,$A$5:$B$504,2,FALSE),""),$A$5:$C$504,3,FALSE)/100,1)*IFERROR(VLOOKUP(IFERROR(VLOOKUP(IFERROR(VLOOKUP(B95,$A$5:$B$504,2,FALSE),""),$A$5:$B$504,2,FALSE),""),$A$5:$C$504,3,FALSE)/100,1))</f>
        <v/>
      </c>
      <c r="E95" s="21">
        <f>IF(A95="","",SUMIF('Grup Eşleme'!$B$5:$B$504,A95,'Grup Eşleme'!$C$5:$C$504))</f>
        <v/>
      </c>
      <c r="F95" s="27">
        <f>IF(OR(A95="",'Metraj Mahal Listesi'!$K$3=0,COUNTIF($B$5:$B$504,A95)&gt;0),"",E95/'Metraj Mahal Listesi'!$K$3*100)</f>
        <v/>
      </c>
      <c r="G95" s="28">
        <f>IF(OR(D95="",F95=""),"",F95-D95)</f>
        <v/>
      </c>
      <c r="H95" s="29">
        <f>IF(OR(G95="",D95=0),"",G95/D95*100)</f>
        <v/>
      </c>
      <c r="I95" s="30">
        <f>IF(A95="","",IF(COUNTIF($B$5:$B$504,A95)&gt;0,IF(ABS(SUMIF($B$5:$B$504,A95,$C$5:$C$504)-100)&lt;0.0001,"✔ alt gruplar Σ=100","⚠ alt gruplar Σ≠100"),IF(G95="","—",IF(ABS(G95)&lt;=PursUyum,"✔ uyumlu",IF(ABS(G95)&lt;=PursCiddi,"⚠ dikkat","✗ ciddi fark")))))</f>
        <v/>
      </c>
      <c r="J95" s="5" t="n"/>
      <c r="K95" s="5" t="n"/>
    </row>
    <row r="96">
      <c r="A96" s="5" t="n"/>
      <c r="B96" s="5" t="n"/>
      <c r="C96" s="26" t="n"/>
      <c r="D96" s="27">
        <f>IF(OR(A96="",C96=""),"",C96*IFERROR(VLOOKUP(B96,$A$5:$C$504,3,FALSE)/100,1)*IFERROR(VLOOKUP(IFERROR(VLOOKUP(B96,$A$5:$B$504,2,FALSE),""),$A$5:$C$504,3,FALSE)/100,1)*IFERROR(VLOOKUP(IFERROR(VLOOKUP(IFERROR(VLOOKUP(B96,$A$5:$B$504,2,FALSE),""),$A$5:$B$504,2,FALSE),""),$A$5:$C$504,3,FALSE)/100,1))</f>
        <v/>
      </c>
      <c r="E96" s="21">
        <f>IF(A96="","",SUMIF('Grup Eşleme'!$B$5:$B$504,A96,'Grup Eşleme'!$C$5:$C$504))</f>
        <v/>
      </c>
      <c r="F96" s="27">
        <f>IF(OR(A96="",'Metraj Mahal Listesi'!$K$3=0,COUNTIF($B$5:$B$504,A96)&gt;0),"",E96/'Metraj Mahal Listesi'!$K$3*100)</f>
        <v/>
      </c>
      <c r="G96" s="28">
        <f>IF(OR(D96="",F96=""),"",F96-D96)</f>
        <v/>
      </c>
      <c r="H96" s="29">
        <f>IF(OR(G96="",D96=0),"",G96/D96*100)</f>
        <v/>
      </c>
      <c r="I96" s="30">
        <f>IF(A96="","",IF(COUNTIF($B$5:$B$504,A96)&gt;0,IF(ABS(SUMIF($B$5:$B$504,A96,$C$5:$C$504)-100)&lt;0.0001,"✔ alt gruplar Σ=100","⚠ alt gruplar Σ≠100"),IF(G96="","—",IF(ABS(G96)&lt;=PursUyum,"✔ uyumlu",IF(ABS(G96)&lt;=PursCiddi,"⚠ dikkat","✗ ciddi fark")))))</f>
        <v/>
      </c>
      <c r="J96" s="5" t="n"/>
      <c r="K96" s="5" t="n"/>
    </row>
    <row r="97">
      <c r="A97" s="5" t="n"/>
      <c r="B97" s="5" t="n"/>
      <c r="C97" s="26" t="n"/>
      <c r="D97" s="27">
        <f>IF(OR(A97="",C97=""),"",C97*IFERROR(VLOOKUP(B97,$A$5:$C$504,3,FALSE)/100,1)*IFERROR(VLOOKUP(IFERROR(VLOOKUP(B97,$A$5:$B$504,2,FALSE),""),$A$5:$C$504,3,FALSE)/100,1)*IFERROR(VLOOKUP(IFERROR(VLOOKUP(IFERROR(VLOOKUP(B97,$A$5:$B$504,2,FALSE),""),$A$5:$B$504,2,FALSE),""),$A$5:$C$504,3,FALSE)/100,1))</f>
        <v/>
      </c>
      <c r="E97" s="21">
        <f>IF(A97="","",SUMIF('Grup Eşleme'!$B$5:$B$504,A97,'Grup Eşleme'!$C$5:$C$504))</f>
        <v/>
      </c>
      <c r="F97" s="27">
        <f>IF(OR(A97="",'Metraj Mahal Listesi'!$K$3=0,COUNTIF($B$5:$B$504,A97)&gt;0),"",E97/'Metraj Mahal Listesi'!$K$3*100)</f>
        <v/>
      </c>
      <c r="G97" s="28">
        <f>IF(OR(D97="",F97=""),"",F97-D97)</f>
        <v/>
      </c>
      <c r="H97" s="29">
        <f>IF(OR(G97="",D97=0),"",G97/D97*100)</f>
        <v/>
      </c>
      <c r="I97" s="30">
        <f>IF(A97="","",IF(COUNTIF($B$5:$B$504,A97)&gt;0,IF(ABS(SUMIF($B$5:$B$504,A97,$C$5:$C$504)-100)&lt;0.0001,"✔ alt gruplar Σ=100","⚠ alt gruplar Σ≠100"),IF(G97="","—",IF(ABS(G97)&lt;=PursUyum,"✔ uyumlu",IF(ABS(G97)&lt;=PursCiddi,"⚠ dikkat","✗ ciddi fark")))))</f>
        <v/>
      </c>
      <c r="J97" s="5" t="n"/>
      <c r="K97" s="5" t="n"/>
    </row>
    <row r="98">
      <c r="A98" s="5" t="n"/>
      <c r="B98" s="5" t="n"/>
      <c r="C98" s="26" t="n"/>
      <c r="D98" s="27">
        <f>IF(OR(A98="",C98=""),"",C98*IFERROR(VLOOKUP(B98,$A$5:$C$504,3,FALSE)/100,1)*IFERROR(VLOOKUP(IFERROR(VLOOKUP(B98,$A$5:$B$504,2,FALSE),""),$A$5:$C$504,3,FALSE)/100,1)*IFERROR(VLOOKUP(IFERROR(VLOOKUP(IFERROR(VLOOKUP(B98,$A$5:$B$504,2,FALSE),""),$A$5:$B$504,2,FALSE),""),$A$5:$C$504,3,FALSE)/100,1))</f>
        <v/>
      </c>
      <c r="E98" s="21">
        <f>IF(A98="","",SUMIF('Grup Eşleme'!$B$5:$B$504,A98,'Grup Eşleme'!$C$5:$C$504))</f>
        <v/>
      </c>
      <c r="F98" s="27">
        <f>IF(OR(A98="",'Metraj Mahal Listesi'!$K$3=0,COUNTIF($B$5:$B$504,A98)&gt;0),"",E98/'Metraj Mahal Listesi'!$K$3*100)</f>
        <v/>
      </c>
      <c r="G98" s="28">
        <f>IF(OR(D98="",F98=""),"",F98-D98)</f>
        <v/>
      </c>
      <c r="H98" s="29">
        <f>IF(OR(G98="",D98=0),"",G98/D98*100)</f>
        <v/>
      </c>
      <c r="I98" s="30">
        <f>IF(A98="","",IF(COUNTIF($B$5:$B$504,A98)&gt;0,IF(ABS(SUMIF($B$5:$B$504,A98,$C$5:$C$504)-100)&lt;0.0001,"✔ alt gruplar Σ=100","⚠ alt gruplar Σ≠100"),IF(G98="","—",IF(ABS(G98)&lt;=PursUyum,"✔ uyumlu",IF(ABS(G98)&lt;=PursCiddi,"⚠ dikkat","✗ ciddi fark")))))</f>
        <v/>
      </c>
      <c r="J98" s="5" t="n"/>
      <c r="K98" s="5" t="n"/>
    </row>
    <row r="99">
      <c r="A99" s="5" t="n"/>
      <c r="B99" s="5" t="n"/>
      <c r="C99" s="26" t="n"/>
      <c r="D99" s="27">
        <f>IF(OR(A99="",C99=""),"",C99*IFERROR(VLOOKUP(B99,$A$5:$C$504,3,FALSE)/100,1)*IFERROR(VLOOKUP(IFERROR(VLOOKUP(B99,$A$5:$B$504,2,FALSE),""),$A$5:$C$504,3,FALSE)/100,1)*IFERROR(VLOOKUP(IFERROR(VLOOKUP(IFERROR(VLOOKUP(B99,$A$5:$B$504,2,FALSE),""),$A$5:$B$504,2,FALSE),""),$A$5:$C$504,3,FALSE)/100,1))</f>
        <v/>
      </c>
      <c r="E99" s="21">
        <f>IF(A99="","",SUMIF('Grup Eşleme'!$B$5:$B$504,A99,'Grup Eşleme'!$C$5:$C$504))</f>
        <v/>
      </c>
      <c r="F99" s="27">
        <f>IF(OR(A99="",'Metraj Mahal Listesi'!$K$3=0,COUNTIF($B$5:$B$504,A99)&gt;0),"",E99/'Metraj Mahal Listesi'!$K$3*100)</f>
        <v/>
      </c>
      <c r="G99" s="28">
        <f>IF(OR(D99="",F99=""),"",F99-D99)</f>
        <v/>
      </c>
      <c r="H99" s="29">
        <f>IF(OR(G99="",D99=0),"",G99/D99*100)</f>
        <v/>
      </c>
      <c r="I99" s="30">
        <f>IF(A99="","",IF(COUNTIF($B$5:$B$504,A99)&gt;0,IF(ABS(SUMIF($B$5:$B$504,A99,$C$5:$C$504)-100)&lt;0.0001,"✔ alt gruplar Σ=100","⚠ alt gruplar Σ≠100"),IF(G99="","—",IF(ABS(G99)&lt;=PursUyum,"✔ uyumlu",IF(ABS(G99)&lt;=PursCiddi,"⚠ dikkat","✗ ciddi fark")))))</f>
        <v/>
      </c>
      <c r="J99" s="5" t="n"/>
      <c r="K99" s="5" t="n"/>
    </row>
    <row r="100">
      <c r="A100" s="5" t="n"/>
      <c r="B100" s="5" t="n"/>
      <c r="C100" s="26" t="n"/>
      <c r="D100" s="27">
        <f>IF(OR(A100="",C100=""),"",C100*IFERROR(VLOOKUP(B100,$A$5:$C$504,3,FALSE)/100,1)*IFERROR(VLOOKUP(IFERROR(VLOOKUP(B100,$A$5:$B$504,2,FALSE),""),$A$5:$C$504,3,FALSE)/100,1)*IFERROR(VLOOKUP(IFERROR(VLOOKUP(IFERROR(VLOOKUP(B100,$A$5:$B$504,2,FALSE),""),$A$5:$B$504,2,FALSE),""),$A$5:$C$504,3,FALSE)/100,1))</f>
        <v/>
      </c>
      <c r="E100" s="21">
        <f>IF(A100="","",SUMIF('Grup Eşleme'!$B$5:$B$504,A100,'Grup Eşleme'!$C$5:$C$504))</f>
        <v/>
      </c>
      <c r="F100" s="27">
        <f>IF(OR(A100="",'Metraj Mahal Listesi'!$K$3=0,COUNTIF($B$5:$B$504,A100)&gt;0),"",E100/'Metraj Mahal Listesi'!$K$3*100)</f>
        <v/>
      </c>
      <c r="G100" s="28">
        <f>IF(OR(D100="",F100=""),"",F100-D100)</f>
        <v/>
      </c>
      <c r="H100" s="29">
        <f>IF(OR(G100="",D100=0),"",G100/D100*100)</f>
        <v/>
      </c>
      <c r="I100" s="30">
        <f>IF(A100="","",IF(COUNTIF($B$5:$B$504,A100)&gt;0,IF(ABS(SUMIF($B$5:$B$504,A100,$C$5:$C$504)-100)&lt;0.0001,"✔ alt gruplar Σ=100","⚠ alt gruplar Σ≠100"),IF(G100="","—",IF(ABS(G100)&lt;=PursUyum,"✔ uyumlu",IF(ABS(G100)&lt;=PursCiddi,"⚠ dikkat","✗ ciddi fark")))))</f>
        <v/>
      </c>
      <c r="J100" s="5" t="n"/>
      <c r="K100" s="5" t="n"/>
    </row>
    <row r="101">
      <c r="A101" s="5" t="n"/>
      <c r="B101" s="5" t="n"/>
      <c r="C101" s="26" t="n"/>
      <c r="D101" s="27">
        <f>IF(OR(A101="",C101=""),"",C101*IFERROR(VLOOKUP(B101,$A$5:$C$504,3,FALSE)/100,1)*IFERROR(VLOOKUP(IFERROR(VLOOKUP(B101,$A$5:$B$504,2,FALSE),""),$A$5:$C$504,3,FALSE)/100,1)*IFERROR(VLOOKUP(IFERROR(VLOOKUP(IFERROR(VLOOKUP(B101,$A$5:$B$504,2,FALSE),""),$A$5:$B$504,2,FALSE),""),$A$5:$C$504,3,FALSE)/100,1))</f>
        <v/>
      </c>
      <c r="E101" s="21">
        <f>IF(A101="","",SUMIF('Grup Eşleme'!$B$5:$B$504,A101,'Grup Eşleme'!$C$5:$C$504))</f>
        <v/>
      </c>
      <c r="F101" s="27">
        <f>IF(OR(A101="",'Metraj Mahal Listesi'!$K$3=0,COUNTIF($B$5:$B$504,A101)&gt;0),"",E101/'Metraj Mahal Listesi'!$K$3*100)</f>
        <v/>
      </c>
      <c r="G101" s="28">
        <f>IF(OR(D101="",F101=""),"",F101-D101)</f>
        <v/>
      </c>
      <c r="H101" s="29">
        <f>IF(OR(G101="",D101=0),"",G101/D101*100)</f>
        <v/>
      </c>
      <c r="I101" s="30">
        <f>IF(A101="","",IF(COUNTIF($B$5:$B$504,A101)&gt;0,IF(ABS(SUMIF($B$5:$B$504,A101,$C$5:$C$504)-100)&lt;0.0001,"✔ alt gruplar Σ=100","⚠ alt gruplar Σ≠100"),IF(G101="","—",IF(ABS(G101)&lt;=PursUyum,"✔ uyumlu",IF(ABS(G101)&lt;=PursCiddi,"⚠ dikkat","✗ ciddi fark")))))</f>
        <v/>
      </c>
      <c r="J101" s="5" t="n"/>
      <c r="K101" s="5" t="n"/>
    </row>
    <row r="102">
      <c r="A102" s="5" t="n"/>
      <c r="B102" s="5" t="n"/>
      <c r="C102" s="26" t="n"/>
      <c r="D102" s="27">
        <f>IF(OR(A102="",C102=""),"",C102*IFERROR(VLOOKUP(B102,$A$5:$C$504,3,FALSE)/100,1)*IFERROR(VLOOKUP(IFERROR(VLOOKUP(B102,$A$5:$B$504,2,FALSE),""),$A$5:$C$504,3,FALSE)/100,1)*IFERROR(VLOOKUP(IFERROR(VLOOKUP(IFERROR(VLOOKUP(B102,$A$5:$B$504,2,FALSE),""),$A$5:$B$504,2,FALSE),""),$A$5:$C$504,3,FALSE)/100,1))</f>
        <v/>
      </c>
      <c r="E102" s="21">
        <f>IF(A102="","",SUMIF('Grup Eşleme'!$B$5:$B$504,A102,'Grup Eşleme'!$C$5:$C$504))</f>
        <v/>
      </c>
      <c r="F102" s="27">
        <f>IF(OR(A102="",'Metraj Mahal Listesi'!$K$3=0,COUNTIF($B$5:$B$504,A102)&gt;0),"",E102/'Metraj Mahal Listesi'!$K$3*100)</f>
        <v/>
      </c>
      <c r="G102" s="28">
        <f>IF(OR(D102="",F102=""),"",F102-D102)</f>
        <v/>
      </c>
      <c r="H102" s="29">
        <f>IF(OR(G102="",D102=0),"",G102/D102*100)</f>
        <v/>
      </c>
      <c r="I102" s="30">
        <f>IF(A102="","",IF(COUNTIF($B$5:$B$504,A102)&gt;0,IF(ABS(SUMIF($B$5:$B$504,A102,$C$5:$C$504)-100)&lt;0.0001,"✔ alt gruplar Σ=100","⚠ alt gruplar Σ≠100"),IF(G102="","—",IF(ABS(G102)&lt;=PursUyum,"✔ uyumlu",IF(ABS(G102)&lt;=PursCiddi,"⚠ dikkat","✗ ciddi fark")))))</f>
        <v/>
      </c>
      <c r="J102" s="5" t="n"/>
      <c r="K102" s="5" t="n"/>
    </row>
    <row r="103">
      <c r="A103" s="5" t="n"/>
      <c r="B103" s="5" t="n"/>
      <c r="C103" s="26" t="n"/>
      <c r="D103" s="27">
        <f>IF(OR(A103="",C103=""),"",C103*IFERROR(VLOOKUP(B103,$A$5:$C$504,3,FALSE)/100,1)*IFERROR(VLOOKUP(IFERROR(VLOOKUP(B103,$A$5:$B$504,2,FALSE),""),$A$5:$C$504,3,FALSE)/100,1)*IFERROR(VLOOKUP(IFERROR(VLOOKUP(IFERROR(VLOOKUP(B103,$A$5:$B$504,2,FALSE),""),$A$5:$B$504,2,FALSE),""),$A$5:$C$504,3,FALSE)/100,1))</f>
        <v/>
      </c>
      <c r="E103" s="21">
        <f>IF(A103="","",SUMIF('Grup Eşleme'!$B$5:$B$504,A103,'Grup Eşleme'!$C$5:$C$504))</f>
        <v/>
      </c>
      <c r="F103" s="27">
        <f>IF(OR(A103="",'Metraj Mahal Listesi'!$K$3=0,COUNTIF($B$5:$B$504,A103)&gt;0),"",E103/'Metraj Mahal Listesi'!$K$3*100)</f>
        <v/>
      </c>
      <c r="G103" s="28">
        <f>IF(OR(D103="",F103=""),"",F103-D103)</f>
        <v/>
      </c>
      <c r="H103" s="29">
        <f>IF(OR(G103="",D103=0),"",G103/D103*100)</f>
        <v/>
      </c>
      <c r="I103" s="30">
        <f>IF(A103="","",IF(COUNTIF($B$5:$B$504,A103)&gt;0,IF(ABS(SUMIF($B$5:$B$504,A103,$C$5:$C$504)-100)&lt;0.0001,"✔ alt gruplar Σ=100","⚠ alt gruplar Σ≠100"),IF(G103="","—",IF(ABS(G103)&lt;=PursUyum,"✔ uyumlu",IF(ABS(G103)&lt;=PursCiddi,"⚠ dikkat","✗ ciddi fark")))))</f>
        <v/>
      </c>
      <c r="J103" s="5" t="n"/>
      <c r="K103" s="5" t="n"/>
    </row>
    <row r="104">
      <c r="A104" s="5" t="n"/>
      <c r="B104" s="5" t="n"/>
      <c r="C104" s="26" t="n"/>
      <c r="D104" s="27">
        <f>IF(OR(A104="",C104=""),"",C104*IFERROR(VLOOKUP(B104,$A$5:$C$504,3,FALSE)/100,1)*IFERROR(VLOOKUP(IFERROR(VLOOKUP(B104,$A$5:$B$504,2,FALSE),""),$A$5:$C$504,3,FALSE)/100,1)*IFERROR(VLOOKUP(IFERROR(VLOOKUP(IFERROR(VLOOKUP(B104,$A$5:$B$504,2,FALSE),""),$A$5:$B$504,2,FALSE),""),$A$5:$C$504,3,FALSE)/100,1))</f>
        <v/>
      </c>
      <c r="E104" s="21">
        <f>IF(A104="","",SUMIF('Grup Eşleme'!$B$5:$B$504,A104,'Grup Eşleme'!$C$5:$C$504))</f>
        <v/>
      </c>
      <c r="F104" s="27">
        <f>IF(OR(A104="",'Metraj Mahal Listesi'!$K$3=0,COUNTIF($B$5:$B$504,A104)&gt;0),"",E104/'Metraj Mahal Listesi'!$K$3*100)</f>
        <v/>
      </c>
      <c r="G104" s="28">
        <f>IF(OR(D104="",F104=""),"",F104-D104)</f>
        <v/>
      </c>
      <c r="H104" s="29">
        <f>IF(OR(G104="",D104=0),"",G104/D104*100)</f>
        <v/>
      </c>
      <c r="I104" s="30">
        <f>IF(A104="","",IF(COUNTIF($B$5:$B$504,A104)&gt;0,IF(ABS(SUMIF($B$5:$B$504,A104,$C$5:$C$504)-100)&lt;0.0001,"✔ alt gruplar Σ=100","⚠ alt gruplar Σ≠100"),IF(G104="","—",IF(ABS(G104)&lt;=PursUyum,"✔ uyumlu",IF(ABS(G104)&lt;=PursCiddi,"⚠ dikkat","✗ ciddi fark")))))</f>
        <v/>
      </c>
      <c r="J104" s="5" t="n"/>
      <c r="K104" s="5" t="n"/>
    </row>
    <row r="105">
      <c r="A105" s="5" t="n"/>
      <c r="B105" s="5" t="n"/>
      <c r="C105" s="26" t="n"/>
      <c r="D105" s="27">
        <f>IF(OR(A105="",C105=""),"",C105*IFERROR(VLOOKUP(B105,$A$5:$C$504,3,FALSE)/100,1)*IFERROR(VLOOKUP(IFERROR(VLOOKUP(B105,$A$5:$B$504,2,FALSE),""),$A$5:$C$504,3,FALSE)/100,1)*IFERROR(VLOOKUP(IFERROR(VLOOKUP(IFERROR(VLOOKUP(B105,$A$5:$B$504,2,FALSE),""),$A$5:$B$504,2,FALSE),""),$A$5:$C$504,3,FALSE)/100,1))</f>
        <v/>
      </c>
      <c r="E105" s="21">
        <f>IF(A105="","",SUMIF('Grup Eşleme'!$B$5:$B$504,A105,'Grup Eşleme'!$C$5:$C$504))</f>
        <v/>
      </c>
      <c r="F105" s="27">
        <f>IF(OR(A105="",'Metraj Mahal Listesi'!$K$3=0,COUNTIF($B$5:$B$504,A105)&gt;0),"",E105/'Metraj Mahal Listesi'!$K$3*100)</f>
        <v/>
      </c>
      <c r="G105" s="28">
        <f>IF(OR(D105="",F105=""),"",F105-D105)</f>
        <v/>
      </c>
      <c r="H105" s="29">
        <f>IF(OR(G105="",D105=0),"",G105/D105*100)</f>
        <v/>
      </c>
      <c r="I105" s="30">
        <f>IF(A105="","",IF(COUNTIF($B$5:$B$504,A105)&gt;0,IF(ABS(SUMIF($B$5:$B$504,A105,$C$5:$C$504)-100)&lt;0.0001,"✔ alt gruplar Σ=100","⚠ alt gruplar Σ≠100"),IF(G105="","—",IF(ABS(G105)&lt;=PursUyum,"✔ uyumlu",IF(ABS(G105)&lt;=PursCiddi,"⚠ dikkat","✗ ciddi fark")))))</f>
        <v/>
      </c>
      <c r="J105" s="5" t="n"/>
      <c r="K105" s="5" t="n"/>
    </row>
    <row r="106">
      <c r="A106" s="5" t="n"/>
      <c r="B106" s="5" t="n"/>
      <c r="C106" s="26" t="n"/>
      <c r="D106" s="27">
        <f>IF(OR(A106="",C106=""),"",C106*IFERROR(VLOOKUP(B106,$A$5:$C$504,3,FALSE)/100,1)*IFERROR(VLOOKUP(IFERROR(VLOOKUP(B106,$A$5:$B$504,2,FALSE),""),$A$5:$C$504,3,FALSE)/100,1)*IFERROR(VLOOKUP(IFERROR(VLOOKUP(IFERROR(VLOOKUP(B106,$A$5:$B$504,2,FALSE),""),$A$5:$B$504,2,FALSE),""),$A$5:$C$504,3,FALSE)/100,1))</f>
        <v/>
      </c>
      <c r="E106" s="21">
        <f>IF(A106="","",SUMIF('Grup Eşleme'!$B$5:$B$504,A106,'Grup Eşleme'!$C$5:$C$504))</f>
        <v/>
      </c>
      <c r="F106" s="27">
        <f>IF(OR(A106="",'Metraj Mahal Listesi'!$K$3=0,COUNTIF($B$5:$B$504,A106)&gt;0),"",E106/'Metraj Mahal Listesi'!$K$3*100)</f>
        <v/>
      </c>
      <c r="G106" s="28">
        <f>IF(OR(D106="",F106=""),"",F106-D106)</f>
        <v/>
      </c>
      <c r="H106" s="29">
        <f>IF(OR(G106="",D106=0),"",G106/D106*100)</f>
        <v/>
      </c>
      <c r="I106" s="30">
        <f>IF(A106="","",IF(COUNTIF($B$5:$B$504,A106)&gt;0,IF(ABS(SUMIF($B$5:$B$504,A106,$C$5:$C$504)-100)&lt;0.0001,"✔ alt gruplar Σ=100","⚠ alt gruplar Σ≠100"),IF(G106="","—",IF(ABS(G106)&lt;=PursUyum,"✔ uyumlu",IF(ABS(G106)&lt;=PursCiddi,"⚠ dikkat","✗ ciddi fark")))))</f>
        <v/>
      </c>
      <c r="J106" s="5" t="n"/>
      <c r="K106" s="5" t="n"/>
    </row>
    <row r="107">
      <c r="A107" s="5" t="n"/>
      <c r="B107" s="5" t="n"/>
      <c r="C107" s="26" t="n"/>
      <c r="D107" s="27">
        <f>IF(OR(A107="",C107=""),"",C107*IFERROR(VLOOKUP(B107,$A$5:$C$504,3,FALSE)/100,1)*IFERROR(VLOOKUP(IFERROR(VLOOKUP(B107,$A$5:$B$504,2,FALSE),""),$A$5:$C$504,3,FALSE)/100,1)*IFERROR(VLOOKUP(IFERROR(VLOOKUP(IFERROR(VLOOKUP(B107,$A$5:$B$504,2,FALSE),""),$A$5:$B$504,2,FALSE),""),$A$5:$C$504,3,FALSE)/100,1))</f>
        <v/>
      </c>
      <c r="E107" s="21">
        <f>IF(A107="","",SUMIF('Grup Eşleme'!$B$5:$B$504,A107,'Grup Eşleme'!$C$5:$C$504))</f>
        <v/>
      </c>
      <c r="F107" s="27">
        <f>IF(OR(A107="",'Metraj Mahal Listesi'!$K$3=0,COUNTIF($B$5:$B$504,A107)&gt;0),"",E107/'Metraj Mahal Listesi'!$K$3*100)</f>
        <v/>
      </c>
      <c r="G107" s="28">
        <f>IF(OR(D107="",F107=""),"",F107-D107)</f>
        <v/>
      </c>
      <c r="H107" s="29">
        <f>IF(OR(G107="",D107=0),"",G107/D107*100)</f>
        <v/>
      </c>
      <c r="I107" s="30">
        <f>IF(A107="","",IF(COUNTIF($B$5:$B$504,A107)&gt;0,IF(ABS(SUMIF($B$5:$B$504,A107,$C$5:$C$504)-100)&lt;0.0001,"✔ alt gruplar Σ=100","⚠ alt gruplar Σ≠100"),IF(G107="","—",IF(ABS(G107)&lt;=PursUyum,"✔ uyumlu",IF(ABS(G107)&lt;=PursCiddi,"⚠ dikkat","✗ ciddi fark")))))</f>
        <v/>
      </c>
      <c r="J107" s="5" t="n"/>
      <c r="K107" s="5" t="n"/>
    </row>
    <row r="108">
      <c r="A108" s="5" t="n"/>
      <c r="B108" s="5" t="n"/>
      <c r="C108" s="26" t="n"/>
      <c r="D108" s="27">
        <f>IF(OR(A108="",C108=""),"",C108*IFERROR(VLOOKUP(B108,$A$5:$C$504,3,FALSE)/100,1)*IFERROR(VLOOKUP(IFERROR(VLOOKUP(B108,$A$5:$B$504,2,FALSE),""),$A$5:$C$504,3,FALSE)/100,1)*IFERROR(VLOOKUP(IFERROR(VLOOKUP(IFERROR(VLOOKUP(B108,$A$5:$B$504,2,FALSE),""),$A$5:$B$504,2,FALSE),""),$A$5:$C$504,3,FALSE)/100,1))</f>
        <v/>
      </c>
      <c r="E108" s="21">
        <f>IF(A108="","",SUMIF('Grup Eşleme'!$B$5:$B$504,A108,'Grup Eşleme'!$C$5:$C$504))</f>
        <v/>
      </c>
      <c r="F108" s="27">
        <f>IF(OR(A108="",'Metraj Mahal Listesi'!$K$3=0,COUNTIF($B$5:$B$504,A108)&gt;0),"",E108/'Metraj Mahal Listesi'!$K$3*100)</f>
        <v/>
      </c>
      <c r="G108" s="28">
        <f>IF(OR(D108="",F108=""),"",F108-D108)</f>
        <v/>
      </c>
      <c r="H108" s="29">
        <f>IF(OR(G108="",D108=0),"",G108/D108*100)</f>
        <v/>
      </c>
      <c r="I108" s="30">
        <f>IF(A108="","",IF(COUNTIF($B$5:$B$504,A108)&gt;0,IF(ABS(SUMIF($B$5:$B$504,A108,$C$5:$C$504)-100)&lt;0.0001,"✔ alt gruplar Σ=100","⚠ alt gruplar Σ≠100"),IF(G108="","—",IF(ABS(G108)&lt;=PursUyum,"✔ uyumlu",IF(ABS(G108)&lt;=PursCiddi,"⚠ dikkat","✗ ciddi fark")))))</f>
        <v/>
      </c>
      <c r="J108" s="5" t="n"/>
      <c r="K108" s="5" t="n"/>
    </row>
    <row r="109">
      <c r="A109" s="5" t="n"/>
      <c r="B109" s="5" t="n"/>
      <c r="C109" s="26" t="n"/>
      <c r="D109" s="27">
        <f>IF(OR(A109="",C109=""),"",C109*IFERROR(VLOOKUP(B109,$A$5:$C$504,3,FALSE)/100,1)*IFERROR(VLOOKUP(IFERROR(VLOOKUP(B109,$A$5:$B$504,2,FALSE),""),$A$5:$C$504,3,FALSE)/100,1)*IFERROR(VLOOKUP(IFERROR(VLOOKUP(IFERROR(VLOOKUP(B109,$A$5:$B$504,2,FALSE),""),$A$5:$B$504,2,FALSE),""),$A$5:$C$504,3,FALSE)/100,1))</f>
        <v/>
      </c>
      <c r="E109" s="21">
        <f>IF(A109="","",SUMIF('Grup Eşleme'!$B$5:$B$504,A109,'Grup Eşleme'!$C$5:$C$504))</f>
        <v/>
      </c>
      <c r="F109" s="27">
        <f>IF(OR(A109="",'Metraj Mahal Listesi'!$K$3=0,COUNTIF($B$5:$B$504,A109)&gt;0),"",E109/'Metraj Mahal Listesi'!$K$3*100)</f>
        <v/>
      </c>
      <c r="G109" s="28">
        <f>IF(OR(D109="",F109=""),"",F109-D109)</f>
        <v/>
      </c>
      <c r="H109" s="29">
        <f>IF(OR(G109="",D109=0),"",G109/D109*100)</f>
        <v/>
      </c>
      <c r="I109" s="30">
        <f>IF(A109="","",IF(COUNTIF($B$5:$B$504,A109)&gt;0,IF(ABS(SUMIF($B$5:$B$504,A109,$C$5:$C$504)-100)&lt;0.0001,"✔ alt gruplar Σ=100","⚠ alt gruplar Σ≠100"),IF(G109="","—",IF(ABS(G109)&lt;=PursUyum,"✔ uyumlu",IF(ABS(G109)&lt;=PursCiddi,"⚠ dikkat","✗ ciddi fark")))))</f>
        <v/>
      </c>
      <c r="J109" s="5" t="n"/>
      <c r="K109" s="5" t="n"/>
    </row>
    <row r="110">
      <c r="A110" s="5" t="n"/>
      <c r="B110" s="5" t="n"/>
      <c r="C110" s="26" t="n"/>
      <c r="D110" s="27">
        <f>IF(OR(A110="",C110=""),"",C110*IFERROR(VLOOKUP(B110,$A$5:$C$504,3,FALSE)/100,1)*IFERROR(VLOOKUP(IFERROR(VLOOKUP(B110,$A$5:$B$504,2,FALSE),""),$A$5:$C$504,3,FALSE)/100,1)*IFERROR(VLOOKUP(IFERROR(VLOOKUP(IFERROR(VLOOKUP(B110,$A$5:$B$504,2,FALSE),""),$A$5:$B$504,2,FALSE),""),$A$5:$C$504,3,FALSE)/100,1))</f>
        <v/>
      </c>
      <c r="E110" s="21">
        <f>IF(A110="","",SUMIF('Grup Eşleme'!$B$5:$B$504,A110,'Grup Eşleme'!$C$5:$C$504))</f>
        <v/>
      </c>
      <c r="F110" s="27">
        <f>IF(OR(A110="",'Metraj Mahal Listesi'!$K$3=0,COUNTIF($B$5:$B$504,A110)&gt;0),"",E110/'Metraj Mahal Listesi'!$K$3*100)</f>
        <v/>
      </c>
      <c r="G110" s="28">
        <f>IF(OR(D110="",F110=""),"",F110-D110)</f>
        <v/>
      </c>
      <c r="H110" s="29">
        <f>IF(OR(G110="",D110=0),"",G110/D110*100)</f>
        <v/>
      </c>
      <c r="I110" s="30">
        <f>IF(A110="","",IF(COUNTIF($B$5:$B$504,A110)&gt;0,IF(ABS(SUMIF($B$5:$B$504,A110,$C$5:$C$504)-100)&lt;0.0001,"✔ alt gruplar Σ=100","⚠ alt gruplar Σ≠100"),IF(G110="","—",IF(ABS(G110)&lt;=PursUyum,"✔ uyumlu",IF(ABS(G110)&lt;=PursCiddi,"⚠ dikkat","✗ ciddi fark")))))</f>
        <v/>
      </c>
      <c r="J110" s="5" t="n"/>
      <c r="K110" s="5" t="n"/>
    </row>
    <row r="111">
      <c r="A111" s="5" t="n"/>
      <c r="B111" s="5" t="n"/>
      <c r="C111" s="26" t="n"/>
      <c r="D111" s="27">
        <f>IF(OR(A111="",C111=""),"",C111*IFERROR(VLOOKUP(B111,$A$5:$C$504,3,FALSE)/100,1)*IFERROR(VLOOKUP(IFERROR(VLOOKUP(B111,$A$5:$B$504,2,FALSE),""),$A$5:$C$504,3,FALSE)/100,1)*IFERROR(VLOOKUP(IFERROR(VLOOKUP(IFERROR(VLOOKUP(B111,$A$5:$B$504,2,FALSE),""),$A$5:$B$504,2,FALSE),""),$A$5:$C$504,3,FALSE)/100,1))</f>
        <v/>
      </c>
      <c r="E111" s="21">
        <f>IF(A111="","",SUMIF('Grup Eşleme'!$B$5:$B$504,A111,'Grup Eşleme'!$C$5:$C$504))</f>
        <v/>
      </c>
      <c r="F111" s="27">
        <f>IF(OR(A111="",'Metraj Mahal Listesi'!$K$3=0,COUNTIF($B$5:$B$504,A111)&gt;0),"",E111/'Metraj Mahal Listesi'!$K$3*100)</f>
        <v/>
      </c>
      <c r="G111" s="28">
        <f>IF(OR(D111="",F111=""),"",F111-D111)</f>
        <v/>
      </c>
      <c r="H111" s="29">
        <f>IF(OR(G111="",D111=0),"",G111/D111*100)</f>
        <v/>
      </c>
      <c r="I111" s="30">
        <f>IF(A111="","",IF(COUNTIF($B$5:$B$504,A111)&gt;0,IF(ABS(SUMIF($B$5:$B$504,A111,$C$5:$C$504)-100)&lt;0.0001,"✔ alt gruplar Σ=100","⚠ alt gruplar Σ≠100"),IF(G111="","—",IF(ABS(G111)&lt;=PursUyum,"✔ uyumlu",IF(ABS(G111)&lt;=PursCiddi,"⚠ dikkat","✗ ciddi fark")))))</f>
        <v/>
      </c>
      <c r="J111" s="5" t="n"/>
      <c r="K111" s="5" t="n"/>
    </row>
    <row r="112">
      <c r="A112" s="5" t="n"/>
      <c r="B112" s="5" t="n"/>
      <c r="C112" s="26" t="n"/>
      <c r="D112" s="27">
        <f>IF(OR(A112="",C112=""),"",C112*IFERROR(VLOOKUP(B112,$A$5:$C$504,3,FALSE)/100,1)*IFERROR(VLOOKUP(IFERROR(VLOOKUP(B112,$A$5:$B$504,2,FALSE),""),$A$5:$C$504,3,FALSE)/100,1)*IFERROR(VLOOKUP(IFERROR(VLOOKUP(IFERROR(VLOOKUP(B112,$A$5:$B$504,2,FALSE),""),$A$5:$B$504,2,FALSE),""),$A$5:$C$504,3,FALSE)/100,1))</f>
        <v/>
      </c>
      <c r="E112" s="21">
        <f>IF(A112="","",SUMIF('Grup Eşleme'!$B$5:$B$504,A112,'Grup Eşleme'!$C$5:$C$504))</f>
        <v/>
      </c>
      <c r="F112" s="27">
        <f>IF(OR(A112="",'Metraj Mahal Listesi'!$K$3=0,COUNTIF($B$5:$B$504,A112)&gt;0),"",E112/'Metraj Mahal Listesi'!$K$3*100)</f>
        <v/>
      </c>
      <c r="G112" s="28">
        <f>IF(OR(D112="",F112=""),"",F112-D112)</f>
        <v/>
      </c>
      <c r="H112" s="29">
        <f>IF(OR(G112="",D112=0),"",G112/D112*100)</f>
        <v/>
      </c>
      <c r="I112" s="30">
        <f>IF(A112="","",IF(COUNTIF($B$5:$B$504,A112)&gt;0,IF(ABS(SUMIF($B$5:$B$504,A112,$C$5:$C$504)-100)&lt;0.0001,"✔ alt gruplar Σ=100","⚠ alt gruplar Σ≠100"),IF(G112="","—",IF(ABS(G112)&lt;=PursUyum,"✔ uyumlu",IF(ABS(G112)&lt;=PursCiddi,"⚠ dikkat","✗ ciddi fark")))))</f>
        <v/>
      </c>
      <c r="J112" s="5" t="n"/>
      <c r="K112" s="5" t="n"/>
    </row>
    <row r="113">
      <c r="A113" s="5" t="n"/>
      <c r="B113" s="5" t="n"/>
      <c r="C113" s="26" t="n"/>
      <c r="D113" s="27">
        <f>IF(OR(A113="",C113=""),"",C113*IFERROR(VLOOKUP(B113,$A$5:$C$504,3,FALSE)/100,1)*IFERROR(VLOOKUP(IFERROR(VLOOKUP(B113,$A$5:$B$504,2,FALSE),""),$A$5:$C$504,3,FALSE)/100,1)*IFERROR(VLOOKUP(IFERROR(VLOOKUP(IFERROR(VLOOKUP(B113,$A$5:$B$504,2,FALSE),""),$A$5:$B$504,2,FALSE),""),$A$5:$C$504,3,FALSE)/100,1))</f>
        <v/>
      </c>
      <c r="E113" s="21">
        <f>IF(A113="","",SUMIF('Grup Eşleme'!$B$5:$B$504,A113,'Grup Eşleme'!$C$5:$C$504))</f>
        <v/>
      </c>
      <c r="F113" s="27">
        <f>IF(OR(A113="",'Metraj Mahal Listesi'!$K$3=0,COUNTIF($B$5:$B$504,A113)&gt;0),"",E113/'Metraj Mahal Listesi'!$K$3*100)</f>
        <v/>
      </c>
      <c r="G113" s="28">
        <f>IF(OR(D113="",F113=""),"",F113-D113)</f>
        <v/>
      </c>
      <c r="H113" s="29">
        <f>IF(OR(G113="",D113=0),"",G113/D113*100)</f>
        <v/>
      </c>
      <c r="I113" s="30">
        <f>IF(A113="","",IF(COUNTIF($B$5:$B$504,A113)&gt;0,IF(ABS(SUMIF($B$5:$B$504,A113,$C$5:$C$504)-100)&lt;0.0001,"✔ alt gruplar Σ=100","⚠ alt gruplar Σ≠100"),IF(G113="","—",IF(ABS(G113)&lt;=PursUyum,"✔ uyumlu",IF(ABS(G113)&lt;=PursCiddi,"⚠ dikkat","✗ ciddi fark")))))</f>
        <v/>
      </c>
      <c r="J113" s="5" t="n"/>
      <c r="K113" s="5" t="n"/>
    </row>
    <row r="114">
      <c r="A114" s="5" t="n"/>
      <c r="B114" s="5" t="n"/>
      <c r="C114" s="26" t="n"/>
      <c r="D114" s="27">
        <f>IF(OR(A114="",C114=""),"",C114*IFERROR(VLOOKUP(B114,$A$5:$C$504,3,FALSE)/100,1)*IFERROR(VLOOKUP(IFERROR(VLOOKUP(B114,$A$5:$B$504,2,FALSE),""),$A$5:$C$504,3,FALSE)/100,1)*IFERROR(VLOOKUP(IFERROR(VLOOKUP(IFERROR(VLOOKUP(B114,$A$5:$B$504,2,FALSE),""),$A$5:$B$504,2,FALSE),""),$A$5:$C$504,3,FALSE)/100,1))</f>
        <v/>
      </c>
      <c r="E114" s="21">
        <f>IF(A114="","",SUMIF('Grup Eşleme'!$B$5:$B$504,A114,'Grup Eşleme'!$C$5:$C$504))</f>
        <v/>
      </c>
      <c r="F114" s="27">
        <f>IF(OR(A114="",'Metraj Mahal Listesi'!$K$3=0,COUNTIF($B$5:$B$504,A114)&gt;0),"",E114/'Metraj Mahal Listesi'!$K$3*100)</f>
        <v/>
      </c>
      <c r="G114" s="28">
        <f>IF(OR(D114="",F114=""),"",F114-D114)</f>
        <v/>
      </c>
      <c r="H114" s="29">
        <f>IF(OR(G114="",D114=0),"",G114/D114*100)</f>
        <v/>
      </c>
      <c r="I114" s="30">
        <f>IF(A114="","",IF(COUNTIF($B$5:$B$504,A114)&gt;0,IF(ABS(SUMIF($B$5:$B$504,A114,$C$5:$C$504)-100)&lt;0.0001,"✔ alt gruplar Σ=100","⚠ alt gruplar Σ≠100"),IF(G114="","—",IF(ABS(G114)&lt;=PursUyum,"✔ uyumlu",IF(ABS(G114)&lt;=PursCiddi,"⚠ dikkat","✗ ciddi fark")))))</f>
        <v/>
      </c>
      <c r="J114" s="5" t="n"/>
      <c r="K114" s="5" t="n"/>
    </row>
    <row r="115">
      <c r="A115" s="5" t="n"/>
      <c r="B115" s="5" t="n"/>
      <c r="C115" s="26" t="n"/>
      <c r="D115" s="27">
        <f>IF(OR(A115="",C115=""),"",C115*IFERROR(VLOOKUP(B115,$A$5:$C$504,3,FALSE)/100,1)*IFERROR(VLOOKUP(IFERROR(VLOOKUP(B115,$A$5:$B$504,2,FALSE),""),$A$5:$C$504,3,FALSE)/100,1)*IFERROR(VLOOKUP(IFERROR(VLOOKUP(IFERROR(VLOOKUP(B115,$A$5:$B$504,2,FALSE),""),$A$5:$B$504,2,FALSE),""),$A$5:$C$504,3,FALSE)/100,1))</f>
        <v/>
      </c>
      <c r="E115" s="21">
        <f>IF(A115="","",SUMIF('Grup Eşleme'!$B$5:$B$504,A115,'Grup Eşleme'!$C$5:$C$504))</f>
        <v/>
      </c>
      <c r="F115" s="27">
        <f>IF(OR(A115="",'Metraj Mahal Listesi'!$K$3=0,COUNTIF($B$5:$B$504,A115)&gt;0),"",E115/'Metraj Mahal Listesi'!$K$3*100)</f>
        <v/>
      </c>
      <c r="G115" s="28">
        <f>IF(OR(D115="",F115=""),"",F115-D115)</f>
        <v/>
      </c>
      <c r="H115" s="29">
        <f>IF(OR(G115="",D115=0),"",G115/D115*100)</f>
        <v/>
      </c>
      <c r="I115" s="30">
        <f>IF(A115="","",IF(COUNTIF($B$5:$B$504,A115)&gt;0,IF(ABS(SUMIF($B$5:$B$504,A115,$C$5:$C$504)-100)&lt;0.0001,"✔ alt gruplar Σ=100","⚠ alt gruplar Σ≠100"),IF(G115="","—",IF(ABS(G115)&lt;=PursUyum,"✔ uyumlu",IF(ABS(G115)&lt;=PursCiddi,"⚠ dikkat","✗ ciddi fark")))))</f>
        <v/>
      </c>
      <c r="J115" s="5" t="n"/>
      <c r="K115" s="5" t="n"/>
    </row>
    <row r="116">
      <c r="A116" s="5" t="n"/>
      <c r="B116" s="5" t="n"/>
      <c r="C116" s="26" t="n"/>
      <c r="D116" s="27">
        <f>IF(OR(A116="",C116=""),"",C116*IFERROR(VLOOKUP(B116,$A$5:$C$504,3,FALSE)/100,1)*IFERROR(VLOOKUP(IFERROR(VLOOKUP(B116,$A$5:$B$504,2,FALSE),""),$A$5:$C$504,3,FALSE)/100,1)*IFERROR(VLOOKUP(IFERROR(VLOOKUP(IFERROR(VLOOKUP(B116,$A$5:$B$504,2,FALSE),""),$A$5:$B$504,2,FALSE),""),$A$5:$C$504,3,FALSE)/100,1))</f>
        <v/>
      </c>
      <c r="E116" s="21">
        <f>IF(A116="","",SUMIF('Grup Eşleme'!$B$5:$B$504,A116,'Grup Eşleme'!$C$5:$C$504))</f>
        <v/>
      </c>
      <c r="F116" s="27">
        <f>IF(OR(A116="",'Metraj Mahal Listesi'!$K$3=0,COUNTIF($B$5:$B$504,A116)&gt;0),"",E116/'Metraj Mahal Listesi'!$K$3*100)</f>
        <v/>
      </c>
      <c r="G116" s="28">
        <f>IF(OR(D116="",F116=""),"",F116-D116)</f>
        <v/>
      </c>
      <c r="H116" s="29">
        <f>IF(OR(G116="",D116=0),"",G116/D116*100)</f>
        <v/>
      </c>
      <c r="I116" s="30">
        <f>IF(A116="","",IF(COUNTIF($B$5:$B$504,A116)&gt;0,IF(ABS(SUMIF($B$5:$B$504,A116,$C$5:$C$504)-100)&lt;0.0001,"✔ alt gruplar Σ=100","⚠ alt gruplar Σ≠100"),IF(G116="","—",IF(ABS(G116)&lt;=PursUyum,"✔ uyumlu",IF(ABS(G116)&lt;=PursCiddi,"⚠ dikkat","✗ ciddi fark")))))</f>
        <v/>
      </c>
      <c r="J116" s="5" t="n"/>
      <c r="K116" s="5" t="n"/>
    </row>
    <row r="117">
      <c r="A117" s="5" t="n"/>
      <c r="B117" s="5" t="n"/>
      <c r="C117" s="26" t="n"/>
      <c r="D117" s="27">
        <f>IF(OR(A117="",C117=""),"",C117*IFERROR(VLOOKUP(B117,$A$5:$C$504,3,FALSE)/100,1)*IFERROR(VLOOKUP(IFERROR(VLOOKUP(B117,$A$5:$B$504,2,FALSE),""),$A$5:$C$504,3,FALSE)/100,1)*IFERROR(VLOOKUP(IFERROR(VLOOKUP(IFERROR(VLOOKUP(B117,$A$5:$B$504,2,FALSE),""),$A$5:$B$504,2,FALSE),""),$A$5:$C$504,3,FALSE)/100,1))</f>
        <v/>
      </c>
      <c r="E117" s="21">
        <f>IF(A117="","",SUMIF('Grup Eşleme'!$B$5:$B$504,A117,'Grup Eşleme'!$C$5:$C$504))</f>
        <v/>
      </c>
      <c r="F117" s="27">
        <f>IF(OR(A117="",'Metraj Mahal Listesi'!$K$3=0,COUNTIF($B$5:$B$504,A117)&gt;0),"",E117/'Metraj Mahal Listesi'!$K$3*100)</f>
        <v/>
      </c>
      <c r="G117" s="28">
        <f>IF(OR(D117="",F117=""),"",F117-D117)</f>
        <v/>
      </c>
      <c r="H117" s="29">
        <f>IF(OR(G117="",D117=0),"",G117/D117*100)</f>
        <v/>
      </c>
      <c r="I117" s="30">
        <f>IF(A117="","",IF(COUNTIF($B$5:$B$504,A117)&gt;0,IF(ABS(SUMIF($B$5:$B$504,A117,$C$5:$C$504)-100)&lt;0.0001,"✔ alt gruplar Σ=100","⚠ alt gruplar Σ≠100"),IF(G117="","—",IF(ABS(G117)&lt;=PursUyum,"✔ uyumlu",IF(ABS(G117)&lt;=PursCiddi,"⚠ dikkat","✗ ciddi fark")))))</f>
        <v/>
      </c>
      <c r="J117" s="5" t="n"/>
      <c r="K117" s="5" t="n"/>
    </row>
    <row r="118">
      <c r="A118" s="5" t="n"/>
      <c r="B118" s="5" t="n"/>
      <c r="C118" s="26" t="n"/>
      <c r="D118" s="27">
        <f>IF(OR(A118="",C118=""),"",C118*IFERROR(VLOOKUP(B118,$A$5:$C$504,3,FALSE)/100,1)*IFERROR(VLOOKUP(IFERROR(VLOOKUP(B118,$A$5:$B$504,2,FALSE),""),$A$5:$C$504,3,FALSE)/100,1)*IFERROR(VLOOKUP(IFERROR(VLOOKUP(IFERROR(VLOOKUP(B118,$A$5:$B$504,2,FALSE),""),$A$5:$B$504,2,FALSE),""),$A$5:$C$504,3,FALSE)/100,1))</f>
        <v/>
      </c>
      <c r="E118" s="21">
        <f>IF(A118="","",SUMIF('Grup Eşleme'!$B$5:$B$504,A118,'Grup Eşleme'!$C$5:$C$504))</f>
        <v/>
      </c>
      <c r="F118" s="27">
        <f>IF(OR(A118="",'Metraj Mahal Listesi'!$K$3=0,COUNTIF($B$5:$B$504,A118)&gt;0),"",E118/'Metraj Mahal Listesi'!$K$3*100)</f>
        <v/>
      </c>
      <c r="G118" s="28">
        <f>IF(OR(D118="",F118=""),"",F118-D118)</f>
        <v/>
      </c>
      <c r="H118" s="29">
        <f>IF(OR(G118="",D118=0),"",G118/D118*100)</f>
        <v/>
      </c>
      <c r="I118" s="30">
        <f>IF(A118="","",IF(COUNTIF($B$5:$B$504,A118)&gt;0,IF(ABS(SUMIF($B$5:$B$504,A118,$C$5:$C$504)-100)&lt;0.0001,"✔ alt gruplar Σ=100","⚠ alt gruplar Σ≠100"),IF(G118="","—",IF(ABS(G118)&lt;=PursUyum,"✔ uyumlu",IF(ABS(G118)&lt;=PursCiddi,"⚠ dikkat","✗ ciddi fark")))))</f>
        <v/>
      </c>
      <c r="J118" s="5" t="n"/>
      <c r="K118" s="5" t="n"/>
    </row>
    <row r="119">
      <c r="A119" s="5" t="n"/>
      <c r="B119" s="5" t="n"/>
      <c r="C119" s="26" t="n"/>
      <c r="D119" s="27">
        <f>IF(OR(A119="",C119=""),"",C119*IFERROR(VLOOKUP(B119,$A$5:$C$504,3,FALSE)/100,1)*IFERROR(VLOOKUP(IFERROR(VLOOKUP(B119,$A$5:$B$504,2,FALSE),""),$A$5:$C$504,3,FALSE)/100,1)*IFERROR(VLOOKUP(IFERROR(VLOOKUP(IFERROR(VLOOKUP(B119,$A$5:$B$504,2,FALSE),""),$A$5:$B$504,2,FALSE),""),$A$5:$C$504,3,FALSE)/100,1))</f>
        <v/>
      </c>
      <c r="E119" s="21">
        <f>IF(A119="","",SUMIF('Grup Eşleme'!$B$5:$B$504,A119,'Grup Eşleme'!$C$5:$C$504))</f>
        <v/>
      </c>
      <c r="F119" s="27">
        <f>IF(OR(A119="",'Metraj Mahal Listesi'!$K$3=0,COUNTIF($B$5:$B$504,A119)&gt;0),"",E119/'Metraj Mahal Listesi'!$K$3*100)</f>
        <v/>
      </c>
      <c r="G119" s="28">
        <f>IF(OR(D119="",F119=""),"",F119-D119)</f>
        <v/>
      </c>
      <c r="H119" s="29">
        <f>IF(OR(G119="",D119=0),"",G119/D119*100)</f>
        <v/>
      </c>
      <c r="I119" s="30">
        <f>IF(A119="","",IF(COUNTIF($B$5:$B$504,A119)&gt;0,IF(ABS(SUMIF($B$5:$B$504,A119,$C$5:$C$504)-100)&lt;0.0001,"✔ alt gruplar Σ=100","⚠ alt gruplar Σ≠100"),IF(G119="","—",IF(ABS(G119)&lt;=PursUyum,"✔ uyumlu",IF(ABS(G119)&lt;=PursCiddi,"⚠ dikkat","✗ ciddi fark")))))</f>
        <v/>
      </c>
      <c r="J119" s="5" t="n"/>
      <c r="K119" s="5" t="n"/>
    </row>
    <row r="120">
      <c r="A120" s="5" t="n"/>
      <c r="B120" s="5" t="n"/>
      <c r="C120" s="26" t="n"/>
      <c r="D120" s="27">
        <f>IF(OR(A120="",C120=""),"",C120*IFERROR(VLOOKUP(B120,$A$5:$C$504,3,FALSE)/100,1)*IFERROR(VLOOKUP(IFERROR(VLOOKUP(B120,$A$5:$B$504,2,FALSE),""),$A$5:$C$504,3,FALSE)/100,1)*IFERROR(VLOOKUP(IFERROR(VLOOKUP(IFERROR(VLOOKUP(B120,$A$5:$B$504,2,FALSE),""),$A$5:$B$504,2,FALSE),""),$A$5:$C$504,3,FALSE)/100,1))</f>
        <v/>
      </c>
      <c r="E120" s="21">
        <f>IF(A120="","",SUMIF('Grup Eşleme'!$B$5:$B$504,A120,'Grup Eşleme'!$C$5:$C$504))</f>
        <v/>
      </c>
      <c r="F120" s="27">
        <f>IF(OR(A120="",'Metraj Mahal Listesi'!$K$3=0,COUNTIF($B$5:$B$504,A120)&gt;0),"",E120/'Metraj Mahal Listesi'!$K$3*100)</f>
        <v/>
      </c>
      <c r="G120" s="28">
        <f>IF(OR(D120="",F120=""),"",F120-D120)</f>
        <v/>
      </c>
      <c r="H120" s="29">
        <f>IF(OR(G120="",D120=0),"",G120/D120*100)</f>
        <v/>
      </c>
      <c r="I120" s="30">
        <f>IF(A120="","",IF(COUNTIF($B$5:$B$504,A120)&gt;0,IF(ABS(SUMIF($B$5:$B$504,A120,$C$5:$C$504)-100)&lt;0.0001,"✔ alt gruplar Σ=100","⚠ alt gruplar Σ≠100"),IF(G120="","—",IF(ABS(G120)&lt;=PursUyum,"✔ uyumlu",IF(ABS(G120)&lt;=PursCiddi,"⚠ dikkat","✗ ciddi fark")))))</f>
        <v/>
      </c>
      <c r="J120" s="5" t="n"/>
      <c r="K120" s="5" t="n"/>
    </row>
    <row r="121">
      <c r="A121" s="5" t="n"/>
      <c r="B121" s="5" t="n"/>
      <c r="C121" s="26" t="n"/>
      <c r="D121" s="27">
        <f>IF(OR(A121="",C121=""),"",C121*IFERROR(VLOOKUP(B121,$A$5:$C$504,3,FALSE)/100,1)*IFERROR(VLOOKUP(IFERROR(VLOOKUP(B121,$A$5:$B$504,2,FALSE),""),$A$5:$C$504,3,FALSE)/100,1)*IFERROR(VLOOKUP(IFERROR(VLOOKUP(IFERROR(VLOOKUP(B121,$A$5:$B$504,2,FALSE),""),$A$5:$B$504,2,FALSE),""),$A$5:$C$504,3,FALSE)/100,1))</f>
        <v/>
      </c>
      <c r="E121" s="21">
        <f>IF(A121="","",SUMIF('Grup Eşleme'!$B$5:$B$504,A121,'Grup Eşleme'!$C$5:$C$504))</f>
        <v/>
      </c>
      <c r="F121" s="27">
        <f>IF(OR(A121="",'Metraj Mahal Listesi'!$K$3=0,COUNTIF($B$5:$B$504,A121)&gt;0),"",E121/'Metraj Mahal Listesi'!$K$3*100)</f>
        <v/>
      </c>
      <c r="G121" s="28">
        <f>IF(OR(D121="",F121=""),"",F121-D121)</f>
        <v/>
      </c>
      <c r="H121" s="29">
        <f>IF(OR(G121="",D121=0),"",G121/D121*100)</f>
        <v/>
      </c>
      <c r="I121" s="30">
        <f>IF(A121="","",IF(COUNTIF($B$5:$B$504,A121)&gt;0,IF(ABS(SUMIF($B$5:$B$504,A121,$C$5:$C$504)-100)&lt;0.0001,"✔ alt gruplar Σ=100","⚠ alt gruplar Σ≠100"),IF(G121="","—",IF(ABS(G121)&lt;=PursUyum,"✔ uyumlu",IF(ABS(G121)&lt;=PursCiddi,"⚠ dikkat","✗ ciddi fark")))))</f>
        <v/>
      </c>
      <c r="J121" s="5" t="n"/>
      <c r="K121" s="5" t="n"/>
    </row>
    <row r="122">
      <c r="A122" s="5" t="n"/>
      <c r="B122" s="5" t="n"/>
      <c r="C122" s="26" t="n"/>
      <c r="D122" s="27">
        <f>IF(OR(A122="",C122=""),"",C122*IFERROR(VLOOKUP(B122,$A$5:$C$504,3,FALSE)/100,1)*IFERROR(VLOOKUP(IFERROR(VLOOKUP(B122,$A$5:$B$504,2,FALSE),""),$A$5:$C$504,3,FALSE)/100,1)*IFERROR(VLOOKUP(IFERROR(VLOOKUP(IFERROR(VLOOKUP(B122,$A$5:$B$504,2,FALSE),""),$A$5:$B$504,2,FALSE),""),$A$5:$C$504,3,FALSE)/100,1))</f>
        <v/>
      </c>
      <c r="E122" s="21">
        <f>IF(A122="","",SUMIF('Grup Eşleme'!$B$5:$B$504,A122,'Grup Eşleme'!$C$5:$C$504))</f>
        <v/>
      </c>
      <c r="F122" s="27">
        <f>IF(OR(A122="",'Metraj Mahal Listesi'!$K$3=0,COUNTIF($B$5:$B$504,A122)&gt;0),"",E122/'Metraj Mahal Listesi'!$K$3*100)</f>
        <v/>
      </c>
      <c r="G122" s="28">
        <f>IF(OR(D122="",F122=""),"",F122-D122)</f>
        <v/>
      </c>
      <c r="H122" s="29">
        <f>IF(OR(G122="",D122=0),"",G122/D122*100)</f>
        <v/>
      </c>
      <c r="I122" s="30">
        <f>IF(A122="","",IF(COUNTIF($B$5:$B$504,A122)&gt;0,IF(ABS(SUMIF($B$5:$B$504,A122,$C$5:$C$504)-100)&lt;0.0001,"✔ alt gruplar Σ=100","⚠ alt gruplar Σ≠100"),IF(G122="","—",IF(ABS(G122)&lt;=PursUyum,"✔ uyumlu",IF(ABS(G122)&lt;=PursCiddi,"⚠ dikkat","✗ ciddi fark")))))</f>
        <v/>
      </c>
      <c r="J122" s="5" t="n"/>
      <c r="K122" s="5" t="n"/>
    </row>
    <row r="123">
      <c r="A123" s="5" t="n"/>
      <c r="B123" s="5" t="n"/>
      <c r="C123" s="26" t="n"/>
      <c r="D123" s="27">
        <f>IF(OR(A123="",C123=""),"",C123*IFERROR(VLOOKUP(B123,$A$5:$C$504,3,FALSE)/100,1)*IFERROR(VLOOKUP(IFERROR(VLOOKUP(B123,$A$5:$B$504,2,FALSE),""),$A$5:$C$504,3,FALSE)/100,1)*IFERROR(VLOOKUP(IFERROR(VLOOKUP(IFERROR(VLOOKUP(B123,$A$5:$B$504,2,FALSE),""),$A$5:$B$504,2,FALSE),""),$A$5:$C$504,3,FALSE)/100,1))</f>
        <v/>
      </c>
      <c r="E123" s="21">
        <f>IF(A123="","",SUMIF('Grup Eşleme'!$B$5:$B$504,A123,'Grup Eşleme'!$C$5:$C$504))</f>
        <v/>
      </c>
      <c r="F123" s="27">
        <f>IF(OR(A123="",'Metraj Mahal Listesi'!$K$3=0,COUNTIF($B$5:$B$504,A123)&gt;0),"",E123/'Metraj Mahal Listesi'!$K$3*100)</f>
        <v/>
      </c>
      <c r="G123" s="28">
        <f>IF(OR(D123="",F123=""),"",F123-D123)</f>
        <v/>
      </c>
      <c r="H123" s="29">
        <f>IF(OR(G123="",D123=0),"",G123/D123*100)</f>
        <v/>
      </c>
      <c r="I123" s="30">
        <f>IF(A123="","",IF(COUNTIF($B$5:$B$504,A123)&gt;0,IF(ABS(SUMIF($B$5:$B$504,A123,$C$5:$C$504)-100)&lt;0.0001,"✔ alt gruplar Σ=100","⚠ alt gruplar Σ≠100"),IF(G123="","—",IF(ABS(G123)&lt;=PursUyum,"✔ uyumlu",IF(ABS(G123)&lt;=PursCiddi,"⚠ dikkat","✗ ciddi fark")))))</f>
        <v/>
      </c>
      <c r="J123" s="5" t="n"/>
      <c r="K123" s="5" t="n"/>
    </row>
    <row r="124">
      <c r="A124" s="5" t="n"/>
      <c r="B124" s="5" t="n"/>
      <c r="C124" s="26" t="n"/>
      <c r="D124" s="27">
        <f>IF(OR(A124="",C124=""),"",C124*IFERROR(VLOOKUP(B124,$A$5:$C$504,3,FALSE)/100,1)*IFERROR(VLOOKUP(IFERROR(VLOOKUP(B124,$A$5:$B$504,2,FALSE),""),$A$5:$C$504,3,FALSE)/100,1)*IFERROR(VLOOKUP(IFERROR(VLOOKUP(IFERROR(VLOOKUP(B124,$A$5:$B$504,2,FALSE),""),$A$5:$B$504,2,FALSE),""),$A$5:$C$504,3,FALSE)/100,1))</f>
        <v/>
      </c>
      <c r="E124" s="21">
        <f>IF(A124="","",SUMIF('Grup Eşleme'!$B$5:$B$504,A124,'Grup Eşleme'!$C$5:$C$504))</f>
        <v/>
      </c>
      <c r="F124" s="27">
        <f>IF(OR(A124="",'Metraj Mahal Listesi'!$K$3=0,COUNTIF($B$5:$B$504,A124)&gt;0),"",E124/'Metraj Mahal Listesi'!$K$3*100)</f>
        <v/>
      </c>
      <c r="G124" s="28">
        <f>IF(OR(D124="",F124=""),"",F124-D124)</f>
        <v/>
      </c>
      <c r="H124" s="29">
        <f>IF(OR(G124="",D124=0),"",G124/D124*100)</f>
        <v/>
      </c>
      <c r="I124" s="30">
        <f>IF(A124="","",IF(COUNTIF($B$5:$B$504,A124)&gt;0,IF(ABS(SUMIF($B$5:$B$504,A124,$C$5:$C$504)-100)&lt;0.0001,"✔ alt gruplar Σ=100","⚠ alt gruplar Σ≠100"),IF(G124="","—",IF(ABS(G124)&lt;=PursUyum,"✔ uyumlu",IF(ABS(G124)&lt;=PursCiddi,"⚠ dikkat","✗ ciddi fark")))))</f>
        <v/>
      </c>
      <c r="J124" s="5" t="n"/>
      <c r="K124" s="5" t="n"/>
    </row>
    <row r="125">
      <c r="A125" s="5" t="n"/>
      <c r="B125" s="5" t="n"/>
      <c r="C125" s="26" t="n"/>
      <c r="D125" s="27">
        <f>IF(OR(A125="",C125=""),"",C125*IFERROR(VLOOKUP(B125,$A$5:$C$504,3,FALSE)/100,1)*IFERROR(VLOOKUP(IFERROR(VLOOKUP(B125,$A$5:$B$504,2,FALSE),""),$A$5:$C$504,3,FALSE)/100,1)*IFERROR(VLOOKUP(IFERROR(VLOOKUP(IFERROR(VLOOKUP(B125,$A$5:$B$504,2,FALSE),""),$A$5:$B$504,2,FALSE),""),$A$5:$C$504,3,FALSE)/100,1))</f>
        <v/>
      </c>
      <c r="E125" s="21">
        <f>IF(A125="","",SUMIF('Grup Eşleme'!$B$5:$B$504,A125,'Grup Eşleme'!$C$5:$C$504))</f>
        <v/>
      </c>
      <c r="F125" s="27">
        <f>IF(OR(A125="",'Metraj Mahal Listesi'!$K$3=0,COUNTIF($B$5:$B$504,A125)&gt;0),"",E125/'Metraj Mahal Listesi'!$K$3*100)</f>
        <v/>
      </c>
      <c r="G125" s="28">
        <f>IF(OR(D125="",F125=""),"",F125-D125)</f>
        <v/>
      </c>
      <c r="H125" s="29">
        <f>IF(OR(G125="",D125=0),"",G125/D125*100)</f>
        <v/>
      </c>
      <c r="I125" s="30">
        <f>IF(A125="","",IF(COUNTIF($B$5:$B$504,A125)&gt;0,IF(ABS(SUMIF($B$5:$B$504,A125,$C$5:$C$504)-100)&lt;0.0001,"✔ alt gruplar Σ=100","⚠ alt gruplar Σ≠100"),IF(G125="","—",IF(ABS(G125)&lt;=PursUyum,"✔ uyumlu",IF(ABS(G125)&lt;=PursCiddi,"⚠ dikkat","✗ ciddi fark")))))</f>
        <v/>
      </c>
      <c r="J125" s="5" t="n"/>
      <c r="K125" s="5" t="n"/>
    </row>
    <row r="126">
      <c r="A126" s="5" t="n"/>
      <c r="B126" s="5" t="n"/>
      <c r="C126" s="26" t="n"/>
      <c r="D126" s="27">
        <f>IF(OR(A126="",C126=""),"",C126*IFERROR(VLOOKUP(B126,$A$5:$C$504,3,FALSE)/100,1)*IFERROR(VLOOKUP(IFERROR(VLOOKUP(B126,$A$5:$B$504,2,FALSE),""),$A$5:$C$504,3,FALSE)/100,1)*IFERROR(VLOOKUP(IFERROR(VLOOKUP(IFERROR(VLOOKUP(B126,$A$5:$B$504,2,FALSE),""),$A$5:$B$504,2,FALSE),""),$A$5:$C$504,3,FALSE)/100,1))</f>
        <v/>
      </c>
      <c r="E126" s="21">
        <f>IF(A126="","",SUMIF('Grup Eşleme'!$B$5:$B$504,A126,'Grup Eşleme'!$C$5:$C$504))</f>
        <v/>
      </c>
      <c r="F126" s="27">
        <f>IF(OR(A126="",'Metraj Mahal Listesi'!$K$3=0,COUNTIF($B$5:$B$504,A126)&gt;0),"",E126/'Metraj Mahal Listesi'!$K$3*100)</f>
        <v/>
      </c>
      <c r="G126" s="28">
        <f>IF(OR(D126="",F126=""),"",F126-D126)</f>
        <v/>
      </c>
      <c r="H126" s="29">
        <f>IF(OR(G126="",D126=0),"",G126/D126*100)</f>
        <v/>
      </c>
      <c r="I126" s="30">
        <f>IF(A126="","",IF(COUNTIF($B$5:$B$504,A126)&gt;0,IF(ABS(SUMIF($B$5:$B$504,A126,$C$5:$C$504)-100)&lt;0.0001,"✔ alt gruplar Σ=100","⚠ alt gruplar Σ≠100"),IF(G126="","—",IF(ABS(G126)&lt;=PursUyum,"✔ uyumlu",IF(ABS(G126)&lt;=PursCiddi,"⚠ dikkat","✗ ciddi fark")))))</f>
        <v/>
      </c>
      <c r="J126" s="5" t="n"/>
      <c r="K126" s="5" t="n"/>
    </row>
    <row r="127">
      <c r="A127" s="5" t="n"/>
      <c r="B127" s="5" t="n"/>
      <c r="C127" s="26" t="n"/>
      <c r="D127" s="27">
        <f>IF(OR(A127="",C127=""),"",C127*IFERROR(VLOOKUP(B127,$A$5:$C$504,3,FALSE)/100,1)*IFERROR(VLOOKUP(IFERROR(VLOOKUP(B127,$A$5:$B$504,2,FALSE),""),$A$5:$C$504,3,FALSE)/100,1)*IFERROR(VLOOKUP(IFERROR(VLOOKUP(IFERROR(VLOOKUP(B127,$A$5:$B$504,2,FALSE),""),$A$5:$B$504,2,FALSE),""),$A$5:$C$504,3,FALSE)/100,1))</f>
        <v/>
      </c>
      <c r="E127" s="21">
        <f>IF(A127="","",SUMIF('Grup Eşleme'!$B$5:$B$504,A127,'Grup Eşleme'!$C$5:$C$504))</f>
        <v/>
      </c>
      <c r="F127" s="27">
        <f>IF(OR(A127="",'Metraj Mahal Listesi'!$K$3=0,COUNTIF($B$5:$B$504,A127)&gt;0),"",E127/'Metraj Mahal Listesi'!$K$3*100)</f>
        <v/>
      </c>
      <c r="G127" s="28">
        <f>IF(OR(D127="",F127=""),"",F127-D127)</f>
        <v/>
      </c>
      <c r="H127" s="29">
        <f>IF(OR(G127="",D127=0),"",G127/D127*100)</f>
        <v/>
      </c>
      <c r="I127" s="30">
        <f>IF(A127="","",IF(COUNTIF($B$5:$B$504,A127)&gt;0,IF(ABS(SUMIF($B$5:$B$504,A127,$C$5:$C$504)-100)&lt;0.0001,"✔ alt gruplar Σ=100","⚠ alt gruplar Σ≠100"),IF(G127="","—",IF(ABS(G127)&lt;=PursUyum,"✔ uyumlu",IF(ABS(G127)&lt;=PursCiddi,"⚠ dikkat","✗ ciddi fark")))))</f>
        <v/>
      </c>
      <c r="J127" s="5" t="n"/>
      <c r="K127" s="5" t="n"/>
    </row>
    <row r="128">
      <c r="A128" s="5" t="n"/>
      <c r="B128" s="5" t="n"/>
      <c r="C128" s="26" t="n"/>
      <c r="D128" s="27">
        <f>IF(OR(A128="",C128=""),"",C128*IFERROR(VLOOKUP(B128,$A$5:$C$504,3,FALSE)/100,1)*IFERROR(VLOOKUP(IFERROR(VLOOKUP(B128,$A$5:$B$504,2,FALSE),""),$A$5:$C$504,3,FALSE)/100,1)*IFERROR(VLOOKUP(IFERROR(VLOOKUP(IFERROR(VLOOKUP(B128,$A$5:$B$504,2,FALSE),""),$A$5:$B$504,2,FALSE),""),$A$5:$C$504,3,FALSE)/100,1))</f>
        <v/>
      </c>
      <c r="E128" s="21">
        <f>IF(A128="","",SUMIF('Grup Eşleme'!$B$5:$B$504,A128,'Grup Eşleme'!$C$5:$C$504))</f>
        <v/>
      </c>
      <c r="F128" s="27">
        <f>IF(OR(A128="",'Metraj Mahal Listesi'!$K$3=0,COUNTIF($B$5:$B$504,A128)&gt;0),"",E128/'Metraj Mahal Listesi'!$K$3*100)</f>
        <v/>
      </c>
      <c r="G128" s="28">
        <f>IF(OR(D128="",F128=""),"",F128-D128)</f>
        <v/>
      </c>
      <c r="H128" s="29">
        <f>IF(OR(G128="",D128=0),"",G128/D128*100)</f>
        <v/>
      </c>
      <c r="I128" s="30">
        <f>IF(A128="","",IF(COUNTIF($B$5:$B$504,A128)&gt;0,IF(ABS(SUMIF($B$5:$B$504,A128,$C$5:$C$504)-100)&lt;0.0001,"✔ alt gruplar Σ=100","⚠ alt gruplar Σ≠100"),IF(G128="","—",IF(ABS(G128)&lt;=PursUyum,"✔ uyumlu",IF(ABS(G128)&lt;=PursCiddi,"⚠ dikkat","✗ ciddi fark")))))</f>
        <v/>
      </c>
      <c r="J128" s="5" t="n"/>
      <c r="K128" s="5" t="n"/>
    </row>
    <row r="129">
      <c r="A129" s="5" t="n"/>
      <c r="B129" s="5" t="n"/>
      <c r="C129" s="26" t="n"/>
      <c r="D129" s="27">
        <f>IF(OR(A129="",C129=""),"",C129*IFERROR(VLOOKUP(B129,$A$5:$C$504,3,FALSE)/100,1)*IFERROR(VLOOKUP(IFERROR(VLOOKUP(B129,$A$5:$B$504,2,FALSE),""),$A$5:$C$504,3,FALSE)/100,1)*IFERROR(VLOOKUP(IFERROR(VLOOKUP(IFERROR(VLOOKUP(B129,$A$5:$B$504,2,FALSE),""),$A$5:$B$504,2,FALSE),""),$A$5:$C$504,3,FALSE)/100,1))</f>
        <v/>
      </c>
      <c r="E129" s="21">
        <f>IF(A129="","",SUMIF('Grup Eşleme'!$B$5:$B$504,A129,'Grup Eşleme'!$C$5:$C$504))</f>
        <v/>
      </c>
      <c r="F129" s="27">
        <f>IF(OR(A129="",'Metraj Mahal Listesi'!$K$3=0,COUNTIF($B$5:$B$504,A129)&gt;0),"",E129/'Metraj Mahal Listesi'!$K$3*100)</f>
        <v/>
      </c>
      <c r="G129" s="28">
        <f>IF(OR(D129="",F129=""),"",F129-D129)</f>
        <v/>
      </c>
      <c r="H129" s="29">
        <f>IF(OR(G129="",D129=0),"",G129/D129*100)</f>
        <v/>
      </c>
      <c r="I129" s="30">
        <f>IF(A129="","",IF(COUNTIF($B$5:$B$504,A129)&gt;0,IF(ABS(SUMIF($B$5:$B$504,A129,$C$5:$C$504)-100)&lt;0.0001,"✔ alt gruplar Σ=100","⚠ alt gruplar Σ≠100"),IF(G129="","—",IF(ABS(G129)&lt;=PursUyum,"✔ uyumlu",IF(ABS(G129)&lt;=PursCiddi,"⚠ dikkat","✗ ciddi fark")))))</f>
        <v/>
      </c>
      <c r="J129" s="5" t="n"/>
      <c r="K129" s="5" t="n"/>
    </row>
    <row r="130">
      <c r="A130" s="5" t="n"/>
      <c r="B130" s="5" t="n"/>
      <c r="C130" s="26" t="n"/>
      <c r="D130" s="27">
        <f>IF(OR(A130="",C130=""),"",C130*IFERROR(VLOOKUP(B130,$A$5:$C$504,3,FALSE)/100,1)*IFERROR(VLOOKUP(IFERROR(VLOOKUP(B130,$A$5:$B$504,2,FALSE),""),$A$5:$C$504,3,FALSE)/100,1)*IFERROR(VLOOKUP(IFERROR(VLOOKUP(IFERROR(VLOOKUP(B130,$A$5:$B$504,2,FALSE),""),$A$5:$B$504,2,FALSE),""),$A$5:$C$504,3,FALSE)/100,1))</f>
        <v/>
      </c>
      <c r="E130" s="21">
        <f>IF(A130="","",SUMIF('Grup Eşleme'!$B$5:$B$504,A130,'Grup Eşleme'!$C$5:$C$504))</f>
        <v/>
      </c>
      <c r="F130" s="27">
        <f>IF(OR(A130="",'Metraj Mahal Listesi'!$K$3=0,COUNTIF($B$5:$B$504,A130)&gt;0),"",E130/'Metraj Mahal Listesi'!$K$3*100)</f>
        <v/>
      </c>
      <c r="G130" s="28">
        <f>IF(OR(D130="",F130=""),"",F130-D130)</f>
        <v/>
      </c>
      <c r="H130" s="29">
        <f>IF(OR(G130="",D130=0),"",G130/D130*100)</f>
        <v/>
      </c>
      <c r="I130" s="30">
        <f>IF(A130="","",IF(COUNTIF($B$5:$B$504,A130)&gt;0,IF(ABS(SUMIF($B$5:$B$504,A130,$C$5:$C$504)-100)&lt;0.0001,"✔ alt gruplar Σ=100","⚠ alt gruplar Σ≠100"),IF(G130="","—",IF(ABS(G130)&lt;=PursUyum,"✔ uyumlu",IF(ABS(G130)&lt;=PursCiddi,"⚠ dikkat","✗ ciddi fark")))))</f>
        <v/>
      </c>
      <c r="J130" s="5" t="n"/>
      <c r="K130" s="5" t="n"/>
    </row>
    <row r="131">
      <c r="A131" s="5" t="n"/>
      <c r="B131" s="5" t="n"/>
      <c r="C131" s="26" t="n"/>
      <c r="D131" s="27">
        <f>IF(OR(A131="",C131=""),"",C131*IFERROR(VLOOKUP(B131,$A$5:$C$504,3,FALSE)/100,1)*IFERROR(VLOOKUP(IFERROR(VLOOKUP(B131,$A$5:$B$504,2,FALSE),""),$A$5:$C$504,3,FALSE)/100,1)*IFERROR(VLOOKUP(IFERROR(VLOOKUP(IFERROR(VLOOKUP(B131,$A$5:$B$504,2,FALSE),""),$A$5:$B$504,2,FALSE),""),$A$5:$C$504,3,FALSE)/100,1))</f>
        <v/>
      </c>
      <c r="E131" s="21">
        <f>IF(A131="","",SUMIF('Grup Eşleme'!$B$5:$B$504,A131,'Grup Eşleme'!$C$5:$C$504))</f>
        <v/>
      </c>
      <c r="F131" s="27">
        <f>IF(OR(A131="",'Metraj Mahal Listesi'!$K$3=0,COUNTIF($B$5:$B$504,A131)&gt;0),"",E131/'Metraj Mahal Listesi'!$K$3*100)</f>
        <v/>
      </c>
      <c r="G131" s="28">
        <f>IF(OR(D131="",F131=""),"",F131-D131)</f>
        <v/>
      </c>
      <c r="H131" s="29">
        <f>IF(OR(G131="",D131=0),"",G131/D131*100)</f>
        <v/>
      </c>
      <c r="I131" s="30">
        <f>IF(A131="","",IF(COUNTIF($B$5:$B$504,A131)&gt;0,IF(ABS(SUMIF($B$5:$B$504,A131,$C$5:$C$504)-100)&lt;0.0001,"✔ alt gruplar Σ=100","⚠ alt gruplar Σ≠100"),IF(G131="","—",IF(ABS(G131)&lt;=PursUyum,"✔ uyumlu",IF(ABS(G131)&lt;=PursCiddi,"⚠ dikkat","✗ ciddi fark")))))</f>
        <v/>
      </c>
      <c r="J131" s="5" t="n"/>
      <c r="K131" s="5" t="n"/>
    </row>
    <row r="132">
      <c r="A132" s="5" t="n"/>
      <c r="B132" s="5" t="n"/>
      <c r="C132" s="26" t="n"/>
      <c r="D132" s="27">
        <f>IF(OR(A132="",C132=""),"",C132*IFERROR(VLOOKUP(B132,$A$5:$C$504,3,FALSE)/100,1)*IFERROR(VLOOKUP(IFERROR(VLOOKUP(B132,$A$5:$B$504,2,FALSE),""),$A$5:$C$504,3,FALSE)/100,1)*IFERROR(VLOOKUP(IFERROR(VLOOKUP(IFERROR(VLOOKUP(B132,$A$5:$B$504,2,FALSE),""),$A$5:$B$504,2,FALSE),""),$A$5:$C$504,3,FALSE)/100,1))</f>
        <v/>
      </c>
      <c r="E132" s="21">
        <f>IF(A132="","",SUMIF('Grup Eşleme'!$B$5:$B$504,A132,'Grup Eşleme'!$C$5:$C$504))</f>
        <v/>
      </c>
      <c r="F132" s="27">
        <f>IF(OR(A132="",'Metraj Mahal Listesi'!$K$3=0,COUNTIF($B$5:$B$504,A132)&gt;0),"",E132/'Metraj Mahal Listesi'!$K$3*100)</f>
        <v/>
      </c>
      <c r="G132" s="28">
        <f>IF(OR(D132="",F132=""),"",F132-D132)</f>
        <v/>
      </c>
      <c r="H132" s="29">
        <f>IF(OR(G132="",D132=0),"",G132/D132*100)</f>
        <v/>
      </c>
      <c r="I132" s="30">
        <f>IF(A132="","",IF(COUNTIF($B$5:$B$504,A132)&gt;0,IF(ABS(SUMIF($B$5:$B$504,A132,$C$5:$C$504)-100)&lt;0.0001,"✔ alt gruplar Σ=100","⚠ alt gruplar Σ≠100"),IF(G132="","—",IF(ABS(G132)&lt;=PursUyum,"✔ uyumlu",IF(ABS(G132)&lt;=PursCiddi,"⚠ dikkat","✗ ciddi fark")))))</f>
        <v/>
      </c>
      <c r="J132" s="5" t="n"/>
      <c r="K132" s="5" t="n"/>
    </row>
    <row r="133">
      <c r="A133" s="5" t="n"/>
      <c r="B133" s="5" t="n"/>
      <c r="C133" s="26" t="n"/>
      <c r="D133" s="27">
        <f>IF(OR(A133="",C133=""),"",C133*IFERROR(VLOOKUP(B133,$A$5:$C$504,3,FALSE)/100,1)*IFERROR(VLOOKUP(IFERROR(VLOOKUP(B133,$A$5:$B$504,2,FALSE),""),$A$5:$C$504,3,FALSE)/100,1)*IFERROR(VLOOKUP(IFERROR(VLOOKUP(IFERROR(VLOOKUP(B133,$A$5:$B$504,2,FALSE),""),$A$5:$B$504,2,FALSE),""),$A$5:$C$504,3,FALSE)/100,1))</f>
        <v/>
      </c>
      <c r="E133" s="21">
        <f>IF(A133="","",SUMIF('Grup Eşleme'!$B$5:$B$504,A133,'Grup Eşleme'!$C$5:$C$504))</f>
        <v/>
      </c>
      <c r="F133" s="27">
        <f>IF(OR(A133="",'Metraj Mahal Listesi'!$K$3=0,COUNTIF($B$5:$B$504,A133)&gt;0),"",E133/'Metraj Mahal Listesi'!$K$3*100)</f>
        <v/>
      </c>
      <c r="G133" s="28">
        <f>IF(OR(D133="",F133=""),"",F133-D133)</f>
        <v/>
      </c>
      <c r="H133" s="29">
        <f>IF(OR(G133="",D133=0),"",G133/D133*100)</f>
        <v/>
      </c>
      <c r="I133" s="30">
        <f>IF(A133="","",IF(COUNTIF($B$5:$B$504,A133)&gt;0,IF(ABS(SUMIF($B$5:$B$504,A133,$C$5:$C$504)-100)&lt;0.0001,"✔ alt gruplar Σ=100","⚠ alt gruplar Σ≠100"),IF(G133="","—",IF(ABS(G133)&lt;=PursUyum,"✔ uyumlu",IF(ABS(G133)&lt;=PursCiddi,"⚠ dikkat","✗ ciddi fark")))))</f>
        <v/>
      </c>
      <c r="J133" s="5" t="n"/>
      <c r="K133" s="5" t="n"/>
    </row>
    <row r="134">
      <c r="A134" s="5" t="n"/>
      <c r="B134" s="5" t="n"/>
      <c r="C134" s="26" t="n"/>
      <c r="D134" s="27">
        <f>IF(OR(A134="",C134=""),"",C134*IFERROR(VLOOKUP(B134,$A$5:$C$504,3,FALSE)/100,1)*IFERROR(VLOOKUP(IFERROR(VLOOKUP(B134,$A$5:$B$504,2,FALSE),""),$A$5:$C$504,3,FALSE)/100,1)*IFERROR(VLOOKUP(IFERROR(VLOOKUP(IFERROR(VLOOKUP(B134,$A$5:$B$504,2,FALSE),""),$A$5:$B$504,2,FALSE),""),$A$5:$C$504,3,FALSE)/100,1))</f>
        <v/>
      </c>
      <c r="E134" s="21">
        <f>IF(A134="","",SUMIF('Grup Eşleme'!$B$5:$B$504,A134,'Grup Eşleme'!$C$5:$C$504))</f>
        <v/>
      </c>
      <c r="F134" s="27">
        <f>IF(OR(A134="",'Metraj Mahal Listesi'!$K$3=0,COUNTIF($B$5:$B$504,A134)&gt;0),"",E134/'Metraj Mahal Listesi'!$K$3*100)</f>
        <v/>
      </c>
      <c r="G134" s="28">
        <f>IF(OR(D134="",F134=""),"",F134-D134)</f>
        <v/>
      </c>
      <c r="H134" s="29">
        <f>IF(OR(G134="",D134=0),"",G134/D134*100)</f>
        <v/>
      </c>
      <c r="I134" s="30">
        <f>IF(A134="","",IF(COUNTIF($B$5:$B$504,A134)&gt;0,IF(ABS(SUMIF($B$5:$B$504,A134,$C$5:$C$504)-100)&lt;0.0001,"✔ alt gruplar Σ=100","⚠ alt gruplar Σ≠100"),IF(G134="","—",IF(ABS(G134)&lt;=PursUyum,"✔ uyumlu",IF(ABS(G134)&lt;=PursCiddi,"⚠ dikkat","✗ ciddi fark")))))</f>
        <v/>
      </c>
      <c r="J134" s="5" t="n"/>
      <c r="K134" s="5" t="n"/>
    </row>
    <row r="135">
      <c r="A135" s="5" t="n"/>
      <c r="B135" s="5" t="n"/>
      <c r="C135" s="26" t="n"/>
      <c r="D135" s="27">
        <f>IF(OR(A135="",C135=""),"",C135*IFERROR(VLOOKUP(B135,$A$5:$C$504,3,FALSE)/100,1)*IFERROR(VLOOKUP(IFERROR(VLOOKUP(B135,$A$5:$B$504,2,FALSE),""),$A$5:$C$504,3,FALSE)/100,1)*IFERROR(VLOOKUP(IFERROR(VLOOKUP(IFERROR(VLOOKUP(B135,$A$5:$B$504,2,FALSE),""),$A$5:$B$504,2,FALSE),""),$A$5:$C$504,3,FALSE)/100,1))</f>
        <v/>
      </c>
      <c r="E135" s="21">
        <f>IF(A135="","",SUMIF('Grup Eşleme'!$B$5:$B$504,A135,'Grup Eşleme'!$C$5:$C$504))</f>
        <v/>
      </c>
      <c r="F135" s="27">
        <f>IF(OR(A135="",'Metraj Mahal Listesi'!$K$3=0,COUNTIF($B$5:$B$504,A135)&gt;0),"",E135/'Metraj Mahal Listesi'!$K$3*100)</f>
        <v/>
      </c>
      <c r="G135" s="28">
        <f>IF(OR(D135="",F135=""),"",F135-D135)</f>
        <v/>
      </c>
      <c r="H135" s="29">
        <f>IF(OR(G135="",D135=0),"",G135/D135*100)</f>
        <v/>
      </c>
      <c r="I135" s="30">
        <f>IF(A135="","",IF(COUNTIF($B$5:$B$504,A135)&gt;0,IF(ABS(SUMIF($B$5:$B$504,A135,$C$5:$C$504)-100)&lt;0.0001,"✔ alt gruplar Σ=100","⚠ alt gruplar Σ≠100"),IF(G135="","—",IF(ABS(G135)&lt;=PursUyum,"✔ uyumlu",IF(ABS(G135)&lt;=PursCiddi,"⚠ dikkat","✗ ciddi fark")))))</f>
        <v/>
      </c>
      <c r="J135" s="5" t="n"/>
      <c r="K135" s="5" t="n"/>
    </row>
    <row r="136">
      <c r="A136" s="5" t="n"/>
      <c r="B136" s="5" t="n"/>
      <c r="C136" s="26" t="n"/>
      <c r="D136" s="27">
        <f>IF(OR(A136="",C136=""),"",C136*IFERROR(VLOOKUP(B136,$A$5:$C$504,3,FALSE)/100,1)*IFERROR(VLOOKUP(IFERROR(VLOOKUP(B136,$A$5:$B$504,2,FALSE),""),$A$5:$C$504,3,FALSE)/100,1)*IFERROR(VLOOKUP(IFERROR(VLOOKUP(IFERROR(VLOOKUP(B136,$A$5:$B$504,2,FALSE),""),$A$5:$B$504,2,FALSE),""),$A$5:$C$504,3,FALSE)/100,1))</f>
        <v/>
      </c>
      <c r="E136" s="21">
        <f>IF(A136="","",SUMIF('Grup Eşleme'!$B$5:$B$504,A136,'Grup Eşleme'!$C$5:$C$504))</f>
        <v/>
      </c>
      <c r="F136" s="27">
        <f>IF(OR(A136="",'Metraj Mahal Listesi'!$K$3=0,COUNTIF($B$5:$B$504,A136)&gt;0),"",E136/'Metraj Mahal Listesi'!$K$3*100)</f>
        <v/>
      </c>
      <c r="G136" s="28">
        <f>IF(OR(D136="",F136=""),"",F136-D136)</f>
        <v/>
      </c>
      <c r="H136" s="29">
        <f>IF(OR(G136="",D136=0),"",G136/D136*100)</f>
        <v/>
      </c>
      <c r="I136" s="30">
        <f>IF(A136="","",IF(COUNTIF($B$5:$B$504,A136)&gt;0,IF(ABS(SUMIF($B$5:$B$504,A136,$C$5:$C$504)-100)&lt;0.0001,"✔ alt gruplar Σ=100","⚠ alt gruplar Σ≠100"),IF(G136="","—",IF(ABS(G136)&lt;=PursUyum,"✔ uyumlu",IF(ABS(G136)&lt;=PursCiddi,"⚠ dikkat","✗ ciddi fark")))))</f>
        <v/>
      </c>
      <c r="J136" s="5" t="n"/>
      <c r="K136" s="5" t="n"/>
    </row>
    <row r="137">
      <c r="A137" s="5" t="n"/>
      <c r="B137" s="5" t="n"/>
      <c r="C137" s="26" t="n"/>
      <c r="D137" s="27">
        <f>IF(OR(A137="",C137=""),"",C137*IFERROR(VLOOKUP(B137,$A$5:$C$504,3,FALSE)/100,1)*IFERROR(VLOOKUP(IFERROR(VLOOKUP(B137,$A$5:$B$504,2,FALSE),""),$A$5:$C$504,3,FALSE)/100,1)*IFERROR(VLOOKUP(IFERROR(VLOOKUP(IFERROR(VLOOKUP(B137,$A$5:$B$504,2,FALSE),""),$A$5:$B$504,2,FALSE),""),$A$5:$C$504,3,FALSE)/100,1))</f>
        <v/>
      </c>
      <c r="E137" s="21">
        <f>IF(A137="","",SUMIF('Grup Eşleme'!$B$5:$B$504,A137,'Grup Eşleme'!$C$5:$C$504))</f>
        <v/>
      </c>
      <c r="F137" s="27">
        <f>IF(OR(A137="",'Metraj Mahal Listesi'!$K$3=0,COUNTIF($B$5:$B$504,A137)&gt;0),"",E137/'Metraj Mahal Listesi'!$K$3*100)</f>
        <v/>
      </c>
      <c r="G137" s="28">
        <f>IF(OR(D137="",F137=""),"",F137-D137)</f>
        <v/>
      </c>
      <c r="H137" s="29">
        <f>IF(OR(G137="",D137=0),"",G137/D137*100)</f>
        <v/>
      </c>
      <c r="I137" s="30">
        <f>IF(A137="","",IF(COUNTIF($B$5:$B$504,A137)&gt;0,IF(ABS(SUMIF($B$5:$B$504,A137,$C$5:$C$504)-100)&lt;0.0001,"✔ alt gruplar Σ=100","⚠ alt gruplar Σ≠100"),IF(G137="","—",IF(ABS(G137)&lt;=PursUyum,"✔ uyumlu",IF(ABS(G137)&lt;=PursCiddi,"⚠ dikkat","✗ ciddi fark")))))</f>
        <v/>
      </c>
      <c r="J137" s="5" t="n"/>
      <c r="K137" s="5" t="n"/>
    </row>
    <row r="138">
      <c r="A138" s="5" t="n"/>
      <c r="B138" s="5" t="n"/>
      <c r="C138" s="26" t="n"/>
      <c r="D138" s="27">
        <f>IF(OR(A138="",C138=""),"",C138*IFERROR(VLOOKUP(B138,$A$5:$C$504,3,FALSE)/100,1)*IFERROR(VLOOKUP(IFERROR(VLOOKUP(B138,$A$5:$B$504,2,FALSE),""),$A$5:$C$504,3,FALSE)/100,1)*IFERROR(VLOOKUP(IFERROR(VLOOKUP(IFERROR(VLOOKUP(B138,$A$5:$B$504,2,FALSE),""),$A$5:$B$504,2,FALSE),""),$A$5:$C$504,3,FALSE)/100,1))</f>
        <v/>
      </c>
      <c r="E138" s="21">
        <f>IF(A138="","",SUMIF('Grup Eşleme'!$B$5:$B$504,A138,'Grup Eşleme'!$C$5:$C$504))</f>
        <v/>
      </c>
      <c r="F138" s="27">
        <f>IF(OR(A138="",'Metraj Mahal Listesi'!$K$3=0,COUNTIF($B$5:$B$504,A138)&gt;0),"",E138/'Metraj Mahal Listesi'!$K$3*100)</f>
        <v/>
      </c>
      <c r="G138" s="28">
        <f>IF(OR(D138="",F138=""),"",F138-D138)</f>
        <v/>
      </c>
      <c r="H138" s="29">
        <f>IF(OR(G138="",D138=0),"",G138/D138*100)</f>
        <v/>
      </c>
      <c r="I138" s="30">
        <f>IF(A138="","",IF(COUNTIF($B$5:$B$504,A138)&gt;0,IF(ABS(SUMIF($B$5:$B$504,A138,$C$5:$C$504)-100)&lt;0.0001,"✔ alt gruplar Σ=100","⚠ alt gruplar Σ≠100"),IF(G138="","—",IF(ABS(G138)&lt;=PursUyum,"✔ uyumlu",IF(ABS(G138)&lt;=PursCiddi,"⚠ dikkat","✗ ciddi fark")))))</f>
        <v/>
      </c>
      <c r="J138" s="5" t="n"/>
      <c r="K138" s="5" t="n"/>
    </row>
    <row r="139">
      <c r="A139" s="5" t="n"/>
      <c r="B139" s="5" t="n"/>
      <c r="C139" s="26" t="n"/>
      <c r="D139" s="27">
        <f>IF(OR(A139="",C139=""),"",C139*IFERROR(VLOOKUP(B139,$A$5:$C$504,3,FALSE)/100,1)*IFERROR(VLOOKUP(IFERROR(VLOOKUP(B139,$A$5:$B$504,2,FALSE),""),$A$5:$C$504,3,FALSE)/100,1)*IFERROR(VLOOKUP(IFERROR(VLOOKUP(IFERROR(VLOOKUP(B139,$A$5:$B$504,2,FALSE),""),$A$5:$B$504,2,FALSE),""),$A$5:$C$504,3,FALSE)/100,1))</f>
        <v/>
      </c>
      <c r="E139" s="21">
        <f>IF(A139="","",SUMIF('Grup Eşleme'!$B$5:$B$504,A139,'Grup Eşleme'!$C$5:$C$504))</f>
        <v/>
      </c>
      <c r="F139" s="27">
        <f>IF(OR(A139="",'Metraj Mahal Listesi'!$K$3=0,COUNTIF($B$5:$B$504,A139)&gt;0),"",E139/'Metraj Mahal Listesi'!$K$3*100)</f>
        <v/>
      </c>
      <c r="G139" s="28">
        <f>IF(OR(D139="",F139=""),"",F139-D139)</f>
        <v/>
      </c>
      <c r="H139" s="29">
        <f>IF(OR(G139="",D139=0),"",G139/D139*100)</f>
        <v/>
      </c>
      <c r="I139" s="30">
        <f>IF(A139="","",IF(COUNTIF($B$5:$B$504,A139)&gt;0,IF(ABS(SUMIF($B$5:$B$504,A139,$C$5:$C$504)-100)&lt;0.0001,"✔ alt gruplar Σ=100","⚠ alt gruplar Σ≠100"),IF(G139="","—",IF(ABS(G139)&lt;=PursUyum,"✔ uyumlu",IF(ABS(G139)&lt;=PursCiddi,"⚠ dikkat","✗ ciddi fark")))))</f>
        <v/>
      </c>
      <c r="J139" s="5" t="n"/>
      <c r="K139" s="5" t="n"/>
    </row>
    <row r="140">
      <c r="A140" s="5" t="n"/>
      <c r="B140" s="5" t="n"/>
      <c r="C140" s="26" t="n"/>
      <c r="D140" s="27">
        <f>IF(OR(A140="",C140=""),"",C140*IFERROR(VLOOKUP(B140,$A$5:$C$504,3,FALSE)/100,1)*IFERROR(VLOOKUP(IFERROR(VLOOKUP(B140,$A$5:$B$504,2,FALSE),""),$A$5:$C$504,3,FALSE)/100,1)*IFERROR(VLOOKUP(IFERROR(VLOOKUP(IFERROR(VLOOKUP(B140,$A$5:$B$504,2,FALSE),""),$A$5:$B$504,2,FALSE),""),$A$5:$C$504,3,FALSE)/100,1))</f>
        <v/>
      </c>
      <c r="E140" s="21">
        <f>IF(A140="","",SUMIF('Grup Eşleme'!$B$5:$B$504,A140,'Grup Eşleme'!$C$5:$C$504))</f>
        <v/>
      </c>
      <c r="F140" s="27">
        <f>IF(OR(A140="",'Metraj Mahal Listesi'!$K$3=0,COUNTIF($B$5:$B$504,A140)&gt;0),"",E140/'Metraj Mahal Listesi'!$K$3*100)</f>
        <v/>
      </c>
      <c r="G140" s="28">
        <f>IF(OR(D140="",F140=""),"",F140-D140)</f>
        <v/>
      </c>
      <c r="H140" s="29">
        <f>IF(OR(G140="",D140=0),"",G140/D140*100)</f>
        <v/>
      </c>
      <c r="I140" s="30">
        <f>IF(A140="","",IF(COUNTIF($B$5:$B$504,A140)&gt;0,IF(ABS(SUMIF($B$5:$B$504,A140,$C$5:$C$504)-100)&lt;0.0001,"✔ alt gruplar Σ=100","⚠ alt gruplar Σ≠100"),IF(G140="","—",IF(ABS(G140)&lt;=PursUyum,"✔ uyumlu",IF(ABS(G140)&lt;=PursCiddi,"⚠ dikkat","✗ ciddi fark")))))</f>
        <v/>
      </c>
      <c r="J140" s="5" t="n"/>
      <c r="K140" s="5" t="n"/>
    </row>
    <row r="141">
      <c r="A141" s="5" t="n"/>
      <c r="B141" s="5" t="n"/>
      <c r="C141" s="26" t="n"/>
      <c r="D141" s="27">
        <f>IF(OR(A141="",C141=""),"",C141*IFERROR(VLOOKUP(B141,$A$5:$C$504,3,FALSE)/100,1)*IFERROR(VLOOKUP(IFERROR(VLOOKUP(B141,$A$5:$B$504,2,FALSE),""),$A$5:$C$504,3,FALSE)/100,1)*IFERROR(VLOOKUP(IFERROR(VLOOKUP(IFERROR(VLOOKUP(B141,$A$5:$B$504,2,FALSE),""),$A$5:$B$504,2,FALSE),""),$A$5:$C$504,3,FALSE)/100,1))</f>
        <v/>
      </c>
      <c r="E141" s="21">
        <f>IF(A141="","",SUMIF('Grup Eşleme'!$B$5:$B$504,A141,'Grup Eşleme'!$C$5:$C$504))</f>
        <v/>
      </c>
      <c r="F141" s="27">
        <f>IF(OR(A141="",'Metraj Mahal Listesi'!$K$3=0,COUNTIF($B$5:$B$504,A141)&gt;0),"",E141/'Metraj Mahal Listesi'!$K$3*100)</f>
        <v/>
      </c>
      <c r="G141" s="28">
        <f>IF(OR(D141="",F141=""),"",F141-D141)</f>
        <v/>
      </c>
      <c r="H141" s="29">
        <f>IF(OR(G141="",D141=0),"",G141/D141*100)</f>
        <v/>
      </c>
      <c r="I141" s="30">
        <f>IF(A141="","",IF(COUNTIF($B$5:$B$504,A141)&gt;0,IF(ABS(SUMIF($B$5:$B$504,A141,$C$5:$C$504)-100)&lt;0.0001,"✔ alt gruplar Σ=100","⚠ alt gruplar Σ≠100"),IF(G141="","—",IF(ABS(G141)&lt;=PursUyum,"✔ uyumlu",IF(ABS(G141)&lt;=PursCiddi,"⚠ dikkat","✗ ciddi fark")))))</f>
        <v/>
      </c>
      <c r="J141" s="5" t="n"/>
      <c r="K141" s="5" t="n"/>
    </row>
    <row r="142">
      <c r="A142" s="5" t="n"/>
      <c r="B142" s="5" t="n"/>
      <c r="C142" s="26" t="n"/>
      <c r="D142" s="27">
        <f>IF(OR(A142="",C142=""),"",C142*IFERROR(VLOOKUP(B142,$A$5:$C$504,3,FALSE)/100,1)*IFERROR(VLOOKUP(IFERROR(VLOOKUP(B142,$A$5:$B$504,2,FALSE),""),$A$5:$C$504,3,FALSE)/100,1)*IFERROR(VLOOKUP(IFERROR(VLOOKUP(IFERROR(VLOOKUP(B142,$A$5:$B$504,2,FALSE),""),$A$5:$B$504,2,FALSE),""),$A$5:$C$504,3,FALSE)/100,1))</f>
        <v/>
      </c>
      <c r="E142" s="21">
        <f>IF(A142="","",SUMIF('Grup Eşleme'!$B$5:$B$504,A142,'Grup Eşleme'!$C$5:$C$504))</f>
        <v/>
      </c>
      <c r="F142" s="27">
        <f>IF(OR(A142="",'Metraj Mahal Listesi'!$K$3=0,COUNTIF($B$5:$B$504,A142)&gt;0),"",E142/'Metraj Mahal Listesi'!$K$3*100)</f>
        <v/>
      </c>
      <c r="G142" s="28">
        <f>IF(OR(D142="",F142=""),"",F142-D142)</f>
        <v/>
      </c>
      <c r="H142" s="29">
        <f>IF(OR(G142="",D142=0),"",G142/D142*100)</f>
        <v/>
      </c>
      <c r="I142" s="30">
        <f>IF(A142="","",IF(COUNTIF($B$5:$B$504,A142)&gt;0,IF(ABS(SUMIF($B$5:$B$504,A142,$C$5:$C$504)-100)&lt;0.0001,"✔ alt gruplar Σ=100","⚠ alt gruplar Σ≠100"),IF(G142="","—",IF(ABS(G142)&lt;=PursUyum,"✔ uyumlu",IF(ABS(G142)&lt;=PursCiddi,"⚠ dikkat","✗ ciddi fark")))))</f>
        <v/>
      </c>
      <c r="J142" s="5" t="n"/>
      <c r="K142" s="5" t="n"/>
    </row>
    <row r="143">
      <c r="A143" s="5" t="n"/>
      <c r="B143" s="5" t="n"/>
      <c r="C143" s="26" t="n"/>
      <c r="D143" s="27">
        <f>IF(OR(A143="",C143=""),"",C143*IFERROR(VLOOKUP(B143,$A$5:$C$504,3,FALSE)/100,1)*IFERROR(VLOOKUP(IFERROR(VLOOKUP(B143,$A$5:$B$504,2,FALSE),""),$A$5:$C$504,3,FALSE)/100,1)*IFERROR(VLOOKUP(IFERROR(VLOOKUP(IFERROR(VLOOKUP(B143,$A$5:$B$504,2,FALSE),""),$A$5:$B$504,2,FALSE),""),$A$5:$C$504,3,FALSE)/100,1))</f>
        <v/>
      </c>
      <c r="E143" s="21">
        <f>IF(A143="","",SUMIF('Grup Eşleme'!$B$5:$B$504,A143,'Grup Eşleme'!$C$5:$C$504))</f>
        <v/>
      </c>
      <c r="F143" s="27">
        <f>IF(OR(A143="",'Metraj Mahal Listesi'!$K$3=0,COUNTIF($B$5:$B$504,A143)&gt;0),"",E143/'Metraj Mahal Listesi'!$K$3*100)</f>
        <v/>
      </c>
      <c r="G143" s="28">
        <f>IF(OR(D143="",F143=""),"",F143-D143)</f>
        <v/>
      </c>
      <c r="H143" s="29">
        <f>IF(OR(G143="",D143=0),"",G143/D143*100)</f>
        <v/>
      </c>
      <c r="I143" s="30">
        <f>IF(A143="","",IF(COUNTIF($B$5:$B$504,A143)&gt;0,IF(ABS(SUMIF($B$5:$B$504,A143,$C$5:$C$504)-100)&lt;0.0001,"✔ alt gruplar Σ=100","⚠ alt gruplar Σ≠100"),IF(G143="","—",IF(ABS(G143)&lt;=PursUyum,"✔ uyumlu",IF(ABS(G143)&lt;=PursCiddi,"⚠ dikkat","✗ ciddi fark")))))</f>
        <v/>
      </c>
      <c r="J143" s="5" t="n"/>
      <c r="K143" s="5" t="n"/>
    </row>
    <row r="144">
      <c r="A144" s="5" t="n"/>
      <c r="B144" s="5" t="n"/>
      <c r="C144" s="26" t="n"/>
      <c r="D144" s="27">
        <f>IF(OR(A144="",C144=""),"",C144*IFERROR(VLOOKUP(B144,$A$5:$C$504,3,FALSE)/100,1)*IFERROR(VLOOKUP(IFERROR(VLOOKUP(B144,$A$5:$B$504,2,FALSE),""),$A$5:$C$504,3,FALSE)/100,1)*IFERROR(VLOOKUP(IFERROR(VLOOKUP(IFERROR(VLOOKUP(B144,$A$5:$B$504,2,FALSE),""),$A$5:$B$504,2,FALSE),""),$A$5:$C$504,3,FALSE)/100,1))</f>
        <v/>
      </c>
      <c r="E144" s="21">
        <f>IF(A144="","",SUMIF('Grup Eşleme'!$B$5:$B$504,A144,'Grup Eşleme'!$C$5:$C$504))</f>
        <v/>
      </c>
      <c r="F144" s="27">
        <f>IF(OR(A144="",'Metraj Mahal Listesi'!$K$3=0,COUNTIF($B$5:$B$504,A144)&gt;0),"",E144/'Metraj Mahal Listesi'!$K$3*100)</f>
        <v/>
      </c>
      <c r="G144" s="28">
        <f>IF(OR(D144="",F144=""),"",F144-D144)</f>
        <v/>
      </c>
      <c r="H144" s="29">
        <f>IF(OR(G144="",D144=0),"",G144/D144*100)</f>
        <v/>
      </c>
      <c r="I144" s="30">
        <f>IF(A144="","",IF(COUNTIF($B$5:$B$504,A144)&gt;0,IF(ABS(SUMIF($B$5:$B$504,A144,$C$5:$C$504)-100)&lt;0.0001,"✔ alt gruplar Σ=100","⚠ alt gruplar Σ≠100"),IF(G144="","—",IF(ABS(G144)&lt;=PursUyum,"✔ uyumlu",IF(ABS(G144)&lt;=PursCiddi,"⚠ dikkat","✗ ciddi fark")))))</f>
        <v/>
      </c>
      <c r="J144" s="5" t="n"/>
      <c r="K144" s="5" t="n"/>
    </row>
    <row r="145">
      <c r="A145" s="5" t="n"/>
      <c r="B145" s="5" t="n"/>
      <c r="C145" s="26" t="n"/>
      <c r="D145" s="27">
        <f>IF(OR(A145="",C145=""),"",C145*IFERROR(VLOOKUP(B145,$A$5:$C$504,3,FALSE)/100,1)*IFERROR(VLOOKUP(IFERROR(VLOOKUP(B145,$A$5:$B$504,2,FALSE),""),$A$5:$C$504,3,FALSE)/100,1)*IFERROR(VLOOKUP(IFERROR(VLOOKUP(IFERROR(VLOOKUP(B145,$A$5:$B$504,2,FALSE),""),$A$5:$B$504,2,FALSE),""),$A$5:$C$504,3,FALSE)/100,1))</f>
        <v/>
      </c>
      <c r="E145" s="21">
        <f>IF(A145="","",SUMIF('Grup Eşleme'!$B$5:$B$504,A145,'Grup Eşleme'!$C$5:$C$504))</f>
        <v/>
      </c>
      <c r="F145" s="27">
        <f>IF(OR(A145="",'Metraj Mahal Listesi'!$K$3=0,COUNTIF($B$5:$B$504,A145)&gt;0),"",E145/'Metraj Mahal Listesi'!$K$3*100)</f>
        <v/>
      </c>
      <c r="G145" s="28">
        <f>IF(OR(D145="",F145=""),"",F145-D145)</f>
        <v/>
      </c>
      <c r="H145" s="29">
        <f>IF(OR(G145="",D145=0),"",G145/D145*100)</f>
        <v/>
      </c>
      <c r="I145" s="30">
        <f>IF(A145="","",IF(COUNTIF($B$5:$B$504,A145)&gt;0,IF(ABS(SUMIF($B$5:$B$504,A145,$C$5:$C$504)-100)&lt;0.0001,"✔ alt gruplar Σ=100","⚠ alt gruplar Σ≠100"),IF(G145="","—",IF(ABS(G145)&lt;=PursUyum,"✔ uyumlu",IF(ABS(G145)&lt;=PursCiddi,"⚠ dikkat","✗ ciddi fark")))))</f>
        <v/>
      </c>
      <c r="J145" s="5" t="n"/>
      <c r="K145" s="5" t="n"/>
    </row>
    <row r="146">
      <c r="A146" s="5" t="n"/>
      <c r="B146" s="5" t="n"/>
      <c r="C146" s="26" t="n"/>
      <c r="D146" s="27">
        <f>IF(OR(A146="",C146=""),"",C146*IFERROR(VLOOKUP(B146,$A$5:$C$504,3,FALSE)/100,1)*IFERROR(VLOOKUP(IFERROR(VLOOKUP(B146,$A$5:$B$504,2,FALSE),""),$A$5:$C$504,3,FALSE)/100,1)*IFERROR(VLOOKUP(IFERROR(VLOOKUP(IFERROR(VLOOKUP(B146,$A$5:$B$504,2,FALSE),""),$A$5:$B$504,2,FALSE),""),$A$5:$C$504,3,FALSE)/100,1))</f>
        <v/>
      </c>
      <c r="E146" s="21">
        <f>IF(A146="","",SUMIF('Grup Eşleme'!$B$5:$B$504,A146,'Grup Eşleme'!$C$5:$C$504))</f>
        <v/>
      </c>
      <c r="F146" s="27">
        <f>IF(OR(A146="",'Metraj Mahal Listesi'!$K$3=0,COUNTIF($B$5:$B$504,A146)&gt;0),"",E146/'Metraj Mahal Listesi'!$K$3*100)</f>
        <v/>
      </c>
      <c r="G146" s="28">
        <f>IF(OR(D146="",F146=""),"",F146-D146)</f>
        <v/>
      </c>
      <c r="H146" s="29">
        <f>IF(OR(G146="",D146=0),"",G146/D146*100)</f>
        <v/>
      </c>
      <c r="I146" s="30">
        <f>IF(A146="","",IF(COUNTIF($B$5:$B$504,A146)&gt;0,IF(ABS(SUMIF($B$5:$B$504,A146,$C$5:$C$504)-100)&lt;0.0001,"✔ alt gruplar Σ=100","⚠ alt gruplar Σ≠100"),IF(G146="","—",IF(ABS(G146)&lt;=PursUyum,"✔ uyumlu",IF(ABS(G146)&lt;=PursCiddi,"⚠ dikkat","✗ ciddi fark")))))</f>
        <v/>
      </c>
      <c r="J146" s="5" t="n"/>
      <c r="K146" s="5" t="n"/>
    </row>
    <row r="147">
      <c r="A147" s="5" t="n"/>
      <c r="B147" s="5" t="n"/>
      <c r="C147" s="26" t="n"/>
      <c r="D147" s="27">
        <f>IF(OR(A147="",C147=""),"",C147*IFERROR(VLOOKUP(B147,$A$5:$C$504,3,FALSE)/100,1)*IFERROR(VLOOKUP(IFERROR(VLOOKUP(B147,$A$5:$B$504,2,FALSE),""),$A$5:$C$504,3,FALSE)/100,1)*IFERROR(VLOOKUP(IFERROR(VLOOKUP(IFERROR(VLOOKUP(B147,$A$5:$B$504,2,FALSE),""),$A$5:$B$504,2,FALSE),""),$A$5:$C$504,3,FALSE)/100,1))</f>
        <v/>
      </c>
      <c r="E147" s="21">
        <f>IF(A147="","",SUMIF('Grup Eşleme'!$B$5:$B$504,A147,'Grup Eşleme'!$C$5:$C$504))</f>
        <v/>
      </c>
      <c r="F147" s="27">
        <f>IF(OR(A147="",'Metraj Mahal Listesi'!$K$3=0,COUNTIF($B$5:$B$504,A147)&gt;0),"",E147/'Metraj Mahal Listesi'!$K$3*100)</f>
        <v/>
      </c>
      <c r="G147" s="28">
        <f>IF(OR(D147="",F147=""),"",F147-D147)</f>
        <v/>
      </c>
      <c r="H147" s="29">
        <f>IF(OR(G147="",D147=0),"",G147/D147*100)</f>
        <v/>
      </c>
      <c r="I147" s="30">
        <f>IF(A147="","",IF(COUNTIF($B$5:$B$504,A147)&gt;0,IF(ABS(SUMIF($B$5:$B$504,A147,$C$5:$C$504)-100)&lt;0.0001,"✔ alt gruplar Σ=100","⚠ alt gruplar Σ≠100"),IF(G147="","—",IF(ABS(G147)&lt;=PursUyum,"✔ uyumlu",IF(ABS(G147)&lt;=PursCiddi,"⚠ dikkat","✗ ciddi fark")))))</f>
        <v/>
      </c>
      <c r="J147" s="5" t="n"/>
      <c r="K147" s="5" t="n"/>
    </row>
    <row r="148">
      <c r="A148" s="5" t="n"/>
      <c r="B148" s="5" t="n"/>
      <c r="C148" s="26" t="n"/>
      <c r="D148" s="27">
        <f>IF(OR(A148="",C148=""),"",C148*IFERROR(VLOOKUP(B148,$A$5:$C$504,3,FALSE)/100,1)*IFERROR(VLOOKUP(IFERROR(VLOOKUP(B148,$A$5:$B$504,2,FALSE),""),$A$5:$C$504,3,FALSE)/100,1)*IFERROR(VLOOKUP(IFERROR(VLOOKUP(IFERROR(VLOOKUP(B148,$A$5:$B$504,2,FALSE),""),$A$5:$B$504,2,FALSE),""),$A$5:$C$504,3,FALSE)/100,1))</f>
        <v/>
      </c>
      <c r="E148" s="21">
        <f>IF(A148="","",SUMIF('Grup Eşleme'!$B$5:$B$504,A148,'Grup Eşleme'!$C$5:$C$504))</f>
        <v/>
      </c>
      <c r="F148" s="27">
        <f>IF(OR(A148="",'Metraj Mahal Listesi'!$K$3=0,COUNTIF($B$5:$B$504,A148)&gt;0),"",E148/'Metraj Mahal Listesi'!$K$3*100)</f>
        <v/>
      </c>
      <c r="G148" s="28">
        <f>IF(OR(D148="",F148=""),"",F148-D148)</f>
        <v/>
      </c>
      <c r="H148" s="29">
        <f>IF(OR(G148="",D148=0),"",G148/D148*100)</f>
        <v/>
      </c>
      <c r="I148" s="30">
        <f>IF(A148="","",IF(COUNTIF($B$5:$B$504,A148)&gt;0,IF(ABS(SUMIF($B$5:$B$504,A148,$C$5:$C$504)-100)&lt;0.0001,"✔ alt gruplar Σ=100","⚠ alt gruplar Σ≠100"),IF(G148="","—",IF(ABS(G148)&lt;=PursUyum,"✔ uyumlu",IF(ABS(G148)&lt;=PursCiddi,"⚠ dikkat","✗ ciddi fark")))))</f>
        <v/>
      </c>
      <c r="J148" s="5" t="n"/>
      <c r="K148" s="5" t="n"/>
    </row>
    <row r="149">
      <c r="A149" s="5" t="n"/>
      <c r="B149" s="5" t="n"/>
      <c r="C149" s="26" t="n"/>
      <c r="D149" s="27">
        <f>IF(OR(A149="",C149=""),"",C149*IFERROR(VLOOKUP(B149,$A$5:$C$504,3,FALSE)/100,1)*IFERROR(VLOOKUP(IFERROR(VLOOKUP(B149,$A$5:$B$504,2,FALSE),""),$A$5:$C$504,3,FALSE)/100,1)*IFERROR(VLOOKUP(IFERROR(VLOOKUP(IFERROR(VLOOKUP(B149,$A$5:$B$504,2,FALSE),""),$A$5:$B$504,2,FALSE),""),$A$5:$C$504,3,FALSE)/100,1))</f>
        <v/>
      </c>
      <c r="E149" s="21">
        <f>IF(A149="","",SUMIF('Grup Eşleme'!$B$5:$B$504,A149,'Grup Eşleme'!$C$5:$C$504))</f>
        <v/>
      </c>
      <c r="F149" s="27">
        <f>IF(OR(A149="",'Metraj Mahal Listesi'!$K$3=0,COUNTIF($B$5:$B$504,A149)&gt;0),"",E149/'Metraj Mahal Listesi'!$K$3*100)</f>
        <v/>
      </c>
      <c r="G149" s="28">
        <f>IF(OR(D149="",F149=""),"",F149-D149)</f>
        <v/>
      </c>
      <c r="H149" s="29">
        <f>IF(OR(G149="",D149=0),"",G149/D149*100)</f>
        <v/>
      </c>
      <c r="I149" s="30">
        <f>IF(A149="","",IF(COUNTIF($B$5:$B$504,A149)&gt;0,IF(ABS(SUMIF($B$5:$B$504,A149,$C$5:$C$504)-100)&lt;0.0001,"✔ alt gruplar Σ=100","⚠ alt gruplar Σ≠100"),IF(G149="","—",IF(ABS(G149)&lt;=PursUyum,"✔ uyumlu",IF(ABS(G149)&lt;=PursCiddi,"⚠ dikkat","✗ ciddi fark")))))</f>
        <v/>
      </c>
      <c r="J149" s="5" t="n"/>
      <c r="K149" s="5" t="n"/>
    </row>
    <row r="150">
      <c r="A150" s="5" t="n"/>
      <c r="B150" s="5" t="n"/>
      <c r="C150" s="26" t="n"/>
      <c r="D150" s="27">
        <f>IF(OR(A150="",C150=""),"",C150*IFERROR(VLOOKUP(B150,$A$5:$C$504,3,FALSE)/100,1)*IFERROR(VLOOKUP(IFERROR(VLOOKUP(B150,$A$5:$B$504,2,FALSE),""),$A$5:$C$504,3,FALSE)/100,1)*IFERROR(VLOOKUP(IFERROR(VLOOKUP(IFERROR(VLOOKUP(B150,$A$5:$B$504,2,FALSE),""),$A$5:$B$504,2,FALSE),""),$A$5:$C$504,3,FALSE)/100,1))</f>
        <v/>
      </c>
      <c r="E150" s="21">
        <f>IF(A150="","",SUMIF('Grup Eşleme'!$B$5:$B$504,A150,'Grup Eşleme'!$C$5:$C$504))</f>
        <v/>
      </c>
      <c r="F150" s="27">
        <f>IF(OR(A150="",'Metraj Mahal Listesi'!$K$3=0,COUNTIF($B$5:$B$504,A150)&gt;0),"",E150/'Metraj Mahal Listesi'!$K$3*100)</f>
        <v/>
      </c>
      <c r="G150" s="28">
        <f>IF(OR(D150="",F150=""),"",F150-D150)</f>
        <v/>
      </c>
      <c r="H150" s="29">
        <f>IF(OR(G150="",D150=0),"",G150/D150*100)</f>
        <v/>
      </c>
      <c r="I150" s="30">
        <f>IF(A150="","",IF(COUNTIF($B$5:$B$504,A150)&gt;0,IF(ABS(SUMIF($B$5:$B$504,A150,$C$5:$C$504)-100)&lt;0.0001,"✔ alt gruplar Σ=100","⚠ alt gruplar Σ≠100"),IF(G150="","—",IF(ABS(G150)&lt;=PursUyum,"✔ uyumlu",IF(ABS(G150)&lt;=PursCiddi,"⚠ dikkat","✗ ciddi fark")))))</f>
        <v/>
      </c>
      <c r="J150" s="5" t="n"/>
      <c r="K150" s="5" t="n"/>
    </row>
    <row r="151">
      <c r="A151" s="5" t="n"/>
      <c r="B151" s="5" t="n"/>
      <c r="C151" s="26" t="n"/>
      <c r="D151" s="27">
        <f>IF(OR(A151="",C151=""),"",C151*IFERROR(VLOOKUP(B151,$A$5:$C$504,3,FALSE)/100,1)*IFERROR(VLOOKUP(IFERROR(VLOOKUP(B151,$A$5:$B$504,2,FALSE),""),$A$5:$C$504,3,FALSE)/100,1)*IFERROR(VLOOKUP(IFERROR(VLOOKUP(IFERROR(VLOOKUP(B151,$A$5:$B$504,2,FALSE),""),$A$5:$B$504,2,FALSE),""),$A$5:$C$504,3,FALSE)/100,1))</f>
        <v/>
      </c>
      <c r="E151" s="21">
        <f>IF(A151="","",SUMIF('Grup Eşleme'!$B$5:$B$504,A151,'Grup Eşleme'!$C$5:$C$504))</f>
        <v/>
      </c>
      <c r="F151" s="27">
        <f>IF(OR(A151="",'Metraj Mahal Listesi'!$K$3=0,COUNTIF($B$5:$B$504,A151)&gt;0),"",E151/'Metraj Mahal Listesi'!$K$3*100)</f>
        <v/>
      </c>
      <c r="G151" s="28">
        <f>IF(OR(D151="",F151=""),"",F151-D151)</f>
        <v/>
      </c>
      <c r="H151" s="29">
        <f>IF(OR(G151="",D151=0),"",G151/D151*100)</f>
        <v/>
      </c>
      <c r="I151" s="30">
        <f>IF(A151="","",IF(COUNTIF($B$5:$B$504,A151)&gt;0,IF(ABS(SUMIF($B$5:$B$504,A151,$C$5:$C$504)-100)&lt;0.0001,"✔ alt gruplar Σ=100","⚠ alt gruplar Σ≠100"),IF(G151="","—",IF(ABS(G151)&lt;=PursUyum,"✔ uyumlu",IF(ABS(G151)&lt;=PursCiddi,"⚠ dikkat","✗ ciddi fark")))))</f>
        <v/>
      </c>
      <c r="J151" s="5" t="n"/>
      <c r="K151" s="5" t="n"/>
    </row>
    <row r="152">
      <c r="A152" s="5" t="n"/>
      <c r="B152" s="5" t="n"/>
      <c r="C152" s="26" t="n"/>
      <c r="D152" s="27">
        <f>IF(OR(A152="",C152=""),"",C152*IFERROR(VLOOKUP(B152,$A$5:$C$504,3,FALSE)/100,1)*IFERROR(VLOOKUP(IFERROR(VLOOKUP(B152,$A$5:$B$504,2,FALSE),""),$A$5:$C$504,3,FALSE)/100,1)*IFERROR(VLOOKUP(IFERROR(VLOOKUP(IFERROR(VLOOKUP(B152,$A$5:$B$504,2,FALSE),""),$A$5:$B$504,2,FALSE),""),$A$5:$C$504,3,FALSE)/100,1))</f>
        <v/>
      </c>
      <c r="E152" s="21">
        <f>IF(A152="","",SUMIF('Grup Eşleme'!$B$5:$B$504,A152,'Grup Eşleme'!$C$5:$C$504))</f>
        <v/>
      </c>
      <c r="F152" s="27">
        <f>IF(OR(A152="",'Metraj Mahal Listesi'!$K$3=0,COUNTIF($B$5:$B$504,A152)&gt;0),"",E152/'Metraj Mahal Listesi'!$K$3*100)</f>
        <v/>
      </c>
      <c r="G152" s="28">
        <f>IF(OR(D152="",F152=""),"",F152-D152)</f>
        <v/>
      </c>
      <c r="H152" s="29">
        <f>IF(OR(G152="",D152=0),"",G152/D152*100)</f>
        <v/>
      </c>
      <c r="I152" s="30">
        <f>IF(A152="","",IF(COUNTIF($B$5:$B$504,A152)&gt;0,IF(ABS(SUMIF($B$5:$B$504,A152,$C$5:$C$504)-100)&lt;0.0001,"✔ alt gruplar Σ=100","⚠ alt gruplar Σ≠100"),IF(G152="","—",IF(ABS(G152)&lt;=PursUyum,"✔ uyumlu",IF(ABS(G152)&lt;=PursCiddi,"⚠ dikkat","✗ ciddi fark")))))</f>
        <v/>
      </c>
      <c r="J152" s="5" t="n"/>
      <c r="K152" s="5" t="n"/>
    </row>
    <row r="153">
      <c r="A153" s="5" t="n"/>
      <c r="B153" s="5" t="n"/>
      <c r="C153" s="26" t="n"/>
      <c r="D153" s="27">
        <f>IF(OR(A153="",C153=""),"",C153*IFERROR(VLOOKUP(B153,$A$5:$C$504,3,FALSE)/100,1)*IFERROR(VLOOKUP(IFERROR(VLOOKUP(B153,$A$5:$B$504,2,FALSE),""),$A$5:$C$504,3,FALSE)/100,1)*IFERROR(VLOOKUP(IFERROR(VLOOKUP(IFERROR(VLOOKUP(B153,$A$5:$B$504,2,FALSE),""),$A$5:$B$504,2,FALSE),""),$A$5:$C$504,3,FALSE)/100,1))</f>
        <v/>
      </c>
      <c r="E153" s="21">
        <f>IF(A153="","",SUMIF('Grup Eşleme'!$B$5:$B$504,A153,'Grup Eşleme'!$C$5:$C$504))</f>
        <v/>
      </c>
      <c r="F153" s="27">
        <f>IF(OR(A153="",'Metraj Mahal Listesi'!$K$3=0,COUNTIF($B$5:$B$504,A153)&gt;0),"",E153/'Metraj Mahal Listesi'!$K$3*100)</f>
        <v/>
      </c>
      <c r="G153" s="28">
        <f>IF(OR(D153="",F153=""),"",F153-D153)</f>
        <v/>
      </c>
      <c r="H153" s="29">
        <f>IF(OR(G153="",D153=0),"",G153/D153*100)</f>
        <v/>
      </c>
      <c r="I153" s="30">
        <f>IF(A153="","",IF(COUNTIF($B$5:$B$504,A153)&gt;0,IF(ABS(SUMIF($B$5:$B$504,A153,$C$5:$C$504)-100)&lt;0.0001,"✔ alt gruplar Σ=100","⚠ alt gruplar Σ≠100"),IF(G153="","—",IF(ABS(G153)&lt;=PursUyum,"✔ uyumlu",IF(ABS(G153)&lt;=PursCiddi,"⚠ dikkat","✗ ciddi fark")))))</f>
        <v/>
      </c>
      <c r="J153" s="5" t="n"/>
      <c r="K153" s="5" t="n"/>
    </row>
    <row r="154">
      <c r="A154" s="5" t="n"/>
      <c r="B154" s="5" t="n"/>
      <c r="C154" s="26" t="n"/>
      <c r="D154" s="27">
        <f>IF(OR(A154="",C154=""),"",C154*IFERROR(VLOOKUP(B154,$A$5:$C$504,3,FALSE)/100,1)*IFERROR(VLOOKUP(IFERROR(VLOOKUP(B154,$A$5:$B$504,2,FALSE),""),$A$5:$C$504,3,FALSE)/100,1)*IFERROR(VLOOKUP(IFERROR(VLOOKUP(IFERROR(VLOOKUP(B154,$A$5:$B$504,2,FALSE),""),$A$5:$B$504,2,FALSE),""),$A$5:$C$504,3,FALSE)/100,1))</f>
        <v/>
      </c>
      <c r="E154" s="21">
        <f>IF(A154="","",SUMIF('Grup Eşleme'!$B$5:$B$504,A154,'Grup Eşleme'!$C$5:$C$504))</f>
        <v/>
      </c>
      <c r="F154" s="27">
        <f>IF(OR(A154="",'Metraj Mahal Listesi'!$K$3=0,COUNTIF($B$5:$B$504,A154)&gt;0),"",E154/'Metraj Mahal Listesi'!$K$3*100)</f>
        <v/>
      </c>
      <c r="G154" s="28">
        <f>IF(OR(D154="",F154=""),"",F154-D154)</f>
        <v/>
      </c>
      <c r="H154" s="29">
        <f>IF(OR(G154="",D154=0),"",G154/D154*100)</f>
        <v/>
      </c>
      <c r="I154" s="30">
        <f>IF(A154="","",IF(COUNTIF($B$5:$B$504,A154)&gt;0,IF(ABS(SUMIF($B$5:$B$504,A154,$C$5:$C$504)-100)&lt;0.0001,"✔ alt gruplar Σ=100","⚠ alt gruplar Σ≠100"),IF(G154="","—",IF(ABS(G154)&lt;=PursUyum,"✔ uyumlu",IF(ABS(G154)&lt;=PursCiddi,"⚠ dikkat","✗ ciddi fark")))))</f>
        <v/>
      </c>
      <c r="J154" s="5" t="n"/>
      <c r="K154" s="5" t="n"/>
    </row>
    <row r="155">
      <c r="A155" s="5" t="n"/>
      <c r="B155" s="5" t="n"/>
      <c r="C155" s="26" t="n"/>
      <c r="D155" s="27">
        <f>IF(OR(A155="",C155=""),"",C155*IFERROR(VLOOKUP(B155,$A$5:$C$504,3,FALSE)/100,1)*IFERROR(VLOOKUP(IFERROR(VLOOKUP(B155,$A$5:$B$504,2,FALSE),""),$A$5:$C$504,3,FALSE)/100,1)*IFERROR(VLOOKUP(IFERROR(VLOOKUP(IFERROR(VLOOKUP(B155,$A$5:$B$504,2,FALSE),""),$A$5:$B$504,2,FALSE),""),$A$5:$C$504,3,FALSE)/100,1))</f>
        <v/>
      </c>
      <c r="E155" s="21">
        <f>IF(A155="","",SUMIF('Grup Eşleme'!$B$5:$B$504,A155,'Grup Eşleme'!$C$5:$C$504))</f>
        <v/>
      </c>
      <c r="F155" s="27">
        <f>IF(OR(A155="",'Metraj Mahal Listesi'!$K$3=0,COUNTIF($B$5:$B$504,A155)&gt;0),"",E155/'Metraj Mahal Listesi'!$K$3*100)</f>
        <v/>
      </c>
      <c r="G155" s="28">
        <f>IF(OR(D155="",F155=""),"",F155-D155)</f>
        <v/>
      </c>
      <c r="H155" s="29">
        <f>IF(OR(G155="",D155=0),"",G155/D155*100)</f>
        <v/>
      </c>
      <c r="I155" s="30">
        <f>IF(A155="","",IF(COUNTIF($B$5:$B$504,A155)&gt;0,IF(ABS(SUMIF($B$5:$B$504,A155,$C$5:$C$504)-100)&lt;0.0001,"✔ alt gruplar Σ=100","⚠ alt gruplar Σ≠100"),IF(G155="","—",IF(ABS(G155)&lt;=PursUyum,"✔ uyumlu",IF(ABS(G155)&lt;=PursCiddi,"⚠ dikkat","✗ ciddi fark")))))</f>
        <v/>
      </c>
      <c r="J155" s="5" t="n"/>
      <c r="K155" s="5" t="n"/>
    </row>
    <row r="156">
      <c r="A156" s="5" t="n"/>
      <c r="B156" s="5" t="n"/>
      <c r="C156" s="26" t="n"/>
      <c r="D156" s="27">
        <f>IF(OR(A156="",C156=""),"",C156*IFERROR(VLOOKUP(B156,$A$5:$C$504,3,FALSE)/100,1)*IFERROR(VLOOKUP(IFERROR(VLOOKUP(B156,$A$5:$B$504,2,FALSE),""),$A$5:$C$504,3,FALSE)/100,1)*IFERROR(VLOOKUP(IFERROR(VLOOKUP(IFERROR(VLOOKUP(B156,$A$5:$B$504,2,FALSE),""),$A$5:$B$504,2,FALSE),""),$A$5:$C$504,3,FALSE)/100,1))</f>
        <v/>
      </c>
      <c r="E156" s="21">
        <f>IF(A156="","",SUMIF('Grup Eşleme'!$B$5:$B$504,A156,'Grup Eşleme'!$C$5:$C$504))</f>
        <v/>
      </c>
      <c r="F156" s="27">
        <f>IF(OR(A156="",'Metraj Mahal Listesi'!$K$3=0,COUNTIF($B$5:$B$504,A156)&gt;0),"",E156/'Metraj Mahal Listesi'!$K$3*100)</f>
        <v/>
      </c>
      <c r="G156" s="28">
        <f>IF(OR(D156="",F156=""),"",F156-D156)</f>
        <v/>
      </c>
      <c r="H156" s="29">
        <f>IF(OR(G156="",D156=0),"",G156/D156*100)</f>
        <v/>
      </c>
      <c r="I156" s="30">
        <f>IF(A156="","",IF(COUNTIF($B$5:$B$504,A156)&gt;0,IF(ABS(SUMIF($B$5:$B$504,A156,$C$5:$C$504)-100)&lt;0.0001,"✔ alt gruplar Σ=100","⚠ alt gruplar Σ≠100"),IF(G156="","—",IF(ABS(G156)&lt;=PursUyum,"✔ uyumlu",IF(ABS(G156)&lt;=PursCiddi,"⚠ dikkat","✗ ciddi fark")))))</f>
        <v/>
      </c>
      <c r="J156" s="5" t="n"/>
      <c r="K156" s="5" t="n"/>
    </row>
    <row r="157">
      <c r="A157" s="5" t="n"/>
      <c r="B157" s="5" t="n"/>
      <c r="C157" s="26" t="n"/>
      <c r="D157" s="27">
        <f>IF(OR(A157="",C157=""),"",C157*IFERROR(VLOOKUP(B157,$A$5:$C$504,3,FALSE)/100,1)*IFERROR(VLOOKUP(IFERROR(VLOOKUP(B157,$A$5:$B$504,2,FALSE),""),$A$5:$C$504,3,FALSE)/100,1)*IFERROR(VLOOKUP(IFERROR(VLOOKUP(IFERROR(VLOOKUP(B157,$A$5:$B$504,2,FALSE),""),$A$5:$B$504,2,FALSE),""),$A$5:$C$504,3,FALSE)/100,1))</f>
        <v/>
      </c>
      <c r="E157" s="21">
        <f>IF(A157="","",SUMIF('Grup Eşleme'!$B$5:$B$504,A157,'Grup Eşleme'!$C$5:$C$504))</f>
        <v/>
      </c>
      <c r="F157" s="27">
        <f>IF(OR(A157="",'Metraj Mahal Listesi'!$K$3=0,COUNTIF($B$5:$B$504,A157)&gt;0),"",E157/'Metraj Mahal Listesi'!$K$3*100)</f>
        <v/>
      </c>
      <c r="G157" s="28">
        <f>IF(OR(D157="",F157=""),"",F157-D157)</f>
        <v/>
      </c>
      <c r="H157" s="29">
        <f>IF(OR(G157="",D157=0),"",G157/D157*100)</f>
        <v/>
      </c>
      <c r="I157" s="30">
        <f>IF(A157="","",IF(COUNTIF($B$5:$B$504,A157)&gt;0,IF(ABS(SUMIF($B$5:$B$504,A157,$C$5:$C$504)-100)&lt;0.0001,"✔ alt gruplar Σ=100","⚠ alt gruplar Σ≠100"),IF(G157="","—",IF(ABS(G157)&lt;=PursUyum,"✔ uyumlu",IF(ABS(G157)&lt;=PursCiddi,"⚠ dikkat","✗ ciddi fark")))))</f>
        <v/>
      </c>
      <c r="J157" s="5" t="n"/>
      <c r="K157" s="5" t="n"/>
    </row>
    <row r="158">
      <c r="A158" s="5" t="n"/>
      <c r="B158" s="5" t="n"/>
      <c r="C158" s="26" t="n"/>
      <c r="D158" s="27">
        <f>IF(OR(A158="",C158=""),"",C158*IFERROR(VLOOKUP(B158,$A$5:$C$504,3,FALSE)/100,1)*IFERROR(VLOOKUP(IFERROR(VLOOKUP(B158,$A$5:$B$504,2,FALSE),""),$A$5:$C$504,3,FALSE)/100,1)*IFERROR(VLOOKUP(IFERROR(VLOOKUP(IFERROR(VLOOKUP(B158,$A$5:$B$504,2,FALSE),""),$A$5:$B$504,2,FALSE),""),$A$5:$C$504,3,FALSE)/100,1))</f>
        <v/>
      </c>
      <c r="E158" s="21">
        <f>IF(A158="","",SUMIF('Grup Eşleme'!$B$5:$B$504,A158,'Grup Eşleme'!$C$5:$C$504))</f>
        <v/>
      </c>
      <c r="F158" s="27">
        <f>IF(OR(A158="",'Metraj Mahal Listesi'!$K$3=0,COUNTIF($B$5:$B$504,A158)&gt;0),"",E158/'Metraj Mahal Listesi'!$K$3*100)</f>
        <v/>
      </c>
      <c r="G158" s="28">
        <f>IF(OR(D158="",F158=""),"",F158-D158)</f>
        <v/>
      </c>
      <c r="H158" s="29">
        <f>IF(OR(G158="",D158=0),"",G158/D158*100)</f>
        <v/>
      </c>
      <c r="I158" s="30">
        <f>IF(A158="","",IF(COUNTIF($B$5:$B$504,A158)&gt;0,IF(ABS(SUMIF($B$5:$B$504,A158,$C$5:$C$504)-100)&lt;0.0001,"✔ alt gruplar Σ=100","⚠ alt gruplar Σ≠100"),IF(G158="","—",IF(ABS(G158)&lt;=PursUyum,"✔ uyumlu",IF(ABS(G158)&lt;=PursCiddi,"⚠ dikkat","✗ ciddi fark")))))</f>
        <v/>
      </c>
      <c r="J158" s="5" t="n"/>
      <c r="K158" s="5" t="n"/>
    </row>
    <row r="159">
      <c r="A159" s="5" t="n"/>
      <c r="B159" s="5" t="n"/>
      <c r="C159" s="26" t="n"/>
      <c r="D159" s="27">
        <f>IF(OR(A159="",C159=""),"",C159*IFERROR(VLOOKUP(B159,$A$5:$C$504,3,FALSE)/100,1)*IFERROR(VLOOKUP(IFERROR(VLOOKUP(B159,$A$5:$B$504,2,FALSE),""),$A$5:$C$504,3,FALSE)/100,1)*IFERROR(VLOOKUP(IFERROR(VLOOKUP(IFERROR(VLOOKUP(B159,$A$5:$B$504,2,FALSE),""),$A$5:$B$504,2,FALSE),""),$A$5:$C$504,3,FALSE)/100,1))</f>
        <v/>
      </c>
      <c r="E159" s="21">
        <f>IF(A159="","",SUMIF('Grup Eşleme'!$B$5:$B$504,A159,'Grup Eşleme'!$C$5:$C$504))</f>
        <v/>
      </c>
      <c r="F159" s="27">
        <f>IF(OR(A159="",'Metraj Mahal Listesi'!$K$3=0,COUNTIF($B$5:$B$504,A159)&gt;0),"",E159/'Metraj Mahal Listesi'!$K$3*100)</f>
        <v/>
      </c>
      <c r="G159" s="28">
        <f>IF(OR(D159="",F159=""),"",F159-D159)</f>
        <v/>
      </c>
      <c r="H159" s="29">
        <f>IF(OR(G159="",D159=0),"",G159/D159*100)</f>
        <v/>
      </c>
      <c r="I159" s="30">
        <f>IF(A159="","",IF(COUNTIF($B$5:$B$504,A159)&gt;0,IF(ABS(SUMIF($B$5:$B$504,A159,$C$5:$C$504)-100)&lt;0.0001,"✔ alt gruplar Σ=100","⚠ alt gruplar Σ≠100"),IF(G159="","—",IF(ABS(G159)&lt;=PursUyum,"✔ uyumlu",IF(ABS(G159)&lt;=PursCiddi,"⚠ dikkat","✗ ciddi fark")))))</f>
        <v/>
      </c>
      <c r="J159" s="5" t="n"/>
      <c r="K159" s="5" t="n"/>
    </row>
    <row r="160">
      <c r="A160" s="5" t="n"/>
      <c r="B160" s="5" t="n"/>
      <c r="C160" s="26" t="n"/>
      <c r="D160" s="27">
        <f>IF(OR(A160="",C160=""),"",C160*IFERROR(VLOOKUP(B160,$A$5:$C$504,3,FALSE)/100,1)*IFERROR(VLOOKUP(IFERROR(VLOOKUP(B160,$A$5:$B$504,2,FALSE),""),$A$5:$C$504,3,FALSE)/100,1)*IFERROR(VLOOKUP(IFERROR(VLOOKUP(IFERROR(VLOOKUP(B160,$A$5:$B$504,2,FALSE),""),$A$5:$B$504,2,FALSE),""),$A$5:$C$504,3,FALSE)/100,1))</f>
        <v/>
      </c>
      <c r="E160" s="21">
        <f>IF(A160="","",SUMIF('Grup Eşleme'!$B$5:$B$504,A160,'Grup Eşleme'!$C$5:$C$504))</f>
        <v/>
      </c>
      <c r="F160" s="27">
        <f>IF(OR(A160="",'Metraj Mahal Listesi'!$K$3=0,COUNTIF($B$5:$B$504,A160)&gt;0),"",E160/'Metraj Mahal Listesi'!$K$3*100)</f>
        <v/>
      </c>
      <c r="G160" s="28">
        <f>IF(OR(D160="",F160=""),"",F160-D160)</f>
        <v/>
      </c>
      <c r="H160" s="29">
        <f>IF(OR(G160="",D160=0),"",G160/D160*100)</f>
        <v/>
      </c>
      <c r="I160" s="30">
        <f>IF(A160="","",IF(COUNTIF($B$5:$B$504,A160)&gt;0,IF(ABS(SUMIF($B$5:$B$504,A160,$C$5:$C$504)-100)&lt;0.0001,"✔ alt gruplar Σ=100","⚠ alt gruplar Σ≠100"),IF(G160="","—",IF(ABS(G160)&lt;=PursUyum,"✔ uyumlu",IF(ABS(G160)&lt;=PursCiddi,"⚠ dikkat","✗ ciddi fark")))))</f>
        <v/>
      </c>
      <c r="J160" s="5" t="n"/>
      <c r="K160" s="5" t="n"/>
    </row>
    <row r="161">
      <c r="A161" s="5" t="n"/>
      <c r="B161" s="5" t="n"/>
      <c r="C161" s="26" t="n"/>
      <c r="D161" s="27">
        <f>IF(OR(A161="",C161=""),"",C161*IFERROR(VLOOKUP(B161,$A$5:$C$504,3,FALSE)/100,1)*IFERROR(VLOOKUP(IFERROR(VLOOKUP(B161,$A$5:$B$504,2,FALSE),""),$A$5:$C$504,3,FALSE)/100,1)*IFERROR(VLOOKUP(IFERROR(VLOOKUP(IFERROR(VLOOKUP(B161,$A$5:$B$504,2,FALSE),""),$A$5:$B$504,2,FALSE),""),$A$5:$C$504,3,FALSE)/100,1))</f>
        <v/>
      </c>
      <c r="E161" s="21">
        <f>IF(A161="","",SUMIF('Grup Eşleme'!$B$5:$B$504,A161,'Grup Eşleme'!$C$5:$C$504))</f>
        <v/>
      </c>
      <c r="F161" s="27">
        <f>IF(OR(A161="",'Metraj Mahal Listesi'!$K$3=0,COUNTIF($B$5:$B$504,A161)&gt;0),"",E161/'Metraj Mahal Listesi'!$K$3*100)</f>
        <v/>
      </c>
      <c r="G161" s="28">
        <f>IF(OR(D161="",F161=""),"",F161-D161)</f>
        <v/>
      </c>
      <c r="H161" s="29">
        <f>IF(OR(G161="",D161=0),"",G161/D161*100)</f>
        <v/>
      </c>
      <c r="I161" s="30">
        <f>IF(A161="","",IF(COUNTIF($B$5:$B$504,A161)&gt;0,IF(ABS(SUMIF($B$5:$B$504,A161,$C$5:$C$504)-100)&lt;0.0001,"✔ alt gruplar Σ=100","⚠ alt gruplar Σ≠100"),IF(G161="","—",IF(ABS(G161)&lt;=PursUyum,"✔ uyumlu",IF(ABS(G161)&lt;=PursCiddi,"⚠ dikkat","✗ ciddi fark")))))</f>
        <v/>
      </c>
      <c r="J161" s="5" t="n"/>
      <c r="K161" s="5" t="n"/>
    </row>
    <row r="162">
      <c r="A162" s="5" t="n"/>
      <c r="B162" s="5" t="n"/>
      <c r="C162" s="26" t="n"/>
      <c r="D162" s="27">
        <f>IF(OR(A162="",C162=""),"",C162*IFERROR(VLOOKUP(B162,$A$5:$C$504,3,FALSE)/100,1)*IFERROR(VLOOKUP(IFERROR(VLOOKUP(B162,$A$5:$B$504,2,FALSE),""),$A$5:$C$504,3,FALSE)/100,1)*IFERROR(VLOOKUP(IFERROR(VLOOKUP(IFERROR(VLOOKUP(B162,$A$5:$B$504,2,FALSE),""),$A$5:$B$504,2,FALSE),""),$A$5:$C$504,3,FALSE)/100,1))</f>
        <v/>
      </c>
      <c r="E162" s="21">
        <f>IF(A162="","",SUMIF('Grup Eşleme'!$B$5:$B$504,A162,'Grup Eşleme'!$C$5:$C$504))</f>
        <v/>
      </c>
      <c r="F162" s="27">
        <f>IF(OR(A162="",'Metraj Mahal Listesi'!$K$3=0,COUNTIF($B$5:$B$504,A162)&gt;0),"",E162/'Metraj Mahal Listesi'!$K$3*100)</f>
        <v/>
      </c>
      <c r="G162" s="28">
        <f>IF(OR(D162="",F162=""),"",F162-D162)</f>
        <v/>
      </c>
      <c r="H162" s="29">
        <f>IF(OR(G162="",D162=0),"",G162/D162*100)</f>
        <v/>
      </c>
      <c r="I162" s="30">
        <f>IF(A162="","",IF(COUNTIF($B$5:$B$504,A162)&gt;0,IF(ABS(SUMIF($B$5:$B$504,A162,$C$5:$C$504)-100)&lt;0.0001,"✔ alt gruplar Σ=100","⚠ alt gruplar Σ≠100"),IF(G162="","—",IF(ABS(G162)&lt;=PursUyum,"✔ uyumlu",IF(ABS(G162)&lt;=PursCiddi,"⚠ dikkat","✗ ciddi fark")))))</f>
        <v/>
      </c>
      <c r="J162" s="5" t="n"/>
      <c r="K162" s="5" t="n"/>
    </row>
    <row r="163">
      <c r="A163" s="5" t="n"/>
      <c r="B163" s="5" t="n"/>
      <c r="C163" s="26" t="n"/>
      <c r="D163" s="27">
        <f>IF(OR(A163="",C163=""),"",C163*IFERROR(VLOOKUP(B163,$A$5:$C$504,3,FALSE)/100,1)*IFERROR(VLOOKUP(IFERROR(VLOOKUP(B163,$A$5:$B$504,2,FALSE),""),$A$5:$C$504,3,FALSE)/100,1)*IFERROR(VLOOKUP(IFERROR(VLOOKUP(IFERROR(VLOOKUP(B163,$A$5:$B$504,2,FALSE),""),$A$5:$B$504,2,FALSE),""),$A$5:$C$504,3,FALSE)/100,1))</f>
        <v/>
      </c>
      <c r="E163" s="21">
        <f>IF(A163="","",SUMIF('Grup Eşleme'!$B$5:$B$504,A163,'Grup Eşleme'!$C$5:$C$504))</f>
        <v/>
      </c>
      <c r="F163" s="27">
        <f>IF(OR(A163="",'Metraj Mahal Listesi'!$K$3=0,COUNTIF($B$5:$B$504,A163)&gt;0),"",E163/'Metraj Mahal Listesi'!$K$3*100)</f>
        <v/>
      </c>
      <c r="G163" s="28">
        <f>IF(OR(D163="",F163=""),"",F163-D163)</f>
        <v/>
      </c>
      <c r="H163" s="29">
        <f>IF(OR(G163="",D163=0),"",G163/D163*100)</f>
        <v/>
      </c>
      <c r="I163" s="30">
        <f>IF(A163="","",IF(COUNTIF($B$5:$B$504,A163)&gt;0,IF(ABS(SUMIF($B$5:$B$504,A163,$C$5:$C$504)-100)&lt;0.0001,"✔ alt gruplar Σ=100","⚠ alt gruplar Σ≠100"),IF(G163="","—",IF(ABS(G163)&lt;=PursUyum,"✔ uyumlu",IF(ABS(G163)&lt;=PursCiddi,"⚠ dikkat","✗ ciddi fark")))))</f>
        <v/>
      </c>
      <c r="J163" s="5" t="n"/>
      <c r="K163" s="5" t="n"/>
    </row>
    <row r="164">
      <c r="A164" s="5" t="n"/>
      <c r="B164" s="5" t="n"/>
      <c r="C164" s="26" t="n"/>
      <c r="D164" s="27">
        <f>IF(OR(A164="",C164=""),"",C164*IFERROR(VLOOKUP(B164,$A$5:$C$504,3,FALSE)/100,1)*IFERROR(VLOOKUP(IFERROR(VLOOKUP(B164,$A$5:$B$504,2,FALSE),""),$A$5:$C$504,3,FALSE)/100,1)*IFERROR(VLOOKUP(IFERROR(VLOOKUP(IFERROR(VLOOKUP(B164,$A$5:$B$504,2,FALSE),""),$A$5:$B$504,2,FALSE),""),$A$5:$C$504,3,FALSE)/100,1))</f>
        <v/>
      </c>
      <c r="E164" s="21">
        <f>IF(A164="","",SUMIF('Grup Eşleme'!$B$5:$B$504,A164,'Grup Eşleme'!$C$5:$C$504))</f>
        <v/>
      </c>
      <c r="F164" s="27">
        <f>IF(OR(A164="",'Metraj Mahal Listesi'!$K$3=0,COUNTIF($B$5:$B$504,A164)&gt;0),"",E164/'Metraj Mahal Listesi'!$K$3*100)</f>
        <v/>
      </c>
      <c r="G164" s="28">
        <f>IF(OR(D164="",F164=""),"",F164-D164)</f>
        <v/>
      </c>
      <c r="H164" s="29">
        <f>IF(OR(G164="",D164=0),"",G164/D164*100)</f>
        <v/>
      </c>
      <c r="I164" s="30">
        <f>IF(A164="","",IF(COUNTIF($B$5:$B$504,A164)&gt;0,IF(ABS(SUMIF($B$5:$B$504,A164,$C$5:$C$504)-100)&lt;0.0001,"✔ alt gruplar Σ=100","⚠ alt gruplar Σ≠100"),IF(G164="","—",IF(ABS(G164)&lt;=PursUyum,"✔ uyumlu",IF(ABS(G164)&lt;=PursCiddi,"⚠ dikkat","✗ ciddi fark")))))</f>
        <v/>
      </c>
      <c r="J164" s="5" t="n"/>
      <c r="K164" s="5" t="n"/>
    </row>
    <row r="165">
      <c r="A165" s="5" t="n"/>
      <c r="B165" s="5" t="n"/>
      <c r="C165" s="26" t="n"/>
      <c r="D165" s="27">
        <f>IF(OR(A165="",C165=""),"",C165*IFERROR(VLOOKUP(B165,$A$5:$C$504,3,FALSE)/100,1)*IFERROR(VLOOKUP(IFERROR(VLOOKUP(B165,$A$5:$B$504,2,FALSE),""),$A$5:$C$504,3,FALSE)/100,1)*IFERROR(VLOOKUP(IFERROR(VLOOKUP(IFERROR(VLOOKUP(B165,$A$5:$B$504,2,FALSE),""),$A$5:$B$504,2,FALSE),""),$A$5:$C$504,3,FALSE)/100,1))</f>
        <v/>
      </c>
      <c r="E165" s="21">
        <f>IF(A165="","",SUMIF('Grup Eşleme'!$B$5:$B$504,A165,'Grup Eşleme'!$C$5:$C$504))</f>
        <v/>
      </c>
      <c r="F165" s="27">
        <f>IF(OR(A165="",'Metraj Mahal Listesi'!$K$3=0,COUNTIF($B$5:$B$504,A165)&gt;0),"",E165/'Metraj Mahal Listesi'!$K$3*100)</f>
        <v/>
      </c>
      <c r="G165" s="28">
        <f>IF(OR(D165="",F165=""),"",F165-D165)</f>
        <v/>
      </c>
      <c r="H165" s="29">
        <f>IF(OR(G165="",D165=0),"",G165/D165*100)</f>
        <v/>
      </c>
      <c r="I165" s="30">
        <f>IF(A165="","",IF(COUNTIF($B$5:$B$504,A165)&gt;0,IF(ABS(SUMIF($B$5:$B$504,A165,$C$5:$C$504)-100)&lt;0.0001,"✔ alt gruplar Σ=100","⚠ alt gruplar Σ≠100"),IF(G165="","—",IF(ABS(G165)&lt;=PursUyum,"✔ uyumlu",IF(ABS(G165)&lt;=PursCiddi,"⚠ dikkat","✗ ciddi fark")))))</f>
        <v/>
      </c>
      <c r="J165" s="5" t="n"/>
      <c r="K165" s="5" t="n"/>
    </row>
    <row r="166">
      <c r="A166" s="5" t="n"/>
      <c r="B166" s="5" t="n"/>
      <c r="C166" s="26" t="n"/>
      <c r="D166" s="27">
        <f>IF(OR(A166="",C166=""),"",C166*IFERROR(VLOOKUP(B166,$A$5:$C$504,3,FALSE)/100,1)*IFERROR(VLOOKUP(IFERROR(VLOOKUP(B166,$A$5:$B$504,2,FALSE),""),$A$5:$C$504,3,FALSE)/100,1)*IFERROR(VLOOKUP(IFERROR(VLOOKUP(IFERROR(VLOOKUP(B166,$A$5:$B$504,2,FALSE),""),$A$5:$B$504,2,FALSE),""),$A$5:$C$504,3,FALSE)/100,1))</f>
        <v/>
      </c>
      <c r="E166" s="21">
        <f>IF(A166="","",SUMIF('Grup Eşleme'!$B$5:$B$504,A166,'Grup Eşleme'!$C$5:$C$504))</f>
        <v/>
      </c>
      <c r="F166" s="27">
        <f>IF(OR(A166="",'Metraj Mahal Listesi'!$K$3=0,COUNTIF($B$5:$B$504,A166)&gt;0),"",E166/'Metraj Mahal Listesi'!$K$3*100)</f>
        <v/>
      </c>
      <c r="G166" s="28">
        <f>IF(OR(D166="",F166=""),"",F166-D166)</f>
        <v/>
      </c>
      <c r="H166" s="29">
        <f>IF(OR(G166="",D166=0),"",G166/D166*100)</f>
        <v/>
      </c>
      <c r="I166" s="30">
        <f>IF(A166="","",IF(COUNTIF($B$5:$B$504,A166)&gt;0,IF(ABS(SUMIF($B$5:$B$504,A166,$C$5:$C$504)-100)&lt;0.0001,"✔ alt gruplar Σ=100","⚠ alt gruplar Σ≠100"),IF(G166="","—",IF(ABS(G166)&lt;=PursUyum,"✔ uyumlu",IF(ABS(G166)&lt;=PursCiddi,"⚠ dikkat","✗ ciddi fark")))))</f>
        <v/>
      </c>
      <c r="J166" s="5" t="n"/>
      <c r="K166" s="5" t="n"/>
    </row>
    <row r="167">
      <c r="A167" s="5" t="n"/>
      <c r="B167" s="5" t="n"/>
      <c r="C167" s="26" t="n"/>
      <c r="D167" s="27">
        <f>IF(OR(A167="",C167=""),"",C167*IFERROR(VLOOKUP(B167,$A$5:$C$504,3,FALSE)/100,1)*IFERROR(VLOOKUP(IFERROR(VLOOKUP(B167,$A$5:$B$504,2,FALSE),""),$A$5:$C$504,3,FALSE)/100,1)*IFERROR(VLOOKUP(IFERROR(VLOOKUP(IFERROR(VLOOKUP(B167,$A$5:$B$504,2,FALSE),""),$A$5:$B$504,2,FALSE),""),$A$5:$C$504,3,FALSE)/100,1))</f>
        <v/>
      </c>
      <c r="E167" s="21">
        <f>IF(A167="","",SUMIF('Grup Eşleme'!$B$5:$B$504,A167,'Grup Eşleme'!$C$5:$C$504))</f>
        <v/>
      </c>
      <c r="F167" s="27">
        <f>IF(OR(A167="",'Metraj Mahal Listesi'!$K$3=0,COUNTIF($B$5:$B$504,A167)&gt;0),"",E167/'Metraj Mahal Listesi'!$K$3*100)</f>
        <v/>
      </c>
      <c r="G167" s="28">
        <f>IF(OR(D167="",F167=""),"",F167-D167)</f>
        <v/>
      </c>
      <c r="H167" s="29">
        <f>IF(OR(G167="",D167=0),"",G167/D167*100)</f>
        <v/>
      </c>
      <c r="I167" s="30">
        <f>IF(A167="","",IF(COUNTIF($B$5:$B$504,A167)&gt;0,IF(ABS(SUMIF($B$5:$B$504,A167,$C$5:$C$504)-100)&lt;0.0001,"✔ alt gruplar Σ=100","⚠ alt gruplar Σ≠100"),IF(G167="","—",IF(ABS(G167)&lt;=PursUyum,"✔ uyumlu",IF(ABS(G167)&lt;=PursCiddi,"⚠ dikkat","✗ ciddi fark")))))</f>
        <v/>
      </c>
      <c r="J167" s="5" t="n"/>
      <c r="K167" s="5" t="n"/>
    </row>
    <row r="168">
      <c r="A168" s="5" t="n"/>
      <c r="B168" s="5" t="n"/>
      <c r="C168" s="26" t="n"/>
      <c r="D168" s="27">
        <f>IF(OR(A168="",C168=""),"",C168*IFERROR(VLOOKUP(B168,$A$5:$C$504,3,FALSE)/100,1)*IFERROR(VLOOKUP(IFERROR(VLOOKUP(B168,$A$5:$B$504,2,FALSE),""),$A$5:$C$504,3,FALSE)/100,1)*IFERROR(VLOOKUP(IFERROR(VLOOKUP(IFERROR(VLOOKUP(B168,$A$5:$B$504,2,FALSE),""),$A$5:$B$504,2,FALSE),""),$A$5:$C$504,3,FALSE)/100,1))</f>
        <v/>
      </c>
      <c r="E168" s="21">
        <f>IF(A168="","",SUMIF('Grup Eşleme'!$B$5:$B$504,A168,'Grup Eşleme'!$C$5:$C$504))</f>
        <v/>
      </c>
      <c r="F168" s="27">
        <f>IF(OR(A168="",'Metraj Mahal Listesi'!$K$3=0,COUNTIF($B$5:$B$504,A168)&gt;0),"",E168/'Metraj Mahal Listesi'!$K$3*100)</f>
        <v/>
      </c>
      <c r="G168" s="28">
        <f>IF(OR(D168="",F168=""),"",F168-D168)</f>
        <v/>
      </c>
      <c r="H168" s="29">
        <f>IF(OR(G168="",D168=0),"",G168/D168*100)</f>
        <v/>
      </c>
      <c r="I168" s="30">
        <f>IF(A168="","",IF(COUNTIF($B$5:$B$504,A168)&gt;0,IF(ABS(SUMIF($B$5:$B$504,A168,$C$5:$C$504)-100)&lt;0.0001,"✔ alt gruplar Σ=100","⚠ alt gruplar Σ≠100"),IF(G168="","—",IF(ABS(G168)&lt;=PursUyum,"✔ uyumlu",IF(ABS(G168)&lt;=PursCiddi,"⚠ dikkat","✗ ciddi fark")))))</f>
        <v/>
      </c>
      <c r="J168" s="5" t="n"/>
      <c r="K168" s="5" t="n"/>
    </row>
    <row r="169">
      <c r="A169" s="5" t="n"/>
      <c r="B169" s="5" t="n"/>
      <c r="C169" s="26" t="n"/>
      <c r="D169" s="27">
        <f>IF(OR(A169="",C169=""),"",C169*IFERROR(VLOOKUP(B169,$A$5:$C$504,3,FALSE)/100,1)*IFERROR(VLOOKUP(IFERROR(VLOOKUP(B169,$A$5:$B$504,2,FALSE),""),$A$5:$C$504,3,FALSE)/100,1)*IFERROR(VLOOKUP(IFERROR(VLOOKUP(IFERROR(VLOOKUP(B169,$A$5:$B$504,2,FALSE),""),$A$5:$B$504,2,FALSE),""),$A$5:$C$504,3,FALSE)/100,1))</f>
        <v/>
      </c>
      <c r="E169" s="21">
        <f>IF(A169="","",SUMIF('Grup Eşleme'!$B$5:$B$504,A169,'Grup Eşleme'!$C$5:$C$504))</f>
        <v/>
      </c>
      <c r="F169" s="27">
        <f>IF(OR(A169="",'Metraj Mahal Listesi'!$K$3=0,COUNTIF($B$5:$B$504,A169)&gt;0),"",E169/'Metraj Mahal Listesi'!$K$3*100)</f>
        <v/>
      </c>
      <c r="G169" s="28">
        <f>IF(OR(D169="",F169=""),"",F169-D169)</f>
        <v/>
      </c>
      <c r="H169" s="29">
        <f>IF(OR(G169="",D169=0),"",G169/D169*100)</f>
        <v/>
      </c>
      <c r="I169" s="30">
        <f>IF(A169="","",IF(COUNTIF($B$5:$B$504,A169)&gt;0,IF(ABS(SUMIF($B$5:$B$504,A169,$C$5:$C$504)-100)&lt;0.0001,"✔ alt gruplar Σ=100","⚠ alt gruplar Σ≠100"),IF(G169="","—",IF(ABS(G169)&lt;=PursUyum,"✔ uyumlu",IF(ABS(G169)&lt;=PursCiddi,"⚠ dikkat","✗ ciddi fark")))))</f>
        <v/>
      </c>
      <c r="J169" s="5" t="n"/>
      <c r="K169" s="5" t="n"/>
    </row>
    <row r="170">
      <c r="A170" s="5" t="n"/>
      <c r="B170" s="5" t="n"/>
      <c r="C170" s="26" t="n"/>
      <c r="D170" s="27">
        <f>IF(OR(A170="",C170=""),"",C170*IFERROR(VLOOKUP(B170,$A$5:$C$504,3,FALSE)/100,1)*IFERROR(VLOOKUP(IFERROR(VLOOKUP(B170,$A$5:$B$504,2,FALSE),""),$A$5:$C$504,3,FALSE)/100,1)*IFERROR(VLOOKUP(IFERROR(VLOOKUP(IFERROR(VLOOKUP(B170,$A$5:$B$504,2,FALSE),""),$A$5:$B$504,2,FALSE),""),$A$5:$C$504,3,FALSE)/100,1))</f>
        <v/>
      </c>
      <c r="E170" s="21">
        <f>IF(A170="","",SUMIF('Grup Eşleme'!$B$5:$B$504,A170,'Grup Eşleme'!$C$5:$C$504))</f>
        <v/>
      </c>
      <c r="F170" s="27">
        <f>IF(OR(A170="",'Metraj Mahal Listesi'!$K$3=0,COUNTIF($B$5:$B$504,A170)&gt;0),"",E170/'Metraj Mahal Listesi'!$K$3*100)</f>
        <v/>
      </c>
      <c r="G170" s="28">
        <f>IF(OR(D170="",F170=""),"",F170-D170)</f>
        <v/>
      </c>
      <c r="H170" s="29">
        <f>IF(OR(G170="",D170=0),"",G170/D170*100)</f>
        <v/>
      </c>
      <c r="I170" s="30">
        <f>IF(A170="","",IF(COUNTIF($B$5:$B$504,A170)&gt;0,IF(ABS(SUMIF($B$5:$B$504,A170,$C$5:$C$504)-100)&lt;0.0001,"✔ alt gruplar Σ=100","⚠ alt gruplar Σ≠100"),IF(G170="","—",IF(ABS(G170)&lt;=PursUyum,"✔ uyumlu",IF(ABS(G170)&lt;=PursCiddi,"⚠ dikkat","✗ ciddi fark")))))</f>
        <v/>
      </c>
      <c r="J170" s="5" t="n"/>
      <c r="K170" s="5" t="n"/>
    </row>
    <row r="171">
      <c r="A171" s="5" t="n"/>
      <c r="B171" s="5" t="n"/>
      <c r="C171" s="26" t="n"/>
      <c r="D171" s="27">
        <f>IF(OR(A171="",C171=""),"",C171*IFERROR(VLOOKUP(B171,$A$5:$C$504,3,FALSE)/100,1)*IFERROR(VLOOKUP(IFERROR(VLOOKUP(B171,$A$5:$B$504,2,FALSE),""),$A$5:$C$504,3,FALSE)/100,1)*IFERROR(VLOOKUP(IFERROR(VLOOKUP(IFERROR(VLOOKUP(B171,$A$5:$B$504,2,FALSE),""),$A$5:$B$504,2,FALSE),""),$A$5:$C$504,3,FALSE)/100,1))</f>
        <v/>
      </c>
      <c r="E171" s="21">
        <f>IF(A171="","",SUMIF('Grup Eşleme'!$B$5:$B$504,A171,'Grup Eşleme'!$C$5:$C$504))</f>
        <v/>
      </c>
      <c r="F171" s="27">
        <f>IF(OR(A171="",'Metraj Mahal Listesi'!$K$3=0,COUNTIF($B$5:$B$504,A171)&gt;0),"",E171/'Metraj Mahal Listesi'!$K$3*100)</f>
        <v/>
      </c>
      <c r="G171" s="28">
        <f>IF(OR(D171="",F171=""),"",F171-D171)</f>
        <v/>
      </c>
      <c r="H171" s="29">
        <f>IF(OR(G171="",D171=0),"",G171/D171*100)</f>
        <v/>
      </c>
      <c r="I171" s="30">
        <f>IF(A171="","",IF(COUNTIF($B$5:$B$504,A171)&gt;0,IF(ABS(SUMIF($B$5:$B$504,A171,$C$5:$C$504)-100)&lt;0.0001,"✔ alt gruplar Σ=100","⚠ alt gruplar Σ≠100"),IF(G171="","—",IF(ABS(G171)&lt;=PursUyum,"✔ uyumlu",IF(ABS(G171)&lt;=PursCiddi,"⚠ dikkat","✗ ciddi fark")))))</f>
        <v/>
      </c>
      <c r="J171" s="5" t="n"/>
      <c r="K171" s="5" t="n"/>
    </row>
    <row r="172">
      <c r="A172" s="5" t="n"/>
      <c r="B172" s="5" t="n"/>
      <c r="C172" s="26" t="n"/>
      <c r="D172" s="27">
        <f>IF(OR(A172="",C172=""),"",C172*IFERROR(VLOOKUP(B172,$A$5:$C$504,3,FALSE)/100,1)*IFERROR(VLOOKUP(IFERROR(VLOOKUP(B172,$A$5:$B$504,2,FALSE),""),$A$5:$C$504,3,FALSE)/100,1)*IFERROR(VLOOKUP(IFERROR(VLOOKUP(IFERROR(VLOOKUP(B172,$A$5:$B$504,2,FALSE),""),$A$5:$B$504,2,FALSE),""),$A$5:$C$504,3,FALSE)/100,1))</f>
        <v/>
      </c>
      <c r="E172" s="21">
        <f>IF(A172="","",SUMIF('Grup Eşleme'!$B$5:$B$504,A172,'Grup Eşleme'!$C$5:$C$504))</f>
        <v/>
      </c>
      <c r="F172" s="27">
        <f>IF(OR(A172="",'Metraj Mahal Listesi'!$K$3=0,COUNTIF($B$5:$B$504,A172)&gt;0),"",E172/'Metraj Mahal Listesi'!$K$3*100)</f>
        <v/>
      </c>
      <c r="G172" s="28">
        <f>IF(OR(D172="",F172=""),"",F172-D172)</f>
        <v/>
      </c>
      <c r="H172" s="29">
        <f>IF(OR(G172="",D172=0),"",G172/D172*100)</f>
        <v/>
      </c>
      <c r="I172" s="30">
        <f>IF(A172="","",IF(COUNTIF($B$5:$B$504,A172)&gt;0,IF(ABS(SUMIF($B$5:$B$504,A172,$C$5:$C$504)-100)&lt;0.0001,"✔ alt gruplar Σ=100","⚠ alt gruplar Σ≠100"),IF(G172="","—",IF(ABS(G172)&lt;=PursUyum,"✔ uyumlu",IF(ABS(G172)&lt;=PursCiddi,"⚠ dikkat","✗ ciddi fark")))))</f>
        <v/>
      </c>
      <c r="J172" s="5" t="n"/>
      <c r="K172" s="5" t="n"/>
    </row>
    <row r="173">
      <c r="A173" s="5" t="n"/>
      <c r="B173" s="5" t="n"/>
      <c r="C173" s="26" t="n"/>
      <c r="D173" s="27">
        <f>IF(OR(A173="",C173=""),"",C173*IFERROR(VLOOKUP(B173,$A$5:$C$504,3,FALSE)/100,1)*IFERROR(VLOOKUP(IFERROR(VLOOKUP(B173,$A$5:$B$504,2,FALSE),""),$A$5:$C$504,3,FALSE)/100,1)*IFERROR(VLOOKUP(IFERROR(VLOOKUP(IFERROR(VLOOKUP(B173,$A$5:$B$504,2,FALSE),""),$A$5:$B$504,2,FALSE),""),$A$5:$C$504,3,FALSE)/100,1))</f>
        <v/>
      </c>
      <c r="E173" s="21">
        <f>IF(A173="","",SUMIF('Grup Eşleme'!$B$5:$B$504,A173,'Grup Eşleme'!$C$5:$C$504))</f>
        <v/>
      </c>
      <c r="F173" s="27">
        <f>IF(OR(A173="",'Metraj Mahal Listesi'!$K$3=0,COUNTIF($B$5:$B$504,A173)&gt;0),"",E173/'Metraj Mahal Listesi'!$K$3*100)</f>
        <v/>
      </c>
      <c r="G173" s="28">
        <f>IF(OR(D173="",F173=""),"",F173-D173)</f>
        <v/>
      </c>
      <c r="H173" s="29">
        <f>IF(OR(G173="",D173=0),"",G173/D173*100)</f>
        <v/>
      </c>
      <c r="I173" s="30">
        <f>IF(A173="","",IF(COUNTIF($B$5:$B$504,A173)&gt;0,IF(ABS(SUMIF($B$5:$B$504,A173,$C$5:$C$504)-100)&lt;0.0001,"✔ alt gruplar Σ=100","⚠ alt gruplar Σ≠100"),IF(G173="","—",IF(ABS(G173)&lt;=PursUyum,"✔ uyumlu",IF(ABS(G173)&lt;=PursCiddi,"⚠ dikkat","✗ ciddi fark")))))</f>
        <v/>
      </c>
      <c r="J173" s="5" t="n"/>
      <c r="K173" s="5" t="n"/>
    </row>
    <row r="174">
      <c r="A174" s="5" t="n"/>
      <c r="B174" s="5" t="n"/>
      <c r="C174" s="26" t="n"/>
      <c r="D174" s="27">
        <f>IF(OR(A174="",C174=""),"",C174*IFERROR(VLOOKUP(B174,$A$5:$C$504,3,FALSE)/100,1)*IFERROR(VLOOKUP(IFERROR(VLOOKUP(B174,$A$5:$B$504,2,FALSE),""),$A$5:$C$504,3,FALSE)/100,1)*IFERROR(VLOOKUP(IFERROR(VLOOKUP(IFERROR(VLOOKUP(B174,$A$5:$B$504,2,FALSE),""),$A$5:$B$504,2,FALSE),""),$A$5:$C$504,3,FALSE)/100,1))</f>
        <v/>
      </c>
      <c r="E174" s="21">
        <f>IF(A174="","",SUMIF('Grup Eşleme'!$B$5:$B$504,A174,'Grup Eşleme'!$C$5:$C$504))</f>
        <v/>
      </c>
      <c r="F174" s="27">
        <f>IF(OR(A174="",'Metraj Mahal Listesi'!$K$3=0,COUNTIF($B$5:$B$504,A174)&gt;0),"",E174/'Metraj Mahal Listesi'!$K$3*100)</f>
        <v/>
      </c>
      <c r="G174" s="28">
        <f>IF(OR(D174="",F174=""),"",F174-D174)</f>
        <v/>
      </c>
      <c r="H174" s="29">
        <f>IF(OR(G174="",D174=0),"",G174/D174*100)</f>
        <v/>
      </c>
      <c r="I174" s="30">
        <f>IF(A174="","",IF(COUNTIF($B$5:$B$504,A174)&gt;0,IF(ABS(SUMIF($B$5:$B$504,A174,$C$5:$C$504)-100)&lt;0.0001,"✔ alt gruplar Σ=100","⚠ alt gruplar Σ≠100"),IF(G174="","—",IF(ABS(G174)&lt;=PursUyum,"✔ uyumlu",IF(ABS(G174)&lt;=PursCiddi,"⚠ dikkat","✗ ciddi fark")))))</f>
        <v/>
      </c>
      <c r="J174" s="5" t="n"/>
      <c r="K174" s="5" t="n"/>
    </row>
    <row r="175">
      <c r="A175" s="5" t="n"/>
      <c r="B175" s="5" t="n"/>
      <c r="C175" s="26" t="n"/>
      <c r="D175" s="27">
        <f>IF(OR(A175="",C175=""),"",C175*IFERROR(VLOOKUP(B175,$A$5:$C$504,3,FALSE)/100,1)*IFERROR(VLOOKUP(IFERROR(VLOOKUP(B175,$A$5:$B$504,2,FALSE),""),$A$5:$C$504,3,FALSE)/100,1)*IFERROR(VLOOKUP(IFERROR(VLOOKUP(IFERROR(VLOOKUP(B175,$A$5:$B$504,2,FALSE),""),$A$5:$B$504,2,FALSE),""),$A$5:$C$504,3,FALSE)/100,1))</f>
        <v/>
      </c>
      <c r="E175" s="21">
        <f>IF(A175="","",SUMIF('Grup Eşleme'!$B$5:$B$504,A175,'Grup Eşleme'!$C$5:$C$504))</f>
        <v/>
      </c>
      <c r="F175" s="27">
        <f>IF(OR(A175="",'Metraj Mahal Listesi'!$K$3=0,COUNTIF($B$5:$B$504,A175)&gt;0),"",E175/'Metraj Mahal Listesi'!$K$3*100)</f>
        <v/>
      </c>
      <c r="G175" s="28">
        <f>IF(OR(D175="",F175=""),"",F175-D175)</f>
        <v/>
      </c>
      <c r="H175" s="29">
        <f>IF(OR(G175="",D175=0),"",G175/D175*100)</f>
        <v/>
      </c>
      <c r="I175" s="30">
        <f>IF(A175="","",IF(COUNTIF($B$5:$B$504,A175)&gt;0,IF(ABS(SUMIF($B$5:$B$504,A175,$C$5:$C$504)-100)&lt;0.0001,"✔ alt gruplar Σ=100","⚠ alt gruplar Σ≠100"),IF(G175="","—",IF(ABS(G175)&lt;=PursUyum,"✔ uyumlu",IF(ABS(G175)&lt;=PursCiddi,"⚠ dikkat","✗ ciddi fark")))))</f>
        <v/>
      </c>
      <c r="J175" s="5" t="n"/>
      <c r="K175" s="5" t="n"/>
    </row>
    <row r="176">
      <c r="A176" s="5" t="n"/>
      <c r="B176" s="5" t="n"/>
      <c r="C176" s="26" t="n"/>
      <c r="D176" s="27">
        <f>IF(OR(A176="",C176=""),"",C176*IFERROR(VLOOKUP(B176,$A$5:$C$504,3,FALSE)/100,1)*IFERROR(VLOOKUP(IFERROR(VLOOKUP(B176,$A$5:$B$504,2,FALSE),""),$A$5:$C$504,3,FALSE)/100,1)*IFERROR(VLOOKUP(IFERROR(VLOOKUP(IFERROR(VLOOKUP(B176,$A$5:$B$504,2,FALSE),""),$A$5:$B$504,2,FALSE),""),$A$5:$C$504,3,FALSE)/100,1))</f>
        <v/>
      </c>
      <c r="E176" s="21">
        <f>IF(A176="","",SUMIF('Grup Eşleme'!$B$5:$B$504,A176,'Grup Eşleme'!$C$5:$C$504))</f>
        <v/>
      </c>
      <c r="F176" s="27">
        <f>IF(OR(A176="",'Metraj Mahal Listesi'!$K$3=0,COUNTIF($B$5:$B$504,A176)&gt;0),"",E176/'Metraj Mahal Listesi'!$K$3*100)</f>
        <v/>
      </c>
      <c r="G176" s="28">
        <f>IF(OR(D176="",F176=""),"",F176-D176)</f>
        <v/>
      </c>
      <c r="H176" s="29">
        <f>IF(OR(G176="",D176=0),"",G176/D176*100)</f>
        <v/>
      </c>
      <c r="I176" s="30">
        <f>IF(A176="","",IF(COUNTIF($B$5:$B$504,A176)&gt;0,IF(ABS(SUMIF($B$5:$B$504,A176,$C$5:$C$504)-100)&lt;0.0001,"✔ alt gruplar Σ=100","⚠ alt gruplar Σ≠100"),IF(G176="","—",IF(ABS(G176)&lt;=PursUyum,"✔ uyumlu",IF(ABS(G176)&lt;=PursCiddi,"⚠ dikkat","✗ ciddi fark")))))</f>
        <v/>
      </c>
      <c r="J176" s="5" t="n"/>
      <c r="K176" s="5" t="n"/>
    </row>
    <row r="177">
      <c r="A177" s="5" t="n"/>
      <c r="B177" s="5" t="n"/>
      <c r="C177" s="26" t="n"/>
      <c r="D177" s="27">
        <f>IF(OR(A177="",C177=""),"",C177*IFERROR(VLOOKUP(B177,$A$5:$C$504,3,FALSE)/100,1)*IFERROR(VLOOKUP(IFERROR(VLOOKUP(B177,$A$5:$B$504,2,FALSE),""),$A$5:$C$504,3,FALSE)/100,1)*IFERROR(VLOOKUP(IFERROR(VLOOKUP(IFERROR(VLOOKUP(B177,$A$5:$B$504,2,FALSE),""),$A$5:$B$504,2,FALSE),""),$A$5:$C$504,3,FALSE)/100,1))</f>
        <v/>
      </c>
      <c r="E177" s="21">
        <f>IF(A177="","",SUMIF('Grup Eşleme'!$B$5:$B$504,A177,'Grup Eşleme'!$C$5:$C$504))</f>
        <v/>
      </c>
      <c r="F177" s="27">
        <f>IF(OR(A177="",'Metraj Mahal Listesi'!$K$3=0,COUNTIF($B$5:$B$504,A177)&gt;0),"",E177/'Metraj Mahal Listesi'!$K$3*100)</f>
        <v/>
      </c>
      <c r="G177" s="28">
        <f>IF(OR(D177="",F177=""),"",F177-D177)</f>
        <v/>
      </c>
      <c r="H177" s="29">
        <f>IF(OR(G177="",D177=0),"",G177/D177*100)</f>
        <v/>
      </c>
      <c r="I177" s="30">
        <f>IF(A177="","",IF(COUNTIF($B$5:$B$504,A177)&gt;0,IF(ABS(SUMIF($B$5:$B$504,A177,$C$5:$C$504)-100)&lt;0.0001,"✔ alt gruplar Σ=100","⚠ alt gruplar Σ≠100"),IF(G177="","—",IF(ABS(G177)&lt;=PursUyum,"✔ uyumlu",IF(ABS(G177)&lt;=PursCiddi,"⚠ dikkat","✗ ciddi fark")))))</f>
        <v/>
      </c>
      <c r="J177" s="5" t="n"/>
      <c r="K177" s="5" t="n"/>
    </row>
    <row r="178">
      <c r="A178" s="5" t="n"/>
      <c r="B178" s="5" t="n"/>
      <c r="C178" s="26" t="n"/>
      <c r="D178" s="27">
        <f>IF(OR(A178="",C178=""),"",C178*IFERROR(VLOOKUP(B178,$A$5:$C$504,3,FALSE)/100,1)*IFERROR(VLOOKUP(IFERROR(VLOOKUP(B178,$A$5:$B$504,2,FALSE),""),$A$5:$C$504,3,FALSE)/100,1)*IFERROR(VLOOKUP(IFERROR(VLOOKUP(IFERROR(VLOOKUP(B178,$A$5:$B$504,2,FALSE),""),$A$5:$B$504,2,FALSE),""),$A$5:$C$504,3,FALSE)/100,1))</f>
        <v/>
      </c>
      <c r="E178" s="21">
        <f>IF(A178="","",SUMIF('Grup Eşleme'!$B$5:$B$504,A178,'Grup Eşleme'!$C$5:$C$504))</f>
        <v/>
      </c>
      <c r="F178" s="27">
        <f>IF(OR(A178="",'Metraj Mahal Listesi'!$K$3=0,COUNTIF($B$5:$B$504,A178)&gt;0),"",E178/'Metraj Mahal Listesi'!$K$3*100)</f>
        <v/>
      </c>
      <c r="G178" s="28">
        <f>IF(OR(D178="",F178=""),"",F178-D178)</f>
        <v/>
      </c>
      <c r="H178" s="29">
        <f>IF(OR(G178="",D178=0),"",G178/D178*100)</f>
        <v/>
      </c>
      <c r="I178" s="30">
        <f>IF(A178="","",IF(COUNTIF($B$5:$B$504,A178)&gt;0,IF(ABS(SUMIF($B$5:$B$504,A178,$C$5:$C$504)-100)&lt;0.0001,"✔ alt gruplar Σ=100","⚠ alt gruplar Σ≠100"),IF(G178="","—",IF(ABS(G178)&lt;=PursUyum,"✔ uyumlu",IF(ABS(G178)&lt;=PursCiddi,"⚠ dikkat","✗ ciddi fark")))))</f>
        <v/>
      </c>
      <c r="J178" s="5" t="n"/>
      <c r="K178" s="5" t="n"/>
    </row>
    <row r="179">
      <c r="A179" s="5" t="n"/>
      <c r="B179" s="5" t="n"/>
      <c r="C179" s="26" t="n"/>
      <c r="D179" s="27">
        <f>IF(OR(A179="",C179=""),"",C179*IFERROR(VLOOKUP(B179,$A$5:$C$504,3,FALSE)/100,1)*IFERROR(VLOOKUP(IFERROR(VLOOKUP(B179,$A$5:$B$504,2,FALSE),""),$A$5:$C$504,3,FALSE)/100,1)*IFERROR(VLOOKUP(IFERROR(VLOOKUP(IFERROR(VLOOKUP(B179,$A$5:$B$504,2,FALSE),""),$A$5:$B$504,2,FALSE),""),$A$5:$C$504,3,FALSE)/100,1))</f>
        <v/>
      </c>
      <c r="E179" s="21">
        <f>IF(A179="","",SUMIF('Grup Eşleme'!$B$5:$B$504,A179,'Grup Eşleme'!$C$5:$C$504))</f>
        <v/>
      </c>
      <c r="F179" s="27">
        <f>IF(OR(A179="",'Metraj Mahal Listesi'!$K$3=0,COUNTIF($B$5:$B$504,A179)&gt;0),"",E179/'Metraj Mahal Listesi'!$K$3*100)</f>
        <v/>
      </c>
      <c r="G179" s="28">
        <f>IF(OR(D179="",F179=""),"",F179-D179)</f>
        <v/>
      </c>
      <c r="H179" s="29">
        <f>IF(OR(G179="",D179=0),"",G179/D179*100)</f>
        <v/>
      </c>
      <c r="I179" s="30">
        <f>IF(A179="","",IF(COUNTIF($B$5:$B$504,A179)&gt;0,IF(ABS(SUMIF($B$5:$B$504,A179,$C$5:$C$504)-100)&lt;0.0001,"✔ alt gruplar Σ=100","⚠ alt gruplar Σ≠100"),IF(G179="","—",IF(ABS(G179)&lt;=PursUyum,"✔ uyumlu",IF(ABS(G179)&lt;=PursCiddi,"⚠ dikkat","✗ ciddi fark")))))</f>
        <v/>
      </c>
      <c r="J179" s="5" t="n"/>
      <c r="K179" s="5" t="n"/>
    </row>
    <row r="180">
      <c r="A180" s="5" t="n"/>
      <c r="B180" s="5" t="n"/>
      <c r="C180" s="26" t="n"/>
      <c r="D180" s="27">
        <f>IF(OR(A180="",C180=""),"",C180*IFERROR(VLOOKUP(B180,$A$5:$C$504,3,FALSE)/100,1)*IFERROR(VLOOKUP(IFERROR(VLOOKUP(B180,$A$5:$B$504,2,FALSE),""),$A$5:$C$504,3,FALSE)/100,1)*IFERROR(VLOOKUP(IFERROR(VLOOKUP(IFERROR(VLOOKUP(B180,$A$5:$B$504,2,FALSE),""),$A$5:$B$504,2,FALSE),""),$A$5:$C$504,3,FALSE)/100,1))</f>
        <v/>
      </c>
      <c r="E180" s="21">
        <f>IF(A180="","",SUMIF('Grup Eşleme'!$B$5:$B$504,A180,'Grup Eşleme'!$C$5:$C$504))</f>
        <v/>
      </c>
      <c r="F180" s="27">
        <f>IF(OR(A180="",'Metraj Mahal Listesi'!$K$3=0,COUNTIF($B$5:$B$504,A180)&gt;0),"",E180/'Metraj Mahal Listesi'!$K$3*100)</f>
        <v/>
      </c>
      <c r="G180" s="28">
        <f>IF(OR(D180="",F180=""),"",F180-D180)</f>
        <v/>
      </c>
      <c r="H180" s="29">
        <f>IF(OR(G180="",D180=0),"",G180/D180*100)</f>
        <v/>
      </c>
      <c r="I180" s="30">
        <f>IF(A180="","",IF(COUNTIF($B$5:$B$504,A180)&gt;0,IF(ABS(SUMIF($B$5:$B$504,A180,$C$5:$C$504)-100)&lt;0.0001,"✔ alt gruplar Σ=100","⚠ alt gruplar Σ≠100"),IF(G180="","—",IF(ABS(G180)&lt;=PursUyum,"✔ uyumlu",IF(ABS(G180)&lt;=PursCiddi,"⚠ dikkat","✗ ciddi fark")))))</f>
        <v/>
      </c>
      <c r="J180" s="5" t="n"/>
      <c r="K180" s="5" t="n"/>
    </row>
    <row r="181">
      <c r="A181" s="5" t="n"/>
      <c r="B181" s="5" t="n"/>
      <c r="C181" s="26" t="n"/>
      <c r="D181" s="27">
        <f>IF(OR(A181="",C181=""),"",C181*IFERROR(VLOOKUP(B181,$A$5:$C$504,3,FALSE)/100,1)*IFERROR(VLOOKUP(IFERROR(VLOOKUP(B181,$A$5:$B$504,2,FALSE),""),$A$5:$C$504,3,FALSE)/100,1)*IFERROR(VLOOKUP(IFERROR(VLOOKUP(IFERROR(VLOOKUP(B181,$A$5:$B$504,2,FALSE),""),$A$5:$B$504,2,FALSE),""),$A$5:$C$504,3,FALSE)/100,1))</f>
        <v/>
      </c>
      <c r="E181" s="21">
        <f>IF(A181="","",SUMIF('Grup Eşleme'!$B$5:$B$504,A181,'Grup Eşleme'!$C$5:$C$504))</f>
        <v/>
      </c>
      <c r="F181" s="27">
        <f>IF(OR(A181="",'Metraj Mahal Listesi'!$K$3=0,COUNTIF($B$5:$B$504,A181)&gt;0),"",E181/'Metraj Mahal Listesi'!$K$3*100)</f>
        <v/>
      </c>
      <c r="G181" s="28">
        <f>IF(OR(D181="",F181=""),"",F181-D181)</f>
        <v/>
      </c>
      <c r="H181" s="29">
        <f>IF(OR(G181="",D181=0),"",G181/D181*100)</f>
        <v/>
      </c>
      <c r="I181" s="30">
        <f>IF(A181="","",IF(COUNTIF($B$5:$B$504,A181)&gt;0,IF(ABS(SUMIF($B$5:$B$504,A181,$C$5:$C$504)-100)&lt;0.0001,"✔ alt gruplar Σ=100","⚠ alt gruplar Σ≠100"),IF(G181="","—",IF(ABS(G181)&lt;=PursUyum,"✔ uyumlu",IF(ABS(G181)&lt;=PursCiddi,"⚠ dikkat","✗ ciddi fark")))))</f>
        <v/>
      </c>
      <c r="J181" s="5" t="n"/>
      <c r="K181" s="5" t="n"/>
    </row>
    <row r="182">
      <c r="A182" s="5" t="n"/>
      <c r="B182" s="5" t="n"/>
      <c r="C182" s="26" t="n"/>
      <c r="D182" s="27">
        <f>IF(OR(A182="",C182=""),"",C182*IFERROR(VLOOKUP(B182,$A$5:$C$504,3,FALSE)/100,1)*IFERROR(VLOOKUP(IFERROR(VLOOKUP(B182,$A$5:$B$504,2,FALSE),""),$A$5:$C$504,3,FALSE)/100,1)*IFERROR(VLOOKUP(IFERROR(VLOOKUP(IFERROR(VLOOKUP(B182,$A$5:$B$504,2,FALSE),""),$A$5:$B$504,2,FALSE),""),$A$5:$C$504,3,FALSE)/100,1))</f>
        <v/>
      </c>
      <c r="E182" s="21">
        <f>IF(A182="","",SUMIF('Grup Eşleme'!$B$5:$B$504,A182,'Grup Eşleme'!$C$5:$C$504))</f>
        <v/>
      </c>
      <c r="F182" s="27">
        <f>IF(OR(A182="",'Metraj Mahal Listesi'!$K$3=0,COUNTIF($B$5:$B$504,A182)&gt;0),"",E182/'Metraj Mahal Listesi'!$K$3*100)</f>
        <v/>
      </c>
      <c r="G182" s="28">
        <f>IF(OR(D182="",F182=""),"",F182-D182)</f>
        <v/>
      </c>
      <c r="H182" s="29">
        <f>IF(OR(G182="",D182=0),"",G182/D182*100)</f>
        <v/>
      </c>
      <c r="I182" s="30">
        <f>IF(A182="","",IF(COUNTIF($B$5:$B$504,A182)&gt;0,IF(ABS(SUMIF($B$5:$B$504,A182,$C$5:$C$504)-100)&lt;0.0001,"✔ alt gruplar Σ=100","⚠ alt gruplar Σ≠100"),IF(G182="","—",IF(ABS(G182)&lt;=PursUyum,"✔ uyumlu",IF(ABS(G182)&lt;=PursCiddi,"⚠ dikkat","✗ ciddi fark")))))</f>
        <v/>
      </c>
      <c r="J182" s="5" t="n"/>
      <c r="K182" s="5" t="n"/>
    </row>
    <row r="183">
      <c r="A183" s="5" t="n"/>
      <c r="B183" s="5" t="n"/>
      <c r="C183" s="26" t="n"/>
      <c r="D183" s="27">
        <f>IF(OR(A183="",C183=""),"",C183*IFERROR(VLOOKUP(B183,$A$5:$C$504,3,FALSE)/100,1)*IFERROR(VLOOKUP(IFERROR(VLOOKUP(B183,$A$5:$B$504,2,FALSE),""),$A$5:$C$504,3,FALSE)/100,1)*IFERROR(VLOOKUP(IFERROR(VLOOKUP(IFERROR(VLOOKUP(B183,$A$5:$B$504,2,FALSE),""),$A$5:$B$504,2,FALSE),""),$A$5:$C$504,3,FALSE)/100,1))</f>
        <v/>
      </c>
      <c r="E183" s="21">
        <f>IF(A183="","",SUMIF('Grup Eşleme'!$B$5:$B$504,A183,'Grup Eşleme'!$C$5:$C$504))</f>
        <v/>
      </c>
      <c r="F183" s="27">
        <f>IF(OR(A183="",'Metraj Mahal Listesi'!$K$3=0,COUNTIF($B$5:$B$504,A183)&gt;0),"",E183/'Metraj Mahal Listesi'!$K$3*100)</f>
        <v/>
      </c>
      <c r="G183" s="28">
        <f>IF(OR(D183="",F183=""),"",F183-D183)</f>
        <v/>
      </c>
      <c r="H183" s="29">
        <f>IF(OR(G183="",D183=0),"",G183/D183*100)</f>
        <v/>
      </c>
      <c r="I183" s="30">
        <f>IF(A183="","",IF(COUNTIF($B$5:$B$504,A183)&gt;0,IF(ABS(SUMIF($B$5:$B$504,A183,$C$5:$C$504)-100)&lt;0.0001,"✔ alt gruplar Σ=100","⚠ alt gruplar Σ≠100"),IF(G183="","—",IF(ABS(G183)&lt;=PursUyum,"✔ uyumlu",IF(ABS(G183)&lt;=PursCiddi,"⚠ dikkat","✗ ciddi fark")))))</f>
        <v/>
      </c>
      <c r="J183" s="5" t="n"/>
      <c r="K183" s="5" t="n"/>
    </row>
    <row r="184">
      <c r="A184" s="5" t="n"/>
      <c r="B184" s="5" t="n"/>
      <c r="C184" s="26" t="n"/>
      <c r="D184" s="27">
        <f>IF(OR(A184="",C184=""),"",C184*IFERROR(VLOOKUP(B184,$A$5:$C$504,3,FALSE)/100,1)*IFERROR(VLOOKUP(IFERROR(VLOOKUP(B184,$A$5:$B$504,2,FALSE),""),$A$5:$C$504,3,FALSE)/100,1)*IFERROR(VLOOKUP(IFERROR(VLOOKUP(IFERROR(VLOOKUP(B184,$A$5:$B$504,2,FALSE),""),$A$5:$B$504,2,FALSE),""),$A$5:$C$504,3,FALSE)/100,1))</f>
        <v/>
      </c>
      <c r="E184" s="21">
        <f>IF(A184="","",SUMIF('Grup Eşleme'!$B$5:$B$504,A184,'Grup Eşleme'!$C$5:$C$504))</f>
        <v/>
      </c>
      <c r="F184" s="27">
        <f>IF(OR(A184="",'Metraj Mahal Listesi'!$K$3=0,COUNTIF($B$5:$B$504,A184)&gt;0),"",E184/'Metraj Mahal Listesi'!$K$3*100)</f>
        <v/>
      </c>
      <c r="G184" s="28">
        <f>IF(OR(D184="",F184=""),"",F184-D184)</f>
        <v/>
      </c>
      <c r="H184" s="29">
        <f>IF(OR(G184="",D184=0),"",G184/D184*100)</f>
        <v/>
      </c>
      <c r="I184" s="30">
        <f>IF(A184="","",IF(COUNTIF($B$5:$B$504,A184)&gt;0,IF(ABS(SUMIF($B$5:$B$504,A184,$C$5:$C$504)-100)&lt;0.0001,"✔ alt gruplar Σ=100","⚠ alt gruplar Σ≠100"),IF(G184="","—",IF(ABS(G184)&lt;=PursUyum,"✔ uyumlu",IF(ABS(G184)&lt;=PursCiddi,"⚠ dikkat","✗ ciddi fark")))))</f>
        <v/>
      </c>
      <c r="J184" s="5" t="n"/>
      <c r="K184" s="5" t="n"/>
    </row>
    <row r="185">
      <c r="A185" s="5" t="n"/>
      <c r="B185" s="5" t="n"/>
      <c r="C185" s="26" t="n"/>
      <c r="D185" s="27">
        <f>IF(OR(A185="",C185=""),"",C185*IFERROR(VLOOKUP(B185,$A$5:$C$504,3,FALSE)/100,1)*IFERROR(VLOOKUP(IFERROR(VLOOKUP(B185,$A$5:$B$504,2,FALSE),""),$A$5:$C$504,3,FALSE)/100,1)*IFERROR(VLOOKUP(IFERROR(VLOOKUP(IFERROR(VLOOKUP(B185,$A$5:$B$504,2,FALSE),""),$A$5:$B$504,2,FALSE),""),$A$5:$C$504,3,FALSE)/100,1))</f>
        <v/>
      </c>
      <c r="E185" s="21">
        <f>IF(A185="","",SUMIF('Grup Eşleme'!$B$5:$B$504,A185,'Grup Eşleme'!$C$5:$C$504))</f>
        <v/>
      </c>
      <c r="F185" s="27">
        <f>IF(OR(A185="",'Metraj Mahal Listesi'!$K$3=0,COUNTIF($B$5:$B$504,A185)&gt;0),"",E185/'Metraj Mahal Listesi'!$K$3*100)</f>
        <v/>
      </c>
      <c r="G185" s="28">
        <f>IF(OR(D185="",F185=""),"",F185-D185)</f>
        <v/>
      </c>
      <c r="H185" s="29">
        <f>IF(OR(G185="",D185=0),"",G185/D185*100)</f>
        <v/>
      </c>
      <c r="I185" s="30">
        <f>IF(A185="","",IF(COUNTIF($B$5:$B$504,A185)&gt;0,IF(ABS(SUMIF($B$5:$B$504,A185,$C$5:$C$504)-100)&lt;0.0001,"✔ alt gruplar Σ=100","⚠ alt gruplar Σ≠100"),IF(G185="","—",IF(ABS(G185)&lt;=PursUyum,"✔ uyumlu",IF(ABS(G185)&lt;=PursCiddi,"⚠ dikkat","✗ ciddi fark")))))</f>
        <v/>
      </c>
      <c r="J185" s="5" t="n"/>
      <c r="K185" s="5" t="n"/>
    </row>
    <row r="186">
      <c r="A186" s="5" t="n"/>
      <c r="B186" s="5" t="n"/>
      <c r="C186" s="26" t="n"/>
      <c r="D186" s="27">
        <f>IF(OR(A186="",C186=""),"",C186*IFERROR(VLOOKUP(B186,$A$5:$C$504,3,FALSE)/100,1)*IFERROR(VLOOKUP(IFERROR(VLOOKUP(B186,$A$5:$B$504,2,FALSE),""),$A$5:$C$504,3,FALSE)/100,1)*IFERROR(VLOOKUP(IFERROR(VLOOKUP(IFERROR(VLOOKUP(B186,$A$5:$B$504,2,FALSE),""),$A$5:$B$504,2,FALSE),""),$A$5:$C$504,3,FALSE)/100,1))</f>
        <v/>
      </c>
      <c r="E186" s="21">
        <f>IF(A186="","",SUMIF('Grup Eşleme'!$B$5:$B$504,A186,'Grup Eşleme'!$C$5:$C$504))</f>
        <v/>
      </c>
      <c r="F186" s="27">
        <f>IF(OR(A186="",'Metraj Mahal Listesi'!$K$3=0,COUNTIF($B$5:$B$504,A186)&gt;0),"",E186/'Metraj Mahal Listesi'!$K$3*100)</f>
        <v/>
      </c>
      <c r="G186" s="28">
        <f>IF(OR(D186="",F186=""),"",F186-D186)</f>
        <v/>
      </c>
      <c r="H186" s="29">
        <f>IF(OR(G186="",D186=0),"",G186/D186*100)</f>
        <v/>
      </c>
      <c r="I186" s="30">
        <f>IF(A186="","",IF(COUNTIF($B$5:$B$504,A186)&gt;0,IF(ABS(SUMIF($B$5:$B$504,A186,$C$5:$C$504)-100)&lt;0.0001,"✔ alt gruplar Σ=100","⚠ alt gruplar Σ≠100"),IF(G186="","—",IF(ABS(G186)&lt;=PursUyum,"✔ uyumlu",IF(ABS(G186)&lt;=PursCiddi,"⚠ dikkat","✗ ciddi fark")))))</f>
        <v/>
      </c>
      <c r="J186" s="5" t="n"/>
      <c r="K186" s="5" t="n"/>
    </row>
    <row r="187">
      <c r="A187" s="5" t="n"/>
      <c r="B187" s="5" t="n"/>
      <c r="C187" s="26" t="n"/>
      <c r="D187" s="27">
        <f>IF(OR(A187="",C187=""),"",C187*IFERROR(VLOOKUP(B187,$A$5:$C$504,3,FALSE)/100,1)*IFERROR(VLOOKUP(IFERROR(VLOOKUP(B187,$A$5:$B$504,2,FALSE),""),$A$5:$C$504,3,FALSE)/100,1)*IFERROR(VLOOKUP(IFERROR(VLOOKUP(IFERROR(VLOOKUP(B187,$A$5:$B$504,2,FALSE),""),$A$5:$B$504,2,FALSE),""),$A$5:$C$504,3,FALSE)/100,1))</f>
        <v/>
      </c>
      <c r="E187" s="21">
        <f>IF(A187="","",SUMIF('Grup Eşleme'!$B$5:$B$504,A187,'Grup Eşleme'!$C$5:$C$504))</f>
        <v/>
      </c>
      <c r="F187" s="27">
        <f>IF(OR(A187="",'Metraj Mahal Listesi'!$K$3=0,COUNTIF($B$5:$B$504,A187)&gt;0),"",E187/'Metraj Mahal Listesi'!$K$3*100)</f>
        <v/>
      </c>
      <c r="G187" s="28">
        <f>IF(OR(D187="",F187=""),"",F187-D187)</f>
        <v/>
      </c>
      <c r="H187" s="29">
        <f>IF(OR(G187="",D187=0),"",G187/D187*100)</f>
        <v/>
      </c>
      <c r="I187" s="30">
        <f>IF(A187="","",IF(COUNTIF($B$5:$B$504,A187)&gt;0,IF(ABS(SUMIF($B$5:$B$504,A187,$C$5:$C$504)-100)&lt;0.0001,"✔ alt gruplar Σ=100","⚠ alt gruplar Σ≠100"),IF(G187="","—",IF(ABS(G187)&lt;=PursUyum,"✔ uyumlu",IF(ABS(G187)&lt;=PursCiddi,"⚠ dikkat","✗ ciddi fark")))))</f>
        <v/>
      </c>
      <c r="J187" s="5" t="n"/>
      <c r="K187" s="5" t="n"/>
    </row>
    <row r="188">
      <c r="A188" s="5" t="n"/>
      <c r="B188" s="5" t="n"/>
      <c r="C188" s="26" t="n"/>
      <c r="D188" s="27">
        <f>IF(OR(A188="",C188=""),"",C188*IFERROR(VLOOKUP(B188,$A$5:$C$504,3,FALSE)/100,1)*IFERROR(VLOOKUP(IFERROR(VLOOKUP(B188,$A$5:$B$504,2,FALSE),""),$A$5:$C$504,3,FALSE)/100,1)*IFERROR(VLOOKUP(IFERROR(VLOOKUP(IFERROR(VLOOKUP(B188,$A$5:$B$504,2,FALSE),""),$A$5:$B$504,2,FALSE),""),$A$5:$C$504,3,FALSE)/100,1))</f>
        <v/>
      </c>
      <c r="E188" s="21">
        <f>IF(A188="","",SUMIF('Grup Eşleme'!$B$5:$B$504,A188,'Grup Eşleme'!$C$5:$C$504))</f>
        <v/>
      </c>
      <c r="F188" s="27">
        <f>IF(OR(A188="",'Metraj Mahal Listesi'!$K$3=0,COUNTIF($B$5:$B$504,A188)&gt;0),"",E188/'Metraj Mahal Listesi'!$K$3*100)</f>
        <v/>
      </c>
      <c r="G188" s="28">
        <f>IF(OR(D188="",F188=""),"",F188-D188)</f>
        <v/>
      </c>
      <c r="H188" s="29">
        <f>IF(OR(G188="",D188=0),"",G188/D188*100)</f>
        <v/>
      </c>
      <c r="I188" s="30">
        <f>IF(A188="","",IF(COUNTIF($B$5:$B$504,A188)&gt;0,IF(ABS(SUMIF($B$5:$B$504,A188,$C$5:$C$504)-100)&lt;0.0001,"✔ alt gruplar Σ=100","⚠ alt gruplar Σ≠100"),IF(G188="","—",IF(ABS(G188)&lt;=PursUyum,"✔ uyumlu",IF(ABS(G188)&lt;=PursCiddi,"⚠ dikkat","✗ ciddi fark")))))</f>
        <v/>
      </c>
      <c r="J188" s="5" t="n"/>
      <c r="K188" s="5" t="n"/>
    </row>
    <row r="189">
      <c r="A189" s="5" t="n"/>
      <c r="B189" s="5" t="n"/>
      <c r="C189" s="26" t="n"/>
      <c r="D189" s="27">
        <f>IF(OR(A189="",C189=""),"",C189*IFERROR(VLOOKUP(B189,$A$5:$C$504,3,FALSE)/100,1)*IFERROR(VLOOKUP(IFERROR(VLOOKUP(B189,$A$5:$B$504,2,FALSE),""),$A$5:$C$504,3,FALSE)/100,1)*IFERROR(VLOOKUP(IFERROR(VLOOKUP(IFERROR(VLOOKUP(B189,$A$5:$B$504,2,FALSE),""),$A$5:$B$504,2,FALSE),""),$A$5:$C$504,3,FALSE)/100,1))</f>
        <v/>
      </c>
      <c r="E189" s="21">
        <f>IF(A189="","",SUMIF('Grup Eşleme'!$B$5:$B$504,A189,'Grup Eşleme'!$C$5:$C$504))</f>
        <v/>
      </c>
      <c r="F189" s="27">
        <f>IF(OR(A189="",'Metraj Mahal Listesi'!$K$3=0,COUNTIF($B$5:$B$504,A189)&gt;0),"",E189/'Metraj Mahal Listesi'!$K$3*100)</f>
        <v/>
      </c>
      <c r="G189" s="28">
        <f>IF(OR(D189="",F189=""),"",F189-D189)</f>
        <v/>
      </c>
      <c r="H189" s="29">
        <f>IF(OR(G189="",D189=0),"",G189/D189*100)</f>
        <v/>
      </c>
      <c r="I189" s="30">
        <f>IF(A189="","",IF(COUNTIF($B$5:$B$504,A189)&gt;0,IF(ABS(SUMIF($B$5:$B$504,A189,$C$5:$C$504)-100)&lt;0.0001,"✔ alt gruplar Σ=100","⚠ alt gruplar Σ≠100"),IF(G189="","—",IF(ABS(G189)&lt;=PursUyum,"✔ uyumlu",IF(ABS(G189)&lt;=PursCiddi,"⚠ dikkat","✗ ciddi fark")))))</f>
        <v/>
      </c>
      <c r="J189" s="5" t="n"/>
      <c r="K189" s="5" t="n"/>
    </row>
    <row r="190">
      <c r="A190" s="5" t="n"/>
      <c r="B190" s="5" t="n"/>
      <c r="C190" s="26" t="n"/>
      <c r="D190" s="27">
        <f>IF(OR(A190="",C190=""),"",C190*IFERROR(VLOOKUP(B190,$A$5:$C$504,3,FALSE)/100,1)*IFERROR(VLOOKUP(IFERROR(VLOOKUP(B190,$A$5:$B$504,2,FALSE),""),$A$5:$C$504,3,FALSE)/100,1)*IFERROR(VLOOKUP(IFERROR(VLOOKUP(IFERROR(VLOOKUP(B190,$A$5:$B$504,2,FALSE),""),$A$5:$B$504,2,FALSE),""),$A$5:$C$504,3,FALSE)/100,1))</f>
        <v/>
      </c>
      <c r="E190" s="21">
        <f>IF(A190="","",SUMIF('Grup Eşleme'!$B$5:$B$504,A190,'Grup Eşleme'!$C$5:$C$504))</f>
        <v/>
      </c>
      <c r="F190" s="27">
        <f>IF(OR(A190="",'Metraj Mahal Listesi'!$K$3=0,COUNTIF($B$5:$B$504,A190)&gt;0),"",E190/'Metraj Mahal Listesi'!$K$3*100)</f>
        <v/>
      </c>
      <c r="G190" s="28">
        <f>IF(OR(D190="",F190=""),"",F190-D190)</f>
        <v/>
      </c>
      <c r="H190" s="29">
        <f>IF(OR(G190="",D190=0),"",G190/D190*100)</f>
        <v/>
      </c>
      <c r="I190" s="30">
        <f>IF(A190="","",IF(COUNTIF($B$5:$B$504,A190)&gt;0,IF(ABS(SUMIF($B$5:$B$504,A190,$C$5:$C$504)-100)&lt;0.0001,"✔ alt gruplar Σ=100","⚠ alt gruplar Σ≠100"),IF(G190="","—",IF(ABS(G190)&lt;=PursUyum,"✔ uyumlu",IF(ABS(G190)&lt;=PursCiddi,"⚠ dikkat","✗ ciddi fark")))))</f>
        <v/>
      </c>
      <c r="J190" s="5" t="n"/>
      <c r="K190" s="5" t="n"/>
    </row>
    <row r="191">
      <c r="A191" s="5" t="n"/>
      <c r="B191" s="5" t="n"/>
      <c r="C191" s="26" t="n"/>
      <c r="D191" s="27">
        <f>IF(OR(A191="",C191=""),"",C191*IFERROR(VLOOKUP(B191,$A$5:$C$504,3,FALSE)/100,1)*IFERROR(VLOOKUP(IFERROR(VLOOKUP(B191,$A$5:$B$504,2,FALSE),""),$A$5:$C$504,3,FALSE)/100,1)*IFERROR(VLOOKUP(IFERROR(VLOOKUP(IFERROR(VLOOKUP(B191,$A$5:$B$504,2,FALSE),""),$A$5:$B$504,2,FALSE),""),$A$5:$C$504,3,FALSE)/100,1))</f>
        <v/>
      </c>
      <c r="E191" s="21">
        <f>IF(A191="","",SUMIF('Grup Eşleme'!$B$5:$B$504,A191,'Grup Eşleme'!$C$5:$C$504))</f>
        <v/>
      </c>
      <c r="F191" s="27">
        <f>IF(OR(A191="",'Metraj Mahal Listesi'!$K$3=0,COUNTIF($B$5:$B$504,A191)&gt;0),"",E191/'Metraj Mahal Listesi'!$K$3*100)</f>
        <v/>
      </c>
      <c r="G191" s="28">
        <f>IF(OR(D191="",F191=""),"",F191-D191)</f>
        <v/>
      </c>
      <c r="H191" s="29">
        <f>IF(OR(G191="",D191=0),"",G191/D191*100)</f>
        <v/>
      </c>
      <c r="I191" s="30">
        <f>IF(A191="","",IF(COUNTIF($B$5:$B$504,A191)&gt;0,IF(ABS(SUMIF($B$5:$B$504,A191,$C$5:$C$504)-100)&lt;0.0001,"✔ alt gruplar Σ=100","⚠ alt gruplar Σ≠100"),IF(G191="","—",IF(ABS(G191)&lt;=PursUyum,"✔ uyumlu",IF(ABS(G191)&lt;=PursCiddi,"⚠ dikkat","✗ ciddi fark")))))</f>
        <v/>
      </c>
      <c r="J191" s="5" t="n"/>
      <c r="K191" s="5" t="n"/>
    </row>
    <row r="192">
      <c r="A192" s="5" t="n"/>
      <c r="B192" s="5" t="n"/>
      <c r="C192" s="26" t="n"/>
      <c r="D192" s="27">
        <f>IF(OR(A192="",C192=""),"",C192*IFERROR(VLOOKUP(B192,$A$5:$C$504,3,FALSE)/100,1)*IFERROR(VLOOKUP(IFERROR(VLOOKUP(B192,$A$5:$B$504,2,FALSE),""),$A$5:$C$504,3,FALSE)/100,1)*IFERROR(VLOOKUP(IFERROR(VLOOKUP(IFERROR(VLOOKUP(B192,$A$5:$B$504,2,FALSE),""),$A$5:$B$504,2,FALSE),""),$A$5:$C$504,3,FALSE)/100,1))</f>
        <v/>
      </c>
      <c r="E192" s="21">
        <f>IF(A192="","",SUMIF('Grup Eşleme'!$B$5:$B$504,A192,'Grup Eşleme'!$C$5:$C$504))</f>
        <v/>
      </c>
      <c r="F192" s="27">
        <f>IF(OR(A192="",'Metraj Mahal Listesi'!$K$3=0,COUNTIF($B$5:$B$504,A192)&gt;0),"",E192/'Metraj Mahal Listesi'!$K$3*100)</f>
        <v/>
      </c>
      <c r="G192" s="28">
        <f>IF(OR(D192="",F192=""),"",F192-D192)</f>
        <v/>
      </c>
      <c r="H192" s="29">
        <f>IF(OR(G192="",D192=0),"",G192/D192*100)</f>
        <v/>
      </c>
      <c r="I192" s="30">
        <f>IF(A192="","",IF(COUNTIF($B$5:$B$504,A192)&gt;0,IF(ABS(SUMIF($B$5:$B$504,A192,$C$5:$C$504)-100)&lt;0.0001,"✔ alt gruplar Σ=100","⚠ alt gruplar Σ≠100"),IF(G192="","—",IF(ABS(G192)&lt;=PursUyum,"✔ uyumlu",IF(ABS(G192)&lt;=PursCiddi,"⚠ dikkat","✗ ciddi fark")))))</f>
        <v/>
      </c>
      <c r="J192" s="5" t="n"/>
      <c r="K192" s="5" t="n"/>
    </row>
    <row r="193">
      <c r="A193" s="5" t="n"/>
      <c r="B193" s="5" t="n"/>
      <c r="C193" s="26" t="n"/>
      <c r="D193" s="27">
        <f>IF(OR(A193="",C193=""),"",C193*IFERROR(VLOOKUP(B193,$A$5:$C$504,3,FALSE)/100,1)*IFERROR(VLOOKUP(IFERROR(VLOOKUP(B193,$A$5:$B$504,2,FALSE),""),$A$5:$C$504,3,FALSE)/100,1)*IFERROR(VLOOKUP(IFERROR(VLOOKUP(IFERROR(VLOOKUP(B193,$A$5:$B$504,2,FALSE),""),$A$5:$B$504,2,FALSE),""),$A$5:$C$504,3,FALSE)/100,1))</f>
        <v/>
      </c>
      <c r="E193" s="21">
        <f>IF(A193="","",SUMIF('Grup Eşleme'!$B$5:$B$504,A193,'Grup Eşleme'!$C$5:$C$504))</f>
        <v/>
      </c>
      <c r="F193" s="27">
        <f>IF(OR(A193="",'Metraj Mahal Listesi'!$K$3=0,COUNTIF($B$5:$B$504,A193)&gt;0),"",E193/'Metraj Mahal Listesi'!$K$3*100)</f>
        <v/>
      </c>
      <c r="G193" s="28">
        <f>IF(OR(D193="",F193=""),"",F193-D193)</f>
        <v/>
      </c>
      <c r="H193" s="29">
        <f>IF(OR(G193="",D193=0),"",G193/D193*100)</f>
        <v/>
      </c>
      <c r="I193" s="30">
        <f>IF(A193="","",IF(COUNTIF($B$5:$B$504,A193)&gt;0,IF(ABS(SUMIF($B$5:$B$504,A193,$C$5:$C$504)-100)&lt;0.0001,"✔ alt gruplar Σ=100","⚠ alt gruplar Σ≠100"),IF(G193="","—",IF(ABS(G193)&lt;=PursUyum,"✔ uyumlu",IF(ABS(G193)&lt;=PursCiddi,"⚠ dikkat","✗ ciddi fark")))))</f>
        <v/>
      </c>
      <c r="J193" s="5" t="n"/>
      <c r="K193" s="5" t="n"/>
    </row>
    <row r="194">
      <c r="A194" s="5" t="n"/>
      <c r="B194" s="5" t="n"/>
      <c r="C194" s="26" t="n"/>
      <c r="D194" s="27">
        <f>IF(OR(A194="",C194=""),"",C194*IFERROR(VLOOKUP(B194,$A$5:$C$504,3,FALSE)/100,1)*IFERROR(VLOOKUP(IFERROR(VLOOKUP(B194,$A$5:$B$504,2,FALSE),""),$A$5:$C$504,3,FALSE)/100,1)*IFERROR(VLOOKUP(IFERROR(VLOOKUP(IFERROR(VLOOKUP(B194,$A$5:$B$504,2,FALSE),""),$A$5:$B$504,2,FALSE),""),$A$5:$C$504,3,FALSE)/100,1))</f>
        <v/>
      </c>
      <c r="E194" s="21">
        <f>IF(A194="","",SUMIF('Grup Eşleme'!$B$5:$B$504,A194,'Grup Eşleme'!$C$5:$C$504))</f>
        <v/>
      </c>
      <c r="F194" s="27">
        <f>IF(OR(A194="",'Metraj Mahal Listesi'!$K$3=0,COUNTIF($B$5:$B$504,A194)&gt;0),"",E194/'Metraj Mahal Listesi'!$K$3*100)</f>
        <v/>
      </c>
      <c r="G194" s="28">
        <f>IF(OR(D194="",F194=""),"",F194-D194)</f>
        <v/>
      </c>
      <c r="H194" s="29">
        <f>IF(OR(G194="",D194=0),"",G194/D194*100)</f>
        <v/>
      </c>
      <c r="I194" s="30">
        <f>IF(A194="","",IF(COUNTIF($B$5:$B$504,A194)&gt;0,IF(ABS(SUMIF($B$5:$B$504,A194,$C$5:$C$504)-100)&lt;0.0001,"✔ alt gruplar Σ=100","⚠ alt gruplar Σ≠100"),IF(G194="","—",IF(ABS(G194)&lt;=PursUyum,"✔ uyumlu",IF(ABS(G194)&lt;=PursCiddi,"⚠ dikkat","✗ ciddi fark")))))</f>
        <v/>
      </c>
      <c r="J194" s="5" t="n"/>
      <c r="K194" s="5" t="n"/>
    </row>
    <row r="195">
      <c r="A195" s="5" t="n"/>
      <c r="B195" s="5" t="n"/>
      <c r="C195" s="26" t="n"/>
      <c r="D195" s="27">
        <f>IF(OR(A195="",C195=""),"",C195*IFERROR(VLOOKUP(B195,$A$5:$C$504,3,FALSE)/100,1)*IFERROR(VLOOKUP(IFERROR(VLOOKUP(B195,$A$5:$B$504,2,FALSE),""),$A$5:$C$504,3,FALSE)/100,1)*IFERROR(VLOOKUP(IFERROR(VLOOKUP(IFERROR(VLOOKUP(B195,$A$5:$B$504,2,FALSE),""),$A$5:$B$504,2,FALSE),""),$A$5:$C$504,3,FALSE)/100,1))</f>
        <v/>
      </c>
      <c r="E195" s="21">
        <f>IF(A195="","",SUMIF('Grup Eşleme'!$B$5:$B$504,A195,'Grup Eşleme'!$C$5:$C$504))</f>
        <v/>
      </c>
      <c r="F195" s="27">
        <f>IF(OR(A195="",'Metraj Mahal Listesi'!$K$3=0,COUNTIF($B$5:$B$504,A195)&gt;0),"",E195/'Metraj Mahal Listesi'!$K$3*100)</f>
        <v/>
      </c>
      <c r="G195" s="28">
        <f>IF(OR(D195="",F195=""),"",F195-D195)</f>
        <v/>
      </c>
      <c r="H195" s="29">
        <f>IF(OR(G195="",D195=0),"",G195/D195*100)</f>
        <v/>
      </c>
      <c r="I195" s="30">
        <f>IF(A195="","",IF(COUNTIF($B$5:$B$504,A195)&gt;0,IF(ABS(SUMIF($B$5:$B$504,A195,$C$5:$C$504)-100)&lt;0.0001,"✔ alt gruplar Σ=100","⚠ alt gruplar Σ≠100"),IF(G195="","—",IF(ABS(G195)&lt;=PursUyum,"✔ uyumlu",IF(ABS(G195)&lt;=PursCiddi,"⚠ dikkat","✗ ciddi fark")))))</f>
        <v/>
      </c>
      <c r="J195" s="5" t="n"/>
      <c r="K195" s="5" t="n"/>
    </row>
    <row r="196">
      <c r="A196" s="5" t="n"/>
      <c r="B196" s="5" t="n"/>
      <c r="C196" s="26" t="n"/>
      <c r="D196" s="27">
        <f>IF(OR(A196="",C196=""),"",C196*IFERROR(VLOOKUP(B196,$A$5:$C$504,3,FALSE)/100,1)*IFERROR(VLOOKUP(IFERROR(VLOOKUP(B196,$A$5:$B$504,2,FALSE),""),$A$5:$C$504,3,FALSE)/100,1)*IFERROR(VLOOKUP(IFERROR(VLOOKUP(IFERROR(VLOOKUP(B196,$A$5:$B$504,2,FALSE),""),$A$5:$B$504,2,FALSE),""),$A$5:$C$504,3,FALSE)/100,1))</f>
        <v/>
      </c>
      <c r="E196" s="21">
        <f>IF(A196="","",SUMIF('Grup Eşleme'!$B$5:$B$504,A196,'Grup Eşleme'!$C$5:$C$504))</f>
        <v/>
      </c>
      <c r="F196" s="27">
        <f>IF(OR(A196="",'Metraj Mahal Listesi'!$K$3=0,COUNTIF($B$5:$B$504,A196)&gt;0),"",E196/'Metraj Mahal Listesi'!$K$3*100)</f>
        <v/>
      </c>
      <c r="G196" s="28">
        <f>IF(OR(D196="",F196=""),"",F196-D196)</f>
        <v/>
      </c>
      <c r="H196" s="29">
        <f>IF(OR(G196="",D196=0),"",G196/D196*100)</f>
        <v/>
      </c>
      <c r="I196" s="30">
        <f>IF(A196="","",IF(COUNTIF($B$5:$B$504,A196)&gt;0,IF(ABS(SUMIF($B$5:$B$504,A196,$C$5:$C$504)-100)&lt;0.0001,"✔ alt gruplar Σ=100","⚠ alt gruplar Σ≠100"),IF(G196="","—",IF(ABS(G196)&lt;=PursUyum,"✔ uyumlu",IF(ABS(G196)&lt;=PursCiddi,"⚠ dikkat","✗ ciddi fark")))))</f>
        <v/>
      </c>
      <c r="J196" s="5" t="n"/>
      <c r="K196" s="5" t="n"/>
    </row>
    <row r="197">
      <c r="A197" s="5" t="n"/>
      <c r="B197" s="5" t="n"/>
      <c r="C197" s="26" t="n"/>
      <c r="D197" s="27">
        <f>IF(OR(A197="",C197=""),"",C197*IFERROR(VLOOKUP(B197,$A$5:$C$504,3,FALSE)/100,1)*IFERROR(VLOOKUP(IFERROR(VLOOKUP(B197,$A$5:$B$504,2,FALSE),""),$A$5:$C$504,3,FALSE)/100,1)*IFERROR(VLOOKUP(IFERROR(VLOOKUP(IFERROR(VLOOKUP(B197,$A$5:$B$504,2,FALSE),""),$A$5:$B$504,2,FALSE),""),$A$5:$C$504,3,FALSE)/100,1))</f>
        <v/>
      </c>
      <c r="E197" s="21">
        <f>IF(A197="","",SUMIF('Grup Eşleme'!$B$5:$B$504,A197,'Grup Eşleme'!$C$5:$C$504))</f>
        <v/>
      </c>
      <c r="F197" s="27">
        <f>IF(OR(A197="",'Metraj Mahal Listesi'!$K$3=0,COUNTIF($B$5:$B$504,A197)&gt;0),"",E197/'Metraj Mahal Listesi'!$K$3*100)</f>
        <v/>
      </c>
      <c r="G197" s="28">
        <f>IF(OR(D197="",F197=""),"",F197-D197)</f>
        <v/>
      </c>
      <c r="H197" s="29">
        <f>IF(OR(G197="",D197=0),"",G197/D197*100)</f>
        <v/>
      </c>
      <c r="I197" s="30">
        <f>IF(A197="","",IF(COUNTIF($B$5:$B$504,A197)&gt;0,IF(ABS(SUMIF($B$5:$B$504,A197,$C$5:$C$504)-100)&lt;0.0001,"✔ alt gruplar Σ=100","⚠ alt gruplar Σ≠100"),IF(G197="","—",IF(ABS(G197)&lt;=PursUyum,"✔ uyumlu",IF(ABS(G197)&lt;=PursCiddi,"⚠ dikkat","✗ ciddi fark")))))</f>
        <v/>
      </c>
      <c r="J197" s="5" t="n"/>
      <c r="K197" s="5" t="n"/>
    </row>
    <row r="198">
      <c r="A198" s="5" t="n"/>
      <c r="B198" s="5" t="n"/>
      <c r="C198" s="26" t="n"/>
      <c r="D198" s="27">
        <f>IF(OR(A198="",C198=""),"",C198*IFERROR(VLOOKUP(B198,$A$5:$C$504,3,FALSE)/100,1)*IFERROR(VLOOKUP(IFERROR(VLOOKUP(B198,$A$5:$B$504,2,FALSE),""),$A$5:$C$504,3,FALSE)/100,1)*IFERROR(VLOOKUP(IFERROR(VLOOKUP(IFERROR(VLOOKUP(B198,$A$5:$B$504,2,FALSE),""),$A$5:$B$504,2,FALSE),""),$A$5:$C$504,3,FALSE)/100,1))</f>
        <v/>
      </c>
      <c r="E198" s="21">
        <f>IF(A198="","",SUMIF('Grup Eşleme'!$B$5:$B$504,A198,'Grup Eşleme'!$C$5:$C$504))</f>
        <v/>
      </c>
      <c r="F198" s="27">
        <f>IF(OR(A198="",'Metraj Mahal Listesi'!$K$3=0,COUNTIF($B$5:$B$504,A198)&gt;0),"",E198/'Metraj Mahal Listesi'!$K$3*100)</f>
        <v/>
      </c>
      <c r="G198" s="28">
        <f>IF(OR(D198="",F198=""),"",F198-D198)</f>
        <v/>
      </c>
      <c r="H198" s="29">
        <f>IF(OR(G198="",D198=0),"",G198/D198*100)</f>
        <v/>
      </c>
      <c r="I198" s="30">
        <f>IF(A198="","",IF(COUNTIF($B$5:$B$504,A198)&gt;0,IF(ABS(SUMIF($B$5:$B$504,A198,$C$5:$C$504)-100)&lt;0.0001,"✔ alt gruplar Σ=100","⚠ alt gruplar Σ≠100"),IF(G198="","—",IF(ABS(G198)&lt;=PursUyum,"✔ uyumlu",IF(ABS(G198)&lt;=PursCiddi,"⚠ dikkat","✗ ciddi fark")))))</f>
        <v/>
      </c>
      <c r="J198" s="5" t="n"/>
      <c r="K198" s="5" t="n"/>
    </row>
    <row r="199">
      <c r="A199" s="5" t="n"/>
      <c r="B199" s="5" t="n"/>
      <c r="C199" s="26" t="n"/>
      <c r="D199" s="27">
        <f>IF(OR(A199="",C199=""),"",C199*IFERROR(VLOOKUP(B199,$A$5:$C$504,3,FALSE)/100,1)*IFERROR(VLOOKUP(IFERROR(VLOOKUP(B199,$A$5:$B$504,2,FALSE),""),$A$5:$C$504,3,FALSE)/100,1)*IFERROR(VLOOKUP(IFERROR(VLOOKUP(IFERROR(VLOOKUP(B199,$A$5:$B$504,2,FALSE),""),$A$5:$B$504,2,FALSE),""),$A$5:$C$504,3,FALSE)/100,1))</f>
        <v/>
      </c>
      <c r="E199" s="21">
        <f>IF(A199="","",SUMIF('Grup Eşleme'!$B$5:$B$504,A199,'Grup Eşleme'!$C$5:$C$504))</f>
        <v/>
      </c>
      <c r="F199" s="27">
        <f>IF(OR(A199="",'Metraj Mahal Listesi'!$K$3=0,COUNTIF($B$5:$B$504,A199)&gt;0),"",E199/'Metraj Mahal Listesi'!$K$3*100)</f>
        <v/>
      </c>
      <c r="G199" s="28">
        <f>IF(OR(D199="",F199=""),"",F199-D199)</f>
        <v/>
      </c>
      <c r="H199" s="29">
        <f>IF(OR(G199="",D199=0),"",G199/D199*100)</f>
        <v/>
      </c>
      <c r="I199" s="30">
        <f>IF(A199="","",IF(COUNTIF($B$5:$B$504,A199)&gt;0,IF(ABS(SUMIF($B$5:$B$504,A199,$C$5:$C$504)-100)&lt;0.0001,"✔ alt gruplar Σ=100","⚠ alt gruplar Σ≠100"),IF(G199="","—",IF(ABS(G199)&lt;=PursUyum,"✔ uyumlu",IF(ABS(G199)&lt;=PursCiddi,"⚠ dikkat","✗ ciddi fark")))))</f>
        <v/>
      </c>
      <c r="J199" s="5" t="n"/>
      <c r="K199" s="5" t="n"/>
    </row>
    <row r="200">
      <c r="A200" s="5" t="n"/>
      <c r="B200" s="5" t="n"/>
      <c r="C200" s="26" t="n"/>
      <c r="D200" s="27">
        <f>IF(OR(A200="",C200=""),"",C200*IFERROR(VLOOKUP(B200,$A$5:$C$504,3,FALSE)/100,1)*IFERROR(VLOOKUP(IFERROR(VLOOKUP(B200,$A$5:$B$504,2,FALSE),""),$A$5:$C$504,3,FALSE)/100,1)*IFERROR(VLOOKUP(IFERROR(VLOOKUP(IFERROR(VLOOKUP(B200,$A$5:$B$504,2,FALSE),""),$A$5:$B$504,2,FALSE),""),$A$5:$C$504,3,FALSE)/100,1))</f>
        <v/>
      </c>
      <c r="E200" s="21">
        <f>IF(A200="","",SUMIF('Grup Eşleme'!$B$5:$B$504,A200,'Grup Eşleme'!$C$5:$C$504))</f>
        <v/>
      </c>
      <c r="F200" s="27">
        <f>IF(OR(A200="",'Metraj Mahal Listesi'!$K$3=0,COUNTIF($B$5:$B$504,A200)&gt;0),"",E200/'Metraj Mahal Listesi'!$K$3*100)</f>
        <v/>
      </c>
      <c r="G200" s="28">
        <f>IF(OR(D200="",F200=""),"",F200-D200)</f>
        <v/>
      </c>
      <c r="H200" s="29">
        <f>IF(OR(G200="",D200=0),"",G200/D200*100)</f>
        <v/>
      </c>
      <c r="I200" s="30">
        <f>IF(A200="","",IF(COUNTIF($B$5:$B$504,A200)&gt;0,IF(ABS(SUMIF($B$5:$B$504,A200,$C$5:$C$504)-100)&lt;0.0001,"✔ alt gruplar Σ=100","⚠ alt gruplar Σ≠100"),IF(G200="","—",IF(ABS(G200)&lt;=PursUyum,"✔ uyumlu",IF(ABS(G200)&lt;=PursCiddi,"⚠ dikkat","✗ ciddi fark")))))</f>
        <v/>
      </c>
      <c r="J200" s="5" t="n"/>
      <c r="K200" s="5" t="n"/>
    </row>
    <row r="201">
      <c r="A201" s="5" t="n"/>
      <c r="B201" s="5" t="n"/>
      <c r="C201" s="26" t="n"/>
      <c r="D201" s="27">
        <f>IF(OR(A201="",C201=""),"",C201*IFERROR(VLOOKUP(B201,$A$5:$C$504,3,FALSE)/100,1)*IFERROR(VLOOKUP(IFERROR(VLOOKUP(B201,$A$5:$B$504,2,FALSE),""),$A$5:$C$504,3,FALSE)/100,1)*IFERROR(VLOOKUP(IFERROR(VLOOKUP(IFERROR(VLOOKUP(B201,$A$5:$B$504,2,FALSE),""),$A$5:$B$504,2,FALSE),""),$A$5:$C$504,3,FALSE)/100,1))</f>
        <v/>
      </c>
      <c r="E201" s="21">
        <f>IF(A201="","",SUMIF('Grup Eşleme'!$B$5:$B$504,A201,'Grup Eşleme'!$C$5:$C$504))</f>
        <v/>
      </c>
      <c r="F201" s="27">
        <f>IF(OR(A201="",'Metraj Mahal Listesi'!$K$3=0,COUNTIF($B$5:$B$504,A201)&gt;0),"",E201/'Metraj Mahal Listesi'!$K$3*100)</f>
        <v/>
      </c>
      <c r="G201" s="28">
        <f>IF(OR(D201="",F201=""),"",F201-D201)</f>
        <v/>
      </c>
      <c r="H201" s="29">
        <f>IF(OR(G201="",D201=0),"",G201/D201*100)</f>
        <v/>
      </c>
      <c r="I201" s="30">
        <f>IF(A201="","",IF(COUNTIF($B$5:$B$504,A201)&gt;0,IF(ABS(SUMIF($B$5:$B$504,A201,$C$5:$C$504)-100)&lt;0.0001,"✔ alt gruplar Σ=100","⚠ alt gruplar Σ≠100"),IF(G201="","—",IF(ABS(G201)&lt;=PursUyum,"✔ uyumlu",IF(ABS(G201)&lt;=PursCiddi,"⚠ dikkat","✗ ciddi fark")))))</f>
        <v/>
      </c>
      <c r="J201" s="5" t="n"/>
      <c r="K201" s="5" t="n"/>
    </row>
    <row r="202">
      <c r="A202" s="5" t="n"/>
      <c r="B202" s="5" t="n"/>
      <c r="C202" s="26" t="n"/>
      <c r="D202" s="27">
        <f>IF(OR(A202="",C202=""),"",C202*IFERROR(VLOOKUP(B202,$A$5:$C$504,3,FALSE)/100,1)*IFERROR(VLOOKUP(IFERROR(VLOOKUP(B202,$A$5:$B$504,2,FALSE),""),$A$5:$C$504,3,FALSE)/100,1)*IFERROR(VLOOKUP(IFERROR(VLOOKUP(IFERROR(VLOOKUP(B202,$A$5:$B$504,2,FALSE),""),$A$5:$B$504,2,FALSE),""),$A$5:$C$504,3,FALSE)/100,1))</f>
        <v/>
      </c>
      <c r="E202" s="21">
        <f>IF(A202="","",SUMIF('Grup Eşleme'!$B$5:$B$504,A202,'Grup Eşleme'!$C$5:$C$504))</f>
        <v/>
      </c>
      <c r="F202" s="27">
        <f>IF(OR(A202="",'Metraj Mahal Listesi'!$K$3=0,COUNTIF($B$5:$B$504,A202)&gt;0),"",E202/'Metraj Mahal Listesi'!$K$3*100)</f>
        <v/>
      </c>
      <c r="G202" s="28">
        <f>IF(OR(D202="",F202=""),"",F202-D202)</f>
        <v/>
      </c>
      <c r="H202" s="29">
        <f>IF(OR(G202="",D202=0),"",G202/D202*100)</f>
        <v/>
      </c>
      <c r="I202" s="30">
        <f>IF(A202="","",IF(COUNTIF($B$5:$B$504,A202)&gt;0,IF(ABS(SUMIF($B$5:$B$504,A202,$C$5:$C$504)-100)&lt;0.0001,"✔ alt gruplar Σ=100","⚠ alt gruplar Σ≠100"),IF(G202="","—",IF(ABS(G202)&lt;=PursUyum,"✔ uyumlu",IF(ABS(G202)&lt;=PursCiddi,"⚠ dikkat","✗ ciddi fark")))))</f>
        <v/>
      </c>
      <c r="J202" s="5" t="n"/>
      <c r="K202" s="5" t="n"/>
    </row>
    <row r="203">
      <c r="A203" s="5" t="n"/>
      <c r="B203" s="5" t="n"/>
      <c r="C203" s="26" t="n"/>
      <c r="D203" s="27">
        <f>IF(OR(A203="",C203=""),"",C203*IFERROR(VLOOKUP(B203,$A$5:$C$504,3,FALSE)/100,1)*IFERROR(VLOOKUP(IFERROR(VLOOKUP(B203,$A$5:$B$504,2,FALSE),""),$A$5:$C$504,3,FALSE)/100,1)*IFERROR(VLOOKUP(IFERROR(VLOOKUP(IFERROR(VLOOKUP(B203,$A$5:$B$504,2,FALSE),""),$A$5:$B$504,2,FALSE),""),$A$5:$C$504,3,FALSE)/100,1))</f>
        <v/>
      </c>
      <c r="E203" s="21">
        <f>IF(A203="","",SUMIF('Grup Eşleme'!$B$5:$B$504,A203,'Grup Eşleme'!$C$5:$C$504))</f>
        <v/>
      </c>
      <c r="F203" s="27">
        <f>IF(OR(A203="",'Metraj Mahal Listesi'!$K$3=0,COUNTIF($B$5:$B$504,A203)&gt;0),"",E203/'Metraj Mahal Listesi'!$K$3*100)</f>
        <v/>
      </c>
      <c r="G203" s="28">
        <f>IF(OR(D203="",F203=""),"",F203-D203)</f>
        <v/>
      </c>
      <c r="H203" s="29">
        <f>IF(OR(G203="",D203=0),"",G203/D203*100)</f>
        <v/>
      </c>
      <c r="I203" s="30">
        <f>IF(A203="","",IF(COUNTIF($B$5:$B$504,A203)&gt;0,IF(ABS(SUMIF($B$5:$B$504,A203,$C$5:$C$504)-100)&lt;0.0001,"✔ alt gruplar Σ=100","⚠ alt gruplar Σ≠100"),IF(G203="","—",IF(ABS(G203)&lt;=PursUyum,"✔ uyumlu",IF(ABS(G203)&lt;=PursCiddi,"⚠ dikkat","✗ ciddi fark")))))</f>
        <v/>
      </c>
      <c r="J203" s="5" t="n"/>
      <c r="K203" s="5" t="n"/>
    </row>
    <row r="204">
      <c r="A204" s="5" t="n"/>
      <c r="B204" s="5" t="n"/>
      <c r="C204" s="26" t="n"/>
      <c r="D204" s="27">
        <f>IF(OR(A204="",C204=""),"",C204*IFERROR(VLOOKUP(B204,$A$5:$C$504,3,FALSE)/100,1)*IFERROR(VLOOKUP(IFERROR(VLOOKUP(B204,$A$5:$B$504,2,FALSE),""),$A$5:$C$504,3,FALSE)/100,1)*IFERROR(VLOOKUP(IFERROR(VLOOKUP(IFERROR(VLOOKUP(B204,$A$5:$B$504,2,FALSE),""),$A$5:$B$504,2,FALSE),""),$A$5:$C$504,3,FALSE)/100,1))</f>
        <v/>
      </c>
      <c r="E204" s="21">
        <f>IF(A204="","",SUMIF('Grup Eşleme'!$B$5:$B$504,A204,'Grup Eşleme'!$C$5:$C$504))</f>
        <v/>
      </c>
      <c r="F204" s="27">
        <f>IF(OR(A204="",'Metraj Mahal Listesi'!$K$3=0,COUNTIF($B$5:$B$504,A204)&gt;0),"",E204/'Metraj Mahal Listesi'!$K$3*100)</f>
        <v/>
      </c>
      <c r="G204" s="28">
        <f>IF(OR(D204="",F204=""),"",F204-D204)</f>
        <v/>
      </c>
      <c r="H204" s="29">
        <f>IF(OR(G204="",D204=0),"",G204/D204*100)</f>
        <v/>
      </c>
      <c r="I204" s="30">
        <f>IF(A204="","",IF(COUNTIF($B$5:$B$504,A204)&gt;0,IF(ABS(SUMIF($B$5:$B$504,A204,$C$5:$C$504)-100)&lt;0.0001,"✔ alt gruplar Σ=100","⚠ alt gruplar Σ≠100"),IF(G204="","—",IF(ABS(G204)&lt;=PursUyum,"✔ uyumlu",IF(ABS(G204)&lt;=PursCiddi,"⚠ dikkat","✗ ciddi fark")))))</f>
        <v/>
      </c>
      <c r="J204" s="5" t="n"/>
      <c r="K204" s="5" t="n"/>
    </row>
    <row r="205">
      <c r="A205" s="5" t="n"/>
      <c r="B205" s="5" t="n"/>
      <c r="C205" s="26" t="n"/>
      <c r="D205" s="27">
        <f>IF(OR(A205="",C205=""),"",C205*IFERROR(VLOOKUP(B205,$A$5:$C$504,3,FALSE)/100,1)*IFERROR(VLOOKUP(IFERROR(VLOOKUP(B205,$A$5:$B$504,2,FALSE),""),$A$5:$C$504,3,FALSE)/100,1)*IFERROR(VLOOKUP(IFERROR(VLOOKUP(IFERROR(VLOOKUP(B205,$A$5:$B$504,2,FALSE),""),$A$5:$B$504,2,FALSE),""),$A$5:$C$504,3,FALSE)/100,1))</f>
        <v/>
      </c>
      <c r="E205" s="21">
        <f>IF(A205="","",SUMIF('Grup Eşleme'!$B$5:$B$504,A205,'Grup Eşleme'!$C$5:$C$504))</f>
        <v/>
      </c>
      <c r="F205" s="27">
        <f>IF(OR(A205="",'Metraj Mahal Listesi'!$K$3=0,COUNTIF($B$5:$B$504,A205)&gt;0),"",E205/'Metraj Mahal Listesi'!$K$3*100)</f>
        <v/>
      </c>
      <c r="G205" s="28">
        <f>IF(OR(D205="",F205=""),"",F205-D205)</f>
        <v/>
      </c>
      <c r="H205" s="29">
        <f>IF(OR(G205="",D205=0),"",G205/D205*100)</f>
        <v/>
      </c>
      <c r="I205" s="30">
        <f>IF(A205="","",IF(COUNTIF($B$5:$B$504,A205)&gt;0,IF(ABS(SUMIF($B$5:$B$504,A205,$C$5:$C$504)-100)&lt;0.0001,"✔ alt gruplar Σ=100","⚠ alt gruplar Σ≠100"),IF(G205="","—",IF(ABS(G205)&lt;=PursUyum,"✔ uyumlu",IF(ABS(G205)&lt;=PursCiddi,"⚠ dikkat","✗ ciddi fark")))))</f>
        <v/>
      </c>
      <c r="J205" s="5" t="n"/>
      <c r="K205" s="5" t="n"/>
    </row>
    <row r="206">
      <c r="A206" s="5" t="n"/>
      <c r="B206" s="5" t="n"/>
      <c r="C206" s="26" t="n"/>
      <c r="D206" s="27">
        <f>IF(OR(A206="",C206=""),"",C206*IFERROR(VLOOKUP(B206,$A$5:$C$504,3,FALSE)/100,1)*IFERROR(VLOOKUP(IFERROR(VLOOKUP(B206,$A$5:$B$504,2,FALSE),""),$A$5:$C$504,3,FALSE)/100,1)*IFERROR(VLOOKUP(IFERROR(VLOOKUP(IFERROR(VLOOKUP(B206,$A$5:$B$504,2,FALSE),""),$A$5:$B$504,2,FALSE),""),$A$5:$C$504,3,FALSE)/100,1))</f>
        <v/>
      </c>
      <c r="E206" s="21">
        <f>IF(A206="","",SUMIF('Grup Eşleme'!$B$5:$B$504,A206,'Grup Eşleme'!$C$5:$C$504))</f>
        <v/>
      </c>
      <c r="F206" s="27">
        <f>IF(OR(A206="",'Metraj Mahal Listesi'!$K$3=0,COUNTIF($B$5:$B$504,A206)&gt;0),"",E206/'Metraj Mahal Listesi'!$K$3*100)</f>
        <v/>
      </c>
      <c r="G206" s="28">
        <f>IF(OR(D206="",F206=""),"",F206-D206)</f>
        <v/>
      </c>
      <c r="H206" s="29">
        <f>IF(OR(G206="",D206=0),"",G206/D206*100)</f>
        <v/>
      </c>
      <c r="I206" s="30">
        <f>IF(A206="","",IF(COUNTIF($B$5:$B$504,A206)&gt;0,IF(ABS(SUMIF($B$5:$B$504,A206,$C$5:$C$504)-100)&lt;0.0001,"✔ alt gruplar Σ=100","⚠ alt gruplar Σ≠100"),IF(G206="","—",IF(ABS(G206)&lt;=PursUyum,"✔ uyumlu",IF(ABS(G206)&lt;=PursCiddi,"⚠ dikkat","✗ ciddi fark")))))</f>
        <v/>
      </c>
      <c r="J206" s="5" t="n"/>
      <c r="K206" s="5" t="n"/>
    </row>
    <row r="207">
      <c r="A207" s="5" t="n"/>
      <c r="B207" s="5" t="n"/>
      <c r="C207" s="26" t="n"/>
      <c r="D207" s="27">
        <f>IF(OR(A207="",C207=""),"",C207*IFERROR(VLOOKUP(B207,$A$5:$C$504,3,FALSE)/100,1)*IFERROR(VLOOKUP(IFERROR(VLOOKUP(B207,$A$5:$B$504,2,FALSE),""),$A$5:$C$504,3,FALSE)/100,1)*IFERROR(VLOOKUP(IFERROR(VLOOKUP(IFERROR(VLOOKUP(B207,$A$5:$B$504,2,FALSE),""),$A$5:$B$504,2,FALSE),""),$A$5:$C$504,3,FALSE)/100,1))</f>
        <v/>
      </c>
      <c r="E207" s="21">
        <f>IF(A207="","",SUMIF('Grup Eşleme'!$B$5:$B$504,A207,'Grup Eşleme'!$C$5:$C$504))</f>
        <v/>
      </c>
      <c r="F207" s="27">
        <f>IF(OR(A207="",'Metraj Mahal Listesi'!$K$3=0,COUNTIF($B$5:$B$504,A207)&gt;0),"",E207/'Metraj Mahal Listesi'!$K$3*100)</f>
        <v/>
      </c>
      <c r="G207" s="28">
        <f>IF(OR(D207="",F207=""),"",F207-D207)</f>
        <v/>
      </c>
      <c r="H207" s="29">
        <f>IF(OR(G207="",D207=0),"",G207/D207*100)</f>
        <v/>
      </c>
      <c r="I207" s="30">
        <f>IF(A207="","",IF(COUNTIF($B$5:$B$504,A207)&gt;0,IF(ABS(SUMIF($B$5:$B$504,A207,$C$5:$C$504)-100)&lt;0.0001,"✔ alt gruplar Σ=100","⚠ alt gruplar Σ≠100"),IF(G207="","—",IF(ABS(G207)&lt;=PursUyum,"✔ uyumlu",IF(ABS(G207)&lt;=PursCiddi,"⚠ dikkat","✗ ciddi fark")))))</f>
        <v/>
      </c>
      <c r="J207" s="5" t="n"/>
      <c r="K207" s="5" t="n"/>
    </row>
    <row r="208">
      <c r="A208" s="5" t="n"/>
      <c r="B208" s="5" t="n"/>
      <c r="C208" s="26" t="n"/>
      <c r="D208" s="27">
        <f>IF(OR(A208="",C208=""),"",C208*IFERROR(VLOOKUP(B208,$A$5:$C$504,3,FALSE)/100,1)*IFERROR(VLOOKUP(IFERROR(VLOOKUP(B208,$A$5:$B$504,2,FALSE),""),$A$5:$C$504,3,FALSE)/100,1)*IFERROR(VLOOKUP(IFERROR(VLOOKUP(IFERROR(VLOOKUP(B208,$A$5:$B$504,2,FALSE),""),$A$5:$B$504,2,FALSE),""),$A$5:$C$504,3,FALSE)/100,1))</f>
        <v/>
      </c>
      <c r="E208" s="21">
        <f>IF(A208="","",SUMIF('Grup Eşleme'!$B$5:$B$504,A208,'Grup Eşleme'!$C$5:$C$504))</f>
        <v/>
      </c>
      <c r="F208" s="27">
        <f>IF(OR(A208="",'Metraj Mahal Listesi'!$K$3=0,COUNTIF($B$5:$B$504,A208)&gt;0),"",E208/'Metraj Mahal Listesi'!$K$3*100)</f>
        <v/>
      </c>
      <c r="G208" s="28">
        <f>IF(OR(D208="",F208=""),"",F208-D208)</f>
        <v/>
      </c>
      <c r="H208" s="29">
        <f>IF(OR(G208="",D208=0),"",G208/D208*100)</f>
        <v/>
      </c>
      <c r="I208" s="30">
        <f>IF(A208="","",IF(COUNTIF($B$5:$B$504,A208)&gt;0,IF(ABS(SUMIF($B$5:$B$504,A208,$C$5:$C$504)-100)&lt;0.0001,"✔ alt gruplar Σ=100","⚠ alt gruplar Σ≠100"),IF(G208="","—",IF(ABS(G208)&lt;=PursUyum,"✔ uyumlu",IF(ABS(G208)&lt;=PursCiddi,"⚠ dikkat","✗ ciddi fark")))))</f>
        <v/>
      </c>
      <c r="J208" s="5" t="n"/>
      <c r="K208" s="5" t="n"/>
    </row>
    <row r="209">
      <c r="A209" s="5" t="n"/>
      <c r="B209" s="5" t="n"/>
      <c r="C209" s="26" t="n"/>
      <c r="D209" s="27">
        <f>IF(OR(A209="",C209=""),"",C209*IFERROR(VLOOKUP(B209,$A$5:$C$504,3,FALSE)/100,1)*IFERROR(VLOOKUP(IFERROR(VLOOKUP(B209,$A$5:$B$504,2,FALSE),""),$A$5:$C$504,3,FALSE)/100,1)*IFERROR(VLOOKUP(IFERROR(VLOOKUP(IFERROR(VLOOKUP(B209,$A$5:$B$504,2,FALSE),""),$A$5:$B$504,2,FALSE),""),$A$5:$C$504,3,FALSE)/100,1))</f>
        <v/>
      </c>
      <c r="E209" s="21">
        <f>IF(A209="","",SUMIF('Grup Eşleme'!$B$5:$B$504,A209,'Grup Eşleme'!$C$5:$C$504))</f>
        <v/>
      </c>
      <c r="F209" s="27">
        <f>IF(OR(A209="",'Metraj Mahal Listesi'!$K$3=0,COUNTIF($B$5:$B$504,A209)&gt;0),"",E209/'Metraj Mahal Listesi'!$K$3*100)</f>
        <v/>
      </c>
      <c r="G209" s="28">
        <f>IF(OR(D209="",F209=""),"",F209-D209)</f>
        <v/>
      </c>
      <c r="H209" s="29">
        <f>IF(OR(G209="",D209=0),"",G209/D209*100)</f>
        <v/>
      </c>
      <c r="I209" s="30">
        <f>IF(A209="","",IF(COUNTIF($B$5:$B$504,A209)&gt;0,IF(ABS(SUMIF($B$5:$B$504,A209,$C$5:$C$504)-100)&lt;0.0001,"✔ alt gruplar Σ=100","⚠ alt gruplar Σ≠100"),IF(G209="","—",IF(ABS(G209)&lt;=PursUyum,"✔ uyumlu",IF(ABS(G209)&lt;=PursCiddi,"⚠ dikkat","✗ ciddi fark")))))</f>
        <v/>
      </c>
      <c r="J209" s="5" t="n"/>
      <c r="K209" s="5" t="n"/>
    </row>
    <row r="210">
      <c r="A210" s="5" t="n"/>
      <c r="B210" s="5" t="n"/>
      <c r="C210" s="26" t="n"/>
      <c r="D210" s="27">
        <f>IF(OR(A210="",C210=""),"",C210*IFERROR(VLOOKUP(B210,$A$5:$C$504,3,FALSE)/100,1)*IFERROR(VLOOKUP(IFERROR(VLOOKUP(B210,$A$5:$B$504,2,FALSE),""),$A$5:$C$504,3,FALSE)/100,1)*IFERROR(VLOOKUP(IFERROR(VLOOKUP(IFERROR(VLOOKUP(B210,$A$5:$B$504,2,FALSE),""),$A$5:$B$504,2,FALSE),""),$A$5:$C$504,3,FALSE)/100,1))</f>
        <v/>
      </c>
      <c r="E210" s="21">
        <f>IF(A210="","",SUMIF('Grup Eşleme'!$B$5:$B$504,A210,'Grup Eşleme'!$C$5:$C$504))</f>
        <v/>
      </c>
      <c r="F210" s="27">
        <f>IF(OR(A210="",'Metraj Mahal Listesi'!$K$3=0,COUNTIF($B$5:$B$504,A210)&gt;0),"",E210/'Metraj Mahal Listesi'!$K$3*100)</f>
        <v/>
      </c>
      <c r="G210" s="28">
        <f>IF(OR(D210="",F210=""),"",F210-D210)</f>
        <v/>
      </c>
      <c r="H210" s="29">
        <f>IF(OR(G210="",D210=0),"",G210/D210*100)</f>
        <v/>
      </c>
      <c r="I210" s="30">
        <f>IF(A210="","",IF(COUNTIF($B$5:$B$504,A210)&gt;0,IF(ABS(SUMIF($B$5:$B$504,A210,$C$5:$C$504)-100)&lt;0.0001,"✔ alt gruplar Σ=100","⚠ alt gruplar Σ≠100"),IF(G210="","—",IF(ABS(G210)&lt;=PursUyum,"✔ uyumlu",IF(ABS(G210)&lt;=PursCiddi,"⚠ dikkat","✗ ciddi fark")))))</f>
        <v/>
      </c>
      <c r="J210" s="5" t="n"/>
      <c r="K210" s="5" t="n"/>
    </row>
    <row r="211">
      <c r="A211" s="5" t="n"/>
      <c r="B211" s="5" t="n"/>
      <c r="C211" s="26" t="n"/>
      <c r="D211" s="27">
        <f>IF(OR(A211="",C211=""),"",C211*IFERROR(VLOOKUP(B211,$A$5:$C$504,3,FALSE)/100,1)*IFERROR(VLOOKUP(IFERROR(VLOOKUP(B211,$A$5:$B$504,2,FALSE),""),$A$5:$C$504,3,FALSE)/100,1)*IFERROR(VLOOKUP(IFERROR(VLOOKUP(IFERROR(VLOOKUP(B211,$A$5:$B$504,2,FALSE),""),$A$5:$B$504,2,FALSE),""),$A$5:$C$504,3,FALSE)/100,1))</f>
        <v/>
      </c>
      <c r="E211" s="21">
        <f>IF(A211="","",SUMIF('Grup Eşleme'!$B$5:$B$504,A211,'Grup Eşleme'!$C$5:$C$504))</f>
        <v/>
      </c>
      <c r="F211" s="27">
        <f>IF(OR(A211="",'Metraj Mahal Listesi'!$K$3=0,COUNTIF($B$5:$B$504,A211)&gt;0),"",E211/'Metraj Mahal Listesi'!$K$3*100)</f>
        <v/>
      </c>
      <c r="G211" s="28">
        <f>IF(OR(D211="",F211=""),"",F211-D211)</f>
        <v/>
      </c>
      <c r="H211" s="29">
        <f>IF(OR(G211="",D211=0),"",G211/D211*100)</f>
        <v/>
      </c>
      <c r="I211" s="30">
        <f>IF(A211="","",IF(COUNTIF($B$5:$B$504,A211)&gt;0,IF(ABS(SUMIF($B$5:$B$504,A211,$C$5:$C$504)-100)&lt;0.0001,"✔ alt gruplar Σ=100","⚠ alt gruplar Σ≠100"),IF(G211="","—",IF(ABS(G211)&lt;=PursUyum,"✔ uyumlu",IF(ABS(G211)&lt;=PursCiddi,"⚠ dikkat","✗ ciddi fark")))))</f>
        <v/>
      </c>
      <c r="J211" s="5" t="n"/>
      <c r="K211" s="5" t="n"/>
    </row>
    <row r="212">
      <c r="A212" s="5" t="n"/>
      <c r="B212" s="5" t="n"/>
      <c r="C212" s="26" t="n"/>
      <c r="D212" s="27">
        <f>IF(OR(A212="",C212=""),"",C212*IFERROR(VLOOKUP(B212,$A$5:$C$504,3,FALSE)/100,1)*IFERROR(VLOOKUP(IFERROR(VLOOKUP(B212,$A$5:$B$504,2,FALSE),""),$A$5:$C$504,3,FALSE)/100,1)*IFERROR(VLOOKUP(IFERROR(VLOOKUP(IFERROR(VLOOKUP(B212,$A$5:$B$504,2,FALSE),""),$A$5:$B$504,2,FALSE),""),$A$5:$C$504,3,FALSE)/100,1))</f>
        <v/>
      </c>
      <c r="E212" s="21">
        <f>IF(A212="","",SUMIF('Grup Eşleme'!$B$5:$B$504,A212,'Grup Eşleme'!$C$5:$C$504))</f>
        <v/>
      </c>
      <c r="F212" s="27">
        <f>IF(OR(A212="",'Metraj Mahal Listesi'!$K$3=0,COUNTIF($B$5:$B$504,A212)&gt;0),"",E212/'Metraj Mahal Listesi'!$K$3*100)</f>
        <v/>
      </c>
      <c r="G212" s="28">
        <f>IF(OR(D212="",F212=""),"",F212-D212)</f>
        <v/>
      </c>
      <c r="H212" s="29">
        <f>IF(OR(G212="",D212=0),"",G212/D212*100)</f>
        <v/>
      </c>
      <c r="I212" s="30">
        <f>IF(A212="","",IF(COUNTIF($B$5:$B$504,A212)&gt;0,IF(ABS(SUMIF($B$5:$B$504,A212,$C$5:$C$504)-100)&lt;0.0001,"✔ alt gruplar Σ=100","⚠ alt gruplar Σ≠100"),IF(G212="","—",IF(ABS(G212)&lt;=PursUyum,"✔ uyumlu",IF(ABS(G212)&lt;=PursCiddi,"⚠ dikkat","✗ ciddi fark")))))</f>
        <v/>
      </c>
      <c r="J212" s="5" t="n"/>
      <c r="K212" s="5" t="n"/>
    </row>
    <row r="213">
      <c r="A213" s="5" t="n"/>
      <c r="B213" s="5" t="n"/>
      <c r="C213" s="26" t="n"/>
      <c r="D213" s="27">
        <f>IF(OR(A213="",C213=""),"",C213*IFERROR(VLOOKUP(B213,$A$5:$C$504,3,FALSE)/100,1)*IFERROR(VLOOKUP(IFERROR(VLOOKUP(B213,$A$5:$B$504,2,FALSE),""),$A$5:$C$504,3,FALSE)/100,1)*IFERROR(VLOOKUP(IFERROR(VLOOKUP(IFERROR(VLOOKUP(B213,$A$5:$B$504,2,FALSE),""),$A$5:$B$504,2,FALSE),""),$A$5:$C$504,3,FALSE)/100,1))</f>
        <v/>
      </c>
      <c r="E213" s="21">
        <f>IF(A213="","",SUMIF('Grup Eşleme'!$B$5:$B$504,A213,'Grup Eşleme'!$C$5:$C$504))</f>
        <v/>
      </c>
      <c r="F213" s="27">
        <f>IF(OR(A213="",'Metraj Mahal Listesi'!$K$3=0,COUNTIF($B$5:$B$504,A213)&gt;0),"",E213/'Metraj Mahal Listesi'!$K$3*100)</f>
        <v/>
      </c>
      <c r="G213" s="28">
        <f>IF(OR(D213="",F213=""),"",F213-D213)</f>
        <v/>
      </c>
      <c r="H213" s="29">
        <f>IF(OR(G213="",D213=0),"",G213/D213*100)</f>
        <v/>
      </c>
      <c r="I213" s="30">
        <f>IF(A213="","",IF(COUNTIF($B$5:$B$504,A213)&gt;0,IF(ABS(SUMIF($B$5:$B$504,A213,$C$5:$C$504)-100)&lt;0.0001,"✔ alt gruplar Σ=100","⚠ alt gruplar Σ≠100"),IF(G213="","—",IF(ABS(G213)&lt;=PursUyum,"✔ uyumlu",IF(ABS(G213)&lt;=PursCiddi,"⚠ dikkat","✗ ciddi fark")))))</f>
        <v/>
      </c>
      <c r="J213" s="5" t="n"/>
      <c r="K213" s="5" t="n"/>
    </row>
    <row r="214">
      <c r="A214" s="5" t="n"/>
      <c r="B214" s="5" t="n"/>
      <c r="C214" s="26" t="n"/>
      <c r="D214" s="27">
        <f>IF(OR(A214="",C214=""),"",C214*IFERROR(VLOOKUP(B214,$A$5:$C$504,3,FALSE)/100,1)*IFERROR(VLOOKUP(IFERROR(VLOOKUP(B214,$A$5:$B$504,2,FALSE),""),$A$5:$C$504,3,FALSE)/100,1)*IFERROR(VLOOKUP(IFERROR(VLOOKUP(IFERROR(VLOOKUP(B214,$A$5:$B$504,2,FALSE),""),$A$5:$B$504,2,FALSE),""),$A$5:$C$504,3,FALSE)/100,1))</f>
        <v/>
      </c>
      <c r="E214" s="21">
        <f>IF(A214="","",SUMIF('Grup Eşleme'!$B$5:$B$504,A214,'Grup Eşleme'!$C$5:$C$504))</f>
        <v/>
      </c>
      <c r="F214" s="27">
        <f>IF(OR(A214="",'Metraj Mahal Listesi'!$K$3=0,COUNTIF($B$5:$B$504,A214)&gt;0),"",E214/'Metraj Mahal Listesi'!$K$3*100)</f>
        <v/>
      </c>
      <c r="G214" s="28">
        <f>IF(OR(D214="",F214=""),"",F214-D214)</f>
        <v/>
      </c>
      <c r="H214" s="29">
        <f>IF(OR(G214="",D214=0),"",G214/D214*100)</f>
        <v/>
      </c>
      <c r="I214" s="30">
        <f>IF(A214="","",IF(COUNTIF($B$5:$B$504,A214)&gt;0,IF(ABS(SUMIF($B$5:$B$504,A214,$C$5:$C$504)-100)&lt;0.0001,"✔ alt gruplar Σ=100","⚠ alt gruplar Σ≠100"),IF(G214="","—",IF(ABS(G214)&lt;=PursUyum,"✔ uyumlu",IF(ABS(G214)&lt;=PursCiddi,"⚠ dikkat","✗ ciddi fark")))))</f>
        <v/>
      </c>
      <c r="J214" s="5" t="n"/>
      <c r="K214" s="5" t="n"/>
    </row>
    <row r="215">
      <c r="A215" s="5" t="n"/>
      <c r="B215" s="5" t="n"/>
      <c r="C215" s="26" t="n"/>
      <c r="D215" s="27">
        <f>IF(OR(A215="",C215=""),"",C215*IFERROR(VLOOKUP(B215,$A$5:$C$504,3,FALSE)/100,1)*IFERROR(VLOOKUP(IFERROR(VLOOKUP(B215,$A$5:$B$504,2,FALSE),""),$A$5:$C$504,3,FALSE)/100,1)*IFERROR(VLOOKUP(IFERROR(VLOOKUP(IFERROR(VLOOKUP(B215,$A$5:$B$504,2,FALSE),""),$A$5:$B$504,2,FALSE),""),$A$5:$C$504,3,FALSE)/100,1))</f>
        <v/>
      </c>
      <c r="E215" s="21">
        <f>IF(A215="","",SUMIF('Grup Eşleme'!$B$5:$B$504,A215,'Grup Eşleme'!$C$5:$C$504))</f>
        <v/>
      </c>
      <c r="F215" s="27">
        <f>IF(OR(A215="",'Metraj Mahal Listesi'!$K$3=0,COUNTIF($B$5:$B$504,A215)&gt;0),"",E215/'Metraj Mahal Listesi'!$K$3*100)</f>
        <v/>
      </c>
      <c r="G215" s="28">
        <f>IF(OR(D215="",F215=""),"",F215-D215)</f>
        <v/>
      </c>
      <c r="H215" s="29">
        <f>IF(OR(G215="",D215=0),"",G215/D215*100)</f>
        <v/>
      </c>
      <c r="I215" s="30">
        <f>IF(A215="","",IF(COUNTIF($B$5:$B$504,A215)&gt;0,IF(ABS(SUMIF($B$5:$B$504,A215,$C$5:$C$504)-100)&lt;0.0001,"✔ alt gruplar Σ=100","⚠ alt gruplar Σ≠100"),IF(G215="","—",IF(ABS(G215)&lt;=PursUyum,"✔ uyumlu",IF(ABS(G215)&lt;=PursCiddi,"⚠ dikkat","✗ ciddi fark")))))</f>
        <v/>
      </c>
      <c r="J215" s="5" t="n"/>
      <c r="K215" s="5" t="n"/>
    </row>
    <row r="216">
      <c r="A216" s="5" t="n"/>
      <c r="B216" s="5" t="n"/>
      <c r="C216" s="26" t="n"/>
      <c r="D216" s="27">
        <f>IF(OR(A216="",C216=""),"",C216*IFERROR(VLOOKUP(B216,$A$5:$C$504,3,FALSE)/100,1)*IFERROR(VLOOKUP(IFERROR(VLOOKUP(B216,$A$5:$B$504,2,FALSE),""),$A$5:$C$504,3,FALSE)/100,1)*IFERROR(VLOOKUP(IFERROR(VLOOKUP(IFERROR(VLOOKUP(B216,$A$5:$B$504,2,FALSE),""),$A$5:$B$504,2,FALSE),""),$A$5:$C$504,3,FALSE)/100,1))</f>
        <v/>
      </c>
      <c r="E216" s="21">
        <f>IF(A216="","",SUMIF('Grup Eşleme'!$B$5:$B$504,A216,'Grup Eşleme'!$C$5:$C$504))</f>
        <v/>
      </c>
      <c r="F216" s="27">
        <f>IF(OR(A216="",'Metraj Mahal Listesi'!$K$3=0,COUNTIF($B$5:$B$504,A216)&gt;0),"",E216/'Metraj Mahal Listesi'!$K$3*100)</f>
        <v/>
      </c>
      <c r="G216" s="28">
        <f>IF(OR(D216="",F216=""),"",F216-D216)</f>
        <v/>
      </c>
      <c r="H216" s="29">
        <f>IF(OR(G216="",D216=0),"",G216/D216*100)</f>
        <v/>
      </c>
      <c r="I216" s="30">
        <f>IF(A216="","",IF(COUNTIF($B$5:$B$504,A216)&gt;0,IF(ABS(SUMIF($B$5:$B$504,A216,$C$5:$C$504)-100)&lt;0.0001,"✔ alt gruplar Σ=100","⚠ alt gruplar Σ≠100"),IF(G216="","—",IF(ABS(G216)&lt;=PursUyum,"✔ uyumlu",IF(ABS(G216)&lt;=PursCiddi,"⚠ dikkat","✗ ciddi fark")))))</f>
        <v/>
      </c>
      <c r="J216" s="5" t="n"/>
      <c r="K216" s="5" t="n"/>
    </row>
    <row r="217">
      <c r="A217" s="5" t="n"/>
      <c r="B217" s="5" t="n"/>
      <c r="C217" s="26" t="n"/>
      <c r="D217" s="27">
        <f>IF(OR(A217="",C217=""),"",C217*IFERROR(VLOOKUP(B217,$A$5:$C$504,3,FALSE)/100,1)*IFERROR(VLOOKUP(IFERROR(VLOOKUP(B217,$A$5:$B$504,2,FALSE),""),$A$5:$C$504,3,FALSE)/100,1)*IFERROR(VLOOKUP(IFERROR(VLOOKUP(IFERROR(VLOOKUP(B217,$A$5:$B$504,2,FALSE),""),$A$5:$B$504,2,FALSE),""),$A$5:$C$504,3,FALSE)/100,1))</f>
        <v/>
      </c>
      <c r="E217" s="21">
        <f>IF(A217="","",SUMIF('Grup Eşleme'!$B$5:$B$504,A217,'Grup Eşleme'!$C$5:$C$504))</f>
        <v/>
      </c>
      <c r="F217" s="27">
        <f>IF(OR(A217="",'Metraj Mahal Listesi'!$K$3=0,COUNTIF($B$5:$B$504,A217)&gt;0),"",E217/'Metraj Mahal Listesi'!$K$3*100)</f>
        <v/>
      </c>
      <c r="G217" s="28">
        <f>IF(OR(D217="",F217=""),"",F217-D217)</f>
        <v/>
      </c>
      <c r="H217" s="29">
        <f>IF(OR(G217="",D217=0),"",G217/D217*100)</f>
        <v/>
      </c>
      <c r="I217" s="30">
        <f>IF(A217="","",IF(COUNTIF($B$5:$B$504,A217)&gt;0,IF(ABS(SUMIF($B$5:$B$504,A217,$C$5:$C$504)-100)&lt;0.0001,"✔ alt gruplar Σ=100","⚠ alt gruplar Σ≠100"),IF(G217="","—",IF(ABS(G217)&lt;=PursUyum,"✔ uyumlu",IF(ABS(G217)&lt;=PursCiddi,"⚠ dikkat","✗ ciddi fark")))))</f>
        <v/>
      </c>
      <c r="J217" s="5" t="n"/>
      <c r="K217" s="5" t="n"/>
    </row>
    <row r="218">
      <c r="A218" s="5" t="n"/>
      <c r="B218" s="5" t="n"/>
      <c r="C218" s="26" t="n"/>
      <c r="D218" s="27">
        <f>IF(OR(A218="",C218=""),"",C218*IFERROR(VLOOKUP(B218,$A$5:$C$504,3,FALSE)/100,1)*IFERROR(VLOOKUP(IFERROR(VLOOKUP(B218,$A$5:$B$504,2,FALSE),""),$A$5:$C$504,3,FALSE)/100,1)*IFERROR(VLOOKUP(IFERROR(VLOOKUP(IFERROR(VLOOKUP(B218,$A$5:$B$504,2,FALSE),""),$A$5:$B$504,2,FALSE),""),$A$5:$C$504,3,FALSE)/100,1))</f>
        <v/>
      </c>
      <c r="E218" s="21">
        <f>IF(A218="","",SUMIF('Grup Eşleme'!$B$5:$B$504,A218,'Grup Eşleme'!$C$5:$C$504))</f>
        <v/>
      </c>
      <c r="F218" s="27">
        <f>IF(OR(A218="",'Metraj Mahal Listesi'!$K$3=0,COUNTIF($B$5:$B$504,A218)&gt;0),"",E218/'Metraj Mahal Listesi'!$K$3*100)</f>
        <v/>
      </c>
      <c r="G218" s="28">
        <f>IF(OR(D218="",F218=""),"",F218-D218)</f>
        <v/>
      </c>
      <c r="H218" s="29">
        <f>IF(OR(G218="",D218=0),"",G218/D218*100)</f>
        <v/>
      </c>
      <c r="I218" s="30">
        <f>IF(A218="","",IF(COUNTIF($B$5:$B$504,A218)&gt;0,IF(ABS(SUMIF($B$5:$B$504,A218,$C$5:$C$504)-100)&lt;0.0001,"✔ alt gruplar Σ=100","⚠ alt gruplar Σ≠100"),IF(G218="","—",IF(ABS(G218)&lt;=PursUyum,"✔ uyumlu",IF(ABS(G218)&lt;=PursCiddi,"⚠ dikkat","✗ ciddi fark")))))</f>
        <v/>
      </c>
      <c r="J218" s="5" t="n"/>
      <c r="K218" s="5" t="n"/>
    </row>
    <row r="219">
      <c r="A219" s="5" t="n"/>
      <c r="B219" s="5" t="n"/>
      <c r="C219" s="26" t="n"/>
      <c r="D219" s="27">
        <f>IF(OR(A219="",C219=""),"",C219*IFERROR(VLOOKUP(B219,$A$5:$C$504,3,FALSE)/100,1)*IFERROR(VLOOKUP(IFERROR(VLOOKUP(B219,$A$5:$B$504,2,FALSE),""),$A$5:$C$504,3,FALSE)/100,1)*IFERROR(VLOOKUP(IFERROR(VLOOKUP(IFERROR(VLOOKUP(B219,$A$5:$B$504,2,FALSE),""),$A$5:$B$504,2,FALSE),""),$A$5:$C$504,3,FALSE)/100,1))</f>
        <v/>
      </c>
      <c r="E219" s="21">
        <f>IF(A219="","",SUMIF('Grup Eşleme'!$B$5:$B$504,A219,'Grup Eşleme'!$C$5:$C$504))</f>
        <v/>
      </c>
      <c r="F219" s="27">
        <f>IF(OR(A219="",'Metraj Mahal Listesi'!$K$3=0,COUNTIF($B$5:$B$504,A219)&gt;0),"",E219/'Metraj Mahal Listesi'!$K$3*100)</f>
        <v/>
      </c>
      <c r="G219" s="28">
        <f>IF(OR(D219="",F219=""),"",F219-D219)</f>
        <v/>
      </c>
      <c r="H219" s="29">
        <f>IF(OR(G219="",D219=0),"",G219/D219*100)</f>
        <v/>
      </c>
      <c r="I219" s="30">
        <f>IF(A219="","",IF(COUNTIF($B$5:$B$504,A219)&gt;0,IF(ABS(SUMIF($B$5:$B$504,A219,$C$5:$C$504)-100)&lt;0.0001,"✔ alt gruplar Σ=100","⚠ alt gruplar Σ≠100"),IF(G219="","—",IF(ABS(G219)&lt;=PursUyum,"✔ uyumlu",IF(ABS(G219)&lt;=PursCiddi,"⚠ dikkat","✗ ciddi fark")))))</f>
        <v/>
      </c>
      <c r="J219" s="5" t="n"/>
      <c r="K219" s="5" t="n"/>
    </row>
    <row r="220">
      <c r="A220" s="5" t="n"/>
      <c r="B220" s="5" t="n"/>
      <c r="C220" s="26" t="n"/>
      <c r="D220" s="27">
        <f>IF(OR(A220="",C220=""),"",C220*IFERROR(VLOOKUP(B220,$A$5:$C$504,3,FALSE)/100,1)*IFERROR(VLOOKUP(IFERROR(VLOOKUP(B220,$A$5:$B$504,2,FALSE),""),$A$5:$C$504,3,FALSE)/100,1)*IFERROR(VLOOKUP(IFERROR(VLOOKUP(IFERROR(VLOOKUP(B220,$A$5:$B$504,2,FALSE),""),$A$5:$B$504,2,FALSE),""),$A$5:$C$504,3,FALSE)/100,1))</f>
        <v/>
      </c>
      <c r="E220" s="21">
        <f>IF(A220="","",SUMIF('Grup Eşleme'!$B$5:$B$504,A220,'Grup Eşleme'!$C$5:$C$504))</f>
        <v/>
      </c>
      <c r="F220" s="27">
        <f>IF(OR(A220="",'Metraj Mahal Listesi'!$K$3=0,COUNTIF($B$5:$B$504,A220)&gt;0),"",E220/'Metraj Mahal Listesi'!$K$3*100)</f>
        <v/>
      </c>
      <c r="G220" s="28">
        <f>IF(OR(D220="",F220=""),"",F220-D220)</f>
        <v/>
      </c>
      <c r="H220" s="29">
        <f>IF(OR(G220="",D220=0),"",G220/D220*100)</f>
        <v/>
      </c>
      <c r="I220" s="30">
        <f>IF(A220="","",IF(COUNTIF($B$5:$B$504,A220)&gt;0,IF(ABS(SUMIF($B$5:$B$504,A220,$C$5:$C$504)-100)&lt;0.0001,"✔ alt gruplar Σ=100","⚠ alt gruplar Σ≠100"),IF(G220="","—",IF(ABS(G220)&lt;=PursUyum,"✔ uyumlu",IF(ABS(G220)&lt;=PursCiddi,"⚠ dikkat","✗ ciddi fark")))))</f>
        <v/>
      </c>
      <c r="J220" s="5" t="n"/>
      <c r="K220" s="5" t="n"/>
    </row>
    <row r="221">
      <c r="A221" s="5" t="n"/>
      <c r="B221" s="5" t="n"/>
      <c r="C221" s="26" t="n"/>
      <c r="D221" s="27">
        <f>IF(OR(A221="",C221=""),"",C221*IFERROR(VLOOKUP(B221,$A$5:$C$504,3,FALSE)/100,1)*IFERROR(VLOOKUP(IFERROR(VLOOKUP(B221,$A$5:$B$504,2,FALSE),""),$A$5:$C$504,3,FALSE)/100,1)*IFERROR(VLOOKUP(IFERROR(VLOOKUP(IFERROR(VLOOKUP(B221,$A$5:$B$504,2,FALSE),""),$A$5:$B$504,2,FALSE),""),$A$5:$C$504,3,FALSE)/100,1))</f>
        <v/>
      </c>
      <c r="E221" s="21">
        <f>IF(A221="","",SUMIF('Grup Eşleme'!$B$5:$B$504,A221,'Grup Eşleme'!$C$5:$C$504))</f>
        <v/>
      </c>
      <c r="F221" s="27">
        <f>IF(OR(A221="",'Metraj Mahal Listesi'!$K$3=0,COUNTIF($B$5:$B$504,A221)&gt;0),"",E221/'Metraj Mahal Listesi'!$K$3*100)</f>
        <v/>
      </c>
      <c r="G221" s="28">
        <f>IF(OR(D221="",F221=""),"",F221-D221)</f>
        <v/>
      </c>
      <c r="H221" s="29">
        <f>IF(OR(G221="",D221=0),"",G221/D221*100)</f>
        <v/>
      </c>
      <c r="I221" s="30">
        <f>IF(A221="","",IF(COUNTIF($B$5:$B$504,A221)&gt;0,IF(ABS(SUMIF($B$5:$B$504,A221,$C$5:$C$504)-100)&lt;0.0001,"✔ alt gruplar Σ=100","⚠ alt gruplar Σ≠100"),IF(G221="","—",IF(ABS(G221)&lt;=PursUyum,"✔ uyumlu",IF(ABS(G221)&lt;=PursCiddi,"⚠ dikkat","✗ ciddi fark")))))</f>
        <v/>
      </c>
      <c r="J221" s="5" t="n"/>
      <c r="K221" s="5" t="n"/>
    </row>
    <row r="222">
      <c r="A222" s="5" t="n"/>
      <c r="B222" s="5" t="n"/>
      <c r="C222" s="26" t="n"/>
      <c r="D222" s="27">
        <f>IF(OR(A222="",C222=""),"",C222*IFERROR(VLOOKUP(B222,$A$5:$C$504,3,FALSE)/100,1)*IFERROR(VLOOKUP(IFERROR(VLOOKUP(B222,$A$5:$B$504,2,FALSE),""),$A$5:$C$504,3,FALSE)/100,1)*IFERROR(VLOOKUP(IFERROR(VLOOKUP(IFERROR(VLOOKUP(B222,$A$5:$B$504,2,FALSE),""),$A$5:$B$504,2,FALSE),""),$A$5:$C$504,3,FALSE)/100,1))</f>
        <v/>
      </c>
      <c r="E222" s="21">
        <f>IF(A222="","",SUMIF('Grup Eşleme'!$B$5:$B$504,A222,'Grup Eşleme'!$C$5:$C$504))</f>
        <v/>
      </c>
      <c r="F222" s="27">
        <f>IF(OR(A222="",'Metraj Mahal Listesi'!$K$3=0,COUNTIF($B$5:$B$504,A222)&gt;0),"",E222/'Metraj Mahal Listesi'!$K$3*100)</f>
        <v/>
      </c>
      <c r="G222" s="28">
        <f>IF(OR(D222="",F222=""),"",F222-D222)</f>
        <v/>
      </c>
      <c r="H222" s="29">
        <f>IF(OR(G222="",D222=0),"",G222/D222*100)</f>
        <v/>
      </c>
      <c r="I222" s="30">
        <f>IF(A222="","",IF(COUNTIF($B$5:$B$504,A222)&gt;0,IF(ABS(SUMIF($B$5:$B$504,A222,$C$5:$C$504)-100)&lt;0.0001,"✔ alt gruplar Σ=100","⚠ alt gruplar Σ≠100"),IF(G222="","—",IF(ABS(G222)&lt;=PursUyum,"✔ uyumlu",IF(ABS(G222)&lt;=PursCiddi,"⚠ dikkat","✗ ciddi fark")))))</f>
        <v/>
      </c>
      <c r="J222" s="5" t="n"/>
      <c r="K222" s="5" t="n"/>
    </row>
    <row r="223">
      <c r="A223" s="5" t="n"/>
      <c r="B223" s="5" t="n"/>
      <c r="C223" s="26" t="n"/>
      <c r="D223" s="27">
        <f>IF(OR(A223="",C223=""),"",C223*IFERROR(VLOOKUP(B223,$A$5:$C$504,3,FALSE)/100,1)*IFERROR(VLOOKUP(IFERROR(VLOOKUP(B223,$A$5:$B$504,2,FALSE),""),$A$5:$C$504,3,FALSE)/100,1)*IFERROR(VLOOKUP(IFERROR(VLOOKUP(IFERROR(VLOOKUP(B223,$A$5:$B$504,2,FALSE),""),$A$5:$B$504,2,FALSE),""),$A$5:$C$504,3,FALSE)/100,1))</f>
        <v/>
      </c>
      <c r="E223" s="21">
        <f>IF(A223="","",SUMIF('Grup Eşleme'!$B$5:$B$504,A223,'Grup Eşleme'!$C$5:$C$504))</f>
        <v/>
      </c>
      <c r="F223" s="27">
        <f>IF(OR(A223="",'Metraj Mahal Listesi'!$K$3=0,COUNTIF($B$5:$B$504,A223)&gt;0),"",E223/'Metraj Mahal Listesi'!$K$3*100)</f>
        <v/>
      </c>
      <c r="G223" s="28">
        <f>IF(OR(D223="",F223=""),"",F223-D223)</f>
        <v/>
      </c>
      <c r="H223" s="29">
        <f>IF(OR(G223="",D223=0),"",G223/D223*100)</f>
        <v/>
      </c>
      <c r="I223" s="30">
        <f>IF(A223="","",IF(COUNTIF($B$5:$B$504,A223)&gt;0,IF(ABS(SUMIF($B$5:$B$504,A223,$C$5:$C$504)-100)&lt;0.0001,"✔ alt gruplar Σ=100","⚠ alt gruplar Σ≠100"),IF(G223="","—",IF(ABS(G223)&lt;=PursUyum,"✔ uyumlu",IF(ABS(G223)&lt;=PursCiddi,"⚠ dikkat","✗ ciddi fark")))))</f>
        <v/>
      </c>
      <c r="J223" s="5" t="n"/>
      <c r="K223" s="5" t="n"/>
    </row>
    <row r="224">
      <c r="A224" s="5" t="n"/>
      <c r="B224" s="5" t="n"/>
      <c r="C224" s="26" t="n"/>
      <c r="D224" s="27">
        <f>IF(OR(A224="",C224=""),"",C224*IFERROR(VLOOKUP(B224,$A$5:$C$504,3,FALSE)/100,1)*IFERROR(VLOOKUP(IFERROR(VLOOKUP(B224,$A$5:$B$504,2,FALSE),""),$A$5:$C$504,3,FALSE)/100,1)*IFERROR(VLOOKUP(IFERROR(VLOOKUP(IFERROR(VLOOKUP(B224,$A$5:$B$504,2,FALSE),""),$A$5:$B$504,2,FALSE),""),$A$5:$C$504,3,FALSE)/100,1))</f>
        <v/>
      </c>
      <c r="E224" s="21">
        <f>IF(A224="","",SUMIF('Grup Eşleme'!$B$5:$B$504,A224,'Grup Eşleme'!$C$5:$C$504))</f>
        <v/>
      </c>
      <c r="F224" s="27">
        <f>IF(OR(A224="",'Metraj Mahal Listesi'!$K$3=0,COUNTIF($B$5:$B$504,A224)&gt;0),"",E224/'Metraj Mahal Listesi'!$K$3*100)</f>
        <v/>
      </c>
      <c r="G224" s="28">
        <f>IF(OR(D224="",F224=""),"",F224-D224)</f>
        <v/>
      </c>
      <c r="H224" s="29">
        <f>IF(OR(G224="",D224=0),"",G224/D224*100)</f>
        <v/>
      </c>
      <c r="I224" s="30">
        <f>IF(A224="","",IF(COUNTIF($B$5:$B$504,A224)&gt;0,IF(ABS(SUMIF($B$5:$B$504,A224,$C$5:$C$504)-100)&lt;0.0001,"✔ alt gruplar Σ=100","⚠ alt gruplar Σ≠100"),IF(G224="","—",IF(ABS(G224)&lt;=PursUyum,"✔ uyumlu",IF(ABS(G224)&lt;=PursCiddi,"⚠ dikkat","✗ ciddi fark")))))</f>
        <v/>
      </c>
      <c r="J224" s="5" t="n"/>
      <c r="K224" s="5" t="n"/>
    </row>
    <row r="225">
      <c r="A225" s="5" t="n"/>
      <c r="B225" s="5" t="n"/>
      <c r="C225" s="26" t="n"/>
      <c r="D225" s="27">
        <f>IF(OR(A225="",C225=""),"",C225*IFERROR(VLOOKUP(B225,$A$5:$C$504,3,FALSE)/100,1)*IFERROR(VLOOKUP(IFERROR(VLOOKUP(B225,$A$5:$B$504,2,FALSE),""),$A$5:$C$504,3,FALSE)/100,1)*IFERROR(VLOOKUP(IFERROR(VLOOKUP(IFERROR(VLOOKUP(B225,$A$5:$B$504,2,FALSE),""),$A$5:$B$504,2,FALSE),""),$A$5:$C$504,3,FALSE)/100,1))</f>
        <v/>
      </c>
      <c r="E225" s="21">
        <f>IF(A225="","",SUMIF('Grup Eşleme'!$B$5:$B$504,A225,'Grup Eşleme'!$C$5:$C$504))</f>
        <v/>
      </c>
      <c r="F225" s="27">
        <f>IF(OR(A225="",'Metraj Mahal Listesi'!$K$3=0,COUNTIF($B$5:$B$504,A225)&gt;0),"",E225/'Metraj Mahal Listesi'!$K$3*100)</f>
        <v/>
      </c>
      <c r="G225" s="28">
        <f>IF(OR(D225="",F225=""),"",F225-D225)</f>
        <v/>
      </c>
      <c r="H225" s="29">
        <f>IF(OR(G225="",D225=0),"",G225/D225*100)</f>
        <v/>
      </c>
      <c r="I225" s="30">
        <f>IF(A225="","",IF(COUNTIF($B$5:$B$504,A225)&gt;0,IF(ABS(SUMIF($B$5:$B$504,A225,$C$5:$C$504)-100)&lt;0.0001,"✔ alt gruplar Σ=100","⚠ alt gruplar Σ≠100"),IF(G225="","—",IF(ABS(G225)&lt;=PursUyum,"✔ uyumlu",IF(ABS(G225)&lt;=PursCiddi,"⚠ dikkat","✗ ciddi fark")))))</f>
        <v/>
      </c>
      <c r="J225" s="5" t="n"/>
      <c r="K225" s="5" t="n"/>
    </row>
    <row r="226">
      <c r="A226" s="5" t="n"/>
      <c r="B226" s="5" t="n"/>
      <c r="C226" s="26" t="n"/>
      <c r="D226" s="27">
        <f>IF(OR(A226="",C226=""),"",C226*IFERROR(VLOOKUP(B226,$A$5:$C$504,3,FALSE)/100,1)*IFERROR(VLOOKUP(IFERROR(VLOOKUP(B226,$A$5:$B$504,2,FALSE),""),$A$5:$C$504,3,FALSE)/100,1)*IFERROR(VLOOKUP(IFERROR(VLOOKUP(IFERROR(VLOOKUP(B226,$A$5:$B$504,2,FALSE),""),$A$5:$B$504,2,FALSE),""),$A$5:$C$504,3,FALSE)/100,1))</f>
        <v/>
      </c>
      <c r="E226" s="21">
        <f>IF(A226="","",SUMIF('Grup Eşleme'!$B$5:$B$504,A226,'Grup Eşleme'!$C$5:$C$504))</f>
        <v/>
      </c>
      <c r="F226" s="27">
        <f>IF(OR(A226="",'Metraj Mahal Listesi'!$K$3=0,COUNTIF($B$5:$B$504,A226)&gt;0),"",E226/'Metraj Mahal Listesi'!$K$3*100)</f>
        <v/>
      </c>
      <c r="G226" s="28">
        <f>IF(OR(D226="",F226=""),"",F226-D226)</f>
        <v/>
      </c>
      <c r="H226" s="29">
        <f>IF(OR(G226="",D226=0),"",G226/D226*100)</f>
        <v/>
      </c>
      <c r="I226" s="30">
        <f>IF(A226="","",IF(COUNTIF($B$5:$B$504,A226)&gt;0,IF(ABS(SUMIF($B$5:$B$504,A226,$C$5:$C$504)-100)&lt;0.0001,"✔ alt gruplar Σ=100","⚠ alt gruplar Σ≠100"),IF(G226="","—",IF(ABS(G226)&lt;=PursUyum,"✔ uyumlu",IF(ABS(G226)&lt;=PursCiddi,"⚠ dikkat","✗ ciddi fark")))))</f>
        <v/>
      </c>
      <c r="J226" s="5" t="n"/>
      <c r="K226" s="5" t="n"/>
    </row>
    <row r="227">
      <c r="A227" s="5" t="n"/>
      <c r="B227" s="5" t="n"/>
      <c r="C227" s="26" t="n"/>
      <c r="D227" s="27">
        <f>IF(OR(A227="",C227=""),"",C227*IFERROR(VLOOKUP(B227,$A$5:$C$504,3,FALSE)/100,1)*IFERROR(VLOOKUP(IFERROR(VLOOKUP(B227,$A$5:$B$504,2,FALSE),""),$A$5:$C$504,3,FALSE)/100,1)*IFERROR(VLOOKUP(IFERROR(VLOOKUP(IFERROR(VLOOKUP(B227,$A$5:$B$504,2,FALSE),""),$A$5:$B$504,2,FALSE),""),$A$5:$C$504,3,FALSE)/100,1))</f>
        <v/>
      </c>
      <c r="E227" s="21">
        <f>IF(A227="","",SUMIF('Grup Eşleme'!$B$5:$B$504,A227,'Grup Eşleme'!$C$5:$C$504))</f>
        <v/>
      </c>
      <c r="F227" s="27">
        <f>IF(OR(A227="",'Metraj Mahal Listesi'!$K$3=0,COUNTIF($B$5:$B$504,A227)&gt;0),"",E227/'Metraj Mahal Listesi'!$K$3*100)</f>
        <v/>
      </c>
      <c r="G227" s="28">
        <f>IF(OR(D227="",F227=""),"",F227-D227)</f>
        <v/>
      </c>
      <c r="H227" s="29">
        <f>IF(OR(G227="",D227=0),"",G227/D227*100)</f>
        <v/>
      </c>
      <c r="I227" s="30">
        <f>IF(A227="","",IF(COUNTIF($B$5:$B$504,A227)&gt;0,IF(ABS(SUMIF($B$5:$B$504,A227,$C$5:$C$504)-100)&lt;0.0001,"✔ alt gruplar Σ=100","⚠ alt gruplar Σ≠100"),IF(G227="","—",IF(ABS(G227)&lt;=PursUyum,"✔ uyumlu",IF(ABS(G227)&lt;=PursCiddi,"⚠ dikkat","✗ ciddi fark")))))</f>
        <v/>
      </c>
      <c r="J227" s="5" t="n"/>
      <c r="K227" s="5" t="n"/>
    </row>
    <row r="228">
      <c r="A228" s="5" t="n"/>
      <c r="B228" s="5" t="n"/>
      <c r="C228" s="26" t="n"/>
      <c r="D228" s="27">
        <f>IF(OR(A228="",C228=""),"",C228*IFERROR(VLOOKUP(B228,$A$5:$C$504,3,FALSE)/100,1)*IFERROR(VLOOKUP(IFERROR(VLOOKUP(B228,$A$5:$B$504,2,FALSE),""),$A$5:$C$504,3,FALSE)/100,1)*IFERROR(VLOOKUP(IFERROR(VLOOKUP(IFERROR(VLOOKUP(B228,$A$5:$B$504,2,FALSE),""),$A$5:$B$504,2,FALSE),""),$A$5:$C$504,3,FALSE)/100,1))</f>
        <v/>
      </c>
      <c r="E228" s="21">
        <f>IF(A228="","",SUMIF('Grup Eşleme'!$B$5:$B$504,A228,'Grup Eşleme'!$C$5:$C$504))</f>
        <v/>
      </c>
      <c r="F228" s="27">
        <f>IF(OR(A228="",'Metraj Mahal Listesi'!$K$3=0,COUNTIF($B$5:$B$504,A228)&gt;0),"",E228/'Metraj Mahal Listesi'!$K$3*100)</f>
        <v/>
      </c>
      <c r="G228" s="28">
        <f>IF(OR(D228="",F228=""),"",F228-D228)</f>
        <v/>
      </c>
      <c r="H228" s="29">
        <f>IF(OR(G228="",D228=0),"",G228/D228*100)</f>
        <v/>
      </c>
      <c r="I228" s="30">
        <f>IF(A228="","",IF(COUNTIF($B$5:$B$504,A228)&gt;0,IF(ABS(SUMIF($B$5:$B$504,A228,$C$5:$C$504)-100)&lt;0.0001,"✔ alt gruplar Σ=100","⚠ alt gruplar Σ≠100"),IF(G228="","—",IF(ABS(G228)&lt;=PursUyum,"✔ uyumlu",IF(ABS(G228)&lt;=PursCiddi,"⚠ dikkat","✗ ciddi fark")))))</f>
        <v/>
      </c>
      <c r="J228" s="5" t="n"/>
      <c r="K228" s="5" t="n"/>
    </row>
    <row r="229">
      <c r="A229" s="5" t="n"/>
      <c r="B229" s="5" t="n"/>
      <c r="C229" s="26" t="n"/>
      <c r="D229" s="27">
        <f>IF(OR(A229="",C229=""),"",C229*IFERROR(VLOOKUP(B229,$A$5:$C$504,3,FALSE)/100,1)*IFERROR(VLOOKUP(IFERROR(VLOOKUP(B229,$A$5:$B$504,2,FALSE),""),$A$5:$C$504,3,FALSE)/100,1)*IFERROR(VLOOKUP(IFERROR(VLOOKUP(IFERROR(VLOOKUP(B229,$A$5:$B$504,2,FALSE),""),$A$5:$B$504,2,FALSE),""),$A$5:$C$504,3,FALSE)/100,1))</f>
        <v/>
      </c>
      <c r="E229" s="21">
        <f>IF(A229="","",SUMIF('Grup Eşleme'!$B$5:$B$504,A229,'Grup Eşleme'!$C$5:$C$504))</f>
        <v/>
      </c>
      <c r="F229" s="27">
        <f>IF(OR(A229="",'Metraj Mahal Listesi'!$K$3=0,COUNTIF($B$5:$B$504,A229)&gt;0),"",E229/'Metraj Mahal Listesi'!$K$3*100)</f>
        <v/>
      </c>
      <c r="G229" s="28">
        <f>IF(OR(D229="",F229=""),"",F229-D229)</f>
        <v/>
      </c>
      <c r="H229" s="29">
        <f>IF(OR(G229="",D229=0),"",G229/D229*100)</f>
        <v/>
      </c>
      <c r="I229" s="30">
        <f>IF(A229="","",IF(COUNTIF($B$5:$B$504,A229)&gt;0,IF(ABS(SUMIF($B$5:$B$504,A229,$C$5:$C$504)-100)&lt;0.0001,"✔ alt gruplar Σ=100","⚠ alt gruplar Σ≠100"),IF(G229="","—",IF(ABS(G229)&lt;=PursUyum,"✔ uyumlu",IF(ABS(G229)&lt;=PursCiddi,"⚠ dikkat","✗ ciddi fark")))))</f>
        <v/>
      </c>
      <c r="J229" s="5" t="n"/>
      <c r="K229" s="5" t="n"/>
    </row>
    <row r="230">
      <c r="A230" s="5" t="n"/>
      <c r="B230" s="5" t="n"/>
      <c r="C230" s="26" t="n"/>
      <c r="D230" s="27">
        <f>IF(OR(A230="",C230=""),"",C230*IFERROR(VLOOKUP(B230,$A$5:$C$504,3,FALSE)/100,1)*IFERROR(VLOOKUP(IFERROR(VLOOKUP(B230,$A$5:$B$504,2,FALSE),""),$A$5:$C$504,3,FALSE)/100,1)*IFERROR(VLOOKUP(IFERROR(VLOOKUP(IFERROR(VLOOKUP(B230,$A$5:$B$504,2,FALSE),""),$A$5:$B$504,2,FALSE),""),$A$5:$C$504,3,FALSE)/100,1))</f>
        <v/>
      </c>
      <c r="E230" s="21">
        <f>IF(A230="","",SUMIF('Grup Eşleme'!$B$5:$B$504,A230,'Grup Eşleme'!$C$5:$C$504))</f>
        <v/>
      </c>
      <c r="F230" s="27">
        <f>IF(OR(A230="",'Metraj Mahal Listesi'!$K$3=0,COUNTIF($B$5:$B$504,A230)&gt;0),"",E230/'Metraj Mahal Listesi'!$K$3*100)</f>
        <v/>
      </c>
      <c r="G230" s="28">
        <f>IF(OR(D230="",F230=""),"",F230-D230)</f>
        <v/>
      </c>
      <c r="H230" s="29">
        <f>IF(OR(G230="",D230=0),"",G230/D230*100)</f>
        <v/>
      </c>
      <c r="I230" s="30">
        <f>IF(A230="","",IF(COUNTIF($B$5:$B$504,A230)&gt;0,IF(ABS(SUMIF($B$5:$B$504,A230,$C$5:$C$504)-100)&lt;0.0001,"✔ alt gruplar Σ=100","⚠ alt gruplar Σ≠100"),IF(G230="","—",IF(ABS(G230)&lt;=PursUyum,"✔ uyumlu",IF(ABS(G230)&lt;=PursCiddi,"⚠ dikkat","✗ ciddi fark")))))</f>
        <v/>
      </c>
      <c r="J230" s="5" t="n"/>
      <c r="K230" s="5" t="n"/>
    </row>
    <row r="231">
      <c r="A231" s="5" t="n"/>
      <c r="B231" s="5" t="n"/>
      <c r="C231" s="26" t="n"/>
      <c r="D231" s="27">
        <f>IF(OR(A231="",C231=""),"",C231*IFERROR(VLOOKUP(B231,$A$5:$C$504,3,FALSE)/100,1)*IFERROR(VLOOKUP(IFERROR(VLOOKUP(B231,$A$5:$B$504,2,FALSE),""),$A$5:$C$504,3,FALSE)/100,1)*IFERROR(VLOOKUP(IFERROR(VLOOKUP(IFERROR(VLOOKUP(B231,$A$5:$B$504,2,FALSE),""),$A$5:$B$504,2,FALSE),""),$A$5:$C$504,3,FALSE)/100,1))</f>
        <v/>
      </c>
      <c r="E231" s="21">
        <f>IF(A231="","",SUMIF('Grup Eşleme'!$B$5:$B$504,A231,'Grup Eşleme'!$C$5:$C$504))</f>
        <v/>
      </c>
      <c r="F231" s="27">
        <f>IF(OR(A231="",'Metraj Mahal Listesi'!$K$3=0,COUNTIF($B$5:$B$504,A231)&gt;0),"",E231/'Metraj Mahal Listesi'!$K$3*100)</f>
        <v/>
      </c>
      <c r="G231" s="28">
        <f>IF(OR(D231="",F231=""),"",F231-D231)</f>
        <v/>
      </c>
      <c r="H231" s="29">
        <f>IF(OR(G231="",D231=0),"",G231/D231*100)</f>
        <v/>
      </c>
      <c r="I231" s="30">
        <f>IF(A231="","",IF(COUNTIF($B$5:$B$504,A231)&gt;0,IF(ABS(SUMIF($B$5:$B$504,A231,$C$5:$C$504)-100)&lt;0.0001,"✔ alt gruplar Σ=100","⚠ alt gruplar Σ≠100"),IF(G231="","—",IF(ABS(G231)&lt;=PursUyum,"✔ uyumlu",IF(ABS(G231)&lt;=PursCiddi,"⚠ dikkat","✗ ciddi fark")))))</f>
        <v/>
      </c>
      <c r="J231" s="5" t="n"/>
      <c r="K231" s="5" t="n"/>
    </row>
    <row r="232">
      <c r="A232" s="5" t="n"/>
      <c r="B232" s="5" t="n"/>
      <c r="C232" s="26" t="n"/>
      <c r="D232" s="27">
        <f>IF(OR(A232="",C232=""),"",C232*IFERROR(VLOOKUP(B232,$A$5:$C$504,3,FALSE)/100,1)*IFERROR(VLOOKUP(IFERROR(VLOOKUP(B232,$A$5:$B$504,2,FALSE),""),$A$5:$C$504,3,FALSE)/100,1)*IFERROR(VLOOKUP(IFERROR(VLOOKUP(IFERROR(VLOOKUP(B232,$A$5:$B$504,2,FALSE),""),$A$5:$B$504,2,FALSE),""),$A$5:$C$504,3,FALSE)/100,1))</f>
        <v/>
      </c>
      <c r="E232" s="21">
        <f>IF(A232="","",SUMIF('Grup Eşleme'!$B$5:$B$504,A232,'Grup Eşleme'!$C$5:$C$504))</f>
        <v/>
      </c>
      <c r="F232" s="27">
        <f>IF(OR(A232="",'Metraj Mahal Listesi'!$K$3=0,COUNTIF($B$5:$B$504,A232)&gt;0),"",E232/'Metraj Mahal Listesi'!$K$3*100)</f>
        <v/>
      </c>
      <c r="G232" s="28">
        <f>IF(OR(D232="",F232=""),"",F232-D232)</f>
        <v/>
      </c>
      <c r="H232" s="29">
        <f>IF(OR(G232="",D232=0),"",G232/D232*100)</f>
        <v/>
      </c>
      <c r="I232" s="30">
        <f>IF(A232="","",IF(COUNTIF($B$5:$B$504,A232)&gt;0,IF(ABS(SUMIF($B$5:$B$504,A232,$C$5:$C$504)-100)&lt;0.0001,"✔ alt gruplar Σ=100","⚠ alt gruplar Σ≠100"),IF(G232="","—",IF(ABS(G232)&lt;=PursUyum,"✔ uyumlu",IF(ABS(G232)&lt;=PursCiddi,"⚠ dikkat","✗ ciddi fark")))))</f>
        <v/>
      </c>
      <c r="J232" s="5" t="n"/>
      <c r="K232" s="5" t="n"/>
    </row>
    <row r="233">
      <c r="A233" s="5" t="n"/>
      <c r="B233" s="5" t="n"/>
      <c r="C233" s="26" t="n"/>
      <c r="D233" s="27">
        <f>IF(OR(A233="",C233=""),"",C233*IFERROR(VLOOKUP(B233,$A$5:$C$504,3,FALSE)/100,1)*IFERROR(VLOOKUP(IFERROR(VLOOKUP(B233,$A$5:$B$504,2,FALSE),""),$A$5:$C$504,3,FALSE)/100,1)*IFERROR(VLOOKUP(IFERROR(VLOOKUP(IFERROR(VLOOKUP(B233,$A$5:$B$504,2,FALSE),""),$A$5:$B$504,2,FALSE),""),$A$5:$C$504,3,FALSE)/100,1))</f>
        <v/>
      </c>
      <c r="E233" s="21">
        <f>IF(A233="","",SUMIF('Grup Eşleme'!$B$5:$B$504,A233,'Grup Eşleme'!$C$5:$C$504))</f>
        <v/>
      </c>
      <c r="F233" s="27">
        <f>IF(OR(A233="",'Metraj Mahal Listesi'!$K$3=0,COUNTIF($B$5:$B$504,A233)&gt;0),"",E233/'Metraj Mahal Listesi'!$K$3*100)</f>
        <v/>
      </c>
      <c r="G233" s="28">
        <f>IF(OR(D233="",F233=""),"",F233-D233)</f>
        <v/>
      </c>
      <c r="H233" s="29">
        <f>IF(OR(G233="",D233=0),"",G233/D233*100)</f>
        <v/>
      </c>
      <c r="I233" s="30">
        <f>IF(A233="","",IF(COUNTIF($B$5:$B$504,A233)&gt;0,IF(ABS(SUMIF($B$5:$B$504,A233,$C$5:$C$504)-100)&lt;0.0001,"✔ alt gruplar Σ=100","⚠ alt gruplar Σ≠100"),IF(G233="","—",IF(ABS(G233)&lt;=PursUyum,"✔ uyumlu",IF(ABS(G233)&lt;=PursCiddi,"⚠ dikkat","✗ ciddi fark")))))</f>
        <v/>
      </c>
      <c r="J233" s="5" t="n"/>
      <c r="K233" s="5" t="n"/>
    </row>
    <row r="234">
      <c r="A234" s="5" t="n"/>
      <c r="B234" s="5" t="n"/>
      <c r="C234" s="26" t="n"/>
      <c r="D234" s="27">
        <f>IF(OR(A234="",C234=""),"",C234*IFERROR(VLOOKUP(B234,$A$5:$C$504,3,FALSE)/100,1)*IFERROR(VLOOKUP(IFERROR(VLOOKUP(B234,$A$5:$B$504,2,FALSE),""),$A$5:$C$504,3,FALSE)/100,1)*IFERROR(VLOOKUP(IFERROR(VLOOKUP(IFERROR(VLOOKUP(B234,$A$5:$B$504,2,FALSE),""),$A$5:$B$504,2,FALSE),""),$A$5:$C$504,3,FALSE)/100,1))</f>
        <v/>
      </c>
      <c r="E234" s="21">
        <f>IF(A234="","",SUMIF('Grup Eşleme'!$B$5:$B$504,A234,'Grup Eşleme'!$C$5:$C$504))</f>
        <v/>
      </c>
      <c r="F234" s="27">
        <f>IF(OR(A234="",'Metraj Mahal Listesi'!$K$3=0,COUNTIF($B$5:$B$504,A234)&gt;0),"",E234/'Metraj Mahal Listesi'!$K$3*100)</f>
        <v/>
      </c>
      <c r="G234" s="28">
        <f>IF(OR(D234="",F234=""),"",F234-D234)</f>
        <v/>
      </c>
      <c r="H234" s="29">
        <f>IF(OR(G234="",D234=0),"",G234/D234*100)</f>
        <v/>
      </c>
      <c r="I234" s="30">
        <f>IF(A234="","",IF(COUNTIF($B$5:$B$504,A234)&gt;0,IF(ABS(SUMIF($B$5:$B$504,A234,$C$5:$C$504)-100)&lt;0.0001,"✔ alt gruplar Σ=100","⚠ alt gruplar Σ≠100"),IF(G234="","—",IF(ABS(G234)&lt;=PursUyum,"✔ uyumlu",IF(ABS(G234)&lt;=PursCiddi,"⚠ dikkat","✗ ciddi fark")))))</f>
        <v/>
      </c>
      <c r="J234" s="5" t="n"/>
      <c r="K234" s="5" t="n"/>
    </row>
    <row r="235">
      <c r="A235" s="5" t="n"/>
      <c r="B235" s="5" t="n"/>
      <c r="C235" s="26" t="n"/>
      <c r="D235" s="27">
        <f>IF(OR(A235="",C235=""),"",C235*IFERROR(VLOOKUP(B235,$A$5:$C$504,3,FALSE)/100,1)*IFERROR(VLOOKUP(IFERROR(VLOOKUP(B235,$A$5:$B$504,2,FALSE),""),$A$5:$C$504,3,FALSE)/100,1)*IFERROR(VLOOKUP(IFERROR(VLOOKUP(IFERROR(VLOOKUP(B235,$A$5:$B$504,2,FALSE),""),$A$5:$B$504,2,FALSE),""),$A$5:$C$504,3,FALSE)/100,1))</f>
        <v/>
      </c>
      <c r="E235" s="21">
        <f>IF(A235="","",SUMIF('Grup Eşleme'!$B$5:$B$504,A235,'Grup Eşleme'!$C$5:$C$504))</f>
        <v/>
      </c>
      <c r="F235" s="27">
        <f>IF(OR(A235="",'Metraj Mahal Listesi'!$K$3=0,COUNTIF($B$5:$B$504,A235)&gt;0),"",E235/'Metraj Mahal Listesi'!$K$3*100)</f>
        <v/>
      </c>
      <c r="G235" s="28">
        <f>IF(OR(D235="",F235=""),"",F235-D235)</f>
        <v/>
      </c>
      <c r="H235" s="29">
        <f>IF(OR(G235="",D235=0),"",G235/D235*100)</f>
        <v/>
      </c>
      <c r="I235" s="30">
        <f>IF(A235="","",IF(COUNTIF($B$5:$B$504,A235)&gt;0,IF(ABS(SUMIF($B$5:$B$504,A235,$C$5:$C$504)-100)&lt;0.0001,"✔ alt gruplar Σ=100","⚠ alt gruplar Σ≠100"),IF(G235="","—",IF(ABS(G235)&lt;=PursUyum,"✔ uyumlu",IF(ABS(G235)&lt;=PursCiddi,"⚠ dikkat","✗ ciddi fark")))))</f>
        <v/>
      </c>
      <c r="J235" s="5" t="n"/>
      <c r="K235" s="5" t="n"/>
    </row>
    <row r="236">
      <c r="A236" s="5" t="n"/>
      <c r="B236" s="5" t="n"/>
      <c r="C236" s="26" t="n"/>
      <c r="D236" s="27">
        <f>IF(OR(A236="",C236=""),"",C236*IFERROR(VLOOKUP(B236,$A$5:$C$504,3,FALSE)/100,1)*IFERROR(VLOOKUP(IFERROR(VLOOKUP(B236,$A$5:$B$504,2,FALSE),""),$A$5:$C$504,3,FALSE)/100,1)*IFERROR(VLOOKUP(IFERROR(VLOOKUP(IFERROR(VLOOKUP(B236,$A$5:$B$504,2,FALSE),""),$A$5:$B$504,2,FALSE),""),$A$5:$C$504,3,FALSE)/100,1))</f>
        <v/>
      </c>
      <c r="E236" s="21">
        <f>IF(A236="","",SUMIF('Grup Eşleme'!$B$5:$B$504,A236,'Grup Eşleme'!$C$5:$C$504))</f>
        <v/>
      </c>
      <c r="F236" s="27">
        <f>IF(OR(A236="",'Metraj Mahal Listesi'!$K$3=0,COUNTIF($B$5:$B$504,A236)&gt;0),"",E236/'Metraj Mahal Listesi'!$K$3*100)</f>
        <v/>
      </c>
      <c r="G236" s="28">
        <f>IF(OR(D236="",F236=""),"",F236-D236)</f>
        <v/>
      </c>
      <c r="H236" s="29">
        <f>IF(OR(G236="",D236=0),"",G236/D236*100)</f>
        <v/>
      </c>
      <c r="I236" s="30">
        <f>IF(A236="","",IF(COUNTIF($B$5:$B$504,A236)&gt;0,IF(ABS(SUMIF($B$5:$B$504,A236,$C$5:$C$504)-100)&lt;0.0001,"✔ alt gruplar Σ=100","⚠ alt gruplar Σ≠100"),IF(G236="","—",IF(ABS(G236)&lt;=PursUyum,"✔ uyumlu",IF(ABS(G236)&lt;=PursCiddi,"⚠ dikkat","✗ ciddi fark")))))</f>
        <v/>
      </c>
      <c r="J236" s="5" t="n"/>
      <c r="K236" s="5" t="n"/>
    </row>
    <row r="237">
      <c r="A237" s="5" t="n"/>
      <c r="B237" s="5" t="n"/>
      <c r="C237" s="26" t="n"/>
      <c r="D237" s="27">
        <f>IF(OR(A237="",C237=""),"",C237*IFERROR(VLOOKUP(B237,$A$5:$C$504,3,FALSE)/100,1)*IFERROR(VLOOKUP(IFERROR(VLOOKUP(B237,$A$5:$B$504,2,FALSE),""),$A$5:$C$504,3,FALSE)/100,1)*IFERROR(VLOOKUP(IFERROR(VLOOKUP(IFERROR(VLOOKUP(B237,$A$5:$B$504,2,FALSE),""),$A$5:$B$504,2,FALSE),""),$A$5:$C$504,3,FALSE)/100,1))</f>
        <v/>
      </c>
      <c r="E237" s="21">
        <f>IF(A237="","",SUMIF('Grup Eşleme'!$B$5:$B$504,A237,'Grup Eşleme'!$C$5:$C$504))</f>
        <v/>
      </c>
      <c r="F237" s="27">
        <f>IF(OR(A237="",'Metraj Mahal Listesi'!$K$3=0,COUNTIF($B$5:$B$504,A237)&gt;0),"",E237/'Metraj Mahal Listesi'!$K$3*100)</f>
        <v/>
      </c>
      <c r="G237" s="28">
        <f>IF(OR(D237="",F237=""),"",F237-D237)</f>
        <v/>
      </c>
      <c r="H237" s="29">
        <f>IF(OR(G237="",D237=0),"",G237/D237*100)</f>
        <v/>
      </c>
      <c r="I237" s="30">
        <f>IF(A237="","",IF(COUNTIF($B$5:$B$504,A237)&gt;0,IF(ABS(SUMIF($B$5:$B$504,A237,$C$5:$C$504)-100)&lt;0.0001,"✔ alt gruplar Σ=100","⚠ alt gruplar Σ≠100"),IF(G237="","—",IF(ABS(G237)&lt;=PursUyum,"✔ uyumlu",IF(ABS(G237)&lt;=PursCiddi,"⚠ dikkat","✗ ciddi fark")))))</f>
        <v/>
      </c>
      <c r="J237" s="5" t="n"/>
      <c r="K237" s="5" t="n"/>
    </row>
    <row r="238">
      <c r="A238" s="5" t="n"/>
      <c r="B238" s="5" t="n"/>
      <c r="C238" s="26" t="n"/>
      <c r="D238" s="27">
        <f>IF(OR(A238="",C238=""),"",C238*IFERROR(VLOOKUP(B238,$A$5:$C$504,3,FALSE)/100,1)*IFERROR(VLOOKUP(IFERROR(VLOOKUP(B238,$A$5:$B$504,2,FALSE),""),$A$5:$C$504,3,FALSE)/100,1)*IFERROR(VLOOKUP(IFERROR(VLOOKUP(IFERROR(VLOOKUP(B238,$A$5:$B$504,2,FALSE),""),$A$5:$B$504,2,FALSE),""),$A$5:$C$504,3,FALSE)/100,1))</f>
        <v/>
      </c>
      <c r="E238" s="21">
        <f>IF(A238="","",SUMIF('Grup Eşleme'!$B$5:$B$504,A238,'Grup Eşleme'!$C$5:$C$504))</f>
        <v/>
      </c>
      <c r="F238" s="27">
        <f>IF(OR(A238="",'Metraj Mahal Listesi'!$K$3=0,COUNTIF($B$5:$B$504,A238)&gt;0),"",E238/'Metraj Mahal Listesi'!$K$3*100)</f>
        <v/>
      </c>
      <c r="G238" s="28">
        <f>IF(OR(D238="",F238=""),"",F238-D238)</f>
        <v/>
      </c>
      <c r="H238" s="29">
        <f>IF(OR(G238="",D238=0),"",G238/D238*100)</f>
        <v/>
      </c>
      <c r="I238" s="30">
        <f>IF(A238="","",IF(COUNTIF($B$5:$B$504,A238)&gt;0,IF(ABS(SUMIF($B$5:$B$504,A238,$C$5:$C$504)-100)&lt;0.0001,"✔ alt gruplar Σ=100","⚠ alt gruplar Σ≠100"),IF(G238="","—",IF(ABS(G238)&lt;=PursUyum,"✔ uyumlu",IF(ABS(G238)&lt;=PursCiddi,"⚠ dikkat","✗ ciddi fark")))))</f>
        <v/>
      </c>
      <c r="J238" s="5" t="n"/>
      <c r="K238" s="5" t="n"/>
    </row>
    <row r="239">
      <c r="A239" s="5" t="n"/>
      <c r="B239" s="5" t="n"/>
      <c r="C239" s="26" t="n"/>
      <c r="D239" s="27">
        <f>IF(OR(A239="",C239=""),"",C239*IFERROR(VLOOKUP(B239,$A$5:$C$504,3,FALSE)/100,1)*IFERROR(VLOOKUP(IFERROR(VLOOKUP(B239,$A$5:$B$504,2,FALSE),""),$A$5:$C$504,3,FALSE)/100,1)*IFERROR(VLOOKUP(IFERROR(VLOOKUP(IFERROR(VLOOKUP(B239,$A$5:$B$504,2,FALSE),""),$A$5:$B$504,2,FALSE),""),$A$5:$C$504,3,FALSE)/100,1))</f>
        <v/>
      </c>
      <c r="E239" s="21">
        <f>IF(A239="","",SUMIF('Grup Eşleme'!$B$5:$B$504,A239,'Grup Eşleme'!$C$5:$C$504))</f>
        <v/>
      </c>
      <c r="F239" s="27">
        <f>IF(OR(A239="",'Metraj Mahal Listesi'!$K$3=0,COUNTIF($B$5:$B$504,A239)&gt;0),"",E239/'Metraj Mahal Listesi'!$K$3*100)</f>
        <v/>
      </c>
      <c r="G239" s="28">
        <f>IF(OR(D239="",F239=""),"",F239-D239)</f>
        <v/>
      </c>
      <c r="H239" s="29">
        <f>IF(OR(G239="",D239=0),"",G239/D239*100)</f>
        <v/>
      </c>
      <c r="I239" s="30">
        <f>IF(A239="","",IF(COUNTIF($B$5:$B$504,A239)&gt;0,IF(ABS(SUMIF($B$5:$B$504,A239,$C$5:$C$504)-100)&lt;0.0001,"✔ alt gruplar Σ=100","⚠ alt gruplar Σ≠100"),IF(G239="","—",IF(ABS(G239)&lt;=PursUyum,"✔ uyumlu",IF(ABS(G239)&lt;=PursCiddi,"⚠ dikkat","✗ ciddi fark")))))</f>
        <v/>
      </c>
      <c r="J239" s="5" t="n"/>
      <c r="K239" s="5" t="n"/>
    </row>
    <row r="240">
      <c r="A240" s="5" t="n"/>
      <c r="B240" s="5" t="n"/>
      <c r="C240" s="26" t="n"/>
      <c r="D240" s="27">
        <f>IF(OR(A240="",C240=""),"",C240*IFERROR(VLOOKUP(B240,$A$5:$C$504,3,FALSE)/100,1)*IFERROR(VLOOKUP(IFERROR(VLOOKUP(B240,$A$5:$B$504,2,FALSE),""),$A$5:$C$504,3,FALSE)/100,1)*IFERROR(VLOOKUP(IFERROR(VLOOKUP(IFERROR(VLOOKUP(B240,$A$5:$B$504,2,FALSE),""),$A$5:$B$504,2,FALSE),""),$A$5:$C$504,3,FALSE)/100,1))</f>
        <v/>
      </c>
      <c r="E240" s="21">
        <f>IF(A240="","",SUMIF('Grup Eşleme'!$B$5:$B$504,A240,'Grup Eşleme'!$C$5:$C$504))</f>
        <v/>
      </c>
      <c r="F240" s="27">
        <f>IF(OR(A240="",'Metraj Mahal Listesi'!$K$3=0,COUNTIF($B$5:$B$504,A240)&gt;0),"",E240/'Metraj Mahal Listesi'!$K$3*100)</f>
        <v/>
      </c>
      <c r="G240" s="28">
        <f>IF(OR(D240="",F240=""),"",F240-D240)</f>
        <v/>
      </c>
      <c r="H240" s="29">
        <f>IF(OR(G240="",D240=0),"",G240/D240*100)</f>
        <v/>
      </c>
      <c r="I240" s="30">
        <f>IF(A240="","",IF(COUNTIF($B$5:$B$504,A240)&gt;0,IF(ABS(SUMIF($B$5:$B$504,A240,$C$5:$C$504)-100)&lt;0.0001,"✔ alt gruplar Σ=100","⚠ alt gruplar Σ≠100"),IF(G240="","—",IF(ABS(G240)&lt;=PursUyum,"✔ uyumlu",IF(ABS(G240)&lt;=PursCiddi,"⚠ dikkat","✗ ciddi fark")))))</f>
        <v/>
      </c>
      <c r="J240" s="5" t="n"/>
      <c r="K240" s="5" t="n"/>
    </row>
    <row r="241">
      <c r="A241" s="5" t="n"/>
      <c r="B241" s="5" t="n"/>
      <c r="C241" s="26" t="n"/>
      <c r="D241" s="27">
        <f>IF(OR(A241="",C241=""),"",C241*IFERROR(VLOOKUP(B241,$A$5:$C$504,3,FALSE)/100,1)*IFERROR(VLOOKUP(IFERROR(VLOOKUP(B241,$A$5:$B$504,2,FALSE),""),$A$5:$C$504,3,FALSE)/100,1)*IFERROR(VLOOKUP(IFERROR(VLOOKUP(IFERROR(VLOOKUP(B241,$A$5:$B$504,2,FALSE),""),$A$5:$B$504,2,FALSE),""),$A$5:$C$504,3,FALSE)/100,1))</f>
        <v/>
      </c>
      <c r="E241" s="21">
        <f>IF(A241="","",SUMIF('Grup Eşleme'!$B$5:$B$504,A241,'Grup Eşleme'!$C$5:$C$504))</f>
        <v/>
      </c>
      <c r="F241" s="27">
        <f>IF(OR(A241="",'Metraj Mahal Listesi'!$K$3=0,COUNTIF($B$5:$B$504,A241)&gt;0),"",E241/'Metraj Mahal Listesi'!$K$3*100)</f>
        <v/>
      </c>
      <c r="G241" s="28">
        <f>IF(OR(D241="",F241=""),"",F241-D241)</f>
        <v/>
      </c>
      <c r="H241" s="29">
        <f>IF(OR(G241="",D241=0),"",G241/D241*100)</f>
        <v/>
      </c>
      <c r="I241" s="30">
        <f>IF(A241="","",IF(COUNTIF($B$5:$B$504,A241)&gt;0,IF(ABS(SUMIF($B$5:$B$504,A241,$C$5:$C$504)-100)&lt;0.0001,"✔ alt gruplar Σ=100","⚠ alt gruplar Σ≠100"),IF(G241="","—",IF(ABS(G241)&lt;=PursUyum,"✔ uyumlu",IF(ABS(G241)&lt;=PursCiddi,"⚠ dikkat","✗ ciddi fark")))))</f>
        <v/>
      </c>
      <c r="J241" s="5" t="n"/>
      <c r="K241" s="5" t="n"/>
    </row>
    <row r="242">
      <c r="A242" s="5" t="n"/>
      <c r="B242" s="5" t="n"/>
      <c r="C242" s="26" t="n"/>
      <c r="D242" s="27">
        <f>IF(OR(A242="",C242=""),"",C242*IFERROR(VLOOKUP(B242,$A$5:$C$504,3,FALSE)/100,1)*IFERROR(VLOOKUP(IFERROR(VLOOKUP(B242,$A$5:$B$504,2,FALSE),""),$A$5:$C$504,3,FALSE)/100,1)*IFERROR(VLOOKUP(IFERROR(VLOOKUP(IFERROR(VLOOKUP(B242,$A$5:$B$504,2,FALSE),""),$A$5:$B$504,2,FALSE),""),$A$5:$C$504,3,FALSE)/100,1))</f>
        <v/>
      </c>
      <c r="E242" s="21">
        <f>IF(A242="","",SUMIF('Grup Eşleme'!$B$5:$B$504,A242,'Grup Eşleme'!$C$5:$C$504))</f>
        <v/>
      </c>
      <c r="F242" s="27">
        <f>IF(OR(A242="",'Metraj Mahal Listesi'!$K$3=0,COUNTIF($B$5:$B$504,A242)&gt;0),"",E242/'Metraj Mahal Listesi'!$K$3*100)</f>
        <v/>
      </c>
      <c r="G242" s="28">
        <f>IF(OR(D242="",F242=""),"",F242-D242)</f>
        <v/>
      </c>
      <c r="H242" s="29">
        <f>IF(OR(G242="",D242=0),"",G242/D242*100)</f>
        <v/>
      </c>
      <c r="I242" s="30">
        <f>IF(A242="","",IF(COUNTIF($B$5:$B$504,A242)&gt;0,IF(ABS(SUMIF($B$5:$B$504,A242,$C$5:$C$504)-100)&lt;0.0001,"✔ alt gruplar Σ=100","⚠ alt gruplar Σ≠100"),IF(G242="","—",IF(ABS(G242)&lt;=PursUyum,"✔ uyumlu",IF(ABS(G242)&lt;=PursCiddi,"⚠ dikkat","✗ ciddi fark")))))</f>
        <v/>
      </c>
      <c r="J242" s="5" t="n"/>
      <c r="K242" s="5" t="n"/>
    </row>
    <row r="243">
      <c r="A243" s="5" t="n"/>
      <c r="B243" s="5" t="n"/>
      <c r="C243" s="26" t="n"/>
      <c r="D243" s="27">
        <f>IF(OR(A243="",C243=""),"",C243*IFERROR(VLOOKUP(B243,$A$5:$C$504,3,FALSE)/100,1)*IFERROR(VLOOKUP(IFERROR(VLOOKUP(B243,$A$5:$B$504,2,FALSE),""),$A$5:$C$504,3,FALSE)/100,1)*IFERROR(VLOOKUP(IFERROR(VLOOKUP(IFERROR(VLOOKUP(B243,$A$5:$B$504,2,FALSE),""),$A$5:$B$504,2,FALSE),""),$A$5:$C$504,3,FALSE)/100,1))</f>
        <v/>
      </c>
      <c r="E243" s="21">
        <f>IF(A243="","",SUMIF('Grup Eşleme'!$B$5:$B$504,A243,'Grup Eşleme'!$C$5:$C$504))</f>
        <v/>
      </c>
      <c r="F243" s="27">
        <f>IF(OR(A243="",'Metraj Mahal Listesi'!$K$3=0,COUNTIF($B$5:$B$504,A243)&gt;0),"",E243/'Metraj Mahal Listesi'!$K$3*100)</f>
        <v/>
      </c>
      <c r="G243" s="28">
        <f>IF(OR(D243="",F243=""),"",F243-D243)</f>
        <v/>
      </c>
      <c r="H243" s="29">
        <f>IF(OR(G243="",D243=0),"",G243/D243*100)</f>
        <v/>
      </c>
      <c r="I243" s="30">
        <f>IF(A243="","",IF(COUNTIF($B$5:$B$504,A243)&gt;0,IF(ABS(SUMIF($B$5:$B$504,A243,$C$5:$C$504)-100)&lt;0.0001,"✔ alt gruplar Σ=100","⚠ alt gruplar Σ≠100"),IF(G243="","—",IF(ABS(G243)&lt;=PursUyum,"✔ uyumlu",IF(ABS(G243)&lt;=PursCiddi,"⚠ dikkat","✗ ciddi fark")))))</f>
        <v/>
      </c>
      <c r="J243" s="5" t="n"/>
      <c r="K243" s="5" t="n"/>
    </row>
    <row r="244">
      <c r="A244" s="5" t="n"/>
      <c r="B244" s="5" t="n"/>
      <c r="C244" s="26" t="n"/>
      <c r="D244" s="27">
        <f>IF(OR(A244="",C244=""),"",C244*IFERROR(VLOOKUP(B244,$A$5:$C$504,3,FALSE)/100,1)*IFERROR(VLOOKUP(IFERROR(VLOOKUP(B244,$A$5:$B$504,2,FALSE),""),$A$5:$C$504,3,FALSE)/100,1)*IFERROR(VLOOKUP(IFERROR(VLOOKUP(IFERROR(VLOOKUP(B244,$A$5:$B$504,2,FALSE),""),$A$5:$B$504,2,FALSE),""),$A$5:$C$504,3,FALSE)/100,1))</f>
        <v/>
      </c>
      <c r="E244" s="21">
        <f>IF(A244="","",SUMIF('Grup Eşleme'!$B$5:$B$504,A244,'Grup Eşleme'!$C$5:$C$504))</f>
        <v/>
      </c>
      <c r="F244" s="27">
        <f>IF(OR(A244="",'Metraj Mahal Listesi'!$K$3=0,COUNTIF($B$5:$B$504,A244)&gt;0),"",E244/'Metraj Mahal Listesi'!$K$3*100)</f>
        <v/>
      </c>
      <c r="G244" s="28">
        <f>IF(OR(D244="",F244=""),"",F244-D244)</f>
        <v/>
      </c>
      <c r="H244" s="29">
        <f>IF(OR(G244="",D244=0),"",G244/D244*100)</f>
        <v/>
      </c>
      <c r="I244" s="30">
        <f>IF(A244="","",IF(COUNTIF($B$5:$B$504,A244)&gt;0,IF(ABS(SUMIF($B$5:$B$504,A244,$C$5:$C$504)-100)&lt;0.0001,"✔ alt gruplar Σ=100","⚠ alt gruplar Σ≠100"),IF(G244="","—",IF(ABS(G244)&lt;=PursUyum,"✔ uyumlu",IF(ABS(G244)&lt;=PursCiddi,"⚠ dikkat","✗ ciddi fark")))))</f>
        <v/>
      </c>
      <c r="J244" s="5" t="n"/>
      <c r="K244" s="5" t="n"/>
    </row>
    <row r="245">
      <c r="A245" s="5" t="n"/>
      <c r="B245" s="5" t="n"/>
      <c r="C245" s="26" t="n"/>
      <c r="D245" s="27">
        <f>IF(OR(A245="",C245=""),"",C245*IFERROR(VLOOKUP(B245,$A$5:$C$504,3,FALSE)/100,1)*IFERROR(VLOOKUP(IFERROR(VLOOKUP(B245,$A$5:$B$504,2,FALSE),""),$A$5:$C$504,3,FALSE)/100,1)*IFERROR(VLOOKUP(IFERROR(VLOOKUP(IFERROR(VLOOKUP(B245,$A$5:$B$504,2,FALSE),""),$A$5:$B$504,2,FALSE),""),$A$5:$C$504,3,FALSE)/100,1))</f>
        <v/>
      </c>
      <c r="E245" s="21">
        <f>IF(A245="","",SUMIF('Grup Eşleme'!$B$5:$B$504,A245,'Grup Eşleme'!$C$5:$C$504))</f>
        <v/>
      </c>
      <c r="F245" s="27">
        <f>IF(OR(A245="",'Metraj Mahal Listesi'!$K$3=0,COUNTIF($B$5:$B$504,A245)&gt;0),"",E245/'Metraj Mahal Listesi'!$K$3*100)</f>
        <v/>
      </c>
      <c r="G245" s="28">
        <f>IF(OR(D245="",F245=""),"",F245-D245)</f>
        <v/>
      </c>
      <c r="H245" s="29">
        <f>IF(OR(G245="",D245=0),"",G245/D245*100)</f>
        <v/>
      </c>
      <c r="I245" s="30">
        <f>IF(A245="","",IF(COUNTIF($B$5:$B$504,A245)&gt;0,IF(ABS(SUMIF($B$5:$B$504,A245,$C$5:$C$504)-100)&lt;0.0001,"✔ alt gruplar Σ=100","⚠ alt gruplar Σ≠100"),IF(G245="","—",IF(ABS(G245)&lt;=PursUyum,"✔ uyumlu",IF(ABS(G245)&lt;=PursCiddi,"⚠ dikkat","✗ ciddi fark")))))</f>
        <v/>
      </c>
      <c r="J245" s="5" t="n"/>
      <c r="K245" s="5" t="n"/>
    </row>
    <row r="246">
      <c r="A246" s="5" t="n"/>
      <c r="B246" s="5" t="n"/>
      <c r="C246" s="26" t="n"/>
      <c r="D246" s="27">
        <f>IF(OR(A246="",C246=""),"",C246*IFERROR(VLOOKUP(B246,$A$5:$C$504,3,FALSE)/100,1)*IFERROR(VLOOKUP(IFERROR(VLOOKUP(B246,$A$5:$B$504,2,FALSE),""),$A$5:$C$504,3,FALSE)/100,1)*IFERROR(VLOOKUP(IFERROR(VLOOKUP(IFERROR(VLOOKUP(B246,$A$5:$B$504,2,FALSE),""),$A$5:$B$504,2,FALSE),""),$A$5:$C$504,3,FALSE)/100,1))</f>
        <v/>
      </c>
      <c r="E246" s="21">
        <f>IF(A246="","",SUMIF('Grup Eşleme'!$B$5:$B$504,A246,'Grup Eşleme'!$C$5:$C$504))</f>
        <v/>
      </c>
      <c r="F246" s="27">
        <f>IF(OR(A246="",'Metraj Mahal Listesi'!$K$3=0,COUNTIF($B$5:$B$504,A246)&gt;0),"",E246/'Metraj Mahal Listesi'!$K$3*100)</f>
        <v/>
      </c>
      <c r="G246" s="28">
        <f>IF(OR(D246="",F246=""),"",F246-D246)</f>
        <v/>
      </c>
      <c r="H246" s="29">
        <f>IF(OR(G246="",D246=0),"",G246/D246*100)</f>
        <v/>
      </c>
      <c r="I246" s="30">
        <f>IF(A246="","",IF(COUNTIF($B$5:$B$504,A246)&gt;0,IF(ABS(SUMIF($B$5:$B$504,A246,$C$5:$C$504)-100)&lt;0.0001,"✔ alt gruplar Σ=100","⚠ alt gruplar Σ≠100"),IF(G246="","—",IF(ABS(G246)&lt;=PursUyum,"✔ uyumlu",IF(ABS(G246)&lt;=PursCiddi,"⚠ dikkat","✗ ciddi fark")))))</f>
        <v/>
      </c>
      <c r="J246" s="5" t="n"/>
      <c r="K246" s="5" t="n"/>
    </row>
    <row r="247">
      <c r="A247" s="5" t="n"/>
      <c r="B247" s="5" t="n"/>
      <c r="C247" s="26" t="n"/>
      <c r="D247" s="27">
        <f>IF(OR(A247="",C247=""),"",C247*IFERROR(VLOOKUP(B247,$A$5:$C$504,3,FALSE)/100,1)*IFERROR(VLOOKUP(IFERROR(VLOOKUP(B247,$A$5:$B$504,2,FALSE),""),$A$5:$C$504,3,FALSE)/100,1)*IFERROR(VLOOKUP(IFERROR(VLOOKUP(IFERROR(VLOOKUP(B247,$A$5:$B$504,2,FALSE),""),$A$5:$B$504,2,FALSE),""),$A$5:$C$504,3,FALSE)/100,1))</f>
        <v/>
      </c>
      <c r="E247" s="21">
        <f>IF(A247="","",SUMIF('Grup Eşleme'!$B$5:$B$504,A247,'Grup Eşleme'!$C$5:$C$504))</f>
        <v/>
      </c>
      <c r="F247" s="27">
        <f>IF(OR(A247="",'Metraj Mahal Listesi'!$K$3=0,COUNTIF($B$5:$B$504,A247)&gt;0),"",E247/'Metraj Mahal Listesi'!$K$3*100)</f>
        <v/>
      </c>
      <c r="G247" s="28">
        <f>IF(OR(D247="",F247=""),"",F247-D247)</f>
        <v/>
      </c>
      <c r="H247" s="29">
        <f>IF(OR(G247="",D247=0),"",G247/D247*100)</f>
        <v/>
      </c>
      <c r="I247" s="30">
        <f>IF(A247="","",IF(COUNTIF($B$5:$B$504,A247)&gt;0,IF(ABS(SUMIF($B$5:$B$504,A247,$C$5:$C$504)-100)&lt;0.0001,"✔ alt gruplar Σ=100","⚠ alt gruplar Σ≠100"),IF(G247="","—",IF(ABS(G247)&lt;=PursUyum,"✔ uyumlu",IF(ABS(G247)&lt;=PursCiddi,"⚠ dikkat","✗ ciddi fark")))))</f>
        <v/>
      </c>
      <c r="J247" s="5" t="n"/>
      <c r="K247" s="5" t="n"/>
    </row>
    <row r="248">
      <c r="A248" s="5" t="n"/>
      <c r="B248" s="5" t="n"/>
      <c r="C248" s="26" t="n"/>
      <c r="D248" s="27">
        <f>IF(OR(A248="",C248=""),"",C248*IFERROR(VLOOKUP(B248,$A$5:$C$504,3,FALSE)/100,1)*IFERROR(VLOOKUP(IFERROR(VLOOKUP(B248,$A$5:$B$504,2,FALSE),""),$A$5:$C$504,3,FALSE)/100,1)*IFERROR(VLOOKUP(IFERROR(VLOOKUP(IFERROR(VLOOKUP(B248,$A$5:$B$504,2,FALSE),""),$A$5:$B$504,2,FALSE),""),$A$5:$C$504,3,FALSE)/100,1))</f>
        <v/>
      </c>
      <c r="E248" s="21">
        <f>IF(A248="","",SUMIF('Grup Eşleme'!$B$5:$B$504,A248,'Grup Eşleme'!$C$5:$C$504))</f>
        <v/>
      </c>
      <c r="F248" s="27">
        <f>IF(OR(A248="",'Metraj Mahal Listesi'!$K$3=0,COUNTIF($B$5:$B$504,A248)&gt;0),"",E248/'Metraj Mahal Listesi'!$K$3*100)</f>
        <v/>
      </c>
      <c r="G248" s="28">
        <f>IF(OR(D248="",F248=""),"",F248-D248)</f>
        <v/>
      </c>
      <c r="H248" s="29">
        <f>IF(OR(G248="",D248=0),"",G248/D248*100)</f>
        <v/>
      </c>
      <c r="I248" s="30">
        <f>IF(A248="","",IF(COUNTIF($B$5:$B$504,A248)&gt;0,IF(ABS(SUMIF($B$5:$B$504,A248,$C$5:$C$504)-100)&lt;0.0001,"✔ alt gruplar Σ=100","⚠ alt gruplar Σ≠100"),IF(G248="","—",IF(ABS(G248)&lt;=PursUyum,"✔ uyumlu",IF(ABS(G248)&lt;=PursCiddi,"⚠ dikkat","✗ ciddi fark")))))</f>
        <v/>
      </c>
      <c r="J248" s="5" t="n"/>
      <c r="K248" s="5" t="n"/>
    </row>
    <row r="249">
      <c r="A249" s="5" t="n"/>
      <c r="B249" s="5" t="n"/>
      <c r="C249" s="26" t="n"/>
      <c r="D249" s="27">
        <f>IF(OR(A249="",C249=""),"",C249*IFERROR(VLOOKUP(B249,$A$5:$C$504,3,FALSE)/100,1)*IFERROR(VLOOKUP(IFERROR(VLOOKUP(B249,$A$5:$B$504,2,FALSE),""),$A$5:$C$504,3,FALSE)/100,1)*IFERROR(VLOOKUP(IFERROR(VLOOKUP(IFERROR(VLOOKUP(B249,$A$5:$B$504,2,FALSE),""),$A$5:$B$504,2,FALSE),""),$A$5:$C$504,3,FALSE)/100,1))</f>
        <v/>
      </c>
      <c r="E249" s="21">
        <f>IF(A249="","",SUMIF('Grup Eşleme'!$B$5:$B$504,A249,'Grup Eşleme'!$C$5:$C$504))</f>
        <v/>
      </c>
      <c r="F249" s="27">
        <f>IF(OR(A249="",'Metraj Mahal Listesi'!$K$3=0,COUNTIF($B$5:$B$504,A249)&gt;0),"",E249/'Metraj Mahal Listesi'!$K$3*100)</f>
        <v/>
      </c>
      <c r="G249" s="28">
        <f>IF(OR(D249="",F249=""),"",F249-D249)</f>
        <v/>
      </c>
      <c r="H249" s="29">
        <f>IF(OR(G249="",D249=0),"",G249/D249*100)</f>
        <v/>
      </c>
      <c r="I249" s="30">
        <f>IF(A249="","",IF(COUNTIF($B$5:$B$504,A249)&gt;0,IF(ABS(SUMIF($B$5:$B$504,A249,$C$5:$C$504)-100)&lt;0.0001,"✔ alt gruplar Σ=100","⚠ alt gruplar Σ≠100"),IF(G249="","—",IF(ABS(G249)&lt;=PursUyum,"✔ uyumlu",IF(ABS(G249)&lt;=PursCiddi,"⚠ dikkat","✗ ciddi fark")))))</f>
        <v/>
      </c>
      <c r="J249" s="5" t="n"/>
      <c r="K249" s="5" t="n"/>
    </row>
    <row r="250">
      <c r="A250" s="5" t="n"/>
      <c r="B250" s="5" t="n"/>
      <c r="C250" s="26" t="n"/>
      <c r="D250" s="27">
        <f>IF(OR(A250="",C250=""),"",C250*IFERROR(VLOOKUP(B250,$A$5:$C$504,3,FALSE)/100,1)*IFERROR(VLOOKUP(IFERROR(VLOOKUP(B250,$A$5:$B$504,2,FALSE),""),$A$5:$C$504,3,FALSE)/100,1)*IFERROR(VLOOKUP(IFERROR(VLOOKUP(IFERROR(VLOOKUP(B250,$A$5:$B$504,2,FALSE),""),$A$5:$B$504,2,FALSE),""),$A$5:$C$504,3,FALSE)/100,1))</f>
        <v/>
      </c>
      <c r="E250" s="21">
        <f>IF(A250="","",SUMIF('Grup Eşleme'!$B$5:$B$504,A250,'Grup Eşleme'!$C$5:$C$504))</f>
        <v/>
      </c>
      <c r="F250" s="27">
        <f>IF(OR(A250="",'Metraj Mahal Listesi'!$K$3=0,COUNTIF($B$5:$B$504,A250)&gt;0),"",E250/'Metraj Mahal Listesi'!$K$3*100)</f>
        <v/>
      </c>
      <c r="G250" s="28">
        <f>IF(OR(D250="",F250=""),"",F250-D250)</f>
        <v/>
      </c>
      <c r="H250" s="29">
        <f>IF(OR(G250="",D250=0),"",G250/D250*100)</f>
        <v/>
      </c>
      <c r="I250" s="30">
        <f>IF(A250="","",IF(COUNTIF($B$5:$B$504,A250)&gt;0,IF(ABS(SUMIF($B$5:$B$504,A250,$C$5:$C$504)-100)&lt;0.0001,"✔ alt gruplar Σ=100","⚠ alt gruplar Σ≠100"),IF(G250="","—",IF(ABS(G250)&lt;=PursUyum,"✔ uyumlu",IF(ABS(G250)&lt;=PursCiddi,"⚠ dikkat","✗ ciddi fark")))))</f>
        <v/>
      </c>
      <c r="J250" s="5" t="n"/>
      <c r="K250" s="5" t="n"/>
    </row>
    <row r="251">
      <c r="A251" s="5" t="n"/>
      <c r="B251" s="5" t="n"/>
      <c r="C251" s="26" t="n"/>
      <c r="D251" s="27">
        <f>IF(OR(A251="",C251=""),"",C251*IFERROR(VLOOKUP(B251,$A$5:$C$504,3,FALSE)/100,1)*IFERROR(VLOOKUP(IFERROR(VLOOKUP(B251,$A$5:$B$504,2,FALSE),""),$A$5:$C$504,3,FALSE)/100,1)*IFERROR(VLOOKUP(IFERROR(VLOOKUP(IFERROR(VLOOKUP(B251,$A$5:$B$504,2,FALSE),""),$A$5:$B$504,2,FALSE),""),$A$5:$C$504,3,FALSE)/100,1))</f>
        <v/>
      </c>
      <c r="E251" s="21">
        <f>IF(A251="","",SUMIF('Grup Eşleme'!$B$5:$B$504,A251,'Grup Eşleme'!$C$5:$C$504))</f>
        <v/>
      </c>
      <c r="F251" s="27">
        <f>IF(OR(A251="",'Metraj Mahal Listesi'!$K$3=0,COUNTIF($B$5:$B$504,A251)&gt;0),"",E251/'Metraj Mahal Listesi'!$K$3*100)</f>
        <v/>
      </c>
      <c r="G251" s="28">
        <f>IF(OR(D251="",F251=""),"",F251-D251)</f>
        <v/>
      </c>
      <c r="H251" s="29">
        <f>IF(OR(G251="",D251=0),"",G251/D251*100)</f>
        <v/>
      </c>
      <c r="I251" s="30">
        <f>IF(A251="","",IF(COUNTIF($B$5:$B$504,A251)&gt;0,IF(ABS(SUMIF($B$5:$B$504,A251,$C$5:$C$504)-100)&lt;0.0001,"✔ alt gruplar Σ=100","⚠ alt gruplar Σ≠100"),IF(G251="","—",IF(ABS(G251)&lt;=PursUyum,"✔ uyumlu",IF(ABS(G251)&lt;=PursCiddi,"⚠ dikkat","✗ ciddi fark")))))</f>
        <v/>
      </c>
      <c r="J251" s="5" t="n"/>
      <c r="K251" s="5" t="n"/>
    </row>
    <row r="252">
      <c r="A252" s="5" t="n"/>
      <c r="B252" s="5" t="n"/>
      <c r="C252" s="26" t="n"/>
      <c r="D252" s="27">
        <f>IF(OR(A252="",C252=""),"",C252*IFERROR(VLOOKUP(B252,$A$5:$C$504,3,FALSE)/100,1)*IFERROR(VLOOKUP(IFERROR(VLOOKUP(B252,$A$5:$B$504,2,FALSE),""),$A$5:$C$504,3,FALSE)/100,1)*IFERROR(VLOOKUP(IFERROR(VLOOKUP(IFERROR(VLOOKUP(B252,$A$5:$B$504,2,FALSE),""),$A$5:$B$504,2,FALSE),""),$A$5:$C$504,3,FALSE)/100,1))</f>
        <v/>
      </c>
      <c r="E252" s="21">
        <f>IF(A252="","",SUMIF('Grup Eşleme'!$B$5:$B$504,A252,'Grup Eşleme'!$C$5:$C$504))</f>
        <v/>
      </c>
      <c r="F252" s="27">
        <f>IF(OR(A252="",'Metraj Mahal Listesi'!$K$3=0,COUNTIF($B$5:$B$504,A252)&gt;0),"",E252/'Metraj Mahal Listesi'!$K$3*100)</f>
        <v/>
      </c>
      <c r="G252" s="28">
        <f>IF(OR(D252="",F252=""),"",F252-D252)</f>
        <v/>
      </c>
      <c r="H252" s="29">
        <f>IF(OR(G252="",D252=0),"",G252/D252*100)</f>
        <v/>
      </c>
      <c r="I252" s="30">
        <f>IF(A252="","",IF(COUNTIF($B$5:$B$504,A252)&gt;0,IF(ABS(SUMIF($B$5:$B$504,A252,$C$5:$C$504)-100)&lt;0.0001,"✔ alt gruplar Σ=100","⚠ alt gruplar Σ≠100"),IF(G252="","—",IF(ABS(G252)&lt;=PursUyum,"✔ uyumlu",IF(ABS(G252)&lt;=PursCiddi,"⚠ dikkat","✗ ciddi fark")))))</f>
        <v/>
      </c>
      <c r="J252" s="5" t="n"/>
      <c r="K252" s="5" t="n"/>
    </row>
    <row r="253">
      <c r="A253" s="5" t="n"/>
      <c r="B253" s="5" t="n"/>
      <c r="C253" s="26" t="n"/>
      <c r="D253" s="27">
        <f>IF(OR(A253="",C253=""),"",C253*IFERROR(VLOOKUP(B253,$A$5:$C$504,3,FALSE)/100,1)*IFERROR(VLOOKUP(IFERROR(VLOOKUP(B253,$A$5:$B$504,2,FALSE),""),$A$5:$C$504,3,FALSE)/100,1)*IFERROR(VLOOKUP(IFERROR(VLOOKUP(IFERROR(VLOOKUP(B253,$A$5:$B$504,2,FALSE),""),$A$5:$B$504,2,FALSE),""),$A$5:$C$504,3,FALSE)/100,1))</f>
        <v/>
      </c>
      <c r="E253" s="21">
        <f>IF(A253="","",SUMIF('Grup Eşleme'!$B$5:$B$504,A253,'Grup Eşleme'!$C$5:$C$504))</f>
        <v/>
      </c>
      <c r="F253" s="27">
        <f>IF(OR(A253="",'Metraj Mahal Listesi'!$K$3=0,COUNTIF($B$5:$B$504,A253)&gt;0),"",E253/'Metraj Mahal Listesi'!$K$3*100)</f>
        <v/>
      </c>
      <c r="G253" s="28">
        <f>IF(OR(D253="",F253=""),"",F253-D253)</f>
        <v/>
      </c>
      <c r="H253" s="29">
        <f>IF(OR(G253="",D253=0),"",G253/D253*100)</f>
        <v/>
      </c>
      <c r="I253" s="30">
        <f>IF(A253="","",IF(COUNTIF($B$5:$B$504,A253)&gt;0,IF(ABS(SUMIF($B$5:$B$504,A253,$C$5:$C$504)-100)&lt;0.0001,"✔ alt gruplar Σ=100","⚠ alt gruplar Σ≠100"),IF(G253="","—",IF(ABS(G253)&lt;=PursUyum,"✔ uyumlu",IF(ABS(G253)&lt;=PursCiddi,"⚠ dikkat","✗ ciddi fark")))))</f>
        <v/>
      </c>
      <c r="J253" s="5" t="n"/>
      <c r="K253" s="5" t="n"/>
    </row>
    <row r="254">
      <c r="A254" s="5" t="n"/>
      <c r="B254" s="5" t="n"/>
      <c r="C254" s="26" t="n"/>
      <c r="D254" s="27">
        <f>IF(OR(A254="",C254=""),"",C254*IFERROR(VLOOKUP(B254,$A$5:$C$504,3,FALSE)/100,1)*IFERROR(VLOOKUP(IFERROR(VLOOKUP(B254,$A$5:$B$504,2,FALSE),""),$A$5:$C$504,3,FALSE)/100,1)*IFERROR(VLOOKUP(IFERROR(VLOOKUP(IFERROR(VLOOKUP(B254,$A$5:$B$504,2,FALSE),""),$A$5:$B$504,2,FALSE),""),$A$5:$C$504,3,FALSE)/100,1))</f>
        <v/>
      </c>
      <c r="E254" s="21">
        <f>IF(A254="","",SUMIF('Grup Eşleme'!$B$5:$B$504,A254,'Grup Eşleme'!$C$5:$C$504))</f>
        <v/>
      </c>
      <c r="F254" s="27">
        <f>IF(OR(A254="",'Metraj Mahal Listesi'!$K$3=0,COUNTIF($B$5:$B$504,A254)&gt;0),"",E254/'Metraj Mahal Listesi'!$K$3*100)</f>
        <v/>
      </c>
      <c r="G254" s="28">
        <f>IF(OR(D254="",F254=""),"",F254-D254)</f>
        <v/>
      </c>
      <c r="H254" s="29">
        <f>IF(OR(G254="",D254=0),"",G254/D254*100)</f>
        <v/>
      </c>
      <c r="I254" s="30">
        <f>IF(A254="","",IF(COUNTIF($B$5:$B$504,A254)&gt;0,IF(ABS(SUMIF($B$5:$B$504,A254,$C$5:$C$504)-100)&lt;0.0001,"✔ alt gruplar Σ=100","⚠ alt gruplar Σ≠100"),IF(G254="","—",IF(ABS(G254)&lt;=PursUyum,"✔ uyumlu",IF(ABS(G254)&lt;=PursCiddi,"⚠ dikkat","✗ ciddi fark")))))</f>
        <v/>
      </c>
      <c r="J254" s="5" t="n"/>
      <c r="K254" s="5" t="n"/>
    </row>
    <row r="255">
      <c r="A255" s="5" t="n"/>
      <c r="B255" s="5" t="n"/>
      <c r="C255" s="26" t="n"/>
      <c r="D255" s="27">
        <f>IF(OR(A255="",C255=""),"",C255*IFERROR(VLOOKUP(B255,$A$5:$C$504,3,FALSE)/100,1)*IFERROR(VLOOKUP(IFERROR(VLOOKUP(B255,$A$5:$B$504,2,FALSE),""),$A$5:$C$504,3,FALSE)/100,1)*IFERROR(VLOOKUP(IFERROR(VLOOKUP(IFERROR(VLOOKUP(B255,$A$5:$B$504,2,FALSE),""),$A$5:$B$504,2,FALSE),""),$A$5:$C$504,3,FALSE)/100,1))</f>
        <v/>
      </c>
      <c r="E255" s="21">
        <f>IF(A255="","",SUMIF('Grup Eşleme'!$B$5:$B$504,A255,'Grup Eşleme'!$C$5:$C$504))</f>
        <v/>
      </c>
      <c r="F255" s="27">
        <f>IF(OR(A255="",'Metraj Mahal Listesi'!$K$3=0,COUNTIF($B$5:$B$504,A255)&gt;0),"",E255/'Metraj Mahal Listesi'!$K$3*100)</f>
        <v/>
      </c>
      <c r="G255" s="28">
        <f>IF(OR(D255="",F255=""),"",F255-D255)</f>
        <v/>
      </c>
      <c r="H255" s="29">
        <f>IF(OR(G255="",D255=0),"",G255/D255*100)</f>
        <v/>
      </c>
      <c r="I255" s="30">
        <f>IF(A255="","",IF(COUNTIF($B$5:$B$504,A255)&gt;0,IF(ABS(SUMIF($B$5:$B$504,A255,$C$5:$C$504)-100)&lt;0.0001,"✔ alt gruplar Σ=100","⚠ alt gruplar Σ≠100"),IF(G255="","—",IF(ABS(G255)&lt;=PursUyum,"✔ uyumlu",IF(ABS(G255)&lt;=PursCiddi,"⚠ dikkat","✗ ciddi fark")))))</f>
        <v/>
      </c>
      <c r="J255" s="5" t="n"/>
      <c r="K255" s="5" t="n"/>
    </row>
    <row r="256">
      <c r="A256" s="5" t="n"/>
      <c r="B256" s="5" t="n"/>
      <c r="C256" s="26" t="n"/>
      <c r="D256" s="27">
        <f>IF(OR(A256="",C256=""),"",C256*IFERROR(VLOOKUP(B256,$A$5:$C$504,3,FALSE)/100,1)*IFERROR(VLOOKUP(IFERROR(VLOOKUP(B256,$A$5:$B$504,2,FALSE),""),$A$5:$C$504,3,FALSE)/100,1)*IFERROR(VLOOKUP(IFERROR(VLOOKUP(IFERROR(VLOOKUP(B256,$A$5:$B$504,2,FALSE),""),$A$5:$B$504,2,FALSE),""),$A$5:$C$504,3,FALSE)/100,1))</f>
        <v/>
      </c>
      <c r="E256" s="21">
        <f>IF(A256="","",SUMIF('Grup Eşleme'!$B$5:$B$504,A256,'Grup Eşleme'!$C$5:$C$504))</f>
        <v/>
      </c>
      <c r="F256" s="27">
        <f>IF(OR(A256="",'Metraj Mahal Listesi'!$K$3=0,COUNTIF($B$5:$B$504,A256)&gt;0),"",E256/'Metraj Mahal Listesi'!$K$3*100)</f>
        <v/>
      </c>
      <c r="G256" s="28">
        <f>IF(OR(D256="",F256=""),"",F256-D256)</f>
        <v/>
      </c>
      <c r="H256" s="29">
        <f>IF(OR(G256="",D256=0),"",G256/D256*100)</f>
        <v/>
      </c>
      <c r="I256" s="30">
        <f>IF(A256="","",IF(COUNTIF($B$5:$B$504,A256)&gt;0,IF(ABS(SUMIF($B$5:$B$504,A256,$C$5:$C$504)-100)&lt;0.0001,"✔ alt gruplar Σ=100","⚠ alt gruplar Σ≠100"),IF(G256="","—",IF(ABS(G256)&lt;=PursUyum,"✔ uyumlu",IF(ABS(G256)&lt;=PursCiddi,"⚠ dikkat","✗ ciddi fark")))))</f>
        <v/>
      </c>
      <c r="J256" s="5" t="n"/>
      <c r="K256" s="5" t="n"/>
    </row>
    <row r="257">
      <c r="A257" s="5" t="n"/>
      <c r="B257" s="5" t="n"/>
      <c r="C257" s="26" t="n"/>
      <c r="D257" s="27">
        <f>IF(OR(A257="",C257=""),"",C257*IFERROR(VLOOKUP(B257,$A$5:$C$504,3,FALSE)/100,1)*IFERROR(VLOOKUP(IFERROR(VLOOKUP(B257,$A$5:$B$504,2,FALSE),""),$A$5:$C$504,3,FALSE)/100,1)*IFERROR(VLOOKUP(IFERROR(VLOOKUP(IFERROR(VLOOKUP(B257,$A$5:$B$504,2,FALSE),""),$A$5:$B$504,2,FALSE),""),$A$5:$C$504,3,FALSE)/100,1))</f>
        <v/>
      </c>
      <c r="E257" s="21">
        <f>IF(A257="","",SUMIF('Grup Eşleme'!$B$5:$B$504,A257,'Grup Eşleme'!$C$5:$C$504))</f>
        <v/>
      </c>
      <c r="F257" s="27">
        <f>IF(OR(A257="",'Metraj Mahal Listesi'!$K$3=0,COUNTIF($B$5:$B$504,A257)&gt;0),"",E257/'Metraj Mahal Listesi'!$K$3*100)</f>
        <v/>
      </c>
      <c r="G257" s="28">
        <f>IF(OR(D257="",F257=""),"",F257-D257)</f>
        <v/>
      </c>
      <c r="H257" s="29">
        <f>IF(OR(G257="",D257=0),"",G257/D257*100)</f>
        <v/>
      </c>
      <c r="I257" s="30">
        <f>IF(A257="","",IF(COUNTIF($B$5:$B$504,A257)&gt;0,IF(ABS(SUMIF($B$5:$B$504,A257,$C$5:$C$504)-100)&lt;0.0001,"✔ alt gruplar Σ=100","⚠ alt gruplar Σ≠100"),IF(G257="","—",IF(ABS(G257)&lt;=PursUyum,"✔ uyumlu",IF(ABS(G257)&lt;=PursCiddi,"⚠ dikkat","✗ ciddi fark")))))</f>
        <v/>
      </c>
      <c r="J257" s="5" t="n"/>
      <c r="K257" s="5" t="n"/>
    </row>
    <row r="258">
      <c r="A258" s="5" t="n"/>
      <c r="B258" s="5" t="n"/>
      <c r="C258" s="26" t="n"/>
      <c r="D258" s="27">
        <f>IF(OR(A258="",C258=""),"",C258*IFERROR(VLOOKUP(B258,$A$5:$C$504,3,FALSE)/100,1)*IFERROR(VLOOKUP(IFERROR(VLOOKUP(B258,$A$5:$B$504,2,FALSE),""),$A$5:$C$504,3,FALSE)/100,1)*IFERROR(VLOOKUP(IFERROR(VLOOKUP(IFERROR(VLOOKUP(B258,$A$5:$B$504,2,FALSE),""),$A$5:$B$504,2,FALSE),""),$A$5:$C$504,3,FALSE)/100,1))</f>
        <v/>
      </c>
      <c r="E258" s="21">
        <f>IF(A258="","",SUMIF('Grup Eşleme'!$B$5:$B$504,A258,'Grup Eşleme'!$C$5:$C$504))</f>
        <v/>
      </c>
      <c r="F258" s="27">
        <f>IF(OR(A258="",'Metraj Mahal Listesi'!$K$3=0,COUNTIF($B$5:$B$504,A258)&gt;0),"",E258/'Metraj Mahal Listesi'!$K$3*100)</f>
        <v/>
      </c>
      <c r="G258" s="28">
        <f>IF(OR(D258="",F258=""),"",F258-D258)</f>
        <v/>
      </c>
      <c r="H258" s="29">
        <f>IF(OR(G258="",D258=0),"",G258/D258*100)</f>
        <v/>
      </c>
      <c r="I258" s="30">
        <f>IF(A258="","",IF(COUNTIF($B$5:$B$504,A258)&gt;0,IF(ABS(SUMIF($B$5:$B$504,A258,$C$5:$C$504)-100)&lt;0.0001,"✔ alt gruplar Σ=100","⚠ alt gruplar Σ≠100"),IF(G258="","—",IF(ABS(G258)&lt;=PursUyum,"✔ uyumlu",IF(ABS(G258)&lt;=PursCiddi,"⚠ dikkat","✗ ciddi fark")))))</f>
        <v/>
      </c>
      <c r="J258" s="5" t="n"/>
      <c r="K258" s="5" t="n"/>
    </row>
    <row r="259">
      <c r="A259" s="5" t="n"/>
      <c r="B259" s="5" t="n"/>
      <c r="C259" s="26" t="n"/>
      <c r="D259" s="27">
        <f>IF(OR(A259="",C259=""),"",C259*IFERROR(VLOOKUP(B259,$A$5:$C$504,3,FALSE)/100,1)*IFERROR(VLOOKUP(IFERROR(VLOOKUP(B259,$A$5:$B$504,2,FALSE),""),$A$5:$C$504,3,FALSE)/100,1)*IFERROR(VLOOKUP(IFERROR(VLOOKUP(IFERROR(VLOOKUP(B259,$A$5:$B$504,2,FALSE),""),$A$5:$B$504,2,FALSE),""),$A$5:$C$504,3,FALSE)/100,1))</f>
        <v/>
      </c>
      <c r="E259" s="21">
        <f>IF(A259="","",SUMIF('Grup Eşleme'!$B$5:$B$504,A259,'Grup Eşleme'!$C$5:$C$504))</f>
        <v/>
      </c>
      <c r="F259" s="27">
        <f>IF(OR(A259="",'Metraj Mahal Listesi'!$K$3=0,COUNTIF($B$5:$B$504,A259)&gt;0),"",E259/'Metraj Mahal Listesi'!$K$3*100)</f>
        <v/>
      </c>
      <c r="G259" s="28">
        <f>IF(OR(D259="",F259=""),"",F259-D259)</f>
        <v/>
      </c>
      <c r="H259" s="29">
        <f>IF(OR(G259="",D259=0),"",G259/D259*100)</f>
        <v/>
      </c>
      <c r="I259" s="30">
        <f>IF(A259="","",IF(COUNTIF($B$5:$B$504,A259)&gt;0,IF(ABS(SUMIF($B$5:$B$504,A259,$C$5:$C$504)-100)&lt;0.0001,"✔ alt gruplar Σ=100","⚠ alt gruplar Σ≠100"),IF(G259="","—",IF(ABS(G259)&lt;=PursUyum,"✔ uyumlu",IF(ABS(G259)&lt;=PursCiddi,"⚠ dikkat","✗ ciddi fark")))))</f>
        <v/>
      </c>
      <c r="J259" s="5" t="n"/>
      <c r="K259" s="5" t="n"/>
    </row>
    <row r="260">
      <c r="A260" s="5" t="n"/>
      <c r="B260" s="5" t="n"/>
      <c r="C260" s="26" t="n"/>
      <c r="D260" s="27">
        <f>IF(OR(A260="",C260=""),"",C260*IFERROR(VLOOKUP(B260,$A$5:$C$504,3,FALSE)/100,1)*IFERROR(VLOOKUP(IFERROR(VLOOKUP(B260,$A$5:$B$504,2,FALSE),""),$A$5:$C$504,3,FALSE)/100,1)*IFERROR(VLOOKUP(IFERROR(VLOOKUP(IFERROR(VLOOKUP(B260,$A$5:$B$504,2,FALSE),""),$A$5:$B$504,2,FALSE),""),$A$5:$C$504,3,FALSE)/100,1))</f>
        <v/>
      </c>
      <c r="E260" s="21">
        <f>IF(A260="","",SUMIF('Grup Eşleme'!$B$5:$B$504,A260,'Grup Eşleme'!$C$5:$C$504))</f>
        <v/>
      </c>
      <c r="F260" s="27">
        <f>IF(OR(A260="",'Metraj Mahal Listesi'!$K$3=0,COUNTIF($B$5:$B$504,A260)&gt;0),"",E260/'Metraj Mahal Listesi'!$K$3*100)</f>
        <v/>
      </c>
      <c r="G260" s="28">
        <f>IF(OR(D260="",F260=""),"",F260-D260)</f>
        <v/>
      </c>
      <c r="H260" s="29">
        <f>IF(OR(G260="",D260=0),"",G260/D260*100)</f>
        <v/>
      </c>
      <c r="I260" s="30">
        <f>IF(A260="","",IF(COUNTIF($B$5:$B$504,A260)&gt;0,IF(ABS(SUMIF($B$5:$B$504,A260,$C$5:$C$504)-100)&lt;0.0001,"✔ alt gruplar Σ=100","⚠ alt gruplar Σ≠100"),IF(G260="","—",IF(ABS(G260)&lt;=PursUyum,"✔ uyumlu",IF(ABS(G260)&lt;=PursCiddi,"⚠ dikkat","✗ ciddi fark")))))</f>
        <v/>
      </c>
      <c r="J260" s="5" t="n"/>
      <c r="K260" s="5" t="n"/>
    </row>
    <row r="261">
      <c r="A261" s="5" t="n"/>
      <c r="B261" s="5" t="n"/>
      <c r="C261" s="26" t="n"/>
      <c r="D261" s="27">
        <f>IF(OR(A261="",C261=""),"",C261*IFERROR(VLOOKUP(B261,$A$5:$C$504,3,FALSE)/100,1)*IFERROR(VLOOKUP(IFERROR(VLOOKUP(B261,$A$5:$B$504,2,FALSE),""),$A$5:$C$504,3,FALSE)/100,1)*IFERROR(VLOOKUP(IFERROR(VLOOKUP(IFERROR(VLOOKUP(B261,$A$5:$B$504,2,FALSE),""),$A$5:$B$504,2,FALSE),""),$A$5:$C$504,3,FALSE)/100,1))</f>
        <v/>
      </c>
      <c r="E261" s="21">
        <f>IF(A261="","",SUMIF('Grup Eşleme'!$B$5:$B$504,A261,'Grup Eşleme'!$C$5:$C$504))</f>
        <v/>
      </c>
      <c r="F261" s="27">
        <f>IF(OR(A261="",'Metraj Mahal Listesi'!$K$3=0,COUNTIF($B$5:$B$504,A261)&gt;0),"",E261/'Metraj Mahal Listesi'!$K$3*100)</f>
        <v/>
      </c>
      <c r="G261" s="28">
        <f>IF(OR(D261="",F261=""),"",F261-D261)</f>
        <v/>
      </c>
      <c r="H261" s="29">
        <f>IF(OR(G261="",D261=0),"",G261/D261*100)</f>
        <v/>
      </c>
      <c r="I261" s="30">
        <f>IF(A261="","",IF(COUNTIF($B$5:$B$504,A261)&gt;0,IF(ABS(SUMIF($B$5:$B$504,A261,$C$5:$C$504)-100)&lt;0.0001,"✔ alt gruplar Σ=100","⚠ alt gruplar Σ≠100"),IF(G261="","—",IF(ABS(G261)&lt;=PursUyum,"✔ uyumlu",IF(ABS(G261)&lt;=PursCiddi,"⚠ dikkat","✗ ciddi fark")))))</f>
        <v/>
      </c>
      <c r="J261" s="5" t="n"/>
      <c r="K261" s="5" t="n"/>
    </row>
    <row r="262">
      <c r="A262" s="5" t="n"/>
      <c r="B262" s="5" t="n"/>
      <c r="C262" s="26" t="n"/>
      <c r="D262" s="27">
        <f>IF(OR(A262="",C262=""),"",C262*IFERROR(VLOOKUP(B262,$A$5:$C$504,3,FALSE)/100,1)*IFERROR(VLOOKUP(IFERROR(VLOOKUP(B262,$A$5:$B$504,2,FALSE),""),$A$5:$C$504,3,FALSE)/100,1)*IFERROR(VLOOKUP(IFERROR(VLOOKUP(IFERROR(VLOOKUP(B262,$A$5:$B$504,2,FALSE),""),$A$5:$B$504,2,FALSE),""),$A$5:$C$504,3,FALSE)/100,1))</f>
        <v/>
      </c>
      <c r="E262" s="21">
        <f>IF(A262="","",SUMIF('Grup Eşleme'!$B$5:$B$504,A262,'Grup Eşleme'!$C$5:$C$504))</f>
        <v/>
      </c>
      <c r="F262" s="27">
        <f>IF(OR(A262="",'Metraj Mahal Listesi'!$K$3=0,COUNTIF($B$5:$B$504,A262)&gt;0),"",E262/'Metraj Mahal Listesi'!$K$3*100)</f>
        <v/>
      </c>
      <c r="G262" s="28">
        <f>IF(OR(D262="",F262=""),"",F262-D262)</f>
        <v/>
      </c>
      <c r="H262" s="29">
        <f>IF(OR(G262="",D262=0),"",G262/D262*100)</f>
        <v/>
      </c>
      <c r="I262" s="30">
        <f>IF(A262="","",IF(COUNTIF($B$5:$B$504,A262)&gt;0,IF(ABS(SUMIF($B$5:$B$504,A262,$C$5:$C$504)-100)&lt;0.0001,"✔ alt gruplar Σ=100","⚠ alt gruplar Σ≠100"),IF(G262="","—",IF(ABS(G262)&lt;=PursUyum,"✔ uyumlu",IF(ABS(G262)&lt;=PursCiddi,"⚠ dikkat","✗ ciddi fark")))))</f>
        <v/>
      </c>
      <c r="J262" s="5" t="n"/>
      <c r="K262" s="5" t="n"/>
    </row>
    <row r="263">
      <c r="A263" s="5" t="n"/>
      <c r="B263" s="5" t="n"/>
      <c r="C263" s="26" t="n"/>
      <c r="D263" s="27">
        <f>IF(OR(A263="",C263=""),"",C263*IFERROR(VLOOKUP(B263,$A$5:$C$504,3,FALSE)/100,1)*IFERROR(VLOOKUP(IFERROR(VLOOKUP(B263,$A$5:$B$504,2,FALSE),""),$A$5:$C$504,3,FALSE)/100,1)*IFERROR(VLOOKUP(IFERROR(VLOOKUP(IFERROR(VLOOKUP(B263,$A$5:$B$504,2,FALSE),""),$A$5:$B$504,2,FALSE),""),$A$5:$C$504,3,FALSE)/100,1))</f>
        <v/>
      </c>
      <c r="E263" s="21">
        <f>IF(A263="","",SUMIF('Grup Eşleme'!$B$5:$B$504,A263,'Grup Eşleme'!$C$5:$C$504))</f>
        <v/>
      </c>
      <c r="F263" s="27">
        <f>IF(OR(A263="",'Metraj Mahal Listesi'!$K$3=0,COUNTIF($B$5:$B$504,A263)&gt;0),"",E263/'Metraj Mahal Listesi'!$K$3*100)</f>
        <v/>
      </c>
      <c r="G263" s="28">
        <f>IF(OR(D263="",F263=""),"",F263-D263)</f>
        <v/>
      </c>
      <c r="H263" s="29">
        <f>IF(OR(G263="",D263=0),"",G263/D263*100)</f>
        <v/>
      </c>
      <c r="I263" s="30">
        <f>IF(A263="","",IF(COUNTIF($B$5:$B$504,A263)&gt;0,IF(ABS(SUMIF($B$5:$B$504,A263,$C$5:$C$504)-100)&lt;0.0001,"✔ alt gruplar Σ=100","⚠ alt gruplar Σ≠100"),IF(G263="","—",IF(ABS(G263)&lt;=PursUyum,"✔ uyumlu",IF(ABS(G263)&lt;=PursCiddi,"⚠ dikkat","✗ ciddi fark")))))</f>
        <v/>
      </c>
      <c r="J263" s="5" t="n"/>
      <c r="K263" s="5" t="n"/>
    </row>
    <row r="264">
      <c r="A264" s="5" t="n"/>
      <c r="B264" s="5" t="n"/>
      <c r="C264" s="26" t="n"/>
      <c r="D264" s="27">
        <f>IF(OR(A264="",C264=""),"",C264*IFERROR(VLOOKUP(B264,$A$5:$C$504,3,FALSE)/100,1)*IFERROR(VLOOKUP(IFERROR(VLOOKUP(B264,$A$5:$B$504,2,FALSE),""),$A$5:$C$504,3,FALSE)/100,1)*IFERROR(VLOOKUP(IFERROR(VLOOKUP(IFERROR(VLOOKUP(B264,$A$5:$B$504,2,FALSE),""),$A$5:$B$504,2,FALSE),""),$A$5:$C$504,3,FALSE)/100,1))</f>
        <v/>
      </c>
      <c r="E264" s="21">
        <f>IF(A264="","",SUMIF('Grup Eşleme'!$B$5:$B$504,A264,'Grup Eşleme'!$C$5:$C$504))</f>
        <v/>
      </c>
      <c r="F264" s="27">
        <f>IF(OR(A264="",'Metraj Mahal Listesi'!$K$3=0,COUNTIF($B$5:$B$504,A264)&gt;0),"",E264/'Metraj Mahal Listesi'!$K$3*100)</f>
        <v/>
      </c>
      <c r="G264" s="28">
        <f>IF(OR(D264="",F264=""),"",F264-D264)</f>
        <v/>
      </c>
      <c r="H264" s="29">
        <f>IF(OR(G264="",D264=0),"",G264/D264*100)</f>
        <v/>
      </c>
      <c r="I264" s="30">
        <f>IF(A264="","",IF(COUNTIF($B$5:$B$504,A264)&gt;0,IF(ABS(SUMIF($B$5:$B$504,A264,$C$5:$C$504)-100)&lt;0.0001,"✔ alt gruplar Σ=100","⚠ alt gruplar Σ≠100"),IF(G264="","—",IF(ABS(G264)&lt;=PursUyum,"✔ uyumlu",IF(ABS(G264)&lt;=PursCiddi,"⚠ dikkat","✗ ciddi fark")))))</f>
        <v/>
      </c>
      <c r="J264" s="5" t="n"/>
      <c r="K264" s="5" t="n"/>
    </row>
    <row r="265">
      <c r="A265" s="5" t="n"/>
      <c r="B265" s="5" t="n"/>
      <c r="C265" s="26" t="n"/>
      <c r="D265" s="27">
        <f>IF(OR(A265="",C265=""),"",C265*IFERROR(VLOOKUP(B265,$A$5:$C$504,3,FALSE)/100,1)*IFERROR(VLOOKUP(IFERROR(VLOOKUP(B265,$A$5:$B$504,2,FALSE),""),$A$5:$C$504,3,FALSE)/100,1)*IFERROR(VLOOKUP(IFERROR(VLOOKUP(IFERROR(VLOOKUP(B265,$A$5:$B$504,2,FALSE),""),$A$5:$B$504,2,FALSE),""),$A$5:$C$504,3,FALSE)/100,1))</f>
        <v/>
      </c>
      <c r="E265" s="21">
        <f>IF(A265="","",SUMIF('Grup Eşleme'!$B$5:$B$504,A265,'Grup Eşleme'!$C$5:$C$504))</f>
        <v/>
      </c>
      <c r="F265" s="27">
        <f>IF(OR(A265="",'Metraj Mahal Listesi'!$K$3=0,COUNTIF($B$5:$B$504,A265)&gt;0),"",E265/'Metraj Mahal Listesi'!$K$3*100)</f>
        <v/>
      </c>
      <c r="G265" s="28">
        <f>IF(OR(D265="",F265=""),"",F265-D265)</f>
        <v/>
      </c>
      <c r="H265" s="29">
        <f>IF(OR(G265="",D265=0),"",G265/D265*100)</f>
        <v/>
      </c>
      <c r="I265" s="30">
        <f>IF(A265="","",IF(COUNTIF($B$5:$B$504,A265)&gt;0,IF(ABS(SUMIF($B$5:$B$504,A265,$C$5:$C$504)-100)&lt;0.0001,"✔ alt gruplar Σ=100","⚠ alt gruplar Σ≠100"),IF(G265="","—",IF(ABS(G265)&lt;=PursUyum,"✔ uyumlu",IF(ABS(G265)&lt;=PursCiddi,"⚠ dikkat","✗ ciddi fark")))))</f>
        <v/>
      </c>
      <c r="J265" s="5" t="n"/>
      <c r="K265" s="5" t="n"/>
    </row>
    <row r="266">
      <c r="A266" s="5" t="n"/>
      <c r="B266" s="5" t="n"/>
      <c r="C266" s="26" t="n"/>
      <c r="D266" s="27">
        <f>IF(OR(A266="",C266=""),"",C266*IFERROR(VLOOKUP(B266,$A$5:$C$504,3,FALSE)/100,1)*IFERROR(VLOOKUP(IFERROR(VLOOKUP(B266,$A$5:$B$504,2,FALSE),""),$A$5:$C$504,3,FALSE)/100,1)*IFERROR(VLOOKUP(IFERROR(VLOOKUP(IFERROR(VLOOKUP(B266,$A$5:$B$504,2,FALSE),""),$A$5:$B$504,2,FALSE),""),$A$5:$C$504,3,FALSE)/100,1))</f>
        <v/>
      </c>
      <c r="E266" s="21">
        <f>IF(A266="","",SUMIF('Grup Eşleme'!$B$5:$B$504,A266,'Grup Eşleme'!$C$5:$C$504))</f>
        <v/>
      </c>
      <c r="F266" s="27">
        <f>IF(OR(A266="",'Metraj Mahal Listesi'!$K$3=0,COUNTIF($B$5:$B$504,A266)&gt;0),"",E266/'Metraj Mahal Listesi'!$K$3*100)</f>
        <v/>
      </c>
      <c r="G266" s="28">
        <f>IF(OR(D266="",F266=""),"",F266-D266)</f>
        <v/>
      </c>
      <c r="H266" s="29">
        <f>IF(OR(G266="",D266=0),"",G266/D266*100)</f>
        <v/>
      </c>
      <c r="I266" s="30">
        <f>IF(A266="","",IF(COUNTIF($B$5:$B$504,A266)&gt;0,IF(ABS(SUMIF($B$5:$B$504,A266,$C$5:$C$504)-100)&lt;0.0001,"✔ alt gruplar Σ=100","⚠ alt gruplar Σ≠100"),IF(G266="","—",IF(ABS(G266)&lt;=PursUyum,"✔ uyumlu",IF(ABS(G266)&lt;=PursCiddi,"⚠ dikkat","✗ ciddi fark")))))</f>
        <v/>
      </c>
      <c r="J266" s="5" t="n"/>
      <c r="K266" s="5" t="n"/>
    </row>
    <row r="267">
      <c r="A267" s="5" t="n"/>
      <c r="B267" s="5" t="n"/>
      <c r="C267" s="26" t="n"/>
      <c r="D267" s="27">
        <f>IF(OR(A267="",C267=""),"",C267*IFERROR(VLOOKUP(B267,$A$5:$C$504,3,FALSE)/100,1)*IFERROR(VLOOKUP(IFERROR(VLOOKUP(B267,$A$5:$B$504,2,FALSE),""),$A$5:$C$504,3,FALSE)/100,1)*IFERROR(VLOOKUP(IFERROR(VLOOKUP(IFERROR(VLOOKUP(B267,$A$5:$B$504,2,FALSE),""),$A$5:$B$504,2,FALSE),""),$A$5:$C$504,3,FALSE)/100,1))</f>
        <v/>
      </c>
      <c r="E267" s="21">
        <f>IF(A267="","",SUMIF('Grup Eşleme'!$B$5:$B$504,A267,'Grup Eşleme'!$C$5:$C$504))</f>
        <v/>
      </c>
      <c r="F267" s="27">
        <f>IF(OR(A267="",'Metraj Mahal Listesi'!$K$3=0,COUNTIF($B$5:$B$504,A267)&gt;0),"",E267/'Metraj Mahal Listesi'!$K$3*100)</f>
        <v/>
      </c>
      <c r="G267" s="28">
        <f>IF(OR(D267="",F267=""),"",F267-D267)</f>
        <v/>
      </c>
      <c r="H267" s="29">
        <f>IF(OR(G267="",D267=0),"",G267/D267*100)</f>
        <v/>
      </c>
      <c r="I267" s="30">
        <f>IF(A267="","",IF(COUNTIF($B$5:$B$504,A267)&gt;0,IF(ABS(SUMIF($B$5:$B$504,A267,$C$5:$C$504)-100)&lt;0.0001,"✔ alt gruplar Σ=100","⚠ alt gruplar Σ≠100"),IF(G267="","—",IF(ABS(G267)&lt;=PursUyum,"✔ uyumlu",IF(ABS(G267)&lt;=PursCiddi,"⚠ dikkat","✗ ciddi fark")))))</f>
        <v/>
      </c>
      <c r="J267" s="5" t="n"/>
      <c r="K267" s="5" t="n"/>
    </row>
    <row r="268">
      <c r="A268" s="5" t="n"/>
      <c r="B268" s="5" t="n"/>
      <c r="C268" s="26" t="n"/>
      <c r="D268" s="27">
        <f>IF(OR(A268="",C268=""),"",C268*IFERROR(VLOOKUP(B268,$A$5:$C$504,3,FALSE)/100,1)*IFERROR(VLOOKUP(IFERROR(VLOOKUP(B268,$A$5:$B$504,2,FALSE),""),$A$5:$C$504,3,FALSE)/100,1)*IFERROR(VLOOKUP(IFERROR(VLOOKUP(IFERROR(VLOOKUP(B268,$A$5:$B$504,2,FALSE),""),$A$5:$B$504,2,FALSE),""),$A$5:$C$504,3,FALSE)/100,1))</f>
        <v/>
      </c>
      <c r="E268" s="21">
        <f>IF(A268="","",SUMIF('Grup Eşleme'!$B$5:$B$504,A268,'Grup Eşleme'!$C$5:$C$504))</f>
        <v/>
      </c>
      <c r="F268" s="27">
        <f>IF(OR(A268="",'Metraj Mahal Listesi'!$K$3=0,COUNTIF($B$5:$B$504,A268)&gt;0),"",E268/'Metraj Mahal Listesi'!$K$3*100)</f>
        <v/>
      </c>
      <c r="G268" s="28">
        <f>IF(OR(D268="",F268=""),"",F268-D268)</f>
        <v/>
      </c>
      <c r="H268" s="29">
        <f>IF(OR(G268="",D268=0),"",G268/D268*100)</f>
        <v/>
      </c>
      <c r="I268" s="30">
        <f>IF(A268="","",IF(COUNTIF($B$5:$B$504,A268)&gt;0,IF(ABS(SUMIF($B$5:$B$504,A268,$C$5:$C$504)-100)&lt;0.0001,"✔ alt gruplar Σ=100","⚠ alt gruplar Σ≠100"),IF(G268="","—",IF(ABS(G268)&lt;=PursUyum,"✔ uyumlu",IF(ABS(G268)&lt;=PursCiddi,"⚠ dikkat","✗ ciddi fark")))))</f>
        <v/>
      </c>
      <c r="J268" s="5" t="n"/>
      <c r="K268" s="5" t="n"/>
    </row>
    <row r="269">
      <c r="A269" s="5" t="n"/>
      <c r="B269" s="5" t="n"/>
      <c r="C269" s="26" t="n"/>
      <c r="D269" s="27">
        <f>IF(OR(A269="",C269=""),"",C269*IFERROR(VLOOKUP(B269,$A$5:$C$504,3,FALSE)/100,1)*IFERROR(VLOOKUP(IFERROR(VLOOKUP(B269,$A$5:$B$504,2,FALSE),""),$A$5:$C$504,3,FALSE)/100,1)*IFERROR(VLOOKUP(IFERROR(VLOOKUP(IFERROR(VLOOKUP(B269,$A$5:$B$504,2,FALSE),""),$A$5:$B$504,2,FALSE),""),$A$5:$C$504,3,FALSE)/100,1))</f>
        <v/>
      </c>
      <c r="E269" s="21">
        <f>IF(A269="","",SUMIF('Grup Eşleme'!$B$5:$B$504,A269,'Grup Eşleme'!$C$5:$C$504))</f>
        <v/>
      </c>
      <c r="F269" s="27">
        <f>IF(OR(A269="",'Metraj Mahal Listesi'!$K$3=0,COUNTIF($B$5:$B$504,A269)&gt;0),"",E269/'Metraj Mahal Listesi'!$K$3*100)</f>
        <v/>
      </c>
      <c r="G269" s="28">
        <f>IF(OR(D269="",F269=""),"",F269-D269)</f>
        <v/>
      </c>
      <c r="H269" s="29">
        <f>IF(OR(G269="",D269=0),"",G269/D269*100)</f>
        <v/>
      </c>
      <c r="I269" s="30">
        <f>IF(A269="","",IF(COUNTIF($B$5:$B$504,A269)&gt;0,IF(ABS(SUMIF($B$5:$B$504,A269,$C$5:$C$504)-100)&lt;0.0001,"✔ alt gruplar Σ=100","⚠ alt gruplar Σ≠100"),IF(G269="","—",IF(ABS(G269)&lt;=PursUyum,"✔ uyumlu",IF(ABS(G269)&lt;=PursCiddi,"⚠ dikkat","✗ ciddi fark")))))</f>
        <v/>
      </c>
      <c r="J269" s="5" t="n"/>
      <c r="K269" s="5" t="n"/>
    </row>
    <row r="270">
      <c r="A270" s="5" t="n"/>
      <c r="B270" s="5" t="n"/>
      <c r="C270" s="26" t="n"/>
      <c r="D270" s="27">
        <f>IF(OR(A270="",C270=""),"",C270*IFERROR(VLOOKUP(B270,$A$5:$C$504,3,FALSE)/100,1)*IFERROR(VLOOKUP(IFERROR(VLOOKUP(B270,$A$5:$B$504,2,FALSE),""),$A$5:$C$504,3,FALSE)/100,1)*IFERROR(VLOOKUP(IFERROR(VLOOKUP(IFERROR(VLOOKUP(B270,$A$5:$B$504,2,FALSE),""),$A$5:$B$504,2,FALSE),""),$A$5:$C$504,3,FALSE)/100,1))</f>
        <v/>
      </c>
      <c r="E270" s="21">
        <f>IF(A270="","",SUMIF('Grup Eşleme'!$B$5:$B$504,A270,'Grup Eşleme'!$C$5:$C$504))</f>
        <v/>
      </c>
      <c r="F270" s="27">
        <f>IF(OR(A270="",'Metraj Mahal Listesi'!$K$3=0,COUNTIF($B$5:$B$504,A270)&gt;0),"",E270/'Metraj Mahal Listesi'!$K$3*100)</f>
        <v/>
      </c>
      <c r="G270" s="28">
        <f>IF(OR(D270="",F270=""),"",F270-D270)</f>
        <v/>
      </c>
      <c r="H270" s="29">
        <f>IF(OR(G270="",D270=0),"",G270/D270*100)</f>
        <v/>
      </c>
      <c r="I270" s="30">
        <f>IF(A270="","",IF(COUNTIF($B$5:$B$504,A270)&gt;0,IF(ABS(SUMIF($B$5:$B$504,A270,$C$5:$C$504)-100)&lt;0.0001,"✔ alt gruplar Σ=100","⚠ alt gruplar Σ≠100"),IF(G270="","—",IF(ABS(G270)&lt;=PursUyum,"✔ uyumlu",IF(ABS(G270)&lt;=PursCiddi,"⚠ dikkat","✗ ciddi fark")))))</f>
        <v/>
      </c>
      <c r="J270" s="5" t="n"/>
      <c r="K270" s="5" t="n"/>
    </row>
    <row r="271">
      <c r="A271" s="5" t="n"/>
      <c r="B271" s="5" t="n"/>
      <c r="C271" s="26" t="n"/>
      <c r="D271" s="27">
        <f>IF(OR(A271="",C271=""),"",C271*IFERROR(VLOOKUP(B271,$A$5:$C$504,3,FALSE)/100,1)*IFERROR(VLOOKUP(IFERROR(VLOOKUP(B271,$A$5:$B$504,2,FALSE),""),$A$5:$C$504,3,FALSE)/100,1)*IFERROR(VLOOKUP(IFERROR(VLOOKUP(IFERROR(VLOOKUP(B271,$A$5:$B$504,2,FALSE),""),$A$5:$B$504,2,FALSE),""),$A$5:$C$504,3,FALSE)/100,1))</f>
        <v/>
      </c>
      <c r="E271" s="21">
        <f>IF(A271="","",SUMIF('Grup Eşleme'!$B$5:$B$504,A271,'Grup Eşleme'!$C$5:$C$504))</f>
        <v/>
      </c>
      <c r="F271" s="27">
        <f>IF(OR(A271="",'Metraj Mahal Listesi'!$K$3=0,COUNTIF($B$5:$B$504,A271)&gt;0),"",E271/'Metraj Mahal Listesi'!$K$3*100)</f>
        <v/>
      </c>
      <c r="G271" s="28">
        <f>IF(OR(D271="",F271=""),"",F271-D271)</f>
        <v/>
      </c>
      <c r="H271" s="29">
        <f>IF(OR(G271="",D271=0),"",G271/D271*100)</f>
        <v/>
      </c>
      <c r="I271" s="30">
        <f>IF(A271="","",IF(COUNTIF($B$5:$B$504,A271)&gt;0,IF(ABS(SUMIF($B$5:$B$504,A271,$C$5:$C$504)-100)&lt;0.0001,"✔ alt gruplar Σ=100","⚠ alt gruplar Σ≠100"),IF(G271="","—",IF(ABS(G271)&lt;=PursUyum,"✔ uyumlu",IF(ABS(G271)&lt;=PursCiddi,"⚠ dikkat","✗ ciddi fark")))))</f>
        <v/>
      </c>
      <c r="J271" s="5" t="n"/>
      <c r="K271" s="5" t="n"/>
    </row>
    <row r="272">
      <c r="A272" s="5" t="n"/>
      <c r="B272" s="5" t="n"/>
      <c r="C272" s="26" t="n"/>
      <c r="D272" s="27">
        <f>IF(OR(A272="",C272=""),"",C272*IFERROR(VLOOKUP(B272,$A$5:$C$504,3,FALSE)/100,1)*IFERROR(VLOOKUP(IFERROR(VLOOKUP(B272,$A$5:$B$504,2,FALSE),""),$A$5:$C$504,3,FALSE)/100,1)*IFERROR(VLOOKUP(IFERROR(VLOOKUP(IFERROR(VLOOKUP(B272,$A$5:$B$504,2,FALSE),""),$A$5:$B$504,2,FALSE),""),$A$5:$C$504,3,FALSE)/100,1))</f>
        <v/>
      </c>
      <c r="E272" s="21">
        <f>IF(A272="","",SUMIF('Grup Eşleme'!$B$5:$B$504,A272,'Grup Eşleme'!$C$5:$C$504))</f>
        <v/>
      </c>
      <c r="F272" s="27">
        <f>IF(OR(A272="",'Metraj Mahal Listesi'!$K$3=0,COUNTIF($B$5:$B$504,A272)&gt;0),"",E272/'Metraj Mahal Listesi'!$K$3*100)</f>
        <v/>
      </c>
      <c r="G272" s="28">
        <f>IF(OR(D272="",F272=""),"",F272-D272)</f>
        <v/>
      </c>
      <c r="H272" s="29">
        <f>IF(OR(G272="",D272=0),"",G272/D272*100)</f>
        <v/>
      </c>
      <c r="I272" s="30">
        <f>IF(A272="","",IF(COUNTIF($B$5:$B$504,A272)&gt;0,IF(ABS(SUMIF($B$5:$B$504,A272,$C$5:$C$504)-100)&lt;0.0001,"✔ alt gruplar Σ=100","⚠ alt gruplar Σ≠100"),IF(G272="","—",IF(ABS(G272)&lt;=PursUyum,"✔ uyumlu",IF(ABS(G272)&lt;=PursCiddi,"⚠ dikkat","✗ ciddi fark")))))</f>
        <v/>
      </c>
      <c r="J272" s="5" t="n"/>
      <c r="K272" s="5" t="n"/>
    </row>
    <row r="273">
      <c r="A273" s="5" t="n"/>
      <c r="B273" s="5" t="n"/>
      <c r="C273" s="26" t="n"/>
      <c r="D273" s="27">
        <f>IF(OR(A273="",C273=""),"",C273*IFERROR(VLOOKUP(B273,$A$5:$C$504,3,FALSE)/100,1)*IFERROR(VLOOKUP(IFERROR(VLOOKUP(B273,$A$5:$B$504,2,FALSE),""),$A$5:$C$504,3,FALSE)/100,1)*IFERROR(VLOOKUP(IFERROR(VLOOKUP(IFERROR(VLOOKUP(B273,$A$5:$B$504,2,FALSE),""),$A$5:$B$504,2,FALSE),""),$A$5:$C$504,3,FALSE)/100,1))</f>
        <v/>
      </c>
      <c r="E273" s="21">
        <f>IF(A273="","",SUMIF('Grup Eşleme'!$B$5:$B$504,A273,'Grup Eşleme'!$C$5:$C$504))</f>
        <v/>
      </c>
      <c r="F273" s="27">
        <f>IF(OR(A273="",'Metraj Mahal Listesi'!$K$3=0,COUNTIF($B$5:$B$504,A273)&gt;0),"",E273/'Metraj Mahal Listesi'!$K$3*100)</f>
        <v/>
      </c>
      <c r="G273" s="28">
        <f>IF(OR(D273="",F273=""),"",F273-D273)</f>
        <v/>
      </c>
      <c r="H273" s="29">
        <f>IF(OR(G273="",D273=0),"",G273/D273*100)</f>
        <v/>
      </c>
      <c r="I273" s="30">
        <f>IF(A273="","",IF(COUNTIF($B$5:$B$504,A273)&gt;0,IF(ABS(SUMIF($B$5:$B$504,A273,$C$5:$C$504)-100)&lt;0.0001,"✔ alt gruplar Σ=100","⚠ alt gruplar Σ≠100"),IF(G273="","—",IF(ABS(G273)&lt;=PursUyum,"✔ uyumlu",IF(ABS(G273)&lt;=PursCiddi,"⚠ dikkat","✗ ciddi fark")))))</f>
        <v/>
      </c>
      <c r="J273" s="5" t="n"/>
      <c r="K273" s="5" t="n"/>
    </row>
    <row r="274">
      <c r="A274" s="5" t="n"/>
      <c r="B274" s="5" t="n"/>
      <c r="C274" s="26" t="n"/>
      <c r="D274" s="27">
        <f>IF(OR(A274="",C274=""),"",C274*IFERROR(VLOOKUP(B274,$A$5:$C$504,3,FALSE)/100,1)*IFERROR(VLOOKUP(IFERROR(VLOOKUP(B274,$A$5:$B$504,2,FALSE),""),$A$5:$C$504,3,FALSE)/100,1)*IFERROR(VLOOKUP(IFERROR(VLOOKUP(IFERROR(VLOOKUP(B274,$A$5:$B$504,2,FALSE),""),$A$5:$B$504,2,FALSE),""),$A$5:$C$504,3,FALSE)/100,1))</f>
        <v/>
      </c>
      <c r="E274" s="21">
        <f>IF(A274="","",SUMIF('Grup Eşleme'!$B$5:$B$504,A274,'Grup Eşleme'!$C$5:$C$504))</f>
        <v/>
      </c>
      <c r="F274" s="27">
        <f>IF(OR(A274="",'Metraj Mahal Listesi'!$K$3=0,COUNTIF($B$5:$B$504,A274)&gt;0),"",E274/'Metraj Mahal Listesi'!$K$3*100)</f>
        <v/>
      </c>
      <c r="G274" s="28">
        <f>IF(OR(D274="",F274=""),"",F274-D274)</f>
        <v/>
      </c>
      <c r="H274" s="29">
        <f>IF(OR(G274="",D274=0),"",G274/D274*100)</f>
        <v/>
      </c>
      <c r="I274" s="30">
        <f>IF(A274="","",IF(COUNTIF($B$5:$B$504,A274)&gt;0,IF(ABS(SUMIF($B$5:$B$504,A274,$C$5:$C$504)-100)&lt;0.0001,"✔ alt gruplar Σ=100","⚠ alt gruplar Σ≠100"),IF(G274="","—",IF(ABS(G274)&lt;=PursUyum,"✔ uyumlu",IF(ABS(G274)&lt;=PursCiddi,"⚠ dikkat","✗ ciddi fark")))))</f>
        <v/>
      </c>
      <c r="J274" s="5" t="n"/>
      <c r="K274" s="5" t="n"/>
    </row>
    <row r="275">
      <c r="A275" s="5" t="n"/>
      <c r="B275" s="5" t="n"/>
      <c r="C275" s="26" t="n"/>
      <c r="D275" s="27">
        <f>IF(OR(A275="",C275=""),"",C275*IFERROR(VLOOKUP(B275,$A$5:$C$504,3,FALSE)/100,1)*IFERROR(VLOOKUP(IFERROR(VLOOKUP(B275,$A$5:$B$504,2,FALSE),""),$A$5:$C$504,3,FALSE)/100,1)*IFERROR(VLOOKUP(IFERROR(VLOOKUP(IFERROR(VLOOKUP(B275,$A$5:$B$504,2,FALSE),""),$A$5:$B$504,2,FALSE),""),$A$5:$C$504,3,FALSE)/100,1))</f>
        <v/>
      </c>
      <c r="E275" s="21">
        <f>IF(A275="","",SUMIF('Grup Eşleme'!$B$5:$B$504,A275,'Grup Eşleme'!$C$5:$C$504))</f>
        <v/>
      </c>
      <c r="F275" s="27">
        <f>IF(OR(A275="",'Metraj Mahal Listesi'!$K$3=0,COUNTIF($B$5:$B$504,A275)&gt;0),"",E275/'Metraj Mahal Listesi'!$K$3*100)</f>
        <v/>
      </c>
      <c r="G275" s="28">
        <f>IF(OR(D275="",F275=""),"",F275-D275)</f>
        <v/>
      </c>
      <c r="H275" s="29">
        <f>IF(OR(G275="",D275=0),"",G275/D275*100)</f>
        <v/>
      </c>
      <c r="I275" s="30">
        <f>IF(A275="","",IF(COUNTIF($B$5:$B$504,A275)&gt;0,IF(ABS(SUMIF($B$5:$B$504,A275,$C$5:$C$504)-100)&lt;0.0001,"✔ alt gruplar Σ=100","⚠ alt gruplar Σ≠100"),IF(G275="","—",IF(ABS(G275)&lt;=PursUyum,"✔ uyumlu",IF(ABS(G275)&lt;=PursCiddi,"⚠ dikkat","✗ ciddi fark")))))</f>
        <v/>
      </c>
      <c r="J275" s="5" t="n"/>
      <c r="K275" s="5" t="n"/>
    </row>
    <row r="276">
      <c r="A276" s="5" t="n"/>
      <c r="B276" s="5" t="n"/>
      <c r="C276" s="26" t="n"/>
      <c r="D276" s="27">
        <f>IF(OR(A276="",C276=""),"",C276*IFERROR(VLOOKUP(B276,$A$5:$C$504,3,FALSE)/100,1)*IFERROR(VLOOKUP(IFERROR(VLOOKUP(B276,$A$5:$B$504,2,FALSE),""),$A$5:$C$504,3,FALSE)/100,1)*IFERROR(VLOOKUP(IFERROR(VLOOKUP(IFERROR(VLOOKUP(B276,$A$5:$B$504,2,FALSE),""),$A$5:$B$504,2,FALSE),""),$A$5:$C$504,3,FALSE)/100,1))</f>
        <v/>
      </c>
      <c r="E276" s="21">
        <f>IF(A276="","",SUMIF('Grup Eşleme'!$B$5:$B$504,A276,'Grup Eşleme'!$C$5:$C$504))</f>
        <v/>
      </c>
      <c r="F276" s="27">
        <f>IF(OR(A276="",'Metraj Mahal Listesi'!$K$3=0,COUNTIF($B$5:$B$504,A276)&gt;0),"",E276/'Metraj Mahal Listesi'!$K$3*100)</f>
        <v/>
      </c>
      <c r="G276" s="28">
        <f>IF(OR(D276="",F276=""),"",F276-D276)</f>
        <v/>
      </c>
      <c r="H276" s="29">
        <f>IF(OR(G276="",D276=0),"",G276/D276*100)</f>
        <v/>
      </c>
      <c r="I276" s="30">
        <f>IF(A276="","",IF(COUNTIF($B$5:$B$504,A276)&gt;0,IF(ABS(SUMIF($B$5:$B$504,A276,$C$5:$C$504)-100)&lt;0.0001,"✔ alt gruplar Σ=100","⚠ alt gruplar Σ≠100"),IF(G276="","—",IF(ABS(G276)&lt;=PursUyum,"✔ uyumlu",IF(ABS(G276)&lt;=PursCiddi,"⚠ dikkat","✗ ciddi fark")))))</f>
        <v/>
      </c>
      <c r="J276" s="5" t="n"/>
      <c r="K276" s="5" t="n"/>
    </row>
    <row r="277">
      <c r="A277" s="5" t="n"/>
      <c r="B277" s="5" t="n"/>
      <c r="C277" s="26" t="n"/>
      <c r="D277" s="27">
        <f>IF(OR(A277="",C277=""),"",C277*IFERROR(VLOOKUP(B277,$A$5:$C$504,3,FALSE)/100,1)*IFERROR(VLOOKUP(IFERROR(VLOOKUP(B277,$A$5:$B$504,2,FALSE),""),$A$5:$C$504,3,FALSE)/100,1)*IFERROR(VLOOKUP(IFERROR(VLOOKUP(IFERROR(VLOOKUP(B277,$A$5:$B$504,2,FALSE),""),$A$5:$B$504,2,FALSE),""),$A$5:$C$504,3,FALSE)/100,1))</f>
        <v/>
      </c>
      <c r="E277" s="21">
        <f>IF(A277="","",SUMIF('Grup Eşleme'!$B$5:$B$504,A277,'Grup Eşleme'!$C$5:$C$504))</f>
        <v/>
      </c>
      <c r="F277" s="27">
        <f>IF(OR(A277="",'Metraj Mahal Listesi'!$K$3=0,COUNTIF($B$5:$B$504,A277)&gt;0),"",E277/'Metraj Mahal Listesi'!$K$3*100)</f>
        <v/>
      </c>
      <c r="G277" s="28">
        <f>IF(OR(D277="",F277=""),"",F277-D277)</f>
        <v/>
      </c>
      <c r="H277" s="29">
        <f>IF(OR(G277="",D277=0),"",G277/D277*100)</f>
        <v/>
      </c>
      <c r="I277" s="30">
        <f>IF(A277="","",IF(COUNTIF($B$5:$B$504,A277)&gt;0,IF(ABS(SUMIF($B$5:$B$504,A277,$C$5:$C$504)-100)&lt;0.0001,"✔ alt gruplar Σ=100","⚠ alt gruplar Σ≠100"),IF(G277="","—",IF(ABS(G277)&lt;=PursUyum,"✔ uyumlu",IF(ABS(G277)&lt;=PursCiddi,"⚠ dikkat","✗ ciddi fark")))))</f>
        <v/>
      </c>
      <c r="J277" s="5" t="n"/>
      <c r="K277" s="5" t="n"/>
    </row>
    <row r="278">
      <c r="A278" s="5" t="n"/>
      <c r="B278" s="5" t="n"/>
      <c r="C278" s="26" t="n"/>
      <c r="D278" s="27">
        <f>IF(OR(A278="",C278=""),"",C278*IFERROR(VLOOKUP(B278,$A$5:$C$504,3,FALSE)/100,1)*IFERROR(VLOOKUP(IFERROR(VLOOKUP(B278,$A$5:$B$504,2,FALSE),""),$A$5:$C$504,3,FALSE)/100,1)*IFERROR(VLOOKUP(IFERROR(VLOOKUP(IFERROR(VLOOKUP(B278,$A$5:$B$504,2,FALSE),""),$A$5:$B$504,2,FALSE),""),$A$5:$C$504,3,FALSE)/100,1))</f>
        <v/>
      </c>
      <c r="E278" s="21">
        <f>IF(A278="","",SUMIF('Grup Eşleme'!$B$5:$B$504,A278,'Grup Eşleme'!$C$5:$C$504))</f>
        <v/>
      </c>
      <c r="F278" s="27">
        <f>IF(OR(A278="",'Metraj Mahal Listesi'!$K$3=0,COUNTIF($B$5:$B$504,A278)&gt;0),"",E278/'Metraj Mahal Listesi'!$K$3*100)</f>
        <v/>
      </c>
      <c r="G278" s="28">
        <f>IF(OR(D278="",F278=""),"",F278-D278)</f>
        <v/>
      </c>
      <c r="H278" s="29">
        <f>IF(OR(G278="",D278=0),"",G278/D278*100)</f>
        <v/>
      </c>
      <c r="I278" s="30">
        <f>IF(A278="","",IF(COUNTIF($B$5:$B$504,A278)&gt;0,IF(ABS(SUMIF($B$5:$B$504,A278,$C$5:$C$504)-100)&lt;0.0001,"✔ alt gruplar Σ=100","⚠ alt gruplar Σ≠100"),IF(G278="","—",IF(ABS(G278)&lt;=PursUyum,"✔ uyumlu",IF(ABS(G278)&lt;=PursCiddi,"⚠ dikkat","✗ ciddi fark")))))</f>
        <v/>
      </c>
      <c r="J278" s="5" t="n"/>
      <c r="K278" s="5" t="n"/>
    </row>
    <row r="279">
      <c r="A279" s="5" t="n"/>
      <c r="B279" s="5" t="n"/>
      <c r="C279" s="26" t="n"/>
      <c r="D279" s="27">
        <f>IF(OR(A279="",C279=""),"",C279*IFERROR(VLOOKUP(B279,$A$5:$C$504,3,FALSE)/100,1)*IFERROR(VLOOKUP(IFERROR(VLOOKUP(B279,$A$5:$B$504,2,FALSE),""),$A$5:$C$504,3,FALSE)/100,1)*IFERROR(VLOOKUP(IFERROR(VLOOKUP(IFERROR(VLOOKUP(B279,$A$5:$B$504,2,FALSE),""),$A$5:$B$504,2,FALSE),""),$A$5:$C$504,3,FALSE)/100,1))</f>
        <v/>
      </c>
      <c r="E279" s="21">
        <f>IF(A279="","",SUMIF('Grup Eşleme'!$B$5:$B$504,A279,'Grup Eşleme'!$C$5:$C$504))</f>
        <v/>
      </c>
      <c r="F279" s="27">
        <f>IF(OR(A279="",'Metraj Mahal Listesi'!$K$3=0,COUNTIF($B$5:$B$504,A279)&gt;0),"",E279/'Metraj Mahal Listesi'!$K$3*100)</f>
        <v/>
      </c>
      <c r="G279" s="28">
        <f>IF(OR(D279="",F279=""),"",F279-D279)</f>
        <v/>
      </c>
      <c r="H279" s="29">
        <f>IF(OR(G279="",D279=0),"",G279/D279*100)</f>
        <v/>
      </c>
      <c r="I279" s="30">
        <f>IF(A279="","",IF(COUNTIF($B$5:$B$504,A279)&gt;0,IF(ABS(SUMIF($B$5:$B$504,A279,$C$5:$C$504)-100)&lt;0.0001,"✔ alt gruplar Σ=100","⚠ alt gruplar Σ≠100"),IF(G279="","—",IF(ABS(G279)&lt;=PursUyum,"✔ uyumlu",IF(ABS(G279)&lt;=PursCiddi,"⚠ dikkat","✗ ciddi fark")))))</f>
        <v/>
      </c>
      <c r="J279" s="5" t="n"/>
      <c r="K279" s="5" t="n"/>
    </row>
    <row r="280">
      <c r="A280" s="5" t="n"/>
      <c r="B280" s="5" t="n"/>
      <c r="C280" s="26" t="n"/>
      <c r="D280" s="27">
        <f>IF(OR(A280="",C280=""),"",C280*IFERROR(VLOOKUP(B280,$A$5:$C$504,3,FALSE)/100,1)*IFERROR(VLOOKUP(IFERROR(VLOOKUP(B280,$A$5:$B$504,2,FALSE),""),$A$5:$C$504,3,FALSE)/100,1)*IFERROR(VLOOKUP(IFERROR(VLOOKUP(IFERROR(VLOOKUP(B280,$A$5:$B$504,2,FALSE),""),$A$5:$B$504,2,FALSE),""),$A$5:$C$504,3,FALSE)/100,1))</f>
        <v/>
      </c>
      <c r="E280" s="21">
        <f>IF(A280="","",SUMIF('Grup Eşleme'!$B$5:$B$504,A280,'Grup Eşleme'!$C$5:$C$504))</f>
        <v/>
      </c>
      <c r="F280" s="27">
        <f>IF(OR(A280="",'Metraj Mahal Listesi'!$K$3=0,COUNTIF($B$5:$B$504,A280)&gt;0),"",E280/'Metraj Mahal Listesi'!$K$3*100)</f>
        <v/>
      </c>
      <c r="G280" s="28">
        <f>IF(OR(D280="",F280=""),"",F280-D280)</f>
        <v/>
      </c>
      <c r="H280" s="29">
        <f>IF(OR(G280="",D280=0),"",G280/D280*100)</f>
        <v/>
      </c>
      <c r="I280" s="30">
        <f>IF(A280="","",IF(COUNTIF($B$5:$B$504,A280)&gt;0,IF(ABS(SUMIF($B$5:$B$504,A280,$C$5:$C$504)-100)&lt;0.0001,"✔ alt gruplar Σ=100","⚠ alt gruplar Σ≠100"),IF(G280="","—",IF(ABS(G280)&lt;=PursUyum,"✔ uyumlu",IF(ABS(G280)&lt;=PursCiddi,"⚠ dikkat","✗ ciddi fark")))))</f>
        <v/>
      </c>
      <c r="J280" s="5" t="n"/>
      <c r="K280" s="5" t="n"/>
    </row>
    <row r="281">
      <c r="A281" s="5" t="n"/>
      <c r="B281" s="5" t="n"/>
      <c r="C281" s="26" t="n"/>
      <c r="D281" s="27">
        <f>IF(OR(A281="",C281=""),"",C281*IFERROR(VLOOKUP(B281,$A$5:$C$504,3,FALSE)/100,1)*IFERROR(VLOOKUP(IFERROR(VLOOKUP(B281,$A$5:$B$504,2,FALSE),""),$A$5:$C$504,3,FALSE)/100,1)*IFERROR(VLOOKUP(IFERROR(VLOOKUP(IFERROR(VLOOKUP(B281,$A$5:$B$504,2,FALSE),""),$A$5:$B$504,2,FALSE),""),$A$5:$C$504,3,FALSE)/100,1))</f>
        <v/>
      </c>
      <c r="E281" s="21">
        <f>IF(A281="","",SUMIF('Grup Eşleme'!$B$5:$B$504,A281,'Grup Eşleme'!$C$5:$C$504))</f>
        <v/>
      </c>
      <c r="F281" s="27">
        <f>IF(OR(A281="",'Metraj Mahal Listesi'!$K$3=0,COUNTIF($B$5:$B$504,A281)&gt;0),"",E281/'Metraj Mahal Listesi'!$K$3*100)</f>
        <v/>
      </c>
      <c r="G281" s="28">
        <f>IF(OR(D281="",F281=""),"",F281-D281)</f>
        <v/>
      </c>
      <c r="H281" s="29">
        <f>IF(OR(G281="",D281=0),"",G281/D281*100)</f>
        <v/>
      </c>
      <c r="I281" s="30">
        <f>IF(A281="","",IF(COUNTIF($B$5:$B$504,A281)&gt;0,IF(ABS(SUMIF($B$5:$B$504,A281,$C$5:$C$504)-100)&lt;0.0001,"✔ alt gruplar Σ=100","⚠ alt gruplar Σ≠100"),IF(G281="","—",IF(ABS(G281)&lt;=PursUyum,"✔ uyumlu",IF(ABS(G281)&lt;=PursCiddi,"⚠ dikkat","✗ ciddi fark")))))</f>
        <v/>
      </c>
      <c r="J281" s="5" t="n"/>
      <c r="K281" s="5" t="n"/>
    </row>
    <row r="282">
      <c r="A282" s="5" t="n"/>
      <c r="B282" s="5" t="n"/>
      <c r="C282" s="26" t="n"/>
      <c r="D282" s="27">
        <f>IF(OR(A282="",C282=""),"",C282*IFERROR(VLOOKUP(B282,$A$5:$C$504,3,FALSE)/100,1)*IFERROR(VLOOKUP(IFERROR(VLOOKUP(B282,$A$5:$B$504,2,FALSE),""),$A$5:$C$504,3,FALSE)/100,1)*IFERROR(VLOOKUP(IFERROR(VLOOKUP(IFERROR(VLOOKUP(B282,$A$5:$B$504,2,FALSE),""),$A$5:$B$504,2,FALSE),""),$A$5:$C$504,3,FALSE)/100,1))</f>
        <v/>
      </c>
      <c r="E282" s="21">
        <f>IF(A282="","",SUMIF('Grup Eşleme'!$B$5:$B$504,A282,'Grup Eşleme'!$C$5:$C$504))</f>
        <v/>
      </c>
      <c r="F282" s="27">
        <f>IF(OR(A282="",'Metraj Mahal Listesi'!$K$3=0,COUNTIF($B$5:$B$504,A282)&gt;0),"",E282/'Metraj Mahal Listesi'!$K$3*100)</f>
        <v/>
      </c>
      <c r="G282" s="28">
        <f>IF(OR(D282="",F282=""),"",F282-D282)</f>
        <v/>
      </c>
      <c r="H282" s="29">
        <f>IF(OR(G282="",D282=0),"",G282/D282*100)</f>
        <v/>
      </c>
      <c r="I282" s="30">
        <f>IF(A282="","",IF(COUNTIF($B$5:$B$504,A282)&gt;0,IF(ABS(SUMIF($B$5:$B$504,A282,$C$5:$C$504)-100)&lt;0.0001,"✔ alt gruplar Σ=100","⚠ alt gruplar Σ≠100"),IF(G282="","—",IF(ABS(G282)&lt;=PursUyum,"✔ uyumlu",IF(ABS(G282)&lt;=PursCiddi,"⚠ dikkat","✗ ciddi fark")))))</f>
        <v/>
      </c>
      <c r="J282" s="5" t="n"/>
      <c r="K282" s="5" t="n"/>
    </row>
    <row r="283">
      <c r="A283" s="5" t="n"/>
      <c r="B283" s="5" t="n"/>
      <c r="C283" s="26" t="n"/>
      <c r="D283" s="27">
        <f>IF(OR(A283="",C283=""),"",C283*IFERROR(VLOOKUP(B283,$A$5:$C$504,3,FALSE)/100,1)*IFERROR(VLOOKUP(IFERROR(VLOOKUP(B283,$A$5:$B$504,2,FALSE),""),$A$5:$C$504,3,FALSE)/100,1)*IFERROR(VLOOKUP(IFERROR(VLOOKUP(IFERROR(VLOOKUP(B283,$A$5:$B$504,2,FALSE),""),$A$5:$B$504,2,FALSE),""),$A$5:$C$504,3,FALSE)/100,1))</f>
        <v/>
      </c>
      <c r="E283" s="21">
        <f>IF(A283="","",SUMIF('Grup Eşleme'!$B$5:$B$504,A283,'Grup Eşleme'!$C$5:$C$504))</f>
        <v/>
      </c>
      <c r="F283" s="27">
        <f>IF(OR(A283="",'Metraj Mahal Listesi'!$K$3=0,COUNTIF($B$5:$B$504,A283)&gt;0),"",E283/'Metraj Mahal Listesi'!$K$3*100)</f>
        <v/>
      </c>
      <c r="G283" s="28">
        <f>IF(OR(D283="",F283=""),"",F283-D283)</f>
        <v/>
      </c>
      <c r="H283" s="29">
        <f>IF(OR(G283="",D283=0),"",G283/D283*100)</f>
        <v/>
      </c>
      <c r="I283" s="30">
        <f>IF(A283="","",IF(COUNTIF($B$5:$B$504,A283)&gt;0,IF(ABS(SUMIF($B$5:$B$504,A283,$C$5:$C$504)-100)&lt;0.0001,"✔ alt gruplar Σ=100","⚠ alt gruplar Σ≠100"),IF(G283="","—",IF(ABS(G283)&lt;=PursUyum,"✔ uyumlu",IF(ABS(G283)&lt;=PursCiddi,"⚠ dikkat","✗ ciddi fark")))))</f>
        <v/>
      </c>
      <c r="J283" s="5" t="n"/>
      <c r="K283" s="5" t="n"/>
    </row>
    <row r="284">
      <c r="A284" s="5" t="n"/>
      <c r="B284" s="5" t="n"/>
      <c r="C284" s="26" t="n"/>
      <c r="D284" s="27">
        <f>IF(OR(A284="",C284=""),"",C284*IFERROR(VLOOKUP(B284,$A$5:$C$504,3,FALSE)/100,1)*IFERROR(VLOOKUP(IFERROR(VLOOKUP(B284,$A$5:$B$504,2,FALSE),""),$A$5:$C$504,3,FALSE)/100,1)*IFERROR(VLOOKUP(IFERROR(VLOOKUP(IFERROR(VLOOKUP(B284,$A$5:$B$504,2,FALSE),""),$A$5:$B$504,2,FALSE),""),$A$5:$C$504,3,FALSE)/100,1))</f>
        <v/>
      </c>
      <c r="E284" s="21">
        <f>IF(A284="","",SUMIF('Grup Eşleme'!$B$5:$B$504,A284,'Grup Eşleme'!$C$5:$C$504))</f>
        <v/>
      </c>
      <c r="F284" s="27">
        <f>IF(OR(A284="",'Metraj Mahal Listesi'!$K$3=0,COUNTIF($B$5:$B$504,A284)&gt;0),"",E284/'Metraj Mahal Listesi'!$K$3*100)</f>
        <v/>
      </c>
      <c r="G284" s="28">
        <f>IF(OR(D284="",F284=""),"",F284-D284)</f>
        <v/>
      </c>
      <c r="H284" s="29">
        <f>IF(OR(G284="",D284=0),"",G284/D284*100)</f>
        <v/>
      </c>
      <c r="I284" s="30">
        <f>IF(A284="","",IF(COUNTIF($B$5:$B$504,A284)&gt;0,IF(ABS(SUMIF($B$5:$B$504,A284,$C$5:$C$504)-100)&lt;0.0001,"✔ alt gruplar Σ=100","⚠ alt gruplar Σ≠100"),IF(G284="","—",IF(ABS(G284)&lt;=PursUyum,"✔ uyumlu",IF(ABS(G284)&lt;=PursCiddi,"⚠ dikkat","✗ ciddi fark")))))</f>
        <v/>
      </c>
      <c r="J284" s="5" t="n"/>
      <c r="K284" s="5" t="n"/>
    </row>
    <row r="285">
      <c r="A285" s="5" t="n"/>
      <c r="B285" s="5" t="n"/>
      <c r="C285" s="26" t="n"/>
      <c r="D285" s="27">
        <f>IF(OR(A285="",C285=""),"",C285*IFERROR(VLOOKUP(B285,$A$5:$C$504,3,FALSE)/100,1)*IFERROR(VLOOKUP(IFERROR(VLOOKUP(B285,$A$5:$B$504,2,FALSE),""),$A$5:$C$504,3,FALSE)/100,1)*IFERROR(VLOOKUP(IFERROR(VLOOKUP(IFERROR(VLOOKUP(B285,$A$5:$B$504,2,FALSE),""),$A$5:$B$504,2,FALSE),""),$A$5:$C$504,3,FALSE)/100,1))</f>
        <v/>
      </c>
      <c r="E285" s="21">
        <f>IF(A285="","",SUMIF('Grup Eşleme'!$B$5:$B$504,A285,'Grup Eşleme'!$C$5:$C$504))</f>
        <v/>
      </c>
      <c r="F285" s="27">
        <f>IF(OR(A285="",'Metraj Mahal Listesi'!$K$3=0,COUNTIF($B$5:$B$504,A285)&gt;0),"",E285/'Metraj Mahal Listesi'!$K$3*100)</f>
        <v/>
      </c>
      <c r="G285" s="28">
        <f>IF(OR(D285="",F285=""),"",F285-D285)</f>
        <v/>
      </c>
      <c r="H285" s="29">
        <f>IF(OR(G285="",D285=0),"",G285/D285*100)</f>
        <v/>
      </c>
      <c r="I285" s="30">
        <f>IF(A285="","",IF(COUNTIF($B$5:$B$504,A285)&gt;0,IF(ABS(SUMIF($B$5:$B$504,A285,$C$5:$C$504)-100)&lt;0.0001,"✔ alt gruplar Σ=100","⚠ alt gruplar Σ≠100"),IF(G285="","—",IF(ABS(G285)&lt;=PursUyum,"✔ uyumlu",IF(ABS(G285)&lt;=PursCiddi,"⚠ dikkat","✗ ciddi fark")))))</f>
        <v/>
      </c>
      <c r="J285" s="5" t="n"/>
      <c r="K285" s="5" t="n"/>
    </row>
    <row r="286">
      <c r="A286" s="5" t="n"/>
      <c r="B286" s="5" t="n"/>
      <c r="C286" s="26" t="n"/>
      <c r="D286" s="27">
        <f>IF(OR(A286="",C286=""),"",C286*IFERROR(VLOOKUP(B286,$A$5:$C$504,3,FALSE)/100,1)*IFERROR(VLOOKUP(IFERROR(VLOOKUP(B286,$A$5:$B$504,2,FALSE),""),$A$5:$C$504,3,FALSE)/100,1)*IFERROR(VLOOKUP(IFERROR(VLOOKUP(IFERROR(VLOOKUP(B286,$A$5:$B$504,2,FALSE),""),$A$5:$B$504,2,FALSE),""),$A$5:$C$504,3,FALSE)/100,1))</f>
        <v/>
      </c>
      <c r="E286" s="21">
        <f>IF(A286="","",SUMIF('Grup Eşleme'!$B$5:$B$504,A286,'Grup Eşleme'!$C$5:$C$504))</f>
        <v/>
      </c>
      <c r="F286" s="27">
        <f>IF(OR(A286="",'Metraj Mahal Listesi'!$K$3=0,COUNTIF($B$5:$B$504,A286)&gt;0),"",E286/'Metraj Mahal Listesi'!$K$3*100)</f>
        <v/>
      </c>
      <c r="G286" s="28">
        <f>IF(OR(D286="",F286=""),"",F286-D286)</f>
        <v/>
      </c>
      <c r="H286" s="29">
        <f>IF(OR(G286="",D286=0),"",G286/D286*100)</f>
        <v/>
      </c>
      <c r="I286" s="30">
        <f>IF(A286="","",IF(COUNTIF($B$5:$B$504,A286)&gt;0,IF(ABS(SUMIF($B$5:$B$504,A286,$C$5:$C$504)-100)&lt;0.0001,"✔ alt gruplar Σ=100","⚠ alt gruplar Σ≠100"),IF(G286="","—",IF(ABS(G286)&lt;=PursUyum,"✔ uyumlu",IF(ABS(G286)&lt;=PursCiddi,"⚠ dikkat","✗ ciddi fark")))))</f>
        <v/>
      </c>
      <c r="J286" s="5" t="n"/>
      <c r="K286" s="5" t="n"/>
    </row>
    <row r="287">
      <c r="A287" s="5" t="n"/>
      <c r="B287" s="5" t="n"/>
      <c r="C287" s="26" t="n"/>
      <c r="D287" s="27">
        <f>IF(OR(A287="",C287=""),"",C287*IFERROR(VLOOKUP(B287,$A$5:$C$504,3,FALSE)/100,1)*IFERROR(VLOOKUP(IFERROR(VLOOKUP(B287,$A$5:$B$504,2,FALSE),""),$A$5:$C$504,3,FALSE)/100,1)*IFERROR(VLOOKUP(IFERROR(VLOOKUP(IFERROR(VLOOKUP(B287,$A$5:$B$504,2,FALSE),""),$A$5:$B$504,2,FALSE),""),$A$5:$C$504,3,FALSE)/100,1))</f>
        <v/>
      </c>
      <c r="E287" s="21">
        <f>IF(A287="","",SUMIF('Grup Eşleme'!$B$5:$B$504,A287,'Grup Eşleme'!$C$5:$C$504))</f>
        <v/>
      </c>
      <c r="F287" s="27">
        <f>IF(OR(A287="",'Metraj Mahal Listesi'!$K$3=0,COUNTIF($B$5:$B$504,A287)&gt;0),"",E287/'Metraj Mahal Listesi'!$K$3*100)</f>
        <v/>
      </c>
      <c r="G287" s="28">
        <f>IF(OR(D287="",F287=""),"",F287-D287)</f>
        <v/>
      </c>
      <c r="H287" s="29">
        <f>IF(OR(G287="",D287=0),"",G287/D287*100)</f>
        <v/>
      </c>
      <c r="I287" s="30">
        <f>IF(A287="","",IF(COUNTIF($B$5:$B$504,A287)&gt;0,IF(ABS(SUMIF($B$5:$B$504,A287,$C$5:$C$504)-100)&lt;0.0001,"✔ alt gruplar Σ=100","⚠ alt gruplar Σ≠100"),IF(G287="","—",IF(ABS(G287)&lt;=PursUyum,"✔ uyumlu",IF(ABS(G287)&lt;=PursCiddi,"⚠ dikkat","✗ ciddi fark")))))</f>
        <v/>
      </c>
      <c r="J287" s="5" t="n"/>
      <c r="K287" s="5" t="n"/>
    </row>
    <row r="288">
      <c r="A288" s="5" t="n"/>
      <c r="B288" s="5" t="n"/>
      <c r="C288" s="26" t="n"/>
      <c r="D288" s="27">
        <f>IF(OR(A288="",C288=""),"",C288*IFERROR(VLOOKUP(B288,$A$5:$C$504,3,FALSE)/100,1)*IFERROR(VLOOKUP(IFERROR(VLOOKUP(B288,$A$5:$B$504,2,FALSE),""),$A$5:$C$504,3,FALSE)/100,1)*IFERROR(VLOOKUP(IFERROR(VLOOKUP(IFERROR(VLOOKUP(B288,$A$5:$B$504,2,FALSE),""),$A$5:$B$504,2,FALSE),""),$A$5:$C$504,3,FALSE)/100,1))</f>
        <v/>
      </c>
      <c r="E288" s="21">
        <f>IF(A288="","",SUMIF('Grup Eşleme'!$B$5:$B$504,A288,'Grup Eşleme'!$C$5:$C$504))</f>
        <v/>
      </c>
      <c r="F288" s="27">
        <f>IF(OR(A288="",'Metraj Mahal Listesi'!$K$3=0,COUNTIF($B$5:$B$504,A288)&gt;0),"",E288/'Metraj Mahal Listesi'!$K$3*100)</f>
        <v/>
      </c>
      <c r="G288" s="28">
        <f>IF(OR(D288="",F288=""),"",F288-D288)</f>
        <v/>
      </c>
      <c r="H288" s="29">
        <f>IF(OR(G288="",D288=0),"",G288/D288*100)</f>
        <v/>
      </c>
      <c r="I288" s="30">
        <f>IF(A288="","",IF(COUNTIF($B$5:$B$504,A288)&gt;0,IF(ABS(SUMIF($B$5:$B$504,A288,$C$5:$C$504)-100)&lt;0.0001,"✔ alt gruplar Σ=100","⚠ alt gruplar Σ≠100"),IF(G288="","—",IF(ABS(G288)&lt;=PursUyum,"✔ uyumlu",IF(ABS(G288)&lt;=PursCiddi,"⚠ dikkat","✗ ciddi fark")))))</f>
        <v/>
      </c>
      <c r="J288" s="5" t="n"/>
      <c r="K288" s="5" t="n"/>
    </row>
    <row r="289">
      <c r="A289" s="5" t="n"/>
      <c r="B289" s="5" t="n"/>
      <c r="C289" s="26" t="n"/>
      <c r="D289" s="27">
        <f>IF(OR(A289="",C289=""),"",C289*IFERROR(VLOOKUP(B289,$A$5:$C$504,3,FALSE)/100,1)*IFERROR(VLOOKUP(IFERROR(VLOOKUP(B289,$A$5:$B$504,2,FALSE),""),$A$5:$C$504,3,FALSE)/100,1)*IFERROR(VLOOKUP(IFERROR(VLOOKUP(IFERROR(VLOOKUP(B289,$A$5:$B$504,2,FALSE),""),$A$5:$B$504,2,FALSE),""),$A$5:$C$504,3,FALSE)/100,1))</f>
        <v/>
      </c>
      <c r="E289" s="21">
        <f>IF(A289="","",SUMIF('Grup Eşleme'!$B$5:$B$504,A289,'Grup Eşleme'!$C$5:$C$504))</f>
        <v/>
      </c>
      <c r="F289" s="27">
        <f>IF(OR(A289="",'Metraj Mahal Listesi'!$K$3=0,COUNTIF($B$5:$B$504,A289)&gt;0),"",E289/'Metraj Mahal Listesi'!$K$3*100)</f>
        <v/>
      </c>
      <c r="G289" s="28">
        <f>IF(OR(D289="",F289=""),"",F289-D289)</f>
        <v/>
      </c>
      <c r="H289" s="29">
        <f>IF(OR(G289="",D289=0),"",G289/D289*100)</f>
        <v/>
      </c>
      <c r="I289" s="30">
        <f>IF(A289="","",IF(COUNTIF($B$5:$B$504,A289)&gt;0,IF(ABS(SUMIF($B$5:$B$504,A289,$C$5:$C$504)-100)&lt;0.0001,"✔ alt gruplar Σ=100","⚠ alt gruplar Σ≠100"),IF(G289="","—",IF(ABS(G289)&lt;=PursUyum,"✔ uyumlu",IF(ABS(G289)&lt;=PursCiddi,"⚠ dikkat","✗ ciddi fark")))))</f>
        <v/>
      </c>
      <c r="J289" s="5" t="n"/>
      <c r="K289" s="5" t="n"/>
    </row>
    <row r="290">
      <c r="A290" s="5" t="n"/>
      <c r="B290" s="5" t="n"/>
      <c r="C290" s="26" t="n"/>
      <c r="D290" s="27">
        <f>IF(OR(A290="",C290=""),"",C290*IFERROR(VLOOKUP(B290,$A$5:$C$504,3,FALSE)/100,1)*IFERROR(VLOOKUP(IFERROR(VLOOKUP(B290,$A$5:$B$504,2,FALSE),""),$A$5:$C$504,3,FALSE)/100,1)*IFERROR(VLOOKUP(IFERROR(VLOOKUP(IFERROR(VLOOKUP(B290,$A$5:$B$504,2,FALSE),""),$A$5:$B$504,2,FALSE),""),$A$5:$C$504,3,FALSE)/100,1))</f>
        <v/>
      </c>
      <c r="E290" s="21">
        <f>IF(A290="","",SUMIF('Grup Eşleme'!$B$5:$B$504,A290,'Grup Eşleme'!$C$5:$C$504))</f>
        <v/>
      </c>
      <c r="F290" s="27">
        <f>IF(OR(A290="",'Metraj Mahal Listesi'!$K$3=0,COUNTIF($B$5:$B$504,A290)&gt;0),"",E290/'Metraj Mahal Listesi'!$K$3*100)</f>
        <v/>
      </c>
      <c r="G290" s="28">
        <f>IF(OR(D290="",F290=""),"",F290-D290)</f>
        <v/>
      </c>
      <c r="H290" s="29">
        <f>IF(OR(G290="",D290=0),"",G290/D290*100)</f>
        <v/>
      </c>
      <c r="I290" s="30">
        <f>IF(A290="","",IF(COUNTIF($B$5:$B$504,A290)&gt;0,IF(ABS(SUMIF($B$5:$B$504,A290,$C$5:$C$504)-100)&lt;0.0001,"✔ alt gruplar Σ=100","⚠ alt gruplar Σ≠100"),IF(G290="","—",IF(ABS(G290)&lt;=PursUyum,"✔ uyumlu",IF(ABS(G290)&lt;=PursCiddi,"⚠ dikkat","✗ ciddi fark")))))</f>
        <v/>
      </c>
      <c r="J290" s="5" t="n"/>
      <c r="K290" s="5" t="n"/>
    </row>
    <row r="291">
      <c r="A291" s="5" t="n"/>
      <c r="B291" s="5" t="n"/>
      <c r="C291" s="26" t="n"/>
      <c r="D291" s="27">
        <f>IF(OR(A291="",C291=""),"",C291*IFERROR(VLOOKUP(B291,$A$5:$C$504,3,FALSE)/100,1)*IFERROR(VLOOKUP(IFERROR(VLOOKUP(B291,$A$5:$B$504,2,FALSE),""),$A$5:$C$504,3,FALSE)/100,1)*IFERROR(VLOOKUP(IFERROR(VLOOKUP(IFERROR(VLOOKUP(B291,$A$5:$B$504,2,FALSE),""),$A$5:$B$504,2,FALSE),""),$A$5:$C$504,3,FALSE)/100,1))</f>
        <v/>
      </c>
      <c r="E291" s="21">
        <f>IF(A291="","",SUMIF('Grup Eşleme'!$B$5:$B$504,A291,'Grup Eşleme'!$C$5:$C$504))</f>
        <v/>
      </c>
      <c r="F291" s="27">
        <f>IF(OR(A291="",'Metraj Mahal Listesi'!$K$3=0,COUNTIF($B$5:$B$504,A291)&gt;0),"",E291/'Metraj Mahal Listesi'!$K$3*100)</f>
        <v/>
      </c>
      <c r="G291" s="28">
        <f>IF(OR(D291="",F291=""),"",F291-D291)</f>
        <v/>
      </c>
      <c r="H291" s="29">
        <f>IF(OR(G291="",D291=0),"",G291/D291*100)</f>
        <v/>
      </c>
      <c r="I291" s="30">
        <f>IF(A291="","",IF(COUNTIF($B$5:$B$504,A291)&gt;0,IF(ABS(SUMIF($B$5:$B$504,A291,$C$5:$C$504)-100)&lt;0.0001,"✔ alt gruplar Σ=100","⚠ alt gruplar Σ≠100"),IF(G291="","—",IF(ABS(G291)&lt;=PursUyum,"✔ uyumlu",IF(ABS(G291)&lt;=PursCiddi,"⚠ dikkat","✗ ciddi fark")))))</f>
        <v/>
      </c>
      <c r="J291" s="5" t="n"/>
      <c r="K291" s="5" t="n"/>
    </row>
    <row r="292">
      <c r="A292" s="5" t="n"/>
      <c r="B292" s="5" t="n"/>
      <c r="C292" s="26" t="n"/>
      <c r="D292" s="27">
        <f>IF(OR(A292="",C292=""),"",C292*IFERROR(VLOOKUP(B292,$A$5:$C$504,3,FALSE)/100,1)*IFERROR(VLOOKUP(IFERROR(VLOOKUP(B292,$A$5:$B$504,2,FALSE),""),$A$5:$C$504,3,FALSE)/100,1)*IFERROR(VLOOKUP(IFERROR(VLOOKUP(IFERROR(VLOOKUP(B292,$A$5:$B$504,2,FALSE),""),$A$5:$B$504,2,FALSE),""),$A$5:$C$504,3,FALSE)/100,1))</f>
        <v/>
      </c>
      <c r="E292" s="21">
        <f>IF(A292="","",SUMIF('Grup Eşleme'!$B$5:$B$504,A292,'Grup Eşleme'!$C$5:$C$504))</f>
        <v/>
      </c>
      <c r="F292" s="27">
        <f>IF(OR(A292="",'Metraj Mahal Listesi'!$K$3=0,COUNTIF($B$5:$B$504,A292)&gt;0),"",E292/'Metraj Mahal Listesi'!$K$3*100)</f>
        <v/>
      </c>
      <c r="G292" s="28">
        <f>IF(OR(D292="",F292=""),"",F292-D292)</f>
        <v/>
      </c>
      <c r="H292" s="29">
        <f>IF(OR(G292="",D292=0),"",G292/D292*100)</f>
        <v/>
      </c>
      <c r="I292" s="30">
        <f>IF(A292="","",IF(COUNTIF($B$5:$B$504,A292)&gt;0,IF(ABS(SUMIF($B$5:$B$504,A292,$C$5:$C$504)-100)&lt;0.0001,"✔ alt gruplar Σ=100","⚠ alt gruplar Σ≠100"),IF(G292="","—",IF(ABS(G292)&lt;=PursUyum,"✔ uyumlu",IF(ABS(G292)&lt;=PursCiddi,"⚠ dikkat","✗ ciddi fark")))))</f>
        <v/>
      </c>
      <c r="J292" s="5" t="n"/>
      <c r="K292" s="5" t="n"/>
    </row>
    <row r="293">
      <c r="A293" s="5" t="n"/>
      <c r="B293" s="5" t="n"/>
      <c r="C293" s="26" t="n"/>
      <c r="D293" s="27">
        <f>IF(OR(A293="",C293=""),"",C293*IFERROR(VLOOKUP(B293,$A$5:$C$504,3,FALSE)/100,1)*IFERROR(VLOOKUP(IFERROR(VLOOKUP(B293,$A$5:$B$504,2,FALSE),""),$A$5:$C$504,3,FALSE)/100,1)*IFERROR(VLOOKUP(IFERROR(VLOOKUP(IFERROR(VLOOKUP(B293,$A$5:$B$504,2,FALSE),""),$A$5:$B$504,2,FALSE),""),$A$5:$C$504,3,FALSE)/100,1))</f>
        <v/>
      </c>
      <c r="E293" s="21">
        <f>IF(A293="","",SUMIF('Grup Eşleme'!$B$5:$B$504,A293,'Grup Eşleme'!$C$5:$C$504))</f>
        <v/>
      </c>
      <c r="F293" s="27">
        <f>IF(OR(A293="",'Metraj Mahal Listesi'!$K$3=0,COUNTIF($B$5:$B$504,A293)&gt;0),"",E293/'Metraj Mahal Listesi'!$K$3*100)</f>
        <v/>
      </c>
      <c r="G293" s="28">
        <f>IF(OR(D293="",F293=""),"",F293-D293)</f>
        <v/>
      </c>
      <c r="H293" s="29">
        <f>IF(OR(G293="",D293=0),"",G293/D293*100)</f>
        <v/>
      </c>
      <c r="I293" s="30">
        <f>IF(A293="","",IF(COUNTIF($B$5:$B$504,A293)&gt;0,IF(ABS(SUMIF($B$5:$B$504,A293,$C$5:$C$504)-100)&lt;0.0001,"✔ alt gruplar Σ=100","⚠ alt gruplar Σ≠100"),IF(G293="","—",IF(ABS(G293)&lt;=PursUyum,"✔ uyumlu",IF(ABS(G293)&lt;=PursCiddi,"⚠ dikkat","✗ ciddi fark")))))</f>
        <v/>
      </c>
      <c r="J293" s="5" t="n"/>
      <c r="K293" s="5" t="n"/>
    </row>
    <row r="294">
      <c r="A294" s="5" t="n"/>
      <c r="B294" s="5" t="n"/>
      <c r="C294" s="26" t="n"/>
      <c r="D294" s="27">
        <f>IF(OR(A294="",C294=""),"",C294*IFERROR(VLOOKUP(B294,$A$5:$C$504,3,FALSE)/100,1)*IFERROR(VLOOKUP(IFERROR(VLOOKUP(B294,$A$5:$B$504,2,FALSE),""),$A$5:$C$504,3,FALSE)/100,1)*IFERROR(VLOOKUP(IFERROR(VLOOKUP(IFERROR(VLOOKUP(B294,$A$5:$B$504,2,FALSE),""),$A$5:$B$504,2,FALSE),""),$A$5:$C$504,3,FALSE)/100,1))</f>
        <v/>
      </c>
      <c r="E294" s="21">
        <f>IF(A294="","",SUMIF('Grup Eşleme'!$B$5:$B$504,A294,'Grup Eşleme'!$C$5:$C$504))</f>
        <v/>
      </c>
      <c r="F294" s="27">
        <f>IF(OR(A294="",'Metraj Mahal Listesi'!$K$3=0,COUNTIF($B$5:$B$504,A294)&gt;0),"",E294/'Metraj Mahal Listesi'!$K$3*100)</f>
        <v/>
      </c>
      <c r="G294" s="28">
        <f>IF(OR(D294="",F294=""),"",F294-D294)</f>
        <v/>
      </c>
      <c r="H294" s="29">
        <f>IF(OR(G294="",D294=0),"",G294/D294*100)</f>
        <v/>
      </c>
      <c r="I294" s="30">
        <f>IF(A294="","",IF(COUNTIF($B$5:$B$504,A294)&gt;0,IF(ABS(SUMIF($B$5:$B$504,A294,$C$5:$C$504)-100)&lt;0.0001,"✔ alt gruplar Σ=100","⚠ alt gruplar Σ≠100"),IF(G294="","—",IF(ABS(G294)&lt;=PursUyum,"✔ uyumlu",IF(ABS(G294)&lt;=PursCiddi,"⚠ dikkat","✗ ciddi fark")))))</f>
        <v/>
      </c>
      <c r="J294" s="5" t="n"/>
      <c r="K294" s="5" t="n"/>
    </row>
    <row r="295">
      <c r="A295" s="5" t="n"/>
      <c r="B295" s="5" t="n"/>
      <c r="C295" s="26" t="n"/>
      <c r="D295" s="27">
        <f>IF(OR(A295="",C295=""),"",C295*IFERROR(VLOOKUP(B295,$A$5:$C$504,3,FALSE)/100,1)*IFERROR(VLOOKUP(IFERROR(VLOOKUP(B295,$A$5:$B$504,2,FALSE),""),$A$5:$C$504,3,FALSE)/100,1)*IFERROR(VLOOKUP(IFERROR(VLOOKUP(IFERROR(VLOOKUP(B295,$A$5:$B$504,2,FALSE),""),$A$5:$B$504,2,FALSE),""),$A$5:$C$504,3,FALSE)/100,1))</f>
        <v/>
      </c>
      <c r="E295" s="21">
        <f>IF(A295="","",SUMIF('Grup Eşleme'!$B$5:$B$504,A295,'Grup Eşleme'!$C$5:$C$504))</f>
        <v/>
      </c>
      <c r="F295" s="27">
        <f>IF(OR(A295="",'Metraj Mahal Listesi'!$K$3=0,COUNTIF($B$5:$B$504,A295)&gt;0),"",E295/'Metraj Mahal Listesi'!$K$3*100)</f>
        <v/>
      </c>
      <c r="G295" s="28">
        <f>IF(OR(D295="",F295=""),"",F295-D295)</f>
        <v/>
      </c>
      <c r="H295" s="29">
        <f>IF(OR(G295="",D295=0),"",G295/D295*100)</f>
        <v/>
      </c>
      <c r="I295" s="30">
        <f>IF(A295="","",IF(COUNTIF($B$5:$B$504,A295)&gt;0,IF(ABS(SUMIF($B$5:$B$504,A295,$C$5:$C$504)-100)&lt;0.0001,"✔ alt gruplar Σ=100","⚠ alt gruplar Σ≠100"),IF(G295="","—",IF(ABS(G295)&lt;=PursUyum,"✔ uyumlu",IF(ABS(G295)&lt;=PursCiddi,"⚠ dikkat","✗ ciddi fark")))))</f>
        <v/>
      </c>
      <c r="J295" s="5" t="n"/>
      <c r="K295" s="5" t="n"/>
    </row>
    <row r="296">
      <c r="A296" s="5" t="n"/>
      <c r="B296" s="5" t="n"/>
      <c r="C296" s="26" t="n"/>
      <c r="D296" s="27">
        <f>IF(OR(A296="",C296=""),"",C296*IFERROR(VLOOKUP(B296,$A$5:$C$504,3,FALSE)/100,1)*IFERROR(VLOOKUP(IFERROR(VLOOKUP(B296,$A$5:$B$504,2,FALSE),""),$A$5:$C$504,3,FALSE)/100,1)*IFERROR(VLOOKUP(IFERROR(VLOOKUP(IFERROR(VLOOKUP(B296,$A$5:$B$504,2,FALSE),""),$A$5:$B$504,2,FALSE),""),$A$5:$C$504,3,FALSE)/100,1))</f>
        <v/>
      </c>
      <c r="E296" s="21">
        <f>IF(A296="","",SUMIF('Grup Eşleme'!$B$5:$B$504,A296,'Grup Eşleme'!$C$5:$C$504))</f>
        <v/>
      </c>
      <c r="F296" s="27">
        <f>IF(OR(A296="",'Metraj Mahal Listesi'!$K$3=0,COUNTIF($B$5:$B$504,A296)&gt;0),"",E296/'Metraj Mahal Listesi'!$K$3*100)</f>
        <v/>
      </c>
      <c r="G296" s="28">
        <f>IF(OR(D296="",F296=""),"",F296-D296)</f>
        <v/>
      </c>
      <c r="H296" s="29">
        <f>IF(OR(G296="",D296=0),"",G296/D296*100)</f>
        <v/>
      </c>
      <c r="I296" s="30">
        <f>IF(A296="","",IF(COUNTIF($B$5:$B$504,A296)&gt;0,IF(ABS(SUMIF($B$5:$B$504,A296,$C$5:$C$504)-100)&lt;0.0001,"✔ alt gruplar Σ=100","⚠ alt gruplar Σ≠100"),IF(G296="","—",IF(ABS(G296)&lt;=PursUyum,"✔ uyumlu",IF(ABS(G296)&lt;=PursCiddi,"⚠ dikkat","✗ ciddi fark")))))</f>
        <v/>
      </c>
      <c r="J296" s="5" t="n"/>
      <c r="K296" s="5" t="n"/>
    </row>
    <row r="297">
      <c r="A297" s="5" t="n"/>
      <c r="B297" s="5" t="n"/>
      <c r="C297" s="26" t="n"/>
      <c r="D297" s="27">
        <f>IF(OR(A297="",C297=""),"",C297*IFERROR(VLOOKUP(B297,$A$5:$C$504,3,FALSE)/100,1)*IFERROR(VLOOKUP(IFERROR(VLOOKUP(B297,$A$5:$B$504,2,FALSE),""),$A$5:$C$504,3,FALSE)/100,1)*IFERROR(VLOOKUP(IFERROR(VLOOKUP(IFERROR(VLOOKUP(B297,$A$5:$B$504,2,FALSE),""),$A$5:$B$504,2,FALSE),""),$A$5:$C$504,3,FALSE)/100,1))</f>
        <v/>
      </c>
      <c r="E297" s="21">
        <f>IF(A297="","",SUMIF('Grup Eşleme'!$B$5:$B$504,A297,'Grup Eşleme'!$C$5:$C$504))</f>
        <v/>
      </c>
      <c r="F297" s="27">
        <f>IF(OR(A297="",'Metraj Mahal Listesi'!$K$3=0,COUNTIF($B$5:$B$504,A297)&gt;0),"",E297/'Metraj Mahal Listesi'!$K$3*100)</f>
        <v/>
      </c>
      <c r="G297" s="28">
        <f>IF(OR(D297="",F297=""),"",F297-D297)</f>
        <v/>
      </c>
      <c r="H297" s="29">
        <f>IF(OR(G297="",D297=0),"",G297/D297*100)</f>
        <v/>
      </c>
      <c r="I297" s="30">
        <f>IF(A297="","",IF(COUNTIF($B$5:$B$504,A297)&gt;0,IF(ABS(SUMIF($B$5:$B$504,A297,$C$5:$C$504)-100)&lt;0.0001,"✔ alt gruplar Σ=100","⚠ alt gruplar Σ≠100"),IF(G297="","—",IF(ABS(G297)&lt;=PursUyum,"✔ uyumlu",IF(ABS(G297)&lt;=PursCiddi,"⚠ dikkat","✗ ciddi fark")))))</f>
        <v/>
      </c>
      <c r="J297" s="5" t="n"/>
      <c r="K297" s="5" t="n"/>
    </row>
    <row r="298">
      <c r="A298" s="5" t="n"/>
      <c r="B298" s="5" t="n"/>
      <c r="C298" s="26" t="n"/>
      <c r="D298" s="27">
        <f>IF(OR(A298="",C298=""),"",C298*IFERROR(VLOOKUP(B298,$A$5:$C$504,3,FALSE)/100,1)*IFERROR(VLOOKUP(IFERROR(VLOOKUP(B298,$A$5:$B$504,2,FALSE),""),$A$5:$C$504,3,FALSE)/100,1)*IFERROR(VLOOKUP(IFERROR(VLOOKUP(IFERROR(VLOOKUP(B298,$A$5:$B$504,2,FALSE),""),$A$5:$B$504,2,FALSE),""),$A$5:$C$504,3,FALSE)/100,1))</f>
        <v/>
      </c>
      <c r="E298" s="21">
        <f>IF(A298="","",SUMIF('Grup Eşleme'!$B$5:$B$504,A298,'Grup Eşleme'!$C$5:$C$504))</f>
        <v/>
      </c>
      <c r="F298" s="27">
        <f>IF(OR(A298="",'Metraj Mahal Listesi'!$K$3=0,COUNTIF($B$5:$B$504,A298)&gt;0),"",E298/'Metraj Mahal Listesi'!$K$3*100)</f>
        <v/>
      </c>
      <c r="G298" s="28">
        <f>IF(OR(D298="",F298=""),"",F298-D298)</f>
        <v/>
      </c>
      <c r="H298" s="29">
        <f>IF(OR(G298="",D298=0),"",G298/D298*100)</f>
        <v/>
      </c>
      <c r="I298" s="30">
        <f>IF(A298="","",IF(COUNTIF($B$5:$B$504,A298)&gt;0,IF(ABS(SUMIF($B$5:$B$504,A298,$C$5:$C$504)-100)&lt;0.0001,"✔ alt gruplar Σ=100","⚠ alt gruplar Σ≠100"),IF(G298="","—",IF(ABS(G298)&lt;=PursUyum,"✔ uyumlu",IF(ABS(G298)&lt;=PursCiddi,"⚠ dikkat","✗ ciddi fark")))))</f>
        <v/>
      </c>
      <c r="J298" s="5" t="n"/>
      <c r="K298" s="5" t="n"/>
    </row>
    <row r="299">
      <c r="A299" s="5" t="n"/>
      <c r="B299" s="5" t="n"/>
      <c r="C299" s="26" t="n"/>
      <c r="D299" s="27">
        <f>IF(OR(A299="",C299=""),"",C299*IFERROR(VLOOKUP(B299,$A$5:$C$504,3,FALSE)/100,1)*IFERROR(VLOOKUP(IFERROR(VLOOKUP(B299,$A$5:$B$504,2,FALSE),""),$A$5:$C$504,3,FALSE)/100,1)*IFERROR(VLOOKUP(IFERROR(VLOOKUP(IFERROR(VLOOKUP(B299,$A$5:$B$504,2,FALSE),""),$A$5:$B$504,2,FALSE),""),$A$5:$C$504,3,FALSE)/100,1))</f>
        <v/>
      </c>
      <c r="E299" s="21">
        <f>IF(A299="","",SUMIF('Grup Eşleme'!$B$5:$B$504,A299,'Grup Eşleme'!$C$5:$C$504))</f>
        <v/>
      </c>
      <c r="F299" s="27">
        <f>IF(OR(A299="",'Metraj Mahal Listesi'!$K$3=0,COUNTIF($B$5:$B$504,A299)&gt;0),"",E299/'Metraj Mahal Listesi'!$K$3*100)</f>
        <v/>
      </c>
      <c r="G299" s="28">
        <f>IF(OR(D299="",F299=""),"",F299-D299)</f>
        <v/>
      </c>
      <c r="H299" s="29">
        <f>IF(OR(G299="",D299=0),"",G299/D299*100)</f>
        <v/>
      </c>
      <c r="I299" s="30">
        <f>IF(A299="","",IF(COUNTIF($B$5:$B$504,A299)&gt;0,IF(ABS(SUMIF($B$5:$B$504,A299,$C$5:$C$504)-100)&lt;0.0001,"✔ alt gruplar Σ=100","⚠ alt gruplar Σ≠100"),IF(G299="","—",IF(ABS(G299)&lt;=PursUyum,"✔ uyumlu",IF(ABS(G299)&lt;=PursCiddi,"⚠ dikkat","✗ ciddi fark")))))</f>
        <v/>
      </c>
      <c r="J299" s="5" t="n"/>
      <c r="K299" s="5" t="n"/>
    </row>
    <row r="300">
      <c r="A300" s="5" t="n"/>
      <c r="B300" s="5" t="n"/>
      <c r="C300" s="26" t="n"/>
      <c r="D300" s="27">
        <f>IF(OR(A300="",C300=""),"",C300*IFERROR(VLOOKUP(B300,$A$5:$C$504,3,FALSE)/100,1)*IFERROR(VLOOKUP(IFERROR(VLOOKUP(B300,$A$5:$B$504,2,FALSE),""),$A$5:$C$504,3,FALSE)/100,1)*IFERROR(VLOOKUP(IFERROR(VLOOKUP(IFERROR(VLOOKUP(B300,$A$5:$B$504,2,FALSE),""),$A$5:$B$504,2,FALSE),""),$A$5:$C$504,3,FALSE)/100,1))</f>
        <v/>
      </c>
      <c r="E300" s="21">
        <f>IF(A300="","",SUMIF('Grup Eşleme'!$B$5:$B$504,A300,'Grup Eşleme'!$C$5:$C$504))</f>
        <v/>
      </c>
      <c r="F300" s="27">
        <f>IF(OR(A300="",'Metraj Mahal Listesi'!$K$3=0,COUNTIF($B$5:$B$504,A300)&gt;0),"",E300/'Metraj Mahal Listesi'!$K$3*100)</f>
        <v/>
      </c>
      <c r="G300" s="28">
        <f>IF(OR(D300="",F300=""),"",F300-D300)</f>
        <v/>
      </c>
      <c r="H300" s="29">
        <f>IF(OR(G300="",D300=0),"",G300/D300*100)</f>
        <v/>
      </c>
      <c r="I300" s="30">
        <f>IF(A300="","",IF(COUNTIF($B$5:$B$504,A300)&gt;0,IF(ABS(SUMIF($B$5:$B$504,A300,$C$5:$C$504)-100)&lt;0.0001,"✔ alt gruplar Σ=100","⚠ alt gruplar Σ≠100"),IF(G300="","—",IF(ABS(G300)&lt;=PursUyum,"✔ uyumlu",IF(ABS(G300)&lt;=PursCiddi,"⚠ dikkat","✗ ciddi fark")))))</f>
        <v/>
      </c>
      <c r="J300" s="5" t="n"/>
      <c r="K300" s="5" t="n"/>
    </row>
    <row r="301">
      <c r="A301" s="5" t="n"/>
      <c r="B301" s="5" t="n"/>
      <c r="C301" s="26" t="n"/>
      <c r="D301" s="27">
        <f>IF(OR(A301="",C301=""),"",C301*IFERROR(VLOOKUP(B301,$A$5:$C$504,3,FALSE)/100,1)*IFERROR(VLOOKUP(IFERROR(VLOOKUP(B301,$A$5:$B$504,2,FALSE),""),$A$5:$C$504,3,FALSE)/100,1)*IFERROR(VLOOKUP(IFERROR(VLOOKUP(IFERROR(VLOOKUP(B301,$A$5:$B$504,2,FALSE),""),$A$5:$B$504,2,FALSE),""),$A$5:$C$504,3,FALSE)/100,1))</f>
        <v/>
      </c>
      <c r="E301" s="21">
        <f>IF(A301="","",SUMIF('Grup Eşleme'!$B$5:$B$504,A301,'Grup Eşleme'!$C$5:$C$504))</f>
        <v/>
      </c>
      <c r="F301" s="27">
        <f>IF(OR(A301="",'Metraj Mahal Listesi'!$K$3=0,COUNTIF($B$5:$B$504,A301)&gt;0),"",E301/'Metraj Mahal Listesi'!$K$3*100)</f>
        <v/>
      </c>
      <c r="G301" s="28">
        <f>IF(OR(D301="",F301=""),"",F301-D301)</f>
        <v/>
      </c>
      <c r="H301" s="29">
        <f>IF(OR(G301="",D301=0),"",G301/D301*100)</f>
        <v/>
      </c>
      <c r="I301" s="30">
        <f>IF(A301="","",IF(COUNTIF($B$5:$B$504,A301)&gt;0,IF(ABS(SUMIF($B$5:$B$504,A301,$C$5:$C$504)-100)&lt;0.0001,"✔ alt gruplar Σ=100","⚠ alt gruplar Σ≠100"),IF(G301="","—",IF(ABS(G301)&lt;=PursUyum,"✔ uyumlu",IF(ABS(G301)&lt;=PursCiddi,"⚠ dikkat","✗ ciddi fark")))))</f>
        <v/>
      </c>
      <c r="J301" s="5" t="n"/>
      <c r="K301" s="5" t="n"/>
    </row>
    <row r="302">
      <c r="A302" s="5" t="n"/>
      <c r="B302" s="5" t="n"/>
      <c r="C302" s="26" t="n"/>
      <c r="D302" s="27">
        <f>IF(OR(A302="",C302=""),"",C302*IFERROR(VLOOKUP(B302,$A$5:$C$504,3,FALSE)/100,1)*IFERROR(VLOOKUP(IFERROR(VLOOKUP(B302,$A$5:$B$504,2,FALSE),""),$A$5:$C$504,3,FALSE)/100,1)*IFERROR(VLOOKUP(IFERROR(VLOOKUP(IFERROR(VLOOKUP(B302,$A$5:$B$504,2,FALSE),""),$A$5:$B$504,2,FALSE),""),$A$5:$C$504,3,FALSE)/100,1))</f>
        <v/>
      </c>
      <c r="E302" s="21">
        <f>IF(A302="","",SUMIF('Grup Eşleme'!$B$5:$B$504,A302,'Grup Eşleme'!$C$5:$C$504))</f>
        <v/>
      </c>
      <c r="F302" s="27">
        <f>IF(OR(A302="",'Metraj Mahal Listesi'!$K$3=0,COUNTIF($B$5:$B$504,A302)&gt;0),"",E302/'Metraj Mahal Listesi'!$K$3*100)</f>
        <v/>
      </c>
      <c r="G302" s="28">
        <f>IF(OR(D302="",F302=""),"",F302-D302)</f>
        <v/>
      </c>
      <c r="H302" s="29">
        <f>IF(OR(G302="",D302=0),"",G302/D302*100)</f>
        <v/>
      </c>
      <c r="I302" s="30">
        <f>IF(A302="","",IF(COUNTIF($B$5:$B$504,A302)&gt;0,IF(ABS(SUMIF($B$5:$B$504,A302,$C$5:$C$504)-100)&lt;0.0001,"✔ alt gruplar Σ=100","⚠ alt gruplar Σ≠100"),IF(G302="","—",IF(ABS(G302)&lt;=PursUyum,"✔ uyumlu",IF(ABS(G302)&lt;=PursCiddi,"⚠ dikkat","✗ ciddi fark")))))</f>
        <v/>
      </c>
      <c r="J302" s="5" t="n"/>
      <c r="K302" s="5" t="n"/>
    </row>
    <row r="303">
      <c r="A303" s="5" t="n"/>
      <c r="B303" s="5" t="n"/>
      <c r="C303" s="26" t="n"/>
      <c r="D303" s="27">
        <f>IF(OR(A303="",C303=""),"",C303*IFERROR(VLOOKUP(B303,$A$5:$C$504,3,FALSE)/100,1)*IFERROR(VLOOKUP(IFERROR(VLOOKUP(B303,$A$5:$B$504,2,FALSE),""),$A$5:$C$504,3,FALSE)/100,1)*IFERROR(VLOOKUP(IFERROR(VLOOKUP(IFERROR(VLOOKUP(B303,$A$5:$B$504,2,FALSE),""),$A$5:$B$504,2,FALSE),""),$A$5:$C$504,3,FALSE)/100,1))</f>
        <v/>
      </c>
      <c r="E303" s="21">
        <f>IF(A303="","",SUMIF('Grup Eşleme'!$B$5:$B$504,A303,'Grup Eşleme'!$C$5:$C$504))</f>
        <v/>
      </c>
      <c r="F303" s="27">
        <f>IF(OR(A303="",'Metraj Mahal Listesi'!$K$3=0,COUNTIF($B$5:$B$504,A303)&gt;0),"",E303/'Metraj Mahal Listesi'!$K$3*100)</f>
        <v/>
      </c>
      <c r="G303" s="28">
        <f>IF(OR(D303="",F303=""),"",F303-D303)</f>
        <v/>
      </c>
      <c r="H303" s="29">
        <f>IF(OR(G303="",D303=0),"",G303/D303*100)</f>
        <v/>
      </c>
      <c r="I303" s="30">
        <f>IF(A303="","",IF(COUNTIF($B$5:$B$504,A303)&gt;0,IF(ABS(SUMIF($B$5:$B$504,A303,$C$5:$C$504)-100)&lt;0.0001,"✔ alt gruplar Σ=100","⚠ alt gruplar Σ≠100"),IF(G303="","—",IF(ABS(G303)&lt;=PursUyum,"✔ uyumlu",IF(ABS(G303)&lt;=PursCiddi,"⚠ dikkat","✗ ciddi fark")))))</f>
        <v/>
      </c>
      <c r="J303" s="5" t="n"/>
      <c r="K303" s="5" t="n"/>
    </row>
    <row r="304">
      <c r="A304" s="5" t="n"/>
      <c r="B304" s="5" t="n"/>
      <c r="C304" s="26" t="n"/>
      <c r="D304" s="27">
        <f>IF(OR(A304="",C304=""),"",C304*IFERROR(VLOOKUP(B304,$A$5:$C$504,3,FALSE)/100,1)*IFERROR(VLOOKUP(IFERROR(VLOOKUP(B304,$A$5:$B$504,2,FALSE),""),$A$5:$C$504,3,FALSE)/100,1)*IFERROR(VLOOKUP(IFERROR(VLOOKUP(IFERROR(VLOOKUP(B304,$A$5:$B$504,2,FALSE),""),$A$5:$B$504,2,FALSE),""),$A$5:$C$504,3,FALSE)/100,1))</f>
        <v/>
      </c>
      <c r="E304" s="21">
        <f>IF(A304="","",SUMIF('Grup Eşleme'!$B$5:$B$504,A304,'Grup Eşleme'!$C$5:$C$504))</f>
        <v/>
      </c>
      <c r="F304" s="27">
        <f>IF(OR(A304="",'Metraj Mahal Listesi'!$K$3=0,COUNTIF($B$5:$B$504,A304)&gt;0),"",E304/'Metraj Mahal Listesi'!$K$3*100)</f>
        <v/>
      </c>
      <c r="G304" s="28">
        <f>IF(OR(D304="",F304=""),"",F304-D304)</f>
        <v/>
      </c>
      <c r="H304" s="29">
        <f>IF(OR(G304="",D304=0),"",G304/D304*100)</f>
        <v/>
      </c>
      <c r="I304" s="30">
        <f>IF(A304="","",IF(COUNTIF($B$5:$B$504,A304)&gt;0,IF(ABS(SUMIF($B$5:$B$504,A304,$C$5:$C$504)-100)&lt;0.0001,"✔ alt gruplar Σ=100","⚠ alt gruplar Σ≠100"),IF(G304="","—",IF(ABS(G304)&lt;=PursUyum,"✔ uyumlu",IF(ABS(G304)&lt;=PursCiddi,"⚠ dikkat","✗ ciddi fark")))))</f>
        <v/>
      </c>
      <c r="J304" s="5" t="n"/>
      <c r="K304" s="5" t="n"/>
    </row>
    <row r="305">
      <c r="A305" s="5" t="n"/>
      <c r="B305" s="5" t="n"/>
      <c r="C305" s="26" t="n"/>
      <c r="D305" s="27">
        <f>IF(OR(A305="",C305=""),"",C305*IFERROR(VLOOKUP(B305,$A$5:$C$504,3,FALSE)/100,1)*IFERROR(VLOOKUP(IFERROR(VLOOKUP(B305,$A$5:$B$504,2,FALSE),""),$A$5:$C$504,3,FALSE)/100,1)*IFERROR(VLOOKUP(IFERROR(VLOOKUP(IFERROR(VLOOKUP(B305,$A$5:$B$504,2,FALSE),""),$A$5:$B$504,2,FALSE),""),$A$5:$C$504,3,FALSE)/100,1))</f>
        <v/>
      </c>
      <c r="E305" s="21">
        <f>IF(A305="","",SUMIF('Grup Eşleme'!$B$5:$B$504,A305,'Grup Eşleme'!$C$5:$C$504))</f>
        <v/>
      </c>
      <c r="F305" s="27">
        <f>IF(OR(A305="",'Metraj Mahal Listesi'!$K$3=0,COUNTIF($B$5:$B$504,A305)&gt;0),"",E305/'Metraj Mahal Listesi'!$K$3*100)</f>
        <v/>
      </c>
      <c r="G305" s="28">
        <f>IF(OR(D305="",F305=""),"",F305-D305)</f>
        <v/>
      </c>
      <c r="H305" s="29">
        <f>IF(OR(G305="",D305=0),"",G305/D305*100)</f>
        <v/>
      </c>
      <c r="I305" s="30">
        <f>IF(A305="","",IF(COUNTIF($B$5:$B$504,A305)&gt;0,IF(ABS(SUMIF($B$5:$B$504,A305,$C$5:$C$504)-100)&lt;0.0001,"✔ alt gruplar Σ=100","⚠ alt gruplar Σ≠100"),IF(G305="","—",IF(ABS(G305)&lt;=PursUyum,"✔ uyumlu",IF(ABS(G305)&lt;=PursCiddi,"⚠ dikkat","✗ ciddi fark")))))</f>
        <v/>
      </c>
      <c r="J305" s="5" t="n"/>
      <c r="K305" s="5" t="n"/>
    </row>
    <row r="306">
      <c r="A306" s="5" t="n"/>
      <c r="B306" s="5" t="n"/>
      <c r="C306" s="26" t="n"/>
      <c r="D306" s="27">
        <f>IF(OR(A306="",C306=""),"",C306*IFERROR(VLOOKUP(B306,$A$5:$C$504,3,FALSE)/100,1)*IFERROR(VLOOKUP(IFERROR(VLOOKUP(B306,$A$5:$B$504,2,FALSE),""),$A$5:$C$504,3,FALSE)/100,1)*IFERROR(VLOOKUP(IFERROR(VLOOKUP(IFERROR(VLOOKUP(B306,$A$5:$B$504,2,FALSE),""),$A$5:$B$504,2,FALSE),""),$A$5:$C$504,3,FALSE)/100,1))</f>
        <v/>
      </c>
      <c r="E306" s="21">
        <f>IF(A306="","",SUMIF('Grup Eşleme'!$B$5:$B$504,A306,'Grup Eşleme'!$C$5:$C$504))</f>
        <v/>
      </c>
      <c r="F306" s="27">
        <f>IF(OR(A306="",'Metraj Mahal Listesi'!$K$3=0,COUNTIF($B$5:$B$504,A306)&gt;0),"",E306/'Metraj Mahal Listesi'!$K$3*100)</f>
        <v/>
      </c>
      <c r="G306" s="28">
        <f>IF(OR(D306="",F306=""),"",F306-D306)</f>
        <v/>
      </c>
      <c r="H306" s="29">
        <f>IF(OR(G306="",D306=0),"",G306/D306*100)</f>
        <v/>
      </c>
      <c r="I306" s="30">
        <f>IF(A306="","",IF(COUNTIF($B$5:$B$504,A306)&gt;0,IF(ABS(SUMIF($B$5:$B$504,A306,$C$5:$C$504)-100)&lt;0.0001,"✔ alt gruplar Σ=100","⚠ alt gruplar Σ≠100"),IF(G306="","—",IF(ABS(G306)&lt;=PursUyum,"✔ uyumlu",IF(ABS(G306)&lt;=PursCiddi,"⚠ dikkat","✗ ciddi fark")))))</f>
        <v/>
      </c>
      <c r="J306" s="5" t="n"/>
      <c r="K306" s="5" t="n"/>
    </row>
    <row r="307">
      <c r="A307" s="5" t="n"/>
      <c r="B307" s="5" t="n"/>
      <c r="C307" s="26" t="n"/>
      <c r="D307" s="27">
        <f>IF(OR(A307="",C307=""),"",C307*IFERROR(VLOOKUP(B307,$A$5:$C$504,3,FALSE)/100,1)*IFERROR(VLOOKUP(IFERROR(VLOOKUP(B307,$A$5:$B$504,2,FALSE),""),$A$5:$C$504,3,FALSE)/100,1)*IFERROR(VLOOKUP(IFERROR(VLOOKUP(IFERROR(VLOOKUP(B307,$A$5:$B$504,2,FALSE),""),$A$5:$B$504,2,FALSE),""),$A$5:$C$504,3,FALSE)/100,1))</f>
        <v/>
      </c>
      <c r="E307" s="21">
        <f>IF(A307="","",SUMIF('Grup Eşleme'!$B$5:$B$504,A307,'Grup Eşleme'!$C$5:$C$504))</f>
        <v/>
      </c>
      <c r="F307" s="27">
        <f>IF(OR(A307="",'Metraj Mahal Listesi'!$K$3=0,COUNTIF($B$5:$B$504,A307)&gt;0),"",E307/'Metraj Mahal Listesi'!$K$3*100)</f>
        <v/>
      </c>
      <c r="G307" s="28">
        <f>IF(OR(D307="",F307=""),"",F307-D307)</f>
        <v/>
      </c>
      <c r="H307" s="29">
        <f>IF(OR(G307="",D307=0),"",G307/D307*100)</f>
        <v/>
      </c>
      <c r="I307" s="30">
        <f>IF(A307="","",IF(COUNTIF($B$5:$B$504,A307)&gt;0,IF(ABS(SUMIF($B$5:$B$504,A307,$C$5:$C$504)-100)&lt;0.0001,"✔ alt gruplar Σ=100","⚠ alt gruplar Σ≠100"),IF(G307="","—",IF(ABS(G307)&lt;=PursUyum,"✔ uyumlu",IF(ABS(G307)&lt;=PursCiddi,"⚠ dikkat","✗ ciddi fark")))))</f>
        <v/>
      </c>
      <c r="J307" s="5" t="n"/>
      <c r="K307" s="5" t="n"/>
    </row>
    <row r="308">
      <c r="A308" s="5" t="n"/>
      <c r="B308" s="5" t="n"/>
      <c r="C308" s="26" t="n"/>
      <c r="D308" s="27">
        <f>IF(OR(A308="",C308=""),"",C308*IFERROR(VLOOKUP(B308,$A$5:$C$504,3,FALSE)/100,1)*IFERROR(VLOOKUP(IFERROR(VLOOKUP(B308,$A$5:$B$504,2,FALSE),""),$A$5:$C$504,3,FALSE)/100,1)*IFERROR(VLOOKUP(IFERROR(VLOOKUP(IFERROR(VLOOKUP(B308,$A$5:$B$504,2,FALSE),""),$A$5:$B$504,2,FALSE),""),$A$5:$C$504,3,FALSE)/100,1))</f>
        <v/>
      </c>
      <c r="E308" s="21">
        <f>IF(A308="","",SUMIF('Grup Eşleme'!$B$5:$B$504,A308,'Grup Eşleme'!$C$5:$C$504))</f>
        <v/>
      </c>
      <c r="F308" s="27">
        <f>IF(OR(A308="",'Metraj Mahal Listesi'!$K$3=0,COUNTIF($B$5:$B$504,A308)&gt;0),"",E308/'Metraj Mahal Listesi'!$K$3*100)</f>
        <v/>
      </c>
      <c r="G308" s="28">
        <f>IF(OR(D308="",F308=""),"",F308-D308)</f>
        <v/>
      </c>
      <c r="H308" s="29">
        <f>IF(OR(G308="",D308=0),"",G308/D308*100)</f>
        <v/>
      </c>
      <c r="I308" s="30">
        <f>IF(A308="","",IF(COUNTIF($B$5:$B$504,A308)&gt;0,IF(ABS(SUMIF($B$5:$B$504,A308,$C$5:$C$504)-100)&lt;0.0001,"✔ alt gruplar Σ=100","⚠ alt gruplar Σ≠100"),IF(G308="","—",IF(ABS(G308)&lt;=PursUyum,"✔ uyumlu",IF(ABS(G308)&lt;=PursCiddi,"⚠ dikkat","✗ ciddi fark")))))</f>
        <v/>
      </c>
      <c r="J308" s="5" t="n"/>
      <c r="K308" s="5" t="n"/>
    </row>
    <row r="309">
      <c r="A309" s="5" t="n"/>
      <c r="B309" s="5" t="n"/>
      <c r="C309" s="26" t="n"/>
      <c r="D309" s="27">
        <f>IF(OR(A309="",C309=""),"",C309*IFERROR(VLOOKUP(B309,$A$5:$C$504,3,FALSE)/100,1)*IFERROR(VLOOKUP(IFERROR(VLOOKUP(B309,$A$5:$B$504,2,FALSE),""),$A$5:$C$504,3,FALSE)/100,1)*IFERROR(VLOOKUP(IFERROR(VLOOKUP(IFERROR(VLOOKUP(B309,$A$5:$B$504,2,FALSE),""),$A$5:$B$504,2,FALSE),""),$A$5:$C$504,3,FALSE)/100,1))</f>
        <v/>
      </c>
      <c r="E309" s="21">
        <f>IF(A309="","",SUMIF('Grup Eşleme'!$B$5:$B$504,A309,'Grup Eşleme'!$C$5:$C$504))</f>
        <v/>
      </c>
      <c r="F309" s="27">
        <f>IF(OR(A309="",'Metraj Mahal Listesi'!$K$3=0,COUNTIF($B$5:$B$504,A309)&gt;0),"",E309/'Metraj Mahal Listesi'!$K$3*100)</f>
        <v/>
      </c>
      <c r="G309" s="28">
        <f>IF(OR(D309="",F309=""),"",F309-D309)</f>
        <v/>
      </c>
      <c r="H309" s="29">
        <f>IF(OR(G309="",D309=0),"",G309/D309*100)</f>
        <v/>
      </c>
      <c r="I309" s="30">
        <f>IF(A309="","",IF(COUNTIF($B$5:$B$504,A309)&gt;0,IF(ABS(SUMIF($B$5:$B$504,A309,$C$5:$C$504)-100)&lt;0.0001,"✔ alt gruplar Σ=100","⚠ alt gruplar Σ≠100"),IF(G309="","—",IF(ABS(G309)&lt;=PursUyum,"✔ uyumlu",IF(ABS(G309)&lt;=PursCiddi,"⚠ dikkat","✗ ciddi fark")))))</f>
        <v/>
      </c>
      <c r="J309" s="5" t="n"/>
      <c r="K309" s="5" t="n"/>
    </row>
    <row r="310">
      <c r="A310" s="5" t="n"/>
      <c r="B310" s="5" t="n"/>
      <c r="C310" s="26" t="n"/>
      <c r="D310" s="27">
        <f>IF(OR(A310="",C310=""),"",C310*IFERROR(VLOOKUP(B310,$A$5:$C$504,3,FALSE)/100,1)*IFERROR(VLOOKUP(IFERROR(VLOOKUP(B310,$A$5:$B$504,2,FALSE),""),$A$5:$C$504,3,FALSE)/100,1)*IFERROR(VLOOKUP(IFERROR(VLOOKUP(IFERROR(VLOOKUP(B310,$A$5:$B$504,2,FALSE),""),$A$5:$B$504,2,FALSE),""),$A$5:$C$504,3,FALSE)/100,1))</f>
        <v/>
      </c>
      <c r="E310" s="21">
        <f>IF(A310="","",SUMIF('Grup Eşleme'!$B$5:$B$504,A310,'Grup Eşleme'!$C$5:$C$504))</f>
        <v/>
      </c>
      <c r="F310" s="27">
        <f>IF(OR(A310="",'Metraj Mahal Listesi'!$K$3=0,COUNTIF($B$5:$B$504,A310)&gt;0),"",E310/'Metraj Mahal Listesi'!$K$3*100)</f>
        <v/>
      </c>
      <c r="G310" s="28">
        <f>IF(OR(D310="",F310=""),"",F310-D310)</f>
        <v/>
      </c>
      <c r="H310" s="29">
        <f>IF(OR(G310="",D310=0),"",G310/D310*100)</f>
        <v/>
      </c>
      <c r="I310" s="30">
        <f>IF(A310="","",IF(COUNTIF($B$5:$B$504,A310)&gt;0,IF(ABS(SUMIF($B$5:$B$504,A310,$C$5:$C$504)-100)&lt;0.0001,"✔ alt gruplar Σ=100","⚠ alt gruplar Σ≠100"),IF(G310="","—",IF(ABS(G310)&lt;=PursUyum,"✔ uyumlu",IF(ABS(G310)&lt;=PursCiddi,"⚠ dikkat","✗ ciddi fark")))))</f>
        <v/>
      </c>
      <c r="J310" s="5" t="n"/>
      <c r="K310" s="5" t="n"/>
    </row>
    <row r="311">
      <c r="A311" s="5" t="n"/>
      <c r="B311" s="5" t="n"/>
      <c r="C311" s="26" t="n"/>
      <c r="D311" s="27">
        <f>IF(OR(A311="",C311=""),"",C311*IFERROR(VLOOKUP(B311,$A$5:$C$504,3,FALSE)/100,1)*IFERROR(VLOOKUP(IFERROR(VLOOKUP(B311,$A$5:$B$504,2,FALSE),""),$A$5:$C$504,3,FALSE)/100,1)*IFERROR(VLOOKUP(IFERROR(VLOOKUP(IFERROR(VLOOKUP(B311,$A$5:$B$504,2,FALSE),""),$A$5:$B$504,2,FALSE),""),$A$5:$C$504,3,FALSE)/100,1))</f>
        <v/>
      </c>
      <c r="E311" s="21">
        <f>IF(A311="","",SUMIF('Grup Eşleme'!$B$5:$B$504,A311,'Grup Eşleme'!$C$5:$C$504))</f>
        <v/>
      </c>
      <c r="F311" s="27">
        <f>IF(OR(A311="",'Metraj Mahal Listesi'!$K$3=0,COUNTIF($B$5:$B$504,A311)&gt;0),"",E311/'Metraj Mahal Listesi'!$K$3*100)</f>
        <v/>
      </c>
      <c r="G311" s="28">
        <f>IF(OR(D311="",F311=""),"",F311-D311)</f>
        <v/>
      </c>
      <c r="H311" s="29">
        <f>IF(OR(G311="",D311=0),"",G311/D311*100)</f>
        <v/>
      </c>
      <c r="I311" s="30">
        <f>IF(A311="","",IF(COUNTIF($B$5:$B$504,A311)&gt;0,IF(ABS(SUMIF($B$5:$B$504,A311,$C$5:$C$504)-100)&lt;0.0001,"✔ alt gruplar Σ=100","⚠ alt gruplar Σ≠100"),IF(G311="","—",IF(ABS(G311)&lt;=PursUyum,"✔ uyumlu",IF(ABS(G311)&lt;=PursCiddi,"⚠ dikkat","✗ ciddi fark")))))</f>
        <v/>
      </c>
      <c r="J311" s="5" t="n"/>
      <c r="K311" s="5" t="n"/>
    </row>
    <row r="312">
      <c r="A312" s="5" t="n"/>
      <c r="B312" s="5" t="n"/>
      <c r="C312" s="26" t="n"/>
      <c r="D312" s="27">
        <f>IF(OR(A312="",C312=""),"",C312*IFERROR(VLOOKUP(B312,$A$5:$C$504,3,FALSE)/100,1)*IFERROR(VLOOKUP(IFERROR(VLOOKUP(B312,$A$5:$B$504,2,FALSE),""),$A$5:$C$504,3,FALSE)/100,1)*IFERROR(VLOOKUP(IFERROR(VLOOKUP(IFERROR(VLOOKUP(B312,$A$5:$B$504,2,FALSE),""),$A$5:$B$504,2,FALSE),""),$A$5:$C$504,3,FALSE)/100,1))</f>
        <v/>
      </c>
      <c r="E312" s="21">
        <f>IF(A312="","",SUMIF('Grup Eşleme'!$B$5:$B$504,A312,'Grup Eşleme'!$C$5:$C$504))</f>
        <v/>
      </c>
      <c r="F312" s="27">
        <f>IF(OR(A312="",'Metraj Mahal Listesi'!$K$3=0,COUNTIF($B$5:$B$504,A312)&gt;0),"",E312/'Metraj Mahal Listesi'!$K$3*100)</f>
        <v/>
      </c>
      <c r="G312" s="28">
        <f>IF(OR(D312="",F312=""),"",F312-D312)</f>
        <v/>
      </c>
      <c r="H312" s="29">
        <f>IF(OR(G312="",D312=0),"",G312/D312*100)</f>
        <v/>
      </c>
      <c r="I312" s="30">
        <f>IF(A312="","",IF(COUNTIF($B$5:$B$504,A312)&gt;0,IF(ABS(SUMIF($B$5:$B$504,A312,$C$5:$C$504)-100)&lt;0.0001,"✔ alt gruplar Σ=100","⚠ alt gruplar Σ≠100"),IF(G312="","—",IF(ABS(G312)&lt;=PursUyum,"✔ uyumlu",IF(ABS(G312)&lt;=PursCiddi,"⚠ dikkat","✗ ciddi fark")))))</f>
        <v/>
      </c>
      <c r="J312" s="5" t="n"/>
      <c r="K312" s="5" t="n"/>
    </row>
    <row r="313">
      <c r="A313" s="5" t="n"/>
      <c r="B313" s="5" t="n"/>
      <c r="C313" s="26" t="n"/>
      <c r="D313" s="27">
        <f>IF(OR(A313="",C313=""),"",C313*IFERROR(VLOOKUP(B313,$A$5:$C$504,3,FALSE)/100,1)*IFERROR(VLOOKUP(IFERROR(VLOOKUP(B313,$A$5:$B$504,2,FALSE),""),$A$5:$C$504,3,FALSE)/100,1)*IFERROR(VLOOKUP(IFERROR(VLOOKUP(IFERROR(VLOOKUP(B313,$A$5:$B$504,2,FALSE),""),$A$5:$B$504,2,FALSE),""),$A$5:$C$504,3,FALSE)/100,1))</f>
        <v/>
      </c>
      <c r="E313" s="21">
        <f>IF(A313="","",SUMIF('Grup Eşleme'!$B$5:$B$504,A313,'Grup Eşleme'!$C$5:$C$504))</f>
        <v/>
      </c>
      <c r="F313" s="27">
        <f>IF(OR(A313="",'Metraj Mahal Listesi'!$K$3=0,COUNTIF($B$5:$B$504,A313)&gt;0),"",E313/'Metraj Mahal Listesi'!$K$3*100)</f>
        <v/>
      </c>
      <c r="G313" s="28">
        <f>IF(OR(D313="",F313=""),"",F313-D313)</f>
        <v/>
      </c>
      <c r="H313" s="29">
        <f>IF(OR(G313="",D313=0),"",G313/D313*100)</f>
        <v/>
      </c>
      <c r="I313" s="30">
        <f>IF(A313="","",IF(COUNTIF($B$5:$B$504,A313)&gt;0,IF(ABS(SUMIF($B$5:$B$504,A313,$C$5:$C$504)-100)&lt;0.0001,"✔ alt gruplar Σ=100","⚠ alt gruplar Σ≠100"),IF(G313="","—",IF(ABS(G313)&lt;=PursUyum,"✔ uyumlu",IF(ABS(G313)&lt;=PursCiddi,"⚠ dikkat","✗ ciddi fark")))))</f>
        <v/>
      </c>
      <c r="J313" s="5" t="n"/>
      <c r="K313" s="5" t="n"/>
    </row>
    <row r="314">
      <c r="A314" s="5" t="n"/>
      <c r="B314" s="5" t="n"/>
      <c r="C314" s="26" t="n"/>
      <c r="D314" s="27">
        <f>IF(OR(A314="",C314=""),"",C314*IFERROR(VLOOKUP(B314,$A$5:$C$504,3,FALSE)/100,1)*IFERROR(VLOOKUP(IFERROR(VLOOKUP(B314,$A$5:$B$504,2,FALSE),""),$A$5:$C$504,3,FALSE)/100,1)*IFERROR(VLOOKUP(IFERROR(VLOOKUP(IFERROR(VLOOKUP(B314,$A$5:$B$504,2,FALSE),""),$A$5:$B$504,2,FALSE),""),$A$5:$C$504,3,FALSE)/100,1))</f>
        <v/>
      </c>
      <c r="E314" s="21">
        <f>IF(A314="","",SUMIF('Grup Eşleme'!$B$5:$B$504,A314,'Grup Eşleme'!$C$5:$C$504))</f>
        <v/>
      </c>
      <c r="F314" s="27">
        <f>IF(OR(A314="",'Metraj Mahal Listesi'!$K$3=0,COUNTIF($B$5:$B$504,A314)&gt;0),"",E314/'Metraj Mahal Listesi'!$K$3*100)</f>
        <v/>
      </c>
      <c r="G314" s="28">
        <f>IF(OR(D314="",F314=""),"",F314-D314)</f>
        <v/>
      </c>
      <c r="H314" s="29">
        <f>IF(OR(G314="",D314=0),"",G314/D314*100)</f>
        <v/>
      </c>
      <c r="I314" s="30">
        <f>IF(A314="","",IF(COUNTIF($B$5:$B$504,A314)&gt;0,IF(ABS(SUMIF($B$5:$B$504,A314,$C$5:$C$504)-100)&lt;0.0001,"✔ alt gruplar Σ=100","⚠ alt gruplar Σ≠100"),IF(G314="","—",IF(ABS(G314)&lt;=PursUyum,"✔ uyumlu",IF(ABS(G314)&lt;=PursCiddi,"⚠ dikkat","✗ ciddi fark")))))</f>
        <v/>
      </c>
      <c r="J314" s="5" t="n"/>
      <c r="K314" s="5" t="n"/>
    </row>
    <row r="315">
      <c r="A315" s="5" t="n"/>
      <c r="B315" s="5" t="n"/>
      <c r="C315" s="26" t="n"/>
      <c r="D315" s="27">
        <f>IF(OR(A315="",C315=""),"",C315*IFERROR(VLOOKUP(B315,$A$5:$C$504,3,FALSE)/100,1)*IFERROR(VLOOKUP(IFERROR(VLOOKUP(B315,$A$5:$B$504,2,FALSE),""),$A$5:$C$504,3,FALSE)/100,1)*IFERROR(VLOOKUP(IFERROR(VLOOKUP(IFERROR(VLOOKUP(B315,$A$5:$B$504,2,FALSE),""),$A$5:$B$504,2,FALSE),""),$A$5:$C$504,3,FALSE)/100,1))</f>
        <v/>
      </c>
      <c r="E315" s="21">
        <f>IF(A315="","",SUMIF('Grup Eşleme'!$B$5:$B$504,A315,'Grup Eşleme'!$C$5:$C$504))</f>
        <v/>
      </c>
      <c r="F315" s="27">
        <f>IF(OR(A315="",'Metraj Mahal Listesi'!$K$3=0,COUNTIF($B$5:$B$504,A315)&gt;0),"",E315/'Metraj Mahal Listesi'!$K$3*100)</f>
        <v/>
      </c>
      <c r="G315" s="28">
        <f>IF(OR(D315="",F315=""),"",F315-D315)</f>
        <v/>
      </c>
      <c r="H315" s="29">
        <f>IF(OR(G315="",D315=0),"",G315/D315*100)</f>
        <v/>
      </c>
      <c r="I315" s="30">
        <f>IF(A315="","",IF(COUNTIF($B$5:$B$504,A315)&gt;0,IF(ABS(SUMIF($B$5:$B$504,A315,$C$5:$C$504)-100)&lt;0.0001,"✔ alt gruplar Σ=100","⚠ alt gruplar Σ≠100"),IF(G315="","—",IF(ABS(G315)&lt;=PursUyum,"✔ uyumlu",IF(ABS(G315)&lt;=PursCiddi,"⚠ dikkat","✗ ciddi fark")))))</f>
        <v/>
      </c>
      <c r="J315" s="5" t="n"/>
      <c r="K315" s="5" t="n"/>
    </row>
    <row r="316">
      <c r="A316" s="5" t="n"/>
      <c r="B316" s="5" t="n"/>
      <c r="C316" s="26" t="n"/>
      <c r="D316" s="27">
        <f>IF(OR(A316="",C316=""),"",C316*IFERROR(VLOOKUP(B316,$A$5:$C$504,3,FALSE)/100,1)*IFERROR(VLOOKUP(IFERROR(VLOOKUP(B316,$A$5:$B$504,2,FALSE),""),$A$5:$C$504,3,FALSE)/100,1)*IFERROR(VLOOKUP(IFERROR(VLOOKUP(IFERROR(VLOOKUP(B316,$A$5:$B$504,2,FALSE),""),$A$5:$B$504,2,FALSE),""),$A$5:$C$504,3,FALSE)/100,1))</f>
        <v/>
      </c>
      <c r="E316" s="21">
        <f>IF(A316="","",SUMIF('Grup Eşleme'!$B$5:$B$504,A316,'Grup Eşleme'!$C$5:$C$504))</f>
        <v/>
      </c>
      <c r="F316" s="27">
        <f>IF(OR(A316="",'Metraj Mahal Listesi'!$K$3=0,COUNTIF($B$5:$B$504,A316)&gt;0),"",E316/'Metraj Mahal Listesi'!$K$3*100)</f>
        <v/>
      </c>
      <c r="G316" s="28">
        <f>IF(OR(D316="",F316=""),"",F316-D316)</f>
        <v/>
      </c>
      <c r="H316" s="29">
        <f>IF(OR(G316="",D316=0),"",G316/D316*100)</f>
        <v/>
      </c>
      <c r="I316" s="30">
        <f>IF(A316="","",IF(COUNTIF($B$5:$B$504,A316)&gt;0,IF(ABS(SUMIF($B$5:$B$504,A316,$C$5:$C$504)-100)&lt;0.0001,"✔ alt gruplar Σ=100","⚠ alt gruplar Σ≠100"),IF(G316="","—",IF(ABS(G316)&lt;=PursUyum,"✔ uyumlu",IF(ABS(G316)&lt;=PursCiddi,"⚠ dikkat","✗ ciddi fark")))))</f>
        <v/>
      </c>
      <c r="J316" s="5" t="n"/>
      <c r="K316" s="5" t="n"/>
    </row>
    <row r="317">
      <c r="A317" s="5" t="n"/>
      <c r="B317" s="5" t="n"/>
      <c r="C317" s="26" t="n"/>
      <c r="D317" s="27">
        <f>IF(OR(A317="",C317=""),"",C317*IFERROR(VLOOKUP(B317,$A$5:$C$504,3,FALSE)/100,1)*IFERROR(VLOOKUP(IFERROR(VLOOKUP(B317,$A$5:$B$504,2,FALSE),""),$A$5:$C$504,3,FALSE)/100,1)*IFERROR(VLOOKUP(IFERROR(VLOOKUP(IFERROR(VLOOKUP(B317,$A$5:$B$504,2,FALSE),""),$A$5:$B$504,2,FALSE),""),$A$5:$C$504,3,FALSE)/100,1))</f>
        <v/>
      </c>
      <c r="E317" s="21">
        <f>IF(A317="","",SUMIF('Grup Eşleme'!$B$5:$B$504,A317,'Grup Eşleme'!$C$5:$C$504))</f>
        <v/>
      </c>
      <c r="F317" s="27">
        <f>IF(OR(A317="",'Metraj Mahal Listesi'!$K$3=0,COUNTIF($B$5:$B$504,A317)&gt;0),"",E317/'Metraj Mahal Listesi'!$K$3*100)</f>
        <v/>
      </c>
      <c r="G317" s="28">
        <f>IF(OR(D317="",F317=""),"",F317-D317)</f>
        <v/>
      </c>
      <c r="H317" s="29">
        <f>IF(OR(G317="",D317=0),"",G317/D317*100)</f>
        <v/>
      </c>
      <c r="I317" s="30">
        <f>IF(A317="","",IF(COUNTIF($B$5:$B$504,A317)&gt;0,IF(ABS(SUMIF($B$5:$B$504,A317,$C$5:$C$504)-100)&lt;0.0001,"✔ alt gruplar Σ=100","⚠ alt gruplar Σ≠100"),IF(G317="","—",IF(ABS(G317)&lt;=PursUyum,"✔ uyumlu",IF(ABS(G317)&lt;=PursCiddi,"⚠ dikkat","✗ ciddi fark")))))</f>
        <v/>
      </c>
      <c r="J317" s="5" t="n"/>
      <c r="K317" s="5" t="n"/>
    </row>
    <row r="318">
      <c r="A318" s="5" t="n"/>
      <c r="B318" s="5" t="n"/>
      <c r="C318" s="26" t="n"/>
      <c r="D318" s="27">
        <f>IF(OR(A318="",C318=""),"",C318*IFERROR(VLOOKUP(B318,$A$5:$C$504,3,FALSE)/100,1)*IFERROR(VLOOKUP(IFERROR(VLOOKUP(B318,$A$5:$B$504,2,FALSE),""),$A$5:$C$504,3,FALSE)/100,1)*IFERROR(VLOOKUP(IFERROR(VLOOKUP(IFERROR(VLOOKUP(B318,$A$5:$B$504,2,FALSE),""),$A$5:$B$504,2,FALSE),""),$A$5:$C$504,3,FALSE)/100,1))</f>
        <v/>
      </c>
      <c r="E318" s="21">
        <f>IF(A318="","",SUMIF('Grup Eşleme'!$B$5:$B$504,A318,'Grup Eşleme'!$C$5:$C$504))</f>
        <v/>
      </c>
      <c r="F318" s="27">
        <f>IF(OR(A318="",'Metraj Mahal Listesi'!$K$3=0,COUNTIF($B$5:$B$504,A318)&gt;0),"",E318/'Metraj Mahal Listesi'!$K$3*100)</f>
        <v/>
      </c>
      <c r="G318" s="28">
        <f>IF(OR(D318="",F318=""),"",F318-D318)</f>
        <v/>
      </c>
      <c r="H318" s="29">
        <f>IF(OR(G318="",D318=0),"",G318/D318*100)</f>
        <v/>
      </c>
      <c r="I318" s="30">
        <f>IF(A318="","",IF(COUNTIF($B$5:$B$504,A318)&gt;0,IF(ABS(SUMIF($B$5:$B$504,A318,$C$5:$C$504)-100)&lt;0.0001,"✔ alt gruplar Σ=100","⚠ alt gruplar Σ≠100"),IF(G318="","—",IF(ABS(G318)&lt;=PursUyum,"✔ uyumlu",IF(ABS(G318)&lt;=PursCiddi,"⚠ dikkat","✗ ciddi fark")))))</f>
        <v/>
      </c>
      <c r="J318" s="5" t="n"/>
      <c r="K318" s="5" t="n"/>
    </row>
    <row r="319">
      <c r="A319" s="5" t="n"/>
      <c r="B319" s="5" t="n"/>
      <c r="C319" s="26" t="n"/>
      <c r="D319" s="27">
        <f>IF(OR(A319="",C319=""),"",C319*IFERROR(VLOOKUP(B319,$A$5:$C$504,3,FALSE)/100,1)*IFERROR(VLOOKUP(IFERROR(VLOOKUP(B319,$A$5:$B$504,2,FALSE),""),$A$5:$C$504,3,FALSE)/100,1)*IFERROR(VLOOKUP(IFERROR(VLOOKUP(IFERROR(VLOOKUP(B319,$A$5:$B$504,2,FALSE),""),$A$5:$B$504,2,FALSE),""),$A$5:$C$504,3,FALSE)/100,1))</f>
        <v/>
      </c>
      <c r="E319" s="21">
        <f>IF(A319="","",SUMIF('Grup Eşleme'!$B$5:$B$504,A319,'Grup Eşleme'!$C$5:$C$504))</f>
        <v/>
      </c>
      <c r="F319" s="27">
        <f>IF(OR(A319="",'Metraj Mahal Listesi'!$K$3=0,COUNTIF($B$5:$B$504,A319)&gt;0),"",E319/'Metraj Mahal Listesi'!$K$3*100)</f>
        <v/>
      </c>
      <c r="G319" s="28">
        <f>IF(OR(D319="",F319=""),"",F319-D319)</f>
        <v/>
      </c>
      <c r="H319" s="29">
        <f>IF(OR(G319="",D319=0),"",G319/D319*100)</f>
        <v/>
      </c>
      <c r="I319" s="30">
        <f>IF(A319="","",IF(COUNTIF($B$5:$B$504,A319)&gt;0,IF(ABS(SUMIF($B$5:$B$504,A319,$C$5:$C$504)-100)&lt;0.0001,"✔ alt gruplar Σ=100","⚠ alt gruplar Σ≠100"),IF(G319="","—",IF(ABS(G319)&lt;=PursUyum,"✔ uyumlu",IF(ABS(G319)&lt;=PursCiddi,"⚠ dikkat","✗ ciddi fark")))))</f>
        <v/>
      </c>
      <c r="J319" s="5" t="n"/>
      <c r="K319" s="5" t="n"/>
    </row>
    <row r="320">
      <c r="A320" s="5" t="n"/>
      <c r="B320" s="5" t="n"/>
      <c r="C320" s="26" t="n"/>
      <c r="D320" s="27">
        <f>IF(OR(A320="",C320=""),"",C320*IFERROR(VLOOKUP(B320,$A$5:$C$504,3,FALSE)/100,1)*IFERROR(VLOOKUP(IFERROR(VLOOKUP(B320,$A$5:$B$504,2,FALSE),""),$A$5:$C$504,3,FALSE)/100,1)*IFERROR(VLOOKUP(IFERROR(VLOOKUP(IFERROR(VLOOKUP(B320,$A$5:$B$504,2,FALSE),""),$A$5:$B$504,2,FALSE),""),$A$5:$C$504,3,FALSE)/100,1))</f>
        <v/>
      </c>
      <c r="E320" s="21">
        <f>IF(A320="","",SUMIF('Grup Eşleme'!$B$5:$B$504,A320,'Grup Eşleme'!$C$5:$C$504))</f>
        <v/>
      </c>
      <c r="F320" s="27">
        <f>IF(OR(A320="",'Metraj Mahal Listesi'!$K$3=0,COUNTIF($B$5:$B$504,A320)&gt;0),"",E320/'Metraj Mahal Listesi'!$K$3*100)</f>
        <v/>
      </c>
      <c r="G320" s="28">
        <f>IF(OR(D320="",F320=""),"",F320-D320)</f>
        <v/>
      </c>
      <c r="H320" s="29">
        <f>IF(OR(G320="",D320=0),"",G320/D320*100)</f>
        <v/>
      </c>
      <c r="I320" s="30">
        <f>IF(A320="","",IF(COUNTIF($B$5:$B$504,A320)&gt;0,IF(ABS(SUMIF($B$5:$B$504,A320,$C$5:$C$504)-100)&lt;0.0001,"✔ alt gruplar Σ=100","⚠ alt gruplar Σ≠100"),IF(G320="","—",IF(ABS(G320)&lt;=PursUyum,"✔ uyumlu",IF(ABS(G320)&lt;=PursCiddi,"⚠ dikkat","✗ ciddi fark")))))</f>
        <v/>
      </c>
      <c r="J320" s="5" t="n"/>
      <c r="K320" s="5" t="n"/>
    </row>
    <row r="321">
      <c r="A321" s="5" t="n"/>
      <c r="B321" s="5" t="n"/>
      <c r="C321" s="26" t="n"/>
      <c r="D321" s="27">
        <f>IF(OR(A321="",C321=""),"",C321*IFERROR(VLOOKUP(B321,$A$5:$C$504,3,FALSE)/100,1)*IFERROR(VLOOKUP(IFERROR(VLOOKUP(B321,$A$5:$B$504,2,FALSE),""),$A$5:$C$504,3,FALSE)/100,1)*IFERROR(VLOOKUP(IFERROR(VLOOKUP(IFERROR(VLOOKUP(B321,$A$5:$B$504,2,FALSE),""),$A$5:$B$504,2,FALSE),""),$A$5:$C$504,3,FALSE)/100,1))</f>
        <v/>
      </c>
      <c r="E321" s="21">
        <f>IF(A321="","",SUMIF('Grup Eşleme'!$B$5:$B$504,A321,'Grup Eşleme'!$C$5:$C$504))</f>
        <v/>
      </c>
      <c r="F321" s="27">
        <f>IF(OR(A321="",'Metraj Mahal Listesi'!$K$3=0,COUNTIF($B$5:$B$504,A321)&gt;0),"",E321/'Metraj Mahal Listesi'!$K$3*100)</f>
        <v/>
      </c>
      <c r="G321" s="28">
        <f>IF(OR(D321="",F321=""),"",F321-D321)</f>
        <v/>
      </c>
      <c r="H321" s="29">
        <f>IF(OR(G321="",D321=0),"",G321/D321*100)</f>
        <v/>
      </c>
      <c r="I321" s="30">
        <f>IF(A321="","",IF(COUNTIF($B$5:$B$504,A321)&gt;0,IF(ABS(SUMIF($B$5:$B$504,A321,$C$5:$C$504)-100)&lt;0.0001,"✔ alt gruplar Σ=100","⚠ alt gruplar Σ≠100"),IF(G321="","—",IF(ABS(G321)&lt;=PursUyum,"✔ uyumlu",IF(ABS(G321)&lt;=PursCiddi,"⚠ dikkat","✗ ciddi fark")))))</f>
        <v/>
      </c>
      <c r="J321" s="5" t="n"/>
      <c r="K321" s="5" t="n"/>
    </row>
    <row r="322">
      <c r="A322" s="5" t="n"/>
      <c r="B322" s="5" t="n"/>
      <c r="C322" s="26" t="n"/>
      <c r="D322" s="27">
        <f>IF(OR(A322="",C322=""),"",C322*IFERROR(VLOOKUP(B322,$A$5:$C$504,3,FALSE)/100,1)*IFERROR(VLOOKUP(IFERROR(VLOOKUP(B322,$A$5:$B$504,2,FALSE),""),$A$5:$C$504,3,FALSE)/100,1)*IFERROR(VLOOKUP(IFERROR(VLOOKUP(IFERROR(VLOOKUP(B322,$A$5:$B$504,2,FALSE),""),$A$5:$B$504,2,FALSE),""),$A$5:$C$504,3,FALSE)/100,1))</f>
        <v/>
      </c>
      <c r="E322" s="21">
        <f>IF(A322="","",SUMIF('Grup Eşleme'!$B$5:$B$504,A322,'Grup Eşleme'!$C$5:$C$504))</f>
        <v/>
      </c>
      <c r="F322" s="27">
        <f>IF(OR(A322="",'Metraj Mahal Listesi'!$K$3=0,COUNTIF($B$5:$B$504,A322)&gt;0),"",E322/'Metraj Mahal Listesi'!$K$3*100)</f>
        <v/>
      </c>
      <c r="G322" s="28">
        <f>IF(OR(D322="",F322=""),"",F322-D322)</f>
        <v/>
      </c>
      <c r="H322" s="29">
        <f>IF(OR(G322="",D322=0),"",G322/D322*100)</f>
        <v/>
      </c>
      <c r="I322" s="30">
        <f>IF(A322="","",IF(COUNTIF($B$5:$B$504,A322)&gt;0,IF(ABS(SUMIF($B$5:$B$504,A322,$C$5:$C$504)-100)&lt;0.0001,"✔ alt gruplar Σ=100","⚠ alt gruplar Σ≠100"),IF(G322="","—",IF(ABS(G322)&lt;=PursUyum,"✔ uyumlu",IF(ABS(G322)&lt;=PursCiddi,"⚠ dikkat","✗ ciddi fark")))))</f>
        <v/>
      </c>
      <c r="J322" s="5" t="n"/>
      <c r="K322" s="5" t="n"/>
    </row>
    <row r="323">
      <c r="A323" s="5" t="n"/>
      <c r="B323" s="5" t="n"/>
      <c r="C323" s="26" t="n"/>
      <c r="D323" s="27">
        <f>IF(OR(A323="",C323=""),"",C323*IFERROR(VLOOKUP(B323,$A$5:$C$504,3,FALSE)/100,1)*IFERROR(VLOOKUP(IFERROR(VLOOKUP(B323,$A$5:$B$504,2,FALSE),""),$A$5:$C$504,3,FALSE)/100,1)*IFERROR(VLOOKUP(IFERROR(VLOOKUP(IFERROR(VLOOKUP(B323,$A$5:$B$504,2,FALSE),""),$A$5:$B$504,2,FALSE),""),$A$5:$C$504,3,FALSE)/100,1))</f>
        <v/>
      </c>
      <c r="E323" s="21">
        <f>IF(A323="","",SUMIF('Grup Eşleme'!$B$5:$B$504,A323,'Grup Eşleme'!$C$5:$C$504))</f>
        <v/>
      </c>
      <c r="F323" s="27">
        <f>IF(OR(A323="",'Metraj Mahal Listesi'!$K$3=0,COUNTIF($B$5:$B$504,A323)&gt;0),"",E323/'Metraj Mahal Listesi'!$K$3*100)</f>
        <v/>
      </c>
      <c r="G323" s="28">
        <f>IF(OR(D323="",F323=""),"",F323-D323)</f>
        <v/>
      </c>
      <c r="H323" s="29">
        <f>IF(OR(G323="",D323=0),"",G323/D323*100)</f>
        <v/>
      </c>
      <c r="I323" s="30">
        <f>IF(A323="","",IF(COUNTIF($B$5:$B$504,A323)&gt;0,IF(ABS(SUMIF($B$5:$B$504,A323,$C$5:$C$504)-100)&lt;0.0001,"✔ alt gruplar Σ=100","⚠ alt gruplar Σ≠100"),IF(G323="","—",IF(ABS(G323)&lt;=PursUyum,"✔ uyumlu",IF(ABS(G323)&lt;=PursCiddi,"⚠ dikkat","✗ ciddi fark")))))</f>
        <v/>
      </c>
      <c r="J323" s="5" t="n"/>
      <c r="K323" s="5" t="n"/>
    </row>
    <row r="324">
      <c r="A324" s="5" t="n"/>
      <c r="B324" s="5" t="n"/>
      <c r="C324" s="26" t="n"/>
      <c r="D324" s="27">
        <f>IF(OR(A324="",C324=""),"",C324*IFERROR(VLOOKUP(B324,$A$5:$C$504,3,FALSE)/100,1)*IFERROR(VLOOKUP(IFERROR(VLOOKUP(B324,$A$5:$B$504,2,FALSE),""),$A$5:$C$504,3,FALSE)/100,1)*IFERROR(VLOOKUP(IFERROR(VLOOKUP(IFERROR(VLOOKUP(B324,$A$5:$B$504,2,FALSE),""),$A$5:$B$504,2,FALSE),""),$A$5:$C$504,3,FALSE)/100,1))</f>
        <v/>
      </c>
      <c r="E324" s="21">
        <f>IF(A324="","",SUMIF('Grup Eşleme'!$B$5:$B$504,A324,'Grup Eşleme'!$C$5:$C$504))</f>
        <v/>
      </c>
      <c r="F324" s="27">
        <f>IF(OR(A324="",'Metraj Mahal Listesi'!$K$3=0,COUNTIF($B$5:$B$504,A324)&gt;0),"",E324/'Metraj Mahal Listesi'!$K$3*100)</f>
        <v/>
      </c>
      <c r="G324" s="28">
        <f>IF(OR(D324="",F324=""),"",F324-D324)</f>
        <v/>
      </c>
      <c r="H324" s="29">
        <f>IF(OR(G324="",D324=0),"",G324/D324*100)</f>
        <v/>
      </c>
      <c r="I324" s="30">
        <f>IF(A324="","",IF(COUNTIF($B$5:$B$504,A324)&gt;0,IF(ABS(SUMIF($B$5:$B$504,A324,$C$5:$C$504)-100)&lt;0.0001,"✔ alt gruplar Σ=100","⚠ alt gruplar Σ≠100"),IF(G324="","—",IF(ABS(G324)&lt;=PursUyum,"✔ uyumlu",IF(ABS(G324)&lt;=PursCiddi,"⚠ dikkat","✗ ciddi fark")))))</f>
        <v/>
      </c>
      <c r="J324" s="5" t="n"/>
      <c r="K324" s="5" t="n"/>
    </row>
    <row r="325">
      <c r="A325" s="5" t="n"/>
      <c r="B325" s="5" t="n"/>
      <c r="C325" s="26" t="n"/>
      <c r="D325" s="27">
        <f>IF(OR(A325="",C325=""),"",C325*IFERROR(VLOOKUP(B325,$A$5:$C$504,3,FALSE)/100,1)*IFERROR(VLOOKUP(IFERROR(VLOOKUP(B325,$A$5:$B$504,2,FALSE),""),$A$5:$C$504,3,FALSE)/100,1)*IFERROR(VLOOKUP(IFERROR(VLOOKUP(IFERROR(VLOOKUP(B325,$A$5:$B$504,2,FALSE),""),$A$5:$B$504,2,FALSE),""),$A$5:$C$504,3,FALSE)/100,1))</f>
        <v/>
      </c>
      <c r="E325" s="21">
        <f>IF(A325="","",SUMIF('Grup Eşleme'!$B$5:$B$504,A325,'Grup Eşleme'!$C$5:$C$504))</f>
        <v/>
      </c>
      <c r="F325" s="27">
        <f>IF(OR(A325="",'Metraj Mahal Listesi'!$K$3=0,COUNTIF($B$5:$B$504,A325)&gt;0),"",E325/'Metraj Mahal Listesi'!$K$3*100)</f>
        <v/>
      </c>
      <c r="G325" s="28">
        <f>IF(OR(D325="",F325=""),"",F325-D325)</f>
        <v/>
      </c>
      <c r="H325" s="29">
        <f>IF(OR(G325="",D325=0),"",G325/D325*100)</f>
        <v/>
      </c>
      <c r="I325" s="30">
        <f>IF(A325="","",IF(COUNTIF($B$5:$B$504,A325)&gt;0,IF(ABS(SUMIF($B$5:$B$504,A325,$C$5:$C$504)-100)&lt;0.0001,"✔ alt gruplar Σ=100","⚠ alt gruplar Σ≠100"),IF(G325="","—",IF(ABS(G325)&lt;=PursUyum,"✔ uyumlu",IF(ABS(G325)&lt;=PursCiddi,"⚠ dikkat","✗ ciddi fark")))))</f>
        <v/>
      </c>
      <c r="J325" s="5" t="n"/>
      <c r="K325" s="5" t="n"/>
    </row>
    <row r="326">
      <c r="A326" s="5" t="n"/>
      <c r="B326" s="5" t="n"/>
      <c r="C326" s="26" t="n"/>
      <c r="D326" s="27">
        <f>IF(OR(A326="",C326=""),"",C326*IFERROR(VLOOKUP(B326,$A$5:$C$504,3,FALSE)/100,1)*IFERROR(VLOOKUP(IFERROR(VLOOKUP(B326,$A$5:$B$504,2,FALSE),""),$A$5:$C$504,3,FALSE)/100,1)*IFERROR(VLOOKUP(IFERROR(VLOOKUP(IFERROR(VLOOKUP(B326,$A$5:$B$504,2,FALSE),""),$A$5:$B$504,2,FALSE),""),$A$5:$C$504,3,FALSE)/100,1))</f>
        <v/>
      </c>
      <c r="E326" s="21">
        <f>IF(A326="","",SUMIF('Grup Eşleme'!$B$5:$B$504,A326,'Grup Eşleme'!$C$5:$C$504))</f>
        <v/>
      </c>
      <c r="F326" s="27">
        <f>IF(OR(A326="",'Metraj Mahal Listesi'!$K$3=0,COUNTIF($B$5:$B$504,A326)&gt;0),"",E326/'Metraj Mahal Listesi'!$K$3*100)</f>
        <v/>
      </c>
      <c r="G326" s="28">
        <f>IF(OR(D326="",F326=""),"",F326-D326)</f>
        <v/>
      </c>
      <c r="H326" s="29">
        <f>IF(OR(G326="",D326=0),"",G326/D326*100)</f>
        <v/>
      </c>
      <c r="I326" s="30">
        <f>IF(A326="","",IF(COUNTIF($B$5:$B$504,A326)&gt;0,IF(ABS(SUMIF($B$5:$B$504,A326,$C$5:$C$504)-100)&lt;0.0001,"✔ alt gruplar Σ=100","⚠ alt gruplar Σ≠100"),IF(G326="","—",IF(ABS(G326)&lt;=PursUyum,"✔ uyumlu",IF(ABS(G326)&lt;=PursCiddi,"⚠ dikkat","✗ ciddi fark")))))</f>
        <v/>
      </c>
      <c r="J326" s="5" t="n"/>
      <c r="K326" s="5" t="n"/>
    </row>
    <row r="327">
      <c r="A327" s="5" t="n"/>
      <c r="B327" s="5" t="n"/>
      <c r="C327" s="26" t="n"/>
      <c r="D327" s="27">
        <f>IF(OR(A327="",C327=""),"",C327*IFERROR(VLOOKUP(B327,$A$5:$C$504,3,FALSE)/100,1)*IFERROR(VLOOKUP(IFERROR(VLOOKUP(B327,$A$5:$B$504,2,FALSE),""),$A$5:$C$504,3,FALSE)/100,1)*IFERROR(VLOOKUP(IFERROR(VLOOKUP(IFERROR(VLOOKUP(B327,$A$5:$B$504,2,FALSE),""),$A$5:$B$504,2,FALSE),""),$A$5:$C$504,3,FALSE)/100,1))</f>
        <v/>
      </c>
      <c r="E327" s="21">
        <f>IF(A327="","",SUMIF('Grup Eşleme'!$B$5:$B$504,A327,'Grup Eşleme'!$C$5:$C$504))</f>
        <v/>
      </c>
      <c r="F327" s="27">
        <f>IF(OR(A327="",'Metraj Mahal Listesi'!$K$3=0,COUNTIF($B$5:$B$504,A327)&gt;0),"",E327/'Metraj Mahal Listesi'!$K$3*100)</f>
        <v/>
      </c>
      <c r="G327" s="28">
        <f>IF(OR(D327="",F327=""),"",F327-D327)</f>
        <v/>
      </c>
      <c r="H327" s="29">
        <f>IF(OR(G327="",D327=0),"",G327/D327*100)</f>
        <v/>
      </c>
      <c r="I327" s="30">
        <f>IF(A327="","",IF(COUNTIF($B$5:$B$504,A327)&gt;0,IF(ABS(SUMIF($B$5:$B$504,A327,$C$5:$C$504)-100)&lt;0.0001,"✔ alt gruplar Σ=100","⚠ alt gruplar Σ≠100"),IF(G327="","—",IF(ABS(G327)&lt;=PursUyum,"✔ uyumlu",IF(ABS(G327)&lt;=PursCiddi,"⚠ dikkat","✗ ciddi fark")))))</f>
        <v/>
      </c>
      <c r="J327" s="5" t="n"/>
      <c r="K327" s="5" t="n"/>
    </row>
    <row r="328">
      <c r="A328" s="5" t="n"/>
      <c r="B328" s="5" t="n"/>
      <c r="C328" s="26" t="n"/>
      <c r="D328" s="27">
        <f>IF(OR(A328="",C328=""),"",C328*IFERROR(VLOOKUP(B328,$A$5:$C$504,3,FALSE)/100,1)*IFERROR(VLOOKUP(IFERROR(VLOOKUP(B328,$A$5:$B$504,2,FALSE),""),$A$5:$C$504,3,FALSE)/100,1)*IFERROR(VLOOKUP(IFERROR(VLOOKUP(IFERROR(VLOOKUP(B328,$A$5:$B$504,2,FALSE),""),$A$5:$B$504,2,FALSE),""),$A$5:$C$504,3,FALSE)/100,1))</f>
        <v/>
      </c>
      <c r="E328" s="21">
        <f>IF(A328="","",SUMIF('Grup Eşleme'!$B$5:$B$504,A328,'Grup Eşleme'!$C$5:$C$504))</f>
        <v/>
      </c>
      <c r="F328" s="27">
        <f>IF(OR(A328="",'Metraj Mahal Listesi'!$K$3=0,COUNTIF($B$5:$B$504,A328)&gt;0),"",E328/'Metraj Mahal Listesi'!$K$3*100)</f>
        <v/>
      </c>
      <c r="G328" s="28">
        <f>IF(OR(D328="",F328=""),"",F328-D328)</f>
        <v/>
      </c>
      <c r="H328" s="29">
        <f>IF(OR(G328="",D328=0),"",G328/D328*100)</f>
        <v/>
      </c>
      <c r="I328" s="30">
        <f>IF(A328="","",IF(COUNTIF($B$5:$B$504,A328)&gt;0,IF(ABS(SUMIF($B$5:$B$504,A328,$C$5:$C$504)-100)&lt;0.0001,"✔ alt gruplar Σ=100","⚠ alt gruplar Σ≠100"),IF(G328="","—",IF(ABS(G328)&lt;=PursUyum,"✔ uyumlu",IF(ABS(G328)&lt;=PursCiddi,"⚠ dikkat","✗ ciddi fark")))))</f>
        <v/>
      </c>
      <c r="J328" s="5" t="n"/>
      <c r="K328" s="5" t="n"/>
    </row>
    <row r="329">
      <c r="A329" s="5" t="n"/>
      <c r="B329" s="5" t="n"/>
      <c r="C329" s="26" t="n"/>
      <c r="D329" s="27">
        <f>IF(OR(A329="",C329=""),"",C329*IFERROR(VLOOKUP(B329,$A$5:$C$504,3,FALSE)/100,1)*IFERROR(VLOOKUP(IFERROR(VLOOKUP(B329,$A$5:$B$504,2,FALSE),""),$A$5:$C$504,3,FALSE)/100,1)*IFERROR(VLOOKUP(IFERROR(VLOOKUP(IFERROR(VLOOKUP(B329,$A$5:$B$504,2,FALSE),""),$A$5:$B$504,2,FALSE),""),$A$5:$C$504,3,FALSE)/100,1))</f>
        <v/>
      </c>
      <c r="E329" s="21">
        <f>IF(A329="","",SUMIF('Grup Eşleme'!$B$5:$B$504,A329,'Grup Eşleme'!$C$5:$C$504))</f>
        <v/>
      </c>
      <c r="F329" s="27">
        <f>IF(OR(A329="",'Metraj Mahal Listesi'!$K$3=0,COUNTIF($B$5:$B$504,A329)&gt;0),"",E329/'Metraj Mahal Listesi'!$K$3*100)</f>
        <v/>
      </c>
      <c r="G329" s="28">
        <f>IF(OR(D329="",F329=""),"",F329-D329)</f>
        <v/>
      </c>
      <c r="H329" s="29">
        <f>IF(OR(G329="",D329=0),"",G329/D329*100)</f>
        <v/>
      </c>
      <c r="I329" s="30">
        <f>IF(A329="","",IF(COUNTIF($B$5:$B$504,A329)&gt;0,IF(ABS(SUMIF($B$5:$B$504,A329,$C$5:$C$504)-100)&lt;0.0001,"✔ alt gruplar Σ=100","⚠ alt gruplar Σ≠100"),IF(G329="","—",IF(ABS(G329)&lt;=PursUyum,"✔ uyumlu",IF(ABS(G329)&lt;=PursCiddi,"⚠ dikkat","✗ ciddi fark")))))</f>
        <v/>
      </c>
      <c r="J329" s="5" t="n"/>
      <c r="K329" s="5" t="n"/>
    </row>
    <row r="330">
      <c r="A330" s="5" t="n"/>
      <c r="B330" s="5" t="n"/>
      <c r="C330" s="26" t="n"/>
      <c r="D330" s="27">
        <f>IF(OR(A330="",C330=""),"",C330*IFERROR(VLOOKUP(B330,$A$5:$C$504,3,FALSE)/100,1)*IFERROR(VLOOKUP(IFERROR(VLOOKUP(B330,$A$5:$B$504,2,FALSE),""),$A$5:$C$504,3,FALSE)/100,1)*IFERROR(VLOOKUP(IFERROR(VLOOKUP(IFERROR(VLOOKUP(B330,$A$5:$B$504,2,FALSE),""),$A$5:$B$504,2,FALSE),""),$A$5:$C$504,3,FALSE)/100,1))</f>
        <v/>
      </c>
      <c r="E330" s="21">
        <f>IF(A330="","",SUMIF('Grup Eşleme'!$B$5:$B$504,A330,'Grup Eşleme'!$C$5:$C$504))</f>
        <v/>
      </c>
      <c r="F330" s="27">
        <f>IF(OR(A330="",'Metraj Mahal Listesi'!$K$3=0,COUNTIF($B$5:$B$504,A330)&gt;0),"",E330/'Metraj Mahal Listesi'!$K$3*100)</f>
        <v/>
      </c>
      <c r="G330" s="28">
        <f>IF(OR(D330="",F330=""),"",F330-D330)</f>
        <v/>
      </c>
      <c r="H330" s="29">
        <f>IF(OR(G330="",D330=0),"",G330/D330*100)</f>
        <v/>
      </c>
      <c r="I330" s="30">
        <f>IF(A330="","",IF(COUNTIF($B$5:$B$504,A330)&gt;0,IF(ABS(SUMIF($B$5:$B$504,A330,$C$5:$C$504)-100)&lt;0.0001,"✔ alt gruplar Σ=100","⚠ alt gruplar Σ≠100"),IF(G330="","—",IF(ABS(G330)&lt;=PursUyum,"✔ uyumlu",IF(ABS(G330)&lt;=PursCiddi,"⚠ dikkat","✗ ciddi fark")))))</f>
        <v/>
      </c>
      <c r="J330" s="5" t="n"/>
      <c r="K330" s="5" t="n"/>
    </row>
    <row r="331">
      <c r="A331" s="5" t="n"/>
      <c r="B331" s="5" t="n"/>
      <c r="C331" s="26" t="n"/>
      <c r="D331" s="27">
        <f>IF(OR(A331="",C331=""),"",C331*IFERROR(VLOOKUP(B331,$A$5:$C$504,3,FALSE)/100,1)*IFERROR(VLOOKUP(IFERROR(VLOOKUP(B331,$A$5:$B$504,2,FALSE),""),$A$5:$C$504,3,FALSE)/100,1)*IFERROR(VLOOKUP(IFERROR(VLOOKUP(IFERROR(VLOOKUP(B331,$A$5:$B$504,2,FALSE),""),$A$5:$B$504,2,FALSE),""),$A$5:$C$504,3,FALSE)/100,1))</f>
        <v/>
      </c>
      <c r="E331" s="21">
        <f>IF(A331="","",SUMIF('Grup Eşleme'!$B$5:$B$504,A331,'Grup Eşleme'!$C$5:$C$504))</f>
        <v/>
      </c>
      <c r="F331" s="27">
        <f>IF(OR(A331="",'Metraj Mahal Listesi'!$K$3=0,COUNTIF($B$5:$B$504,A331)&gt;0),"",E331/'Metraj Mahal Listesi'!$K$3*100)</f>
        <v/>
      </c>
      <c r="G331" s="28">
        <f>IF(OR(D331="",F331=""),"",F331-D331)</f>
        <v/>
      </c>
      <c r="H331" s="29">
        <f>IF(OR(G331="",D331=0),"",G331/D331*100)</f>
        <v/>
      </c>
      <c r="I331" s="30">
        <f>IF(A331="","",IF(COUNTIF($B$5:$B$504,A331)&gt;0,IF(ABS(SUMIF($B$5:$B$504,A331,$C$5:$C$504)-100)&lt;0.0001,"✔ alt gruplar Σ=100","⚠ alt gruplar Σ≠100"),IF(G331="","—",IF(ABS(G331)&lt;=PursUyum,"✔ uyumlu",IF(ABS(G331)&lt;=PursCiddi,"⚠ dikkat","✗ ciddi fark")))))</f>
        <v/>
      </c>
      <c r="J331" s="5" t="n"/>
      <c r="K331" s="5" t="n"/>
    </row>
    <row r="332">
      <c r="A332" s="5" t="n"/>
      <c r="B332" s="5" t="n"/>
      <c r="C332" s="26" t="n"/>
      <c r="D332" s="27">
        <f>IF(OR(A332="",C332=""),"",C332*IFERROR(VLOOKUP(B332,$A$5:$C$504,3,FALSE)/100,1)*IFERROR(VLOOKUP(IFERROR(VLOOKUP(B332,$A$5:$B$504,2,FALSE),""),$A$5:$C$504,3,FALSE)/100,1)*IFERROR(VLOOKUP(IFERROR(VLOOKUP(IFERROR(VLOOKUP(B332,$A$5:$B$504,2,FALSE),""),$A$5:$B$504,2,FALSE),""),$A$5:$C$504,3,FALSE)/100,1))</f>
        <v/>
      </c>
      <c r="E332" s="21">
        <f>IF(A332="","",SUMIF('Grup Eşleme'!$B$5:$B$504,A332,'Grup Eşleme'!$C$5:$C$504))</f>
        <v/>
      </c>
      <c r="F332" s="27">
        <f>IF(OR(A332="",'Metraj Mahal Listesi'!$K$3=0,COUNTIF($B$5:$B$504,A332)&gt;0),"",E332/'Metraj Mahal Listesi'!$K$3*100)</f>
        <v/>
      </c>
      <c r="G332" s="28">
        <f>IF(OR(D332="",F332=""),"",F332-D332)</f>
        <v/>
      </c>
      <c r="H332" s="29">
        <f>IF(OR(G332="",D332=0),"",G332/D332*100)</f>
        <v/>
      </c>
      <c r="I332" s="30">
        <f>IF(A332="","",IF(COUNTIF($B$5:$B$504,A332)&gt;0,IF(ABS(SUMIF($B$5:$B$504,A332,$C$5:$C$504)-100)&lt;0.0001,"✔ alt gruplar Σ=100","⚠ alt gruplar Σ≠100"),IF(G332="","—",IF(ABS(G332)&lt;=PursUyum,"✔ uyumlu",IF(ABS(G332)&lt;=PursCiddi,"⚠ dikkat","✗ ciddi fark")))))</f>
        <v/>
      </c>
      <c r="J332" s="5" t="n"/>
      <c r="K332" s="5" t="n"/>
    </row>
    <row r="333">
      <c r="A333" s="5" t="n"/>
      <c r="B333" s="5" t="n"/>
      <c r="C333" s="26" t="n"/>
      <c r="D333" s="27">
        <f>IF(OR(A333="",C333=""),"",C333*IFERROR(VLOOKUP(B333,$A$5:$C$504,3,FALSE)/100,1)*IFERROR(VLOOKUP(IFERROR(VLOOKUP(B333,$A$5:$B$504,2,FALSE),""),$A$5:$C$504,3,FALSE)/100,1)*IFERROR(VLOOKUP(IFERROR(VLOOKUP(IFERROR(VLOOKUP(B333,$A$5:$B$504,2,FALSE),""),$A$5:$B$504,2,FALSE),""),$A$5:$C$504,3,FALSE)/100,1))</f>
        <v/>
      </c>
      <c r="E333" s="21">
        <f>IF(A333="","",SUMIF('Grup Eşleme'!$B$5:$B$504,A333,'Grup Eşleme'!$C$5:$C$504))</f>
        <v/>
      </c>
      <c r="F333" s="27">
        <f>IF(OR(A333="",'Metraj Mahal Listesi'!$K$3=0,COUNTIF($B$5:$B$504,A333)&gt;0),"",E333/'Metraj Mahal Listesi'!$K$3*100)</f>
        <v/>
      </c>
      <c r="G333" s="28">
        <f>IF(OR(D333="",F333=""),"",F333-D333)</f>
        <v/>
      </c>
      <c r="H333" s="29">
        <f>IF(OR(G333="",D333=0),"",G333/D333*100)</f>
        <v/>
      </c>
      <c r="I333" s="30">
        <f>IF(A333="","",IF(COUNTIF($B$5:$B$504,A333)&gt;0,IF(ABS(SUMIF($B$5:$B$504,A333,$C$5:$C$504)-100)&lt;0.0001,"✔ alt gruplar Σ=100","⚠ alt gruplar Σ≠100"),IF(G333="","—",IF(ABS(G333)&lt;=PursUyum,"✔ uyumlu",IF(ABS(G333)&lt;=PursCiddi,"⚠ dikkat","✗ ciddi fark")))))</f>
        <v/>
      </c>
      <c r="J333" s="5" t="n"/>
      <c r="K333" s="5" t="n"/>
    </row>
    <row r="334">
      <c r="A334" s="5" t="n"/>
      <c r="B334" s="5" t="n"/>
      <c r="C334" s="26" t="n"/>
      <c r="D334" s="27">
        <f>IF(OR(A334="",C334=""),"",C334*IFERROR(VLOOKUP(B334,$A$5:$C$504,3,FALSE)/100,1)*IFERROR(VLOOKUP(IFERROR(VLOOKUP(B334,$A$5:$B$504,2,FALSE),""),$A$5:$C$504,3,FALSE)/100,1)*IFERROR(VLOOKUP(IFERROR(VLOOKUP(IFERROR(VLOOKUP(B334,$A$5:$B$504,2,FALSE),""),$A$5:$B$504,2,FALSE),""),$A$5:$C$504,3,FALSE)/100,1))</f>
        <v/>
      </c>
      <c r="E334" s="21">
        <f>IF(A334="","",SUMIF('Grup Eşleme'!$B$5:$B$504,A334,'Grup Eşleme'!$C$5:$C$504))</f>
        <v/>
      </c>
      <c r="F334" s="27">
        <f>IF(OR(A334="",'Metraj Mahal Listesi'!$K$3=0,COUNTIF($B$5:$B$504,A334)&gt;0),"",E334/'Metraj Mahal Listesi'!$K$3*100)</f>
        <v/>
      </c>
      <c r="G334" s="28">
        <f>IF(OR(D334="",F334=""),"",F334-D334)</f>
        <v/>
      </c>
      <c r="H334" s="29">
        <f>IF(OR(G334="",D334=0),"",G334/D334*100)</f>
        <v/>
      </c>
      <c r="I334" s="30">
        <f>IF(A334="","",IF(COUNTIF($B$5:$B$504,A334)&gt;0,IF(ABS(SUMIF($B$5:$B$504,A334,$C$5:$C$504)-100)&lt;0.0001,"✔ alt gruplar Σ=100","⚠ alt gruplar Σ≠100"),IF(G334="","—",IF(ABS(G334)&lt;=PursUyum,"✔ uyumlu",IF(ABS(G334)&lt;=PursCiddi,"⚠ dikkat","✗ ciddi fark")))))</f>
        <v/>
      </c>
      <c r="J334" s="5" t="n"/>
      <c r="K334" s="5" t="n"/>
    </row>
    <row r="335">
      <c r="A335" s="5" t="n"/>
      <c r="B335" s="5" t="n"/>
      <c r="C335" s="26" t="n"/>
      <c r="D335" s="27">
        <f>IF(OR(A335="",C335=""),"",C335*IFERROR(VLOOKUP(B335,$A$5:$C$504,3,FALSE)/100,1)*IFERROR(VLOOKUP(IFERROR(VLOOKUP(B335,$A$5:$B$504,2,FALSE),""),$A$5:$C$504,3,FALSE)/100,1)*IFERROR(VLOOKUP(IFERROR(VLOOKUP(IFERROR(VLOOKUP(B335,$A$5:$B$504,2,FALSE),""),$A$5:$B$504,2,FALSE),""),$A$5:$C$504,3,FALSE)/100,1))</f>
        <v/>
      </c>
      <c r="E335" s="21">
        <f>IF(A335="","",SUMIF('Grup Eşleme'!$B$5:$B$504,A335,'Grup Eşleme'!$C$5:$C$504))</f>
        <v/>
      </c>
      <c r="F335" s="27">
        <f>IF(OR(A335="",'Metraj Mahal Listesi'!$K$3=0,COUNTIF($B$5:$B$504,A335)&gt;0),"",E335/'Metraj Mahal Listesi'!$K$3*100)</f>
        <v/>
      </c>
      <c r="G335" s="28">
        <f>IF(OR(D335="",F335=""),"",F335-D335)</f>
        <v/>
      </c>
      <c r="H335" s="29">
        <f>IF(OR(G335="",D335=0),"",G335/D335*100)</f>
        <v/>
      </c>
      <c r="I335" s="30">
        <f>IF(A335="","",IF(COUNTIF($B$5:$B$504,A335)&gt;0,IF(ABS(SUMIF($B$5:$B$504,A335,$C$5:$C$504)-100)&lt;0.0001,"✔ alt gruplar Σ=100","⚠ alt gruplar Σ≠100"),IF(G335="","—",IF(ABS(G335)&lt;=PursUyum,"✔ uyumlu",IF(ABS(G335)&lt;=PursCiddi,"⚠ dikkat","✗ ciddi fark")))))</f>
        <v/>
      </c>
      <c r="J335" s="5" t="n"/>
      <c r="K335" s="5" t="n"/>
    </row>
    <row r="336">
      <c r="A336" s="5" t="n"/>
      <c r="B336" s="5" t="n"/>
      <c r="C336" s="26" t="n"/>
      <c r="D336" s="27">
        <f>IF(OR(A336="",C336=""),"",C336*IFERROR(VLOOKUP(B336,$A$5:$C$504,3,FALSE)/100,1)*IFERROR(VLOOKUP(IFERROR(VLOOKUP(B336,$A$5:$B$504,2,FALSE),""),$A$5:$C$504,3,FALSE)/100,1)*IFERROR(VLOOKUP(IFERROR(VLOOKUP(IFERROR(VLOOKUP(B336,$A$5:$B$504,2,FALSE),""),$A$5:$B$504,2,FALSE),""),$A$5:$C$504,3,FALSE)/100,1))</f>
        <v/>
      </c>
      <c r="E336" s="21">
        <f>IF(A336="","",SUMIF('Grup Eşleme'!$B$5:$B$504,A336,'Grup Eşleme'!$C$5:$C$504))</f>
        <v/>
      </c>
      <c r="F336" s="27">
        <f>IF(OR(A336="",'Metraj Mahal Listesi'!$K$3=0,COUNTIF($B$5:$B$504,A336)&gt;0),"",E336/'Metraj Mahal Listesi'!$K$3*100)</f>
        <v/>
      </c>
      <c r="G336" s="28">
        <f>IF(OR(D336="",F336=""),"",F336-D336)</f>
        <v/>
      </c>
      <c r="H336" s="29">
        <f>IF(OR(G336="",D336=0),"",G336/D336*100)</f>
        <v/>
      </c>
      <c r="I336" s="30">
        <f>IF(A336="","",IF(COUNTIF($B$5:$B$504,A336)&gt;0,IF(ABS(SUMIF($B$5:$B$504,A336,$C$5:$C$504)-100)&lt;0.0001,"✔ alt gruplar Σ=100","⚠ alt gruplar Σ≠100"),IF(G336="","—",IF(ABS(G336)&lt;=PursUyum,"✔ uyumlu",IF(ABS(G336)&lt;=PursCiddi,"⚠ dikkat","✗ ciddi fark")))))</f>
        <v/>
      </c>
      <c r="J336" s="5" t="n"/>
      <c r="K336" s="5" t="n"/>
    </row>
    <row r="337">
      <c r="A337" s="5" t="n"/>
      <c r="B337" s="5" t="n"/>
      <c r="C337" s="26" t="n"/>
      <c r="D337" s="27">
        <f>IF(OR(A337="",C337=""),"",C337*IFERROR(VLOOKUP(B337,$A$5:$C$504,3,FALSE)/100,1)*IFERROR(VLOOKUP(IFERROR(VLOOKUP(B337,$A$5:$B$504,2,FALSE),""),$A$5:$C$504,3,FALSE)/100,1)*IFERROR(VLOOKUP(IFERROR(VLOOKUP(IFERROR(VLOOKUP(B337,$A$5:$B$504,2,FALSE),""),$A$5:$B$504,2,FALSE),""),$A$5:$C$504,3,FALSE)/100,1))</f>
        <v/>
      </c>
      <c r="E337" s="21">
        <f>IF(A337="","",SUMIF('Grup Eşleme'!$B$5:$B$504,A337,'Grup Eşleme'!$C$5:$C$504))</f>
        <v/>
      </c>
      <c r="F337" s="27">
        <f>IF(OR(A337="",'Metraj Mahal Listesi'!$K$3=0,COUNTIF($B$5:$B$504,A337)&gt;0),"",E337/'Metraj Mahal Listesi'!$K$3*100)</f>
        <v/>
      </c>
      <c r="G337" s="28">
        <f>IF(OR(D337="",F337=""),"",F337-D337)</f>
        <v/>
      </c>
      <c r="H337" s="29">
        <f>IF(OR(G337="",D337=0),"",G337/D337*100)</f>
        <v/>
      </c>
      <c r="I337" s="30">
        <f>IF(A337="","",IF(COUNTIF($B$5:$B$504,A337)&gt;0,IF(ABS(SUMIF($B$5:$B$504,A337,$C$5:$C$504)-100)&lt;0.0001,"✔ alt gruplar Σ=100","⚠ alt gruplar Σ≠100"),IF(G337="","—",IF(ABS(G337)&lt;=PursUyum,"✔ uyumlu",IF(ABS(G337)&lt;=PursCiddi,"⚠ dikkat","✗ ciddi fark")))))</f>
        <v/>
      </c>
      <c r="J337" s="5" t="n"/>
      <c r="K337" s="5" t="n"/>
    </row>
    <row r="338">
      <c r="A338" s="5" t="n"/>
      <c r="B338" s="5" t="n"/>
      <c r="C338" s="26" t="n"/>
      <c r="D338" s="27">
        <f>IF(OR(A338="",C338=""),"",C338*IFERROR(VLOOKUP(B338,$A$5:$C$504,3,FALSE)/100,1)*IFERROR(VLOOKUP(IFERROR(VLOOKUP(B338,$A$5:$B$504,2,FALSE),""),$A$5:$C$504,3,FALSE)/100,1)*IFERROR(VLOOKUP(IFERROR(VLOOKUP(IFERROR(VLOOKUP(B338,$A$5:$B$504,2,FALSE),""),$A$5:$B$504,2,FALSE),""),$A$5:$C$504,3,FALSE)/100,1))</f>
        <v/>
      </c>
      <c r="E338" s="21">
        <f>IF(A338="","",SUMIF('Grup Eşleme'!$B$5:$B$504,A338,'Grup Eşleme'!$C$5:$C$504))</f>
        <v/>
      </c>
      <c r="F338" s="27">
        <f>IF(OR(A338="",'Metraj Mahal Listesi'!$K$3=0,COUNTIF($B$5:$B$504,A338)&gt;0),"",E338/'Metraj Mahal Listesi'!$K$3*100)</f>
        <v/>
      </c>
      <c r="G338" s="28">
        <f>IF(OR(D338="",F338=""),"",F338-D338)</f>
        <v/>
      </c>
      <c r="H338" s="29">
        <f>IF(OR(G338="",D338=0),"",G338/D338*100)</f>
        <v/>
      </c>
      <c r="I338" s="30">
        <f>IF(A338="","",IF(COUNTIF($B$5:$B$504,A338)&gt;0,IF(ABS(SUMIF($B$5:$B$504,A338,$C$5:$C$504)-100)&lt;0.0001,"✔ alt gruplar Σ=100","⚠ alt gruplar Σ≠100"),IF(G338="","—",IF(ABS(G338)&lt;=PursUyum,"✔ uyumlu",IF(ABS(G338)&lt;=PursCiddi,"⚠ dikkat","✗ ciddi fark")))))</f>
        <v/>
      </c>
      <c r="J338" s="5" t="n"/>
      <c r="K338" s="5" t="n"/>
    </row>
    <row r="339">
      <c r="A339" s="5" t="n"/>
      <c r="B339" s="5" t="n"/>
      <c r="C339" s="26" t="n"/>
      <c r="D339" s="27">
        <f>IF(OR(A339="",C339=""),"",C339*IFERROR(VLOOKUP(B339,$A$5:$C$504,3,FALSE)/100,1)*IFERROR(VLOOKUP(IFERROR(VLOOKUP(B339,$A$5:$B$504,2,FALSE),""),$A$5:$C$504,3,FALSE)/100,1)*IFERROR(VLOOKUP(IFERROR(VLOOKUP(IFERROR(VLOOKUP(B339,$A$5:$B$504,2,FALSE),""),$A$5:$B$504,2,FALSE),""),$A$5:$C$504,3,FALSE)/100,1))</f>
        <v/>
      </c>
      <c r="E339" s="21">
        <f>IF(A339="","",SUMIF('Grup Eşleme'!$B$5:$B$504,A339,'Grup Eşleme'!$C$5:$C$504))</f>
        <v/>
      </c>
      <c r="F339" s="27">
        <f>IF(OR(A339="",'Metraj Mahal Listesi'!$K$3=0,COUNTIF($B$5:$B$504,A339)&gt;0),"",E339/'Metraj Mahal Listesi'!$K$3*100)</f>
        <v/>
      </c>
      <c r="G339" s="28">
        <f>IF(OR(D339="",F339=""),"",F339-D339)</f>
        <v/>
      </c>
      <c r="H339" s="29">
        <f>IF(OR(G339="",D339=0),"",G339/D339*100)</f>
        <v/>
      </c>
      <c r="I339" s="30">
        <f>IF(A339="","",IF(COUNTIF($B$5:$B$504,A339)&gt;0,IF(ABS(SUMIF($B$5:$B$504,A339,$C$5:$C$504)-100)&lt;0.0001,"✔ alt gruplar Σ=100","⚠ alt gruplar Σ≠100"),IF(G339="","—",IF(ABS(G339)&lt;=PursUyum,"✔ uyumlu",IF(ABS(G339)&lt;=PursCiddi,"⚠ dikkat","✗ ciddi fark")))))</f>
        <v/>
      </c>
      <c r="J339" s="5" t="n"/>
      <c r="K339" s="5" t="n"/>
    </row>
    <row r="340">
      <c r="A340" s="5" t="n"/>
      <c r="B340" s="5" t="n"/>
      <c r="C340" s="26" t="n"/>
      <c r="D340" s="27">
        <f>IF(OR(A340="",C340=""),"",C340*IFERROR(VLOOKUP(B340,$A$5:$C$504,3,FALSE)/100,1)*IFERROR(VLOOKUP(IFERROR(VLOOKUP(B340,$A$5:$B$504,2,FALSE),""),$A$5:$C$504,3,FALSE)/100,1)*IFERROR(VLOOKUP(IFERROR(VLOOKUP(IFERROR(VLOOKUP(B340,$A$5:$B$504,2,FALSE),""),$A$5:$B$504,2,FALSE),""),$A$5:$C$504,3,FALSE)/100,1))</f>
        <v/>
      </c>
      <c r="E340" s="21">
        <f>IF(A340="","",SUMIF('Grup Eşleme'!$B$5:$B$504,A340,'Grup Eşleme'!$C$5:$C$504))</f>
        <v/>
      </c>
      <c r="F340" s="27">
        <f>IF(OR(A340="",'Metraj Mahal Listesi'!$K$3=0,COUNTIF($B$5:$B$504,A340)&gt;0),"",E340/'Metraj Mahal Listesi'!$K$3*100)</f>
        <v/>
      </c>
      <c r="G340" s="28">
        <f>IF(OR(D340="",F340=""),"",F340-D340)</f>
        <v/>
      </c>
      <c r="H340" s="29">
        <f>IF(OR(G340="",D340=0),"",G340/D340*100)</f>
        <v/>
      </c>
      <c r="I340" s="30">
        <f>IF(A340="","",IF(COUNTIF($B$5:$B$504,A340)&gt;0,IF(ABS(SUMIF($B$5:$B$504,A340,$C$5:$C$504)-100)&lt;0.0001,"✔ alt gruplar Σ=100","⚠ alt gruplar Σ≠100"),IF(G340="","—",IF(ABS(G340)&lt;=PursUyum,"✔ uyumlu",IF(ABS(G340)&lt;=PursCiddi,"⚠ dikkat","✗ ciddi fark")))))</f>
        <v/>
      </c>
      <c r="J340" s="5" t="n"/>
      <c r="K340" s="5" t="n"/>
    </row>
    <row r="341">
      <c r="A341" s="5" t="n"/>
      <c r="B341" s="5" t="n"/>
      <c r="C341" s="26" t="n"/>
      <c r="D341" s="27">
        <f>IF(OR(A341="",C341=""),"",C341*IFERROR(VLOOKUP(B341,$A$5:$C$504,3,FALSE)/100,1)*IFERROR(VLOOKUP(IFERROR(VLOOKUP(B341,$A$5:$B$504,2,FALSE),""),$A$5:$C$504,3,FALSE)/100,1)*IFERROR(VLOOKUP(IFERROR(VLOOKUP(IFERROR(VLOOKUP(B341,$A$5:$B$504,2,FALSE),""),$A$5:$B$504,2,FALSE),""),$A$5:$C$504,3,FALSE)/100,1))</f>
        <v/>
      </c>
      <c r="E341" s="21">
        <f>IF(A341="","",SUMIF('Grup Eşleme'!$B$5:$B$504,A341,'Grup Eşleme'!$C$5:$C$504))</f>
        <v/>
      </c>
      <c r="F341" s="27">
        <f>IF(OR(A341="",'Metraj Mahal Listesi'!$K$3=0,COUNTIF($B$5:$B$504,A341)&gt;0),"",E341/'Metraj Mahal Listesi'!$K$3*100)</f>
        <v/>
      </c>
      <c r="G341" s="28">
        <f>IF(OR(D341="",F341=""),"",F341-D341)</f>
        <v/>
      </c>
      <c r="H341" s="29">
        <f>IF(OR(G341="",D341=0),"",G341/D341*100)</f>
        <v/>
      </c>
      <c r="I341" s="30">
        <f>IF(A341="","",IF(COUNTIF($B$5:$B$504,A341)&gt;0,IF(ABS(SUMIF($B$5:$B$504,A341,$C$5:$C$504)-100)&lt;0.0001,"✔ alt gruplar Σ=100","⚠ alt gruplar Σ≠100"),IF(G341="","—",IF(ABS(G341)&lt;=PursUyum,"✔ uyumlu",IF(ABS(G341)&lt;=PursCiddi,"⚠ dikkat","✗ ciddi fark")))))</f>
        <v/>
      </c>
      <c r="J341" s="5" t="n"/>
      <c r="K341" s="5" t="n"/>
    </row>
    <row r="342">
      <c r="A342" s="5" t="n"/>
      <c r="B342" s="5" t="n"/>
      <c r="C342" s="26" t="n"/>
      <c r="D342" s="27">
        <f>IF(OR(A342="",C342=""),"",C342*IFERROR(VLOOKUP(B342,$A$5:$C$504,3,FALSE)/100,1)*IFERROR(VLOOKUP(IFERROR(VLOOKUP(B342,$A$5:$B$504,2,FALSE),""),$A$5:$C$504,3,FALSE)/100,1)*IFERROR(VLOOKUP(IFERROR(VLOOKUP(IFERROR(VLOOKUP(B342,$A$5:$B$504,2,FALSE),""),$A$5:$B$504,2,FALSE),""),$A$5:$C$504,3,FALSE)/100,1))</f>
        <v/>
      </c>
      <c r="E342" s="21">
        <f>IF(A342="","",SUMIF('Grup Eşleme'!$B$5:$B$504,A342,'Grup Eşleme'!$C$5:$C$504))</f>
        <v/>
      </c>
      <c r="F342" s="27">
        <f>IF(OR(A342="",'Metraj Mahal Listesi'!$K$3=0,COUNTIF($B$5:$B$504,A342)&gt;0),"",E342/'Metraj Mahal Listesi'!$K$3*100)</f>
        <v/>
      </c>
      <c r="G342" s="28">
        <f>IF(OR(D342="",F342=""),"",F342-D342)</f>
        <v/>
      </c>
      <c r="H342" s="29">
        <f>IF(OR(G342="",D342=0),"",G342/D342*100)</f>
        <v/>
      </c>
      <c r="I342" s="30">
        <f>IF(A342="","",IF(COUNTIF($B$5:$B$504,A342)&gt;0,IF(ABS(SUMIF($B$5:$B$504,A342,$C$5:$C$504)-100)&lt;0.0001,"✔ alt gruplar Σ=100","⚠ alt gruplar Σ≠100"),IF(G342="","—",IF(ABS(G342)&lt;=PursUyum,"✔ uyumlu",IF(ABS(G342)&lt;=PursCiddi,"⚠ dikkat","✗ ciddi fark")))))</f>
        <v/>
      </c>
      <c r="J342" s="5" t="n"/>
      <c r="K342" s="5" t="n"/>
    </row>
    <row r="343">
      <c r="A343" s="5" t="n"/>
      <c r="B343" s="5" t="n"/>
      <c r="C343" s="26" t="n"/>
      <c r="D343" s="27">
        <f>IF(OR(A343="",C343=""),"",C343*IFERROR(VLOOKUP(B343,$A$5:$C$504,3,FALSE)/100,1)*IFERROR(VLOOKUP(IFERROR(VLOOKUP(B343,$A$5:$B$504,2,FALSE),""),$A$5:$C$504,3,FALSE)/100,1)*IFERROR(VLOOKUP(IFERROR(VLOOKUP(IFERROR(VLOOKUP(B343,$A$5:$B$504,2,FALSE),""),$A$5:$B$504,2,FALSE),""),$A$5:$C$504,3,FALSE)/100,1))</f>
        <v/>
      </c>
      <c r="E343" s="21">
        <f>IF(A343="","",SUMIF('Grup Eşleme'!$B$5:$B$504,A343,'Grup Eşleme'!$C$5:$C$504))</f>
        <v/>
      </c>
      <c r="F343" s="27">
        <f>IF(OR(A343="",'Metraj Mahal Listesi'!$K$3=0,COUNTIF($B$5:$B$504,A343)&gt;0),"",E343/'Metraj Mahal Listesi'!$K$3*100)</f>
        <v/>
      </c>
      <c r="G343" s="28">
        <f>IF(OR(D343="",F343=""),"",F343-D343)</f>
        <v/>
      </c>
      <c r="H343" s="29">
        <f>IF(OR(G343="",D343=0),"",G343/D343*100)</f>
        <v/>
      </c>
      <c r="I343" s="30">
        <f>IF(A343="","",IF(COUNTIF($B$5:$B$504,A343)&gt;0,IF(ABS(SUMIF($B$5:$B$504,A343,$C$5:$C$504)-100)&lt;0.0001,"✔ alt gruplar Σ=100","⚠ alt gruplar Σ≠100"),IF(G343="","—",IF(ABS(G343)&lt;=PursUyum,"✔ uyumlu",IF(ABS(G343)&lt;=PursCiddi,"⚠ dikkat","✗ ciddi fark")))))</f>
        <v/>
      </c>
      <c r="J343" s="5" t="n"/>
      <c r="K343" s="5" t="n"/>
    </row>
    <row r="344">
      <c r="A344" s="5" t="n"/>
      <c r="B344" s="5" t="n"/>
      <c r="C344" s="26" t="n"/>
      <c r="D344" s="27">
        <f>IF(OR(A344="",C344=""),"",C344*IFERROR(VLOOKUP(B344,$A$5:$C$504,3,FALSE)/100,1)*IFERROR(VLOOKUP(IFERROR(VLOOKUP(B344,$A$5:$B$504,2,FALSE),""),$A$5:$C$504,3,FALSE)/100,1)*IFERROR(VLOOKUP(IFERROR(VLOOKUP(IFERROR(VLOOKUP(B344,$A$5:$B$504,2,FALSE),""),$A$5:$B$504,2,FALSE),""),$A$5:$C$504,3,FALSE)/100,1))</f>
        <v/>
      </c>
      <c r="E344" s="21">
        <f>IF(A344="","",SUMIF('Grup Eşleme'!$B$5:$B$504,A344,'Grup Eşleme'!$C$5:$C$504))</f>
        <v/>
      </c>
      <c r="F344" s="27">
        <f>IF(OR(A344="",'Metraj Mahal Listesi'!$K$3=0,COUNTIF($B$5:$B$504,A344)&gt;0),"",E344/'Metraj Mahal Listesi'!$K$3*100)</f>
        <v/>
      </c>
      <c r="G344" s="28">
        <f>IF(OR(D344="",F344=""),"",F344-D344)</f>
        <v/>
      </c>
      <c r="H344" s="29">
        <f>IF(OR(G344="",D344=0),"",G344/D344*100)</f>
        <v/>
      </c>
      <c r="I344" s="30">
        <f>IF(A344="","",IF(COUNTIF($B$5:$B$504,A344)&gt;0,IF(ABS(SUMIF($B$5:$B$504,A344,$C$5:$C$504)-100)&lt;0.0001,"✔ alt gruplar Σ=100","⚠ alt gruplar Σ≠100"),IF(G344="","—",IF(ABS(G344)&lt;=PursUyum,"✔ uyumlu",IF(ABS(G344)&lt;=PursCiddi,"⚠ dikkat","✗ ciddi fark")))))</f>
        <v/>
      </c>
      <c r="J344" s="5" t="n"/>
      <c r="K344" s="5" t="n"/>
    </row>
    <row r="345">
      <c r="A345" s="5" t="n"/>
      <c r="B345" s="5" t="n"/>
      <c r="C345" s="26" t="n"/>
      <c r="D345" s="27">
        <f>IF(OR(A345="",C345=""),"",C345*IFERROR(VLOOKUP(B345,$A$5:$C$504,3,FALSE)/100,1)*IFERROR(VLOOKUP(IFERROR(VLOOKUP(B345,$A$5:$B$504,2,FALSE),""),$A$5:$C$504,3,FALSE)/100,1)*IFERROR(VLOOKUP(IFERROR(VLOOKUP(IFERROR(VLOOKUP(B345,$A$5:$B$504,2,FALSE),""),$A$5:$B$504,2,FALSE),""),$A$5:$C$504,3,FALSE)/100,1))</f>
        <v/>
      </c>
      <c r="E345" s="21">
        <f>IF(A345="","",SUMIF('Grup Eşleme'!$B$5:$B$504,A345,'Grup Eşleme'!$C$5:$C$504))</f>
        <v/>
      </c>
      <c r="F345" s="27">
        <f>IF(OR(A345="",'Metraj Mahal Listesi'!$K$3=0,COUNTIF($B$5:$B$504,A345)&gt;0),"",E345/'Metraj Mahal Listesi'!$K$3*100)</f>
        <v/>
      </c>
      <c r="G345" s="28">
        <f>IF(OR(D345="",F345=""),"",F345-D345)</f>
        <v/>
      </c>
      <c r="H345" s="29">
        <f>IF(OR(G345="",D345=0),"",G345/D345*100)</f>
        <v/>
      </c>
      <c r="I345" s="30">
        <f>IF(A345="","",IF(COUNTIF($B$5:$B$504,A345)&gt;0,IF(ABS(SUMIF($B$5:$B$504,A345,$C$5:$C$504)-100)&lt;0.0001,"✔ alt gruplar Σ=100","⚠ alt gruplar Σ≠100"),IF(G345="","—",IF(ABS(G345)&lt;=PursUyum,"✔ uyumlu",IF(ABS(G345)&lt;=PursCiddi,"⚠ dikkat","✗ ciddi fark")))))</f>
        <v/>
      </c>
      <c r="J345" s="5" t="n"/>
      <c r="K345" s="5" t="n"/>
    </row>
    <row r="346">
      <c r="A346" s="5" t="n"/>
      <c r="B346" s="5" t="n"/>
      <c r="C346" s="26" t="n"/>
      <c r="D346" s="27">
        <f>IF(OR(A346="",C346=""),"",C346*IFERROR(VLOOKUP(B346,$A$5:$C$504,3,FALSE)/100,1)*IFERROR(VLOOKUP(IFERROR(VLOOKUP(B346,$A$5:$B$504,2,FALSE),""),$A$5:$C$504,3,FALSE)/100,1)*IFERROR(VLOOKUP(IFERROR(VLOOKUP(IFERROR(VLOOKUP(B346,$A$5:$B$504,2,FALSE),""),$A$5:$B$504,2,FALSE),""),$A$5:$C$504,3,FALSE)/100,1))</f>
        <v/>
      </c>
      <c r="E346" s="21">
        <f>IF(A346="","",SUMIF('Grup Eşleme'!$B$5:$B$504,A346,'Grup Eşleme'!$C$5:$C$504))</f>
        <v/>
      </c>
      <c r="F346" s="27">
        <f>IF(OR(A346="",'Metraj Mahal Listesi'!$K$3=0,COUNTIF($B$5:$B$504,A346)&gt;0),"",E346/'Metraj Mahal Listesi'!$K$3*100)</f>
        <v/>
      </c>
      <c r="G346" s="28">
        <f>IF(OR(D346="",F346=""),"",F346-D346)</f>
        <v/>
      </c>
      <c r="H346" s="29">
        <f>IF(OR(G346="",D346=0),"",G346/D346*100)</f>
        <v/>
      </c>
      <c r="I346" s="30">
        <f>IF(A346="","",IF(COUNTIF($B$5:$B$504,A346)&gt;0,IF(ABS(SUMIF($B$5:$B$504,A346,$C$5:$C$504)-100)&lt;0.0001,"✔ alt gruplar Σ=100","⚠ alt gruplar Σ≠100"),IF(G346="","—",IF(ABS(G346)&lt;=PursUyum,"✔ uyumlu",IF(ABS(G346)&lt;=PursCiddi,"⚠ dikkat","✗ ciddi fark")))))</f>
        <v/>
      </c>
      <c r="J346" s="5" t="n"/>
      <c r="K346" s="5" t="n"/>
    </row>
    <row r="347">
      <c r="A347" s="5" t="n"/>
      <c r="B347" s="5" t="n"/>
      <c r="C347" s="26" t="n"/>
      <c r="D347" s="27">
        <f>IF(OR(A347="",C347=""),"",C347*IFERROR(VLOOKUP(B347,$A$5:$C$504,3,FALSE)/100,1)*IFERROR(VLOOKUP(IFERROR(VLOOKUP(B347,$A$5:$B$504,2,FALSE),""),$A$5:$C$504,3,FALSE)/100,1)*IFERROR(VLOOKUP(IFERROR(VLOOKUP(IFERROR(VLOOKUP(B347,$A$5:$B$504,2,FALSE),""),$A$5:$B$504,2,FALSE),""),$A$5:$C$504,3,FALSE)/100,1))</f>
        <v/>
      </c>
      <c r="E347" s="21">
        <f>IF(A347="","",SUMIF('Grup Eşleme'!$B$5:$B$504,A347,'Grup Eşleme'!$C$5:$C$504))</f>
        <v/>
      </c>
      <c r="F347" s="27">
        <f>IF(OR(A347="",'Metraj Mahal Listesi'!$K$3=0,COUNTIF($B$5:$B$504,A347)&gt;0),"",E347/'Metraj Mahal Listesi'!$K$3*100)</f>
        <v/>
      </c>
      <c r="G347" s="28">
        <f>IF(OR(D347="",F347=""),"",F347-D347)</f>
        <v/>
      </c>
      <c r="H347" s="29">
        <f>IF(OR(G347="",D347=0),"",G347/D347*100)</f>
        <v/>
      </c>
      <c r="I347" s="30">
        <f>IF(A347="","",IF(COUNTIF($B$5:$B$504,A347)&gt;0,IF(ABS(SUMIF($B$5:$B$504,A347,$C$5:$C$504)-100)&lt;0.0001,"✔ alt gruplar Σ=100","⚠ alt gruplar Σ≠100"),IF(G347="","—",IF(ABS(G347)&lt;=PursUyum,"✔ uyumlu",IF(ABS(G347)&lt;=PursCiddi,"⚠ dikkat","✗ ciddi fark")))))</f>
        <v/>
      </c>
      <c r="J347" s="5" t="n"/>
      <c r="K347" s="5" t="n"/>
    </row>
    <row r="348">
      <c r="A348" s="5" t="n"/>
      <c r="B348" s="5" t="n"/>
      <c r="C348" s="26" t="n"/>
      <c r="D348" s="27">
        <f>IF(OR(A348="",C348=""),"",C348*IFERROR(VLOOKUP(B348,$A$5:$C$504,3,FALSE)/100,1)*IFERROR(VLOOKUP(IFERROR(VLOOKUP(B348,$A$5:$B$504,2,FALSE),""),$A$5:$C$504,3,FALSE)/100,1)*IFERROR(VLOOKUP(IFERROR(VLOOKUP(IFERROR(VLOOKUP(B348,$A$5:$B$504,2,FALSE),""),$A$5:$B$504,2,FALSE),""),$A$5:$C$504,3,FALSE)/100,1))</f>
        <v/>
      </c>
      <c r="E348" s="21">
        <f>IF(A348="","",SUMIF('Grup Eşleme'!$B$5:$B$504,A348,'Grup Eşleme'!$C$5:$C$504))</f>
        <v/>
      </c>
      <c r="F348" s="27">
        <f>IF(OR(A348="",'Metraj Mahal Listesi'!$K$3=0,COUNTIF($B$5:$B$504,A348)&gt;0),"",E348/'Metraj Mahal Listesi'!$K$3*100)</f>
        <v/>
      </c>
      <c r="G348" s="28">
        <f>IF(OR(D348="",F348=""),"",F348-D348)</f>
        <v/>
      </c>
      <c r="H348" s="29">
        <f>IF(OR(G348="",D348=0),"",G348/D348*100)</f>
        <v/>
      </c>
      <c r="I348" s="30">
        <f>IF(A348="","",IF(COUNTIF($B$5:$B$504,A348)&gt;0,IF(ABS(SUMIF($B$5:$B$504,A348,$C$5:$C$504)-100)&lt;0.0001,"✔ alt gruplar Σ=100","⚠ alt gruplar Σ≠100"),IF(G348="","—",IF(ABS(G348)&lt;=PursUyum,"✔ uyumlu",IF(ABS(G348)&lt;=PursCiddi,"⚠ dikkat","✗ ciddi fark")))))</f>
        <v/>
      </c>
      <c r="J348" s="5" t="n"/>
      <c r="K348" s="5" t="n"/>
    </row>
    <row r="349">
      <c r="A349" s="5" t="n"/>
      <c r="B349" s="5" t="n"/>
      <c r="C349" s="26" t="n"/>
      <c r="D349" s="27">
        <f>IF(OR(A349="",C349=""),"",C349*IFERROR(VLOOKUP(B349,$A$5:$C$504,3,FALSE)/100,1)*IFERROR(VLOOKUP(IFERROR(VLOOKUP(B349,$A$5:$B$504,2,FALSE),""),$A$5:$C$504,3,FALSE)/100,1)*IFERROR(VLOOKUP(IFERROR(VLOOKUP(IFERROR(VLOOKUP(B349,$A$5:$B$504,2,FALSE),""),$A$5:$B$504,2,FALSE),""),$A$5:$C$504,3,FALSE)/100,1))</f>
        <v/>
      </c>
      <c r="E349" s="21">
        <f>IF(A349="","",SUMIF('Grup Eşleme'!$B$5:$B$504,A349,'Grup Eşleme'!$C$5:$C$504))</f>
        <v/>
      </c>
      <c r="F349" s="27">
        <f>IF(OR(A349="",'Metraj Mahal Listesi'!$K$3=0,COUNTIF($B$5:$B$504,A349)&gt;0),"",E349/'Metraj Mahal Listesi'!$K$3*100)</f>
        <v/>
      </c>
      <c r="G349" s="28">
        <f>IF(OR(D349="",F349=""),"",F349-D349)</f>
        <v/>
      </c>
      <c r="H349" s="29">
        <f>IF(OR(G349="",D349=0),"",G349/D349*100)</f>
        <v/>
      </c>
      <c r="I349" s="30">
        <f>IF(A349="","",IF(COUNTIF($B$5:$B$504,A349)&gt;0,IF(ABS(SUMIF($B$5:$B$504,A349,$C$5:$C$504)-100)&lt;0.0001,"✔ alt gruplar Σ=100","⚠ alt gruplar Σ≠100"),IF(G349="","—",IF(ABS(G349)&lt;=PursUyum,"✔ uyumlu",IF(ABS(G349)&lt;=PursCiddi,"⚠ dikkat","✗ ciddi fark")))))</f>
        <v/>
      </c>
      <c r="J349" s="5" t="n"/>
      <c r="K349" s="5" t="n"/>
    </row>
    <row r="350">
      <c r="A350" s="5" t="n"/>
      <c r="B350" s="5" t="n"/>
      <c r="C350" s="26" t="n"/>
      <c r="D350" s="27">
        <f>IF(OR(A350="",C350=""),"",C350*IFERROR(VLOOKUP(B350,$A$5:$C$504,3,FALSE)/100,1)*IFERROR(VLOOKUP(IFERROR(VLOOKUP(B350,$A$5:$B$504,2,FALSE),""),$A$5:$C$504,3,FALSE)/100,1)*IFERROR(VLOOKUP(IFERROR(VLOOKUP(IFERROR(VLOOKUP(B350,$A$5:$B$504,2,FALSE),""),$A$5:$B$504,2,FALSE),""),$A$5:$C$504,3,FALSE)/100,1))</f>
        <v/>
      </c>
      <c r="E350" s="21">
        <f>IF(A350="","",SUMIF('Grup Eşleme'!$B$5:$B$504,A350,'Grup Eşleme'!$C$5:$C$504))</f>
        <v/>
      </c>
      <c r="F350" s="27">
        <f>IF(OR(A350="",'Metraj Mahal Listesi'!$K$3=0,COUNTIF($B$5:$B$504,A350)&gt;0),"",E350/'Metraj Mahal Listesi'!$K$3*100)</f>
        <v/>
      </c>
      <c r="G350" s="28">
        <f>IF(OR(D350="",F350=""),"",F350-D350)</f>
        <v/>
      </c>
      <c r="H350" s="29">
        <f>IF(OR(G350="",D350=0),"",G350/D350*100)</f>
        <v/>
      </c>
      <c r="I350" s="30">
        <f>IF(A350="","",IF(COUNTIF($B$5:$B$504,A350)&gt;0,IF(ABS(SUMIF($B$5:$B$504,A350,$C$5:$C$504)-100)&lt;0.0001,"✔ alt gruplar Σ=100","⚠ alt gruplar Σ≠100"),IF(G350="","—",IF(ABS(G350)&lt;=PursUyum,"✔ uyumlu",IF(ABS(G350)&lt;=PursCiddi,"⚠ dikkat","✗ ciddi fark")))))</f>
        <v/>
      </c>
      <c r="J350" s="5" t="n"/>
      <c r="K350" s="5" t="n"/>
    </row>
    <row r="351">
      <c r="A351" s="5" t="n"/>
      <c r="B351" s="5" t="n"/>
      <c r="C351" s="26" t="n"/>
      <c r="D351" s="27">
        <f>IF(OR(A351="",C351=""),"",C351*IFERROR(VLOOKUP(B351,$A$5:$C$504,3,FALSE)/100,1)*IFERROR(VLOOKUP(IFERROR(VLOOKUP(B351,$A$5:$B$504,2,FALSE),""),$A$5:$C$504,3,FALSE)/100,1)*IFERROR(VLOOKUP(IFERROR(VLOOKUP(IFERROR(VLOOKUP(B351,$A$5:$B$504,2,FALSE),""),$A$5:$B$504,2,FALSE),""),$A$5:$C$504,3,FALSE)/100,1))</f>
        <v/>
      </c>
      <c r="E351" s="21">
        <f>IF(A351="","",SUMIF('Grup Eşleme'!$B$5:$B$504,A351,'Grup Eşleme'!$C$5:$C$504))</f>
        <v/>
      </c>
      <c r="F351" s="27">
        <f>IF(OR(A351="",'Metraj Mahal Listesi'!$K$3=0,COUNTIF($B$5:$B$504,A351)&gt;0),"",E351/'Metraj Mahal Listesi'!$K$3*100)</f>
        <v/>
      </c>
      <c r="G351" s="28">
        <f>IF(OR(D351="",F351=""),"",F351-D351)</f>
        <v/>
      </c>
      <c r="H351" s="29">
        <f>IF(OR(G351="",D351=0),"",G351/D351*100)</f>
        <v/>
      </c>
      <c r="I351" s="30">
        <f>IF(A351="","",IF(COUNTIF($B$5:$B$504,A351)&gt;0,IF(ABS(SUMIF($B$5:$B$504,A351,$C$5:$C$504)-100)&lt;0.0001,"✔ alt gruplar Σ=100","⚠ alt gruplar Σ≠100"),IF(G351="","—",IF(ABS(G351)&lt;=PursUyum,"✔ uyumlu",IF(ABS(G351)&lt;=PursCiddi,"⚠ dikkat","✗ ciddi fark")))))</f>
        <v/>
      </c>
      <c r="J351" s="5" t="n"/>
      <c r="K351" s="5" t="n"/>
    </row>
    <row r="352">
      <c r="A352" s="5" t="n"/>
      <c r="B352" s="5" t="n"/>
      <c r="C352" s="26" t="n"/>
      <c r="D352" s="27">
        <f>IF(OR(A352="",C352=""),"",C352*IFERROR(VLOOKUP(B352,$A$5:$C$504,3,FALSE)/100,1)*IFERROR(VLOOKUP(IFERROR(VLOOKUP(B352,$A$5:$B$504,2,FALSE),""),$A$5:$C$504,3,FALSE)/100,1)*IFERROR(VLOOKUP(IFERROR(VLOOKUP(IFERROR(VLOOKUP(B352,$A$5:$B$504,2,FALSE),""),$A$5:$B$504,2,FALSE),""),$A$5:$C$504,3,FALSE)/100,1))</f>
        <v/>
      </c>
      <c r="E352" s="21">
        <f>IF(A352="","",SUMIF('Grup Eşleme'!$B$5:$B$504,A352,'Grup Eşleme'!$C$5:$C$504))</f>
        <v/>
      </c>
      <c r="F352" s="27">
        <f>IF(OR(A352="",'Metraj Mahal Listesi'!$K$3=0,COUNTIF($B$5:$B$504,A352)&gt;0),"",E352/'Metraj Mahal Listesi'!$K$3*100)</f>
        <v/>
      </c>
      <c r="G352" s="28">
        <f>IF(OR(D352="",F352=""),"",F352-D352)</f>
        <v/>
      </c>
      <c r="H352" s="29">
        <f>IF(OR(G352="",D352=0),"",G352/D352*100)</f>
        <v/>
      </c>
      <c r="I352" s="30">
        <f>IF(A352="","",IF(COUNTIF($B$5:$B$504,A352)&gt;0,IF(ABS(SUMIF($B$5:$B$504,A352,$C$5:$C$504)-100)&lt;0.0001,"✔ alt gruplar Σ=100","⚠ alt gruplar Σ≠100"),IF(G352="","—",IF(ABS(G352)&lt;=PursUyum,"✔ uyumlu",IF(ABS(G352)&lt;=PursCiddi,"⚠ dikkat","✗ ciddi fark")))))</f>
        <v/>
      </c>
      <c r="J352" s="5" t="n"/>
      <c r="K352" s="5" t="n"/>
    </row>
    <row r="353">
      <c r="A353" s="5" t="n"/>
      <c r="B353" s="5" t="n"/>
      <c r="C353" s="26" t="n"/>
      <c r="D353" s="27">
        <f>IF(OR(A353="",C353=""),"",C353*IFERROR(VLOOKUP(B353,$A$5:$C$504,3,FALSE)/100,1)*IFERROR(VLOOKUP(IFERROR(VLOOKUP(B353,$A$5:$B$504,2,FALSE),""),$A$5:$C$504,3,FALSE)/100,1)*IFERROR(VLOOKUP(IFERROR(VLOOKUP(IFERROR(VLOOKUP(B353,$A$5:$B$504,2,FALSE),""),$A$5:$B$504,2,FALSE),""),$A$5:$C$504,3,FALSE)/100,1))</f>
        <v/>
      </c>
      <c r="E353" s="21">
        <f>IF(A353="","",SUMIF('Grup Eşleme'!$B$5:$B$504,A353,'Grup Eşleme'!$C$5:$C$504))</f>
        <v/>
      </c>
      <c r="F353" s="27">
        <f>IF(OR(A353="",'Metraj Mahal Listesi'!$K$3=0,COUNTIF($B$5:$B$504,A353)&gt;0),"",E353/'Metraj Mahal Listesi'!$K$3*100)</f>
        <v/>
      </c>
      <c r="G353" s="28">
        <f>IF(OR(D353="",F353=""),"",F353-D353)</f>
        <v/>
      </c>
      <c r="H353" s="29">
        <f>IF(OR(G353="",D353=0),"",G353/D353*100)</f>
        <v/>
      </c>
      <c r="I353" s="30">
        <f>IF(A353="","",IF(COUNTIF($B$5:$B$504,A353)&gt;0,IF(ABS(SUMIF($B$5:$B$504,A353,$C$5:$C$504)-100)&lt;0.0001,"✔ alt gruplar Σ=100","⚠ alt gruplar Σ≠100"),IF(G353="","—",IF(ABS(G353)&lt;=PursUyum,"✔ uyumlu",IF(ABS(G353)&lt;=PursCiddi,"⚠ dikkat","✗ ciddi fark")))))</f>
        <v/>
      </c>
      <c r="J353" s="5" t="n"/>
      <c r="K353" s="5" t="n"/>
    </row>
    <row r="354">
      <c r="A354" s="5" t="n"/>
      <c r="B354" s="5" t="n"/>
      <c r="C354" s="26" t="n"/>
      <c r="D354" s="27">
        <f>IF(OR(A354="",C354=""),"",C354*IFERROR(VLOOKUP(B354,$A$5:$C$504,3,FALSE)/100,1)*IFERROR(VLOOKUP(IFERROR(VLOOKUP(B354,$A$5:$B$504,2,FALSE),""),$A$5:$C$504,3,FALSE)/100,1)*IFERROR(VLOOKUP(IFERROR(VLOOKUP(IFERROR(VLOOKUP(B354,$A$5:$B$504,2,FALSE),""),$A$5:$B$504,2,FALSE),""),$A$5:$C$504,3,FALSE)/100,1))</f>
        <v/>
      </c>
      <c r="E354" s="21">
        <f>IF(A354="","",SUMIF('Grup Eşleme'!$B$5:$B$504,A354,'Grup Eşleme'!$C$5:$C$504))</f>
        <v/>
      </c>
      <c r="F354" s="27">
        <f>IF(OR(A354="",'Metraj Mahal Listesi'!$K$3=0,COUNTIF($B$5:$B$504,A354)&gt;0),"",E354/'Metraj Mahal Listesi'!$K$3*100)</f>
        <v/>
      </c>
      <c r="G354" s="28">
        <f>IF(OR(D354="",F354=""),"",F354-D354)</f>
        <v/>
      </c>
      <c r="H354" s="29">
        <f>IF(OR(G354="",D354=0),"",G354/D354*100)</f>
        <v/>
      </c>
      <c r="I354" s="30">
        <f>IF(A354="","",IF(COUNTIF($B$5:$B$504,A354)&gt;0,IF(ABS(SUMIF($B$5:$B$504,A354,$C$5:$C$504)-100)&lt;0.0001,"✔ alt gruplar Σ=100","⚠ alt gruplar Σ≠100"),IF(G354="","—",IF(ABS(G354)&lt;=PursUyum,"✔ uyumlu",IF(ABS(G354)&lt;=PursCiddi,"⚠ dikkat","✗ ciddi fark")))))</f>
        <v/>
      </c>
      <c r="J354" s="5" t="n"/>
      <c r="K354" s="5" t="n"/>
    </row>
    <row r="355">
      <c r="A355" s="5" t="n"/>
      <c r="B355" s="5" t="n"/>
      <c r="C355" s="26" t="n"/>
      <c r="D355" s="27">
        <f>IF(OR(A355="",C355=""),"",C355*IFERROR(VLOOKUP(B355,$A$5:$C$504,3,FALSE)/100,1)*IFERROR(VLOOKUP(IFERROR(VLOOKUP(B355,$A$5:$B$504,2,FALSE),""),$A$5:$C$504,3,FALSE)/100,1)*IFERROR(VLOOKUP(IFERROR(VLOOKUP(IFERROR(VLOOKUP(B355,$A$5:$B$504,2,FALSE),""),$A$5:$B$504,2,FALSE),""),$A$5:$C$504,3,FALSE)/100,1))</f>
        <v/>
      </c>
      <c r="E355" s="21">
        <f>IF(A355="","",SUMIF('Grup Eşleme'!$B$5:$B$504,A355,'Grup Eşleme'!$C$5:$C$504))</f>
        <v/>
      </c>
      <c r="F355" s="27">
        <f>IF(OR(A355="",'Metraj Mahal Listesi'!$K$3=0,COUNTIF($B$5:$B$504,A355)&gt;0),"",E355/'Metraj Mahal Listesi'!$K$3*100)</f>
        <v/>
      </c>
      <c r="G355" s="28">
        <f>IF(OR(D355="",F355=""),"",F355-D355)</f>
        <v/>
      </c>
      <c r="H355" s="29">
        <f>IF(OR(G355="",D355=0),"",G355/D355*100)</f>
        <v/>
      </c>
      <c r="I355" s="30">
        <f>IF(A355="","",IF(COUNTIF($B$5:$B$504,A355)&gt;0,IF(ABS(SUMIF($B$5:$B$504,A355,$C$5:$C$504)-100)&lt;0.0001,"✔ alt gruplar Σ=100","⚠ alt gruplar Σ≠100"),IF(G355="","—",IF(ABS(G355)&lt;=PursUyum,"✔ uyumlu",IF(ABS(G355)&lt;=PursCiddi,"⚠ dikkat","✗ ciddi fark")))))</f>
        <v/>
      </c>
      <c r="J355" s="5" t="n"/>
      <c r="K355" s="5" t="n"/>
    </row>
    <row r="356">
      <c r="A356" s="5" t="n"/>
      <c r="B356" s="5" t="n"/>
      <c r="C356" s="26" t="n"/>
      <c r="D356" s="27">
        <f>IF(OR(A356="",C356=""),"",C356*IFERROR(VLOOKUP(B356,$A$5:$C$504,3,FALSE)/100,1)*IFERROR(VLOOKUP(IFERROR(VLOOKUP(B356,$A$5:$B$504,2,FALSE),""),$A$5:$C$504,3,FALSE)/100,1)*IFERROR(VLOOKUP(IFERROR(VLOOKUP(IFERROR(VLOOKUP(B356,$A$5:$B$504,2,FALSE),""),$A$5:$B$504,2,FALSE),""),$A$5:$C$504,3,FALSE)/100,1))</f>
        <v/>
      </c>
      <c r="E356" s="21">
        <f>IF(A356="","",SUMIF('Grup Eşleme'!$B$5:$B$504,A356,'Grup Eşleme'!$C$5:$C$504))</f>
        <v/>
      </c>
      <c r="F356" s="27">
        <f>IF(OR(A356="",'Metraj Mahal Listesi'!$K$3=0,COUNTIF($B$5:$B$504,A356)&gt;0),"",E356/'Metraj Mahal Listesi'!$K$3*100)</f>
        <v/>
      </c>
      <c r="G356" s="28">
        <f>IF(OR(D356="",F356=""),"",F356-D356)</f>
        <v/>
      </c>
      <c r="H356" s="29">
        <f>IF(OR(G356="",D356=0),"",G356/D356*100)</f>
        <v/>
      </c>
      <c r="I356" s="30">
        <f>IF(A356="","",IF(COUNTIF($B$5:$B$504,A356)&gt;0,IF(ABS(SUMIF($B$5:$B$504,A356,$C$5:$C$504)-100)&lt;0.0001,"✔ alt gruplar Σ=100","⚠ alt gruplar Σ≠100"),IF(G356="","—",IF(ABS(G356)&lt;=PursUyum,"✔ uyumlu",IF(ABS(G356)&lt;=PursCiddi,"⚠ dikkat","✗ ciddi fark")))))</f>
        <v/>
      </c>
      <c r="J356" s="5" t="n"/>
      <c r="K356" s="5" t="n"/>
    </row>
    <row r="357">
      <c r="A357" s="5" t="n"/>
      <c r="B357" s="5" t="n"/>
      <c r="C357" s="26" t="n"/>
      <c r="D357" s="27">
        <f>IF(OR(A357="",C357=""),"",C357*IFERROR(VLOOKUP(B357,$A$5:$C$504,3,FALSE)/100,1)*IFERROR(VLOOKUP(IFERROR(VLOOKUP(B357,$A$5:$B$504,2,FALSE),""),$A$5:$C$504,3,FALSE)/100,1)*IFERROR(VLOOKUP(IFERROR(VLOOKUP(IFERROR(VLOOKUP(B357,$A$5:$B$504,2,FALSE),""),$A$5:$B$504,2,FALSE),""),$A$5:$C$504,3,FALSE)/100,1))</f>
        <v/>
      </c>
      <c r="E357" s="21">
        <f>IF(A357="","",SUMIF('Grup Eşleme'!$B$5:$B$504,A357,'Grup Eşleme'!$C$5:$C$504))</f>
        <v/>
      </c>
      <c r="F357" s="27">
        <f>IF(OR(A357="",'Metraj Mahal Listesi'!$K$3=0,COUNTIF($B$5:$B$504,A357)&gt;0),"",E357/'Metraj Mahal Listesi'!$K$3*100)</f>
        <v/>
      </c>
      <c r="G357" s="28">
        <f>IF(OR(D357="",F357=""),"",F357-D357)</f>
        <v/>
      </c>
      <c r="H357" s="29">
        <f>IF(OR(G357="",D357=0),"",G357/D357*100)</f>
        <v/>
      </c>
      <c r="I357" s="30">
        <f>IF(A357="","",IF(COUNTIF($B$5:$B$504,A357)&gt;0,IF(ABS(SUMIF($B$5:$B$504,A357,$C$5:$C$504)-100)&lt;0.0001,"✔ alt gruplar Σ=100","⚠ alt gruplar Σ≠100"),IF(G357="","—",IF(ABS(G357)&lt;=PursUyum,"✔ uyumlu",IF(ABS(G357)&lt;=PursCiddi,"⚠ dikkat","✗ ciddi fark")))))</f>
        <v/>
      </c>
      <c r="J357" s="5" t="n"/>
      <c r="K357" s="5" t="n"/>
    </row>
    <row r="358">
      <c r="A358" s="5" t="n"/>
      <c r="B358" s="5" t="n"/>
      <c r="C358" s="26" t="n"/>
      <c r="D358" s="27">
        <f>IF(OR(A358="",C358=""),"",C358*IFERROR(VLOOKUP(B358,$A$5:$C$504,3,FALSE)/100,1)*IFERROR(VLOOKUP(IFERROR(VLOOKUP(B358,$A$5:$B$504,2,FALSE),""),$A$5:$C$504,3,FALSE)/100,1)*IFERROR(VLOOKUP(IFERROR(VLOOKUP(IFERROR(VLOOKUP(B358,$A$5:$B$504,2,FALSE),""),$A$5:$B$504,2,FALSE),""),$A$5:$C$504,3,FALSE)/100,1))</f>
        <v/>
      </c>
      <c r="E358" s="21">
        <f>IF(A358="","",SUMIF('Grup Eşleme'!$B$5:$B$504,A358,'Grup Eşleme'!$C$5:$C$504))</f>
        <v/>
      </c>
      <c r="F358" s="27">
        <f>IF(OR(A358="",'Metraj Mahal Listesi'!$K$3=0,COUNTIF($B$5:$B$504,A358)&gt;0),"",E358/'Metraj Mahal Listesi'!$K$3*100)</f>
        <v/>
      </c>
      <c r="G358" s="28">
        <f>IF(OR(D358="",F358=""),"",F358-D358)</f>
        <v/>
      </c>
      <c r="H358" s="29">
        <f>IF(OR(G358="",D358=0),"",G358/D358*100)</f>
        <v/>
      </c>
      <c r="I358" s="30">
        <f>IF(A358="","",IF(COUNTIF($B$5:$B$504,A358)&gt;0,IF(ABS(SUMIF($B$5:$B$504,A358,$C$5:$C$504)-100)&lt;0.0001,"✔ alt gruplar Σ=100","⚠ alt gruplar Σ≠100"),IF(G358="","—",IF(ABS(G358)&lt;=PursUyum,"✔ uyumlu",IF(ABS(G358)&lt;=PursCiddi,"⚠ dikkat","✗ ciddi fark")))))</f>
        <v/>
      </c>
      <c r="J358" s="5" t="n"/>
      <c r="K358" s="5" t="n"/>
    </row>
    <row r="359">
      <c r="A359" s="5" t="n"/>
      <c r="B359" s="5" t="n"/>
      <c r="C359" s="26" t="n"/>
      <c r="D359" s="27">
        <f>IF(OR(A359="",C359=""),"",C359*IFERROR(VLOOKUP(B359,$A$5:$C$504,3,FALSE)/100,1)*IFERROR(VLOOKUP(IFERROR(VLOOKUP(B359,$A$5:$B$504,2,FALSE),""),$A$5:$C$504,3,FALSE)/100,1)*IFERROR(VLOOKUP(IFERROR(VLOOKUP(IFERROR(VLOOKUP(B359,$A$5:$B$504,2,FALSE),""),$A$5:$B$504,2,FALSE),""),$A$5:$C$504,3,FALSE)/100,1))</f>
        <v/>
      </c>
      <c r="E359" s="21">
        <f>IF(A359="","",SUMIF('Grup Eşleme'!$B$5:$B$504,A359,'Grup Eşleme'!$C$5:$C$504))</f>
        <v/>
      </c>
      <c r="F359" s="27">
        <f>IF(OR(A359="",'Metraj Mahal Listesi'!$K$3=0,COUNTIF($B$5:$B$504,A359)&gt;0),"",E359/'Metraj Mahal Listesi'!$K$3*100)</f>
        <v/>
      </c>
      <c r="G359" s="28">
        <f>IF(OR(D359="",F359=""),"",F359-D359)</f>
        <v/>
      </c>
      <c r="H359" s="29">
        <f>IF(OR(G359="",D359=0),"",G359/D359*100)</f>
        <v/>
      </c>
      <c r="I359" s="30">
        <f>IF(A359="","",IF(COUNTIF($B$5:$B$504,A359)&gt;0,IF(ABS(SUMIF($B$5:$B$504,A359,$C$5:$C$504)-100)&lt;0.0001,"✔ alt gruplar Σ=100","⚠ alt gruplar Σ≠100"),IF(G359="","—",IF(ABS(G359)&lt;=PursUyum,"✔ uyumlu",IF(ABS(G359)&lt;=PursCiddi,"⚠ dikkat","✗ ciddi fark")))))</f>
        <v/>
      </c>
      <c r="J359" s="5" t="n"/>
      <c r="K359" s="5" t="n"/>
    </row>
    <row r="360">
      <c r="A360" s="5" t="n"/>
      <c r="B360" s="5" t="n"/>
      <c r="C360" s="26" t="n"/>
      <c r="D360" s="27">
        <f>IF(OR(A360="",C360=""),"",C360*IFERROR(VLOOKUP(B360,$A$5:$C$504,3,FALSE)/100,1)*IFERROR(VLOOKUP(IFERROR(VLOOKUP(B360,$A$5:$B$504,2,FALSE),""),$A$5:$C$504,3,FALSE)/100,1)*IFERROR(VLOOKUP(IFERROR(VLOOKUP(IFERROR(VLOOKUP(B360,$A$5:$B$504,2,FALSE),""),$A$5:$B$504,2,FALSE),""),$A$5:$C$504,3,FALSE)/100,1))</f>
        <v/>
      </c>
      <c r="E360" s="21">
        <f>IF(A360="","",SUMIF('Grup Eşleme'!$B$5:$B$504,A360,'Grup Eşleme'!$C$5:$C$504))</f>
        <v/>
      </c>
      <c r="F360" s="27">
        <f>IF(OR(A360="",'Metraj Mahal Listesi'!$K$3=0,COUNTIF($B$5:$B$504,A360)&gt;0),"",E360/'Metraj Mahal Listesi'!$K$3*100)</f>
        <v/>
      </c>
      <c r="G360" s="28">
        <f>IF(OR(D360="",F360=""),"",F360-D360)</f>
        <v/>
      </c>
      <c r="H360" s="29">
        <f>IF(OR(G360="",D360=0),"",G360/D360*100)</f>
        <v/>
      </c>
      <c r="I360" s="30">
        <f>IF(A360="","",IF(COUNTIF($B$5:$B$504,A360)&gt;0,IF(ABS(SUMIF($B$5:$B$504,A360,$C$5:$C$504)-100)&lt;0.0001,"✔ alt gruplar Σ=100","⚠ alt gruplar Σ≠100"),IF(G360="","—",IF(ABS(G360)&lt;=PursUyum,"✔ uyumlu",IF(ABS(G360)&lt;=PursCiddi,"⚠ dikkat","✗ ciddi fark")))))</f>
        <v/>
      </c>
      <c r="J360" s="5" t="n"/>
      <c r="K360" s="5" t="n"/>
    </row>
    <row r="361">
      <c r="A361" s="5" t="n"/>
      <c r="B361" s="5" t="n"/>
      <c r="C361" s="26" t="n"/>
      <c r="D361" s="27">
        <f>IF(OR(A361="",C361=""),"",C361*IFERROR(VLOOKUP(B361,$A$5:$C$504,3,FALSE)/100,1)*IFERROR(VLOOKUP(IFERROR(VLOOKUP(B361,$A$5:$B$504,2,FALSE),""),$A$5:$C$504,3,FALSE)/100,1)*IFERROR(VLOOKUP(IFERROR(VLOOKUP(IFERROR(VLOOKUP(B361,$A$5:$B$504,2,FALSE),""),$A$5:$B$504,2,FALSE),""),$A$5:$C$504,3,FALSE)/100,1))</f>
        <v/>
      </c>
      <c r="E361" s="21">
        <f>IF(A361="","",SUMIF('Grup Eşleme'!$B$5:$B$504,A361,'Grup Eşleme'!$C$5:$C$504))</f>
        <v/>
      </c>
      <c r="F361" s="27">
        <f>IF(OR(A361="",'Metraj Mahal Listesi'!$K$3=0,COUNTIF($B$5:$B$504,A361)&gt;0),"",E361/'Metraj Mahal Listesi'!$K$3*100)</f>
        <v/>
      </c>
      <c r="G361" s="28">
        <f>IF(OR(D361="",F361=""),"",F361-D361)</f>
        <v/>
      </c>
      <c r="H361" s="29">
        <f>IF(OR(G361="",D361=0),"",G361/D361*100)</f>
        <v/>
      </c>
      <c r="I361" s="30">
        <f>IF(A361="","",IF(COUNTIF($B$5:$B$504,A361)&gt;0,IF(ABS(SUMIF($B$5:$B$504,A361,$C$5:$C$504)-100)&lt;0.0001,"✔ alt gruplar Σ=100","⚠ alt gruplar Σ≠100"),IF(G361="","—",IF(ABS(G361)&lt;=PursUyum,"✔ uyumlu",IF(ABS(G361)&lt;=PursCiddi,"⚠ dikkat","✗ ciddi fark")))))</f>
        <v/>
      </c>
      <c r="J361" s="5" t="n"/>
      <c r="K361" s="5" t="n"/>
    </row>
    <row r="362">
      <c r="A362" s="5" t="n"/>
      <c r="B362" s="5" t="n"/>
      <c r="C362" s="26" t="n"/>
      <c r="D362" s="27">
        <f>IF(OR(A362="",C362=""),"",C362*IFERROR(VLOOKUP(B362,$A$5:$C$504,3,FALSE)/100,1)*IFERROR(VLOOKUP(IFERROR(VLOOKUP(B362,$A$5:$B$504,2,FALSE),""),$A$5:$C$504,3,FALSE)/100,1)*IFERROR(VLOOKUP(IFERROR(VLOOKUP(IFERROR(VLOOKUP(B362,$A$5:$B$504,2,FALSE),""),$A$5:$B$504,2,FALSE),""),$A$5:$C$504,3,FALSE)/100,1))</f>
        <v/>
      </c>
      <c r="E362" s="21">
        <f>IF(A362="","",SUMIF('Grup Eşleme'!$B$5:$B$504,A362,'Grup Eşleme'!$C$5:$C$504))</f>
        <v/>
      </c>
      <c r="F362" s="27">
        <f>IF(OR(A362="",'Metraj Mahal Listesi'!$K$3=0,COUNTIF($B$5:$B$504,A362)&gt;0),"",E362/'Metraj Mahal Listesi'!$K$3*100)</f>
        <v/>
      </c>
      <c r="G362" s="28">
        <f>IF(OR(D362="",F362=""),"",F362-D362)</f>
        <v/>
      </c>
      <c r="H362" s="29">
        <f>IF(OR(G362="",D362=0),"",G362/D362*100)</f>
        <v/>
      </c>
      <c r="I362" s="30">
        <f>IF(A362="","",IF(COUNTIF($B$5:$B$504,A362)&gt;0,IF(ABS(SUMIF($B$5:$B$504,A362,$C$5:$C$504)-100)&lt;0.0001,"✔ alt gruplar Σ=100","⚠ alt gruplar Σ≠100"),IF(G362="","—",IF(ABS(G362)&lt;=PursUyum,"✔ uyumlu",IF(ABS(G362)&lt;=PursCiddi,"⚠ dikkat","✗ ciddi fark")))))</f>
        <v/>
      </c>
      <c r="J362" s="5" t="n"/>
      <c r="K362" s="5" t="n"/>
    </row>
    <row r="363">
      <c r="A363" s="5" t="n"/>
      <c r="B363" s="5" t="n"/>
      <c r="C363" s="26" t="n"/>
      <c r="D363" s="27">
        <f>IF(OR(A363="",C363=""),"",C363*IFERROR(VLOOKUP(B363,$A$5:$C$504,3,FALSE)/100,1)*IFERROR(VLOOKUP(IFERROR(VLOOKUP(B363,$A$5:$B$504,2,FALSE),""),$A$5:$C$504,3,FALSE)/100,1)*IFERROR(VLOOKUP(IFERROR(VLOOKUP(IFERROR(VLOOKUP(B363,$A$5:$B$504,2,FALSE),""),$A$5:$B$504,2,FALSE),""),$A$5:$C$504,3,FALSE)/100,1))</f>
        <v/>
      </c>
      <c r="E363" s="21">
        <f>IF(A363="","",SUMIF('Grup Eşleme'!$B$5:$B$504,A363,'Grup Eşleme'!$C$5:$C$504))</f>
        <v/>
      </c>
      <c r="F363" s="27">
        <f>IF(OR(A363="",'Metraj Mahal Listesi'!$K$3=0,COUNTIF($B$5:$B$504,A363)&gt;0),"",E363/'Metraj Mahal Listesi'!$K$3*100)</f>
        <v/>
      </c>
      <c r="G363" s="28">
        <f>IF(OR(D363="",F363=""),"",F363-D363)</f>
        <v/>
      </c>
      <c r="H363" s="29">
        <f>IF(OR(G363="",D363=0),"",G363/D363*100)</f>
        <v/>
      </c>
      <c r="I363" s="30">
        <f>IF(A363="","",IF(COUNTIF($B$5:$B$504,A363)&gt;0,IF(ABS(SUMIF($B$5:$B$504,A363,$C$5:$C$504)-100)&lt;0.0001,"✔ alt gruplar Σ=100","⚠ alt gruplar Σ≠100"),IF(G363="","—",IF(ABS(G363)&lt;=PursUyum,"✔ uyumlu",IF(ABS(G363)&lt;=PursCiddi,"⚠ dikkat","✗ ciddi fark")))))</f>
        <v/>
      </c>
      <c r="J363" s="5" t="n"/>
      <c r="K363" s="5" t="n"/>
    </row>
    <row r="364">
      <c r="A364" s="5" t="n"/>
      <c r="B364" s="5" t="n"/>
      <c r="C364" s="26" t="n"/>
      <c r="D364" s="27">
        <f>IF(OR(A364="",C364=""),"",C364*IFERROR(VLOOKUP(B364,$A$5:$C$504,3,FALSE)/100,1)*IFERROR(VLOOKUP(IFERROR(VLOOKUP(B364,$A$5:$B$504,2,FALSE),""),$A$5:$C$504,3,FALSE)/100,1)*IFERROR(VLOOKUP(IFERROR(VLOOKUP(IFERROR(VLOOKUP(B364,$A$5:$B$504,2,FALSE),""),$A$5:$B$504,2,FALSE),""),$A$5:$C$504,3,FALSE)/100,1))</f>
        <v/>
      </c>
      <c r="E364" s="21">
        <f>IF(A364="","",SUMIF('Grup Eşleme'!$B$5:$B$504,A364,'Grup Eşleme'!$C$5:$C$504))</f>
        <v/>
      </c>
      <c r="F364" s="27">
        <f>IF(OR(A364="",'Metraj Mahal Listesi'!$K$3=0,COUNTIF($B$5:$B$504,A364)&gt;0),"",E364/'Metraj Mahal Listesi'!$K$3*100)</f>
        <v/>
      </c>
      <c r="G364" s="28">
        <f>IF(OR(D364="",F364=""),"",F364-D364)</f>
        <v/>
      </c>
      <c r="H364" s="29">
        <f>IF(OR(G364="",D364=0),"",G364/D364*100)</f>
        <v/>
      </c>
      <c r="I364" s="30">
        <f>IF(A364="","",IF(COUNTIF($B$5:$B$504,A364)&gt;0,IF(ABS(SUMIF($B$5:$B$504,A364,$C$5:$C$504)-100)&lt;0.0001,"✔ alt gruplar Σ=100","⚠ alt gruplar Σ≠100"),IF(G364="","—",IF(ABS(G364)&lt;=PursUyum,"✔ uyumlu",IF(ABS(G364)&lt;=PursCiddi,"⚠ dikkat","✗ ciddi fark")))))</f>
        <v/>
      </c>
      <c r="J364" s="5" t="n"/>
      <c r="K364" s="5" t="n"/>
    </row>
    <row r="365">
      <c r="A365" s="5" t="n"/>
      <c r="B365" s="5" t="n"/>
      <c r="C365" s="26" t="n"/>
      <c r="D365" s="27">
        <f>IF(OR(A365="",C365=""),"",C365*IFERROR(VLOOKUP(B365,$A$5:$C$504,3,FALSE)/100,1)*IFERROR(VLOOKUP(IFERROR(VLOOKUP(B365,$A$5:$B$504,2,FALSE),""),$A$5:$C$504,3,FALSE)/100,1)*IFERROR(VLOOKUP(IFERROR(VLOOKUP(IFERROR(VLOOKUP(B365,$A$5:$B$504,2,FALSE),""),$A$5:$B$504,2,FALSE),""),$A$5:$C$504,3,FALSE)/100,1))</f>
        <v/>
      </c>
      <c r="E365" s="21">
        <f>IF(A365="","",SUMIF('Grup Eşleme'!$B$5:$B$504,A365,'Grup Eşleme'!$C$5:$C$504))</f>
        <v/>
      </c>
      <c r="F365" s="27">
        <f>IF(OR(A365="",'Metraj Mahal Listesi'!$K$3=0,COUNTIF($B$5:$B$504,A365)&gt;0),"",E365/'Metraj Mahal Listesi'!$K$3*100)</f>
        <v/>
      </c>
      <c r="G365" s="28">
        <f>IF(OR(D365="",F365=""),"",F365-D365)</f>
        <v/>
      </c>
      <c r="H365" s="29">
        <f>IF(OR(G365="",D365=0),"",G365/D365*100)</f>
        <v/>
      </c>
      <c r="I365" s="30">
        <f>IF(A365="","",IF(COUNTIF($B$5:$B$504,A365)&gt;0,IF(ABS(SUMIF($B$5:$B$504,A365,$C$5:$C$504)-100)&lt;0.0001,"✔ alt gruplar Σ=100","⚠ alt gruplar Σ≠100"),IF(G365="","—",IF(ABS(G365)&lt;=PursUyum,"✔ uyumlu",IF(ABS(G365)&lt;=PursCiddi,"⚠ dikkat","✗ ciddi fark")))))</f>
        <v/>
      </c>
      <c r="J365" s="5" t="n"/>
      <c r="K365" s="5" t="n"/>
    </row>
    <row r="366">
      <c r="A366" s="5" t="n"/>
      <c r="B366" s="5" t="n"/>
      <c r="C366" s="26" t="n"/>
      <c r="D366" s="27">
        <f>IF(OR(A366="",C366=""),"",C366*IFERROR(VLOOKUP(B366,$A$5:$C$504,3,FALSE)/100,1)*IFERROR(VLOOKUP(IFERROR(VLOOKUP(B366,$A$5:$B$504,2,FALSE),""),$A$5:$C$504,3,FALSE)/100,1)*IFERROR(VLOOKUP(IFERROR(VLOOKUP(IFERROR(VLOOKUP(B366,$A$5:$B$504,2,FALSE),""),$A$5:$B$504,2,FALSE),""),$A$5:$C$504,3,FALSE)/100,1))</f>
        <v/>
      </c>
      <c r="E366" s="21">
        <f>IF(A366="","",SUMIF('Grup Eşleme'!$B$5:$B$504,A366,'Grup Eşleme'!$C$5:$C$504))</f>
        <v/>
      </c>
      <c r="F366" s="27">
        <f>IF(OR(A366="",'Metraj Mahal Listesi'!$K$3=0,COUNTIF($B$5:$B$504,A366)&gt;0),"",E366/'Metraj Mahal Listesi'!$K$3*100)</f>
        <v/>
      </c>
      <c r="G366" s="28">
        <f>IF(OR(D366="",F366=""),"",F366-D366)</f>
        <v/>
      </c>
      <c r="H366" s="29">
        <f>IF(OR(G366="",D366=0),"",G366/D366*100)</f>
        <v/>
      </c>
      <c r="I366" s="30">
        <f>IF(A366="","",IF(COUNTIF($B$5:$B$504,A366)&gt;0,IF(ABS(SUMIF($B$5:$B$504,A366,$C$5:$C$504)-100)&lt;0.0001,"✔ alt gruplar Σ=100","⚠ alt gruplar Σ≠100"),IF(G366="","—",IF(ABS(G366)&lt;=PursUyum,"✔ uyumlu",IF(ABS(G366)&lt;=PursCiddi,"⚠ dikkat","✗ ciddi fark")))))</f>
        <v/>
      </c>
      <c r="J366" s="5" t="n"/>
      <c r="K366" s="5" t="n"/>
    </row>
    <row r="367">
      <c r="A367" s="5" t="n"/>
      <c r="B367" s="5" t="n"/>
      <c r="C367" s="26" t="n"/>
      <c r="D367" s="27">
        <f>IF(OR(A367="",C367=""),"",C367*IFERROR(VLOOKUP(B367,$A$5:$C$504,3,FALSE)/100,1)*IFERROR(VLOOKUP(IFERROR(VLOOKUP(B367,$A$5:$B$504,2,FALSE),""),$A$5:$C$504,3,FALSE)/100,1)*IFERROR(VLOOKUP(IFERROR(VLOOKUP(IFERROR(VLOOKUP(B367,$A$5:$B$504,2,FALSE),""),$A$5:$B$504,2,FALSE),""),$A$5:$C$504,3,FALSE)/100,1))</f>
        <v/>
      </c>
      <c r="E367" s="21">
        <f>IF(A367="","",SUMIF('Grup Eşleme'!$B$5:$B$504,A367,'Grup Eşleme'!$C$5:$C$504))</f>
        <v/>
      </c>
      <c r="F367" s="27">
        <f>IF(OR(A367="",'Metraj Mahal Listesi'!$K$3=0,COUNTIF($B$5:$B$504,A367)&gt;0),"",E367/'Metraj Mahal Listesi'!$K$3*100)</f>
        <v/>
      </c>
      <c r="G367" s="28">
        <f>IF(OR(D367="",F367=""),"",F367-D367)</f>
        <v/>
      </c>
      <c r="H367" s="29">
        <f>IF(OR(G367="",D367=0),"",G367/D367*100)</f>
        <v/>
      </c>
      <c r="I367" s="30">
        <f>IF(A367="","",IF(COUNTIF($B$5:$B$504,A367)&gt;0,IF(ABS(SUMIF($B$5:$B$504,A367,$C$5:$C$504)-100)&lt;0.0001,"✔ alt gruplar Σ=100","⚠ alt gruplar Σ≠100"),IF(G367="","—",IF(ABS(G367)&lt;=PursUyum,"✔ uyumlu",IF(ABS(G367)&lt;=PursCiddi,"⚠ dikkat","✗ ciddi fark")))))</f>
        <v/>
      </c>
      <c r="J367" s="5" t="n"/>
      <c r="K367" s="5" t="n"/>
    </row>
    <row r="368">
      <c r="A368" s="5" t="n"/>
      <c r="B368" s="5" t="n"/>
      <c r="C368" s="26" t="n"/>
      <c r="D368" s="27">
        <f>IF(OR(A368="",C368=""),"",C368*IFERROR(VLOOKUP(B368,$A$5:$C$504,3,FALSE)/100,1)*IFERROR(VLOOKUP(IFERROR(VLOOKUP(B368,$A$5:$B$504,2,FALSE),""),$A$5:$C$504,3,FALSE)/100,1)*IFERROR(VLOOKUP(IFERROR(VLOOKUP(IFERROR(VLOOKUP(B368,$A$5:$B$504,2,FALSE),""),$A$5:$B$504,2,FALSE),""),$A$5:$C$504,3,FALSE)/100,1))</f>
        <v/>
      </c>
      <c r="E368" s="21">
        <f>IF(A368="","",SUMIF('Grup Eşleme'!$B$5:$B$504,A368,'Grup Eşleme'!$C$5:$C$504))</f>
        <v/>
      </c>
      <c r="F368" s="27">
        <f>IF(OR(A368="",'Metraj Mahal Listesi'!$K$3=0,COUNTIF($B$5:$B$504,A368)&gt;0),"",E368/'Metraj Mahal Listesi'!$K$3*100)</f>
        <v/>
      </c>
      <c r="G368" s="28">
        <f>IF(OR(D368="",F368=""),"",F368-D368)</f>
        <v/>
      </c>
      <c r="H368" s="29">
        <f>IF(OR(G368="",D368=0),"",G368/D368*100)</f>
        <v/>
      </c>
      <c r="I368" s="30">
        <f>IF(A368="","",IF(COUNTIF($B$5:$B$504,A368)&gt;0,IF(ABS(SUMIF($B$5:$B$504,A368,$C$5:$C$504)-100)&lt;0.0001,"✔ alt gruplar Σ=100","⚠ alt gruplar Σ≠100"),IF(G368="","—",IF(ABS(G368)&lt;=PursUyum,"✔ uyumlu",IF(ABS(G368)&lt;=PursCiddi,"⚠ dikkat","✗ ciddi fark")))))</f>
        <v/>
      </c>
      <c r="J368" s="5" t="n"/>
      <c r="K368" s="5" t="n"/>
    </row>
    <row r="369">
      <c r="A369" s="5" t="n"/>
      <c r="B369" s="5" t="n"/>
      <c r="C369" s="26" t="n"/>
      <c r="D369" s="27">
        <f>IF(OR(A369="",C369=""),"",C369*IFERROR(VLOOKUP(B369,$A$5:$C$504,3,FALSE)/100,1)*IFERROR(VLOOKUP(IFERROR(VLOOKUP(B369,$A$5:$B$504,2,FALSE),""),$A$5:$C$504,3,FALSE)/100,1)*IFERROR(VLOOKUP(IFERROR(VLOOKUP(IFERROR(VLOOKUP(B369,$A$5:$B$504,2,FALSE),""),$A$5:$B$504,2,FALSE),""),$A$5:$C$504,3,FALSE)/100,1))</f>
        <v/>
      </c>
      <c r="E369" s="21">
        <f>IF(A369="","",SUMIF('Grup Eşleme'!$B$5:$B$504,A369,'Grup Eşleme'!$C$5:$C$504))</f>
        <v/>
      </c>
      <c r="F369" s="27">
        <f>IF(OR(A369="",'Metraj Mahal Listesi'!$K$3=0,COUNTIF($B$5:$B$504,A369)&gt;0),"",E369/'Metraj Mahal Listesi'!$K$3*100)</f>
        <v/>
      </c>
      <c r="G369" s="28">
        <f>IF(OR(D369="",F369=""),"",F369-D369)</f>
        <v/>
      </c>
      <c r="H369" s="29">
        <f>IF(OR(G369="",D369=0),"",G369/D369*100)</f>
        <v/>
      </c>
      <c r="I369" s="30">
        <f>IF(A369="","",IF(COUNTIF($B$5:$B$504,A369)&gt;0,IF(ABS(SUMIF($B$5:$B$504,A369,$C$5:$C$504)-100)&lt;0.0001,"✔ alt gruplar Σ=100","⚠ alt gruplar Σ≠100"),IF(G369="","—",IF(ABS(G369)&lt;=PursUyum,"✔ uyumlu",IF(ABS(G369)&lt;=PursCiddi,"⚠ dikkat","✗ ciddi fark")))))</f>
        <v/>
      </c>
      <c r="J369" s="5" t="n"/>
      <c r="K369" s="5" t="n"/>
    </row>
    <row r="370">
      <c r="A370" s="5" t="n"/>
      <c r="B370" s="5" t="n"/>
      <c r="C370" s="26" t="n"/>
      <c r="D370" s="27">
        <f>IF(OR(A370="",C370=""),"",C370*IFERROR(VLOOKUP(B370,$A$5:$C$504,3,FALSE)/100,1)*IFERROR(VLOOKUP(IFERROR(VLOOKUP(B370,$A$5:$B$504,2,FALSE),""),$A$5:$C$504,3,FALSE)/100,1)*IFERROR(VLOOKUP(IFERROR(VLOOKUP(IFERROR(VLOOKUP(B370,$A$5:$B$504,2,FALSE),""),$A$5:$B$504,2,FALSE),""),$A$5:$C$504,3,FALSE)/100,1))</f>
        <v/>
      </c>
      <c r="E370" s="21">
        <f>IF(A370="","",SUMIF('Grup Eşleme'!$B$5:$B$504,A370,'Grup Eşleme'!$C$5:$C$504))</f>
        <v/>
      </c>
      <c r="F370" s="27">
        <f>IF(OR(A370="",'Metraj Mahal Listesi'!$K$3=0,COUNTIF($B$5:$B$504,A370)&gt;0),"",E370/'Metraj Mahal Listesi'!$K$3*100)</f>
        <v/>
      </c>
      <c r="G370" s="28">
        <f>IF(OR(D370="",F370=""),"",F370-D370)</f>
        <v/>
      </c>
      <c r="H370" s="29">
        <f>IF(OR(G370="",D370=0),"",G370/D370*100)</f>
        <v/>
      </c>
      <c r="I370" s="30">
        <f>IF(A370="","",IF(COUNTIF($B$5:$B$504,A370)&gt;0,IF(ABS(SUMIF($B$5:$B$504,A370,$C$5:$C$504)-100)&lt;0.0001,"✔ alt gruplar Σ=100","⚠ alt gruplar Σ≠100"),IF(G370="","—",IF(ABS(G370)&lt;=PursUyum,"✔ uyumlu",IF(ABS(G370)&lt;=PursCiddi,"⚠ dikkat","✗ ciddi fark")))))</f>
        <v/>
      </c>
      <c r="J370" s="5" t="n"/>
      <c r="K370" s="5" t="n"/>
    </row>
    <row r="371">
      <c r="A371" s="5" t="n"/>
      <c r="B371" s="5" t="n"/>
      <c r="C371" s="26" t="n"/>
      <c r="D371" s="27">
        <f>IF(OR(A371="",C371=""),"",C371*IFERROR(VLOOKUP(B371,$A$5:$C$504,3,FALSE)/100,1)*IFERROR(VLOOKUP(IFERROR(VLOOKUP(B371,$A$5:$B$504,2,FALSE),""),$A$5:$C$504,3,FALSE)/100,1)*IFERROR(VLOOKUP(IFERROR(VLOOKUP(IFERROR(VLOOKUP(B371,$A$5:$B$504,2,FALSE),""),$A$5:$B$504,2,FALSE),""),$A$5:$C$504,3,FALSE)/100,1))</f>
        <v/>
      </c>
      <c r="E371" s="21">
        <f>IF(A371="","",SUMIF('Grup Eşleme'!$B$5:$B$504,A371,'Grup Eşleme'!$C$5:$C$504))</f>
        <v/>
      </c>
      <c r="F371" s="27">
        <f>IF(OR(A371="",'Metraj Mahal Listesi'!$K$3=0,COUNTIF($B$5:$B$504,A371)&gt;0),"",E371/'Metraj Mahal Listesi'!$K$3*100)</f>
        <v/>
      </c>
      <c r="G371" s="28">
        <f>IF(OR(D371="",F371=""),"",F371-D371)</f>
        <v/>
      </c>
      <c r="H371" s="29">
        <f>IF(OR(G371="",D371=0),"",G371/D371*100)</f>
        <v/>
      </c>
      <c r="I371" s="30">
        <f>IF(A371="","",IF(COUNTIF($B$5:$B$504,A371)&gt;0,IF(ABS(SUMIF($B$5:$B$504,A371,$C$5:$C$504)-100)&lt;0.0001,"✔ alt gruplar Σ=100","⚠ alt gruplar Σ≠100"),IF(G371="","—",IF(ABS(G371)&lt;=PursUyum,"✔ uyumlu",IF(ABS(G371)&lt;=PursCiddi,"⚠ dikkat","✗ ciddi fark")))))</f>
        <v/>
      </c>
      <c r="J371" s="5" t="n"/>
      <c r="K371" s="5" t="n"/>
    </row>
    <row r="372">
      <c r="A372" s="5" t="n"/>
      <c r="B372" s="5" t="n"/>
      <c r="C372" s="26" t="n"/>
      <c r="D372" s="27">
        <f>IF(OR(A372="",C372=""),"",C372*IFERROR(VLOOKUP(B372,$A$5:$C$504,3,FALSE)/100,1)*IFERROR(VLOOKUP(IFERROR(VLOOKUP(B372,$A$5:$B$504,2,FALSE),""),$A$5:$C$504,3,FALSE)/100,1)*IFERROR(VLOOKUP(IFERROR(VLOOKUP(IFERROR(VLOOKUP(B372,$A$5:$B$504,2,FALSE),""),$A$5:$B$504,2,FALSE),""),$A$5:$C$504,3,FALSE)/100,1))</f>
        <v/>
      </c>
      <c r="E372" s="21">
        <f>IF(A372="","",SUMIF('Grup Eşleme'!$B$5:$B$504,A372,'Grup Eşleme'!$C$5:$C$504))</f>
        <v/>
      </c>
      <c r="F372" s="27">
        <f>IF(OR(A372="",'Metraj Mahal Listesi'!$K$3=0,COUNTIF($B$5:$B$504,A372)&gt;0),"",E372/'Metraj Mahal Listesi'!$K$3*100)</f>
        <v/>
      </c>
      <c r="G372" s="28">
        <f>IF(OR(D372="",F372=""),"",F372-D372)</f>
        <v/>
      </c>
      <c r="H372" s="29">
        <f>IF(OR(G372="",D372=0),"",G372/D372*100)</f>
        <v/>
      </c>
      <c r="I372" s="30">
        <f>IF(A372="","",IF(COUNTIF($B$5:$B$504,A372)&gt;0,IF(ABS(SUMIF($B$5:$B$504,A372,$C$5:$C$504)-100)&lt;0.0001,"✔ alt gruplar Σ=100","⚠ alt gruplar Σ≠100"),IF(G372="","—",IF(ABS(G372)&lt;=PursUyum,"✔ uyumlu",IF(ABS(G372)&lt;=PursCiddi,"⚠ dikkat","✗ ciddi fark")))))</f>
        <v/>
      </c>
      <c r="J372" s="5" t="n"/>
      <c r="K372" s="5" t="n"/>
    </row>
    <row r="373">
      <c r="A373" s="5" t="n"/>
      <c r="B373" s="5" t="n"/>
      <c r="C373" s="26" t="n"/>
      <c r="D373" s="27">
        <f>IF(OR(A373="",C373=""),"",C373*IFERROR(VLOOKUP(B373,$A$5:$C$504,3,FALSE)/100,1)*IFERROR(VLOOKUP(IFERROR(VLOOKUP(B373,$A$5:$B$504,2,FALSE),""),$A$5:$C$504,3,FALSE)/100,1)*IFERROR(VLOOKUP(IFERROR(VLOOKUP(IFERROR(VLOOKUP(B373,$A$5:$B$504,2,FALSE),""),$A$5:$B$504,2,FALSE),""),$A$5:$C$504,3,FALSE)/100,1))</f>
        <v/>
      </c>
      <c r="E373" s="21">
        <f>IF(A373="","",SUMIF('Grup Eşleme'!$B$5:$B$504,A373,'Grup Eşleme'!$C$5:$C$504))</f>
        <v/>
      </c>
      <c r="F373" s="27">
        <f>IF(OR(A373="",'Metraj Mahal Listesi'!$K$3=0,COUNTIF($B$5:$B$504,A373)&gt;0),"",E373/'Metraj Mahal Listesi'!$K$3*100)</f>
        <v/>
      </c>
      <c r="G373" s="28">
        <f>IF(OR(D373="",F373=""),"",F373-D373)</f>
        <v/>
      </c>
      <c r="H373" s="29">
        <f>IF(OR(G373="",D373=0),"",G373/D373*100)</f>
        <v/>
      </c>
      <c r="I373" s="30">
        <f>IF(A373="","",IF(COUNTIF($B$5:$B$504,A373)&gt;0,IF(ABS(SUMIF($B$5:$B$504,A373,$C$5:$C$504)-100)&lt;0.0001,"✔ alt gruplar Σ=100","⚠ alt gruplar Σ≠100"),IF(G373="","—",IF(ABS(G373)&lt;=PursUyum,"✔ uyumlu",IF(ABS(G373)&lt;=PursCiddi,"⚠ dikkat","✗ ciddi fark")))))</f>
        <v/>
      </c>
      <c r="J373" s="5" t="n"/>
      <c r="K373" s="5" t="n"/>
    </row>
    <row r="374">
      <c r="A374" s="5" t="n"/>
      <c r="B374" s="5" t="n"/>
      <c r="C374" s="26" t="n"/>
      <c r="D374" s="27">
        <f>IF(OR(A374="",C374=""),"",C374*IFERROR(VLOOKUP(B374,$A$5:$C$504,3,FALSE)/100,1)*IFERROR(VLOOKUP(IFERROR(VLOOKUP(B374,$A$5:$B$504,2,FALSE),""),$A$5:$C$504,3,FALSE)/100,1)*IFERROR(VLOOKUP(IFERROR(VLOOKUP(IFERROR(VLOOKUP(B374,$A$5:$B$504,2,FALSE),""),$A$5:$B$504,2,FALSE),""),$A$5:$C$504,3,FALSE)/100,1))</f>
        <v/>
      </c>
      <c r="E374" s="21">
        <f>IF(A374="","",SUMIF('Grup Eşleme'!$B$5:$B$504,A374,'Grup Eşleme'!$C$5:$C$504))</f>
        <v/>
      </c>
      <c r="F374" s="27">
        <f>IF(OR(A374="",'Metraj Mahal Listesi'!$K$3=0,COUNTIF($B$5:$B$504,A374)&gt;0),"",E374/'Metraj Mahal Listesi'!$K$3*100)</f>
        <v/>
      </c>
      <c r="G374" s="28">
        <f>IF(OR(D374="",F374=""),"",F374-D374)</f>
        <v/>
      </c>
      <c r="H374" s="29">
        <f>IF(OR(G374="",D374=0),"",G374/D374*100)</f>
        <v/>
      </c>
      <c r="I374" s="30">
        <f>IF(A374="","",IF(COUNTIF($B$5:$B$504,A374)&gt;0,IF(ABS(SUMIF($B$5:$B$504,A374,$C$5:$C$504)-100)&lt;0.0001,"✔ alt gruplar Σ=100","⚠ alt gruplar Σ≠100"),IF(G374="","—",IF(ABS(G374)&lt;=PursUyum,"✔ uyumlu",IF(ABS(G374)&lt;=PursCiddi,"⚠ dikkat","✗ ciddi fark")))))</f>
        <v/>
      </c>
      <c r="J374" s="5" t="n"/>
      <c r="K374" s="5" t="n"/>
    </row>
    <row r="375">
      <c r="A375" s="5" t="n"/>
      <c r="B375" s="5" t="n"/>
      <c r="C375" s="26" t="n"/>
      <c r="D375" s="27">
        <f>IF(OR(A375="",C375=""),"",C375*IFERROR(VLOOKUP(B375,$A$5:$C$504,3,FALSE)/100,1)*IFERROR(VLOOKUP(IFERROR(VLOOKUP(B375,$A$5:$B$504,2,FALSE),""),$A$5:$C$504,3,FALSE)/100,1)*IFERROR(VLOOKUP(IFERROR(VLOOKUP(IFERROR(VLOOKUP(B375,$A$5:$B$504,2,FALSE),""),$A$5:$B$504,2,FALSE),""),$A$5:$C$504,3,FALSE)/100,1))</f>
        <v/>
      </c>
      <c r="E375" s="21">
        <f>IF(A375="","",SUMIF('Grup Eşleme'!$B$5:$B$504,A375,'Grup Eşleme'!$C$5:$C$504))</f>
        <v/>
      </c>
      <c r="F375" s="27">
        <f>IF(OR(A375="",'Metraj Mahal Listesi'!$K$3=0,COUNTIF($B$5:$B$504,A375)&gt;0),"",E375/'Metraj Mahal Listesi'!$K$3*100)</f>
        <v/>
      </c>
      <c r="G375" s="28">
        <f>IF(OR(D375="",F375=""),"",F375-D375)</f>
        <v/>
      </c>
      <c r="H375" s="29">
        <f>IF(OR(G375="",D375=0),"",G375/D375*100)</f>
        <v/>
      </c>
      <c r="I375" s="30">
        <f>IF(A375="","",IF(COUNTIF($B$5:$B$504,A375)&gt;0,IF(ABS(SUMIF($B$5:$B$504,A375,$C$5:$C$504)-100)&lt;0.0001,"✔ alt gruplar Σ=100","⚠ alt gruplar Σ≠100"),IF(G375="","—",IF(ABS(G375)&lt;=PursUyum,"✔ uyumlu",IF(ABS(G375)&lt;=PursCiddi,"⚠ dikkat","✗ ciddi fark")))))</f>
        <v/>
      </c>
      <c r="J375" s="5" t="n"/>
      <c r="K375" s="5" t="n"/>
    </row>
    <row r="376">
      <c r="A376" s="5" t="n"/>
      <c r="B376" s="5" t="n"/>
      <c r="C376" s="26" t="n"/>
      <c r="D376" s="27">
        <f>IF(OR(A376="",C376=""),"",C376*IFERROR(VLOOKUP(B376,$A$5:$C$504,3,FALSE)/100,1)*IFERROR(VLOOKUP(IFERROR(VLOOKUP(B376,$A$5:$B$504,2,FALSE),""),$A$5:$C$504,3,FALSE)/100,1)*IFERROR(VLOOKUP(IFERROR(VLOOKUP(IFERROR(VLOOKUP(B376,$A$5:$B$504,2,FALSE),""),$A$5:$B$504,2,FALSE),""),$A$5:$C$504,3,FALSE)/100,1))</f>
        <v/>
      </c>
      <c r="E376" s="21">
        <f>IF(A376="","",SUMIF('Grup Eşleme'!$B$5:$B$504,A376,'Grup Eşleme'!$C$5:$C$504))</f>
        <v/>
      </c>
      <c r="F376" s="27">
        <f>IF(OR(A376="",'Metraj Mahal Listesi'!$K$3=0,COUNTIF($B$5:$B$504,A376)&gt;0),"",E376/'Metraj Mahal Listesi'!$K$3*100)</f>
        <v/>
      </c>
      <c r="G376" s="28">
        <f>IF(OR(D376="",F376=""),"",F376-D376)</f>
        <v/>
      </c>
      <c r="H376" s="29">
        <f>IF(OR(G376="",D376=0),"",G376/D376*100)</f>
        <v/>
      </c>
      <c r="I376" s="30">
        <f>IF(A376="","",IF(COUNTIF($B$5:$B$504,A376)&gt;0,IF(ABS(SUMIF($B$5:$B$504,A376,$C$5:$C$504)-100)&lt;0.0001,"✔ alt gruplar Σ=100","⚠ alt gruplar Σ≠100"),IF(G376="","—",IF(ABS(G376)&lt;=PursUyum,"✔ uyumlu",IF(ABS(G376)&lt;=PursCiddi,"⚠ dikkat","✗ ciddi fark")))))</f>
        <v/>
      </c>
      <c r="J376" s="5" t="n"/>
      <c r="K376" s="5" t="n"/>
    </row>
    <row r="377">
      <c r="A377" s="5" t="n"/>
      <c r="B377" s="5" t="n"/>
      <c r="C377" s="26" t="n"/>
      <c r="D377" s="27">
        <f>IF(OR(A377="",C377=""),"",C377*IFERROR(VLOOKUP(B377,$A$5:$C$504,3,FALSE)/100,1)*IFERROR(VLOOKUP(IFERROR(VLOOKUP(B377,$A$5:$B$504,2,FALSE),""),$A$5:$C$504,3,FALSE)/100,1)*IFERROR(VLOOKUP(IFERROR(VLOOKUP(IFERROR(VLOOKUP(B377,$A$5:$B$504,2,FALSE),""),$A$5:$B$504,2,FALSE),""),$A$5:$C$504,3,FALSE)/100,1))</f>
        <v/>
      </c>
      <c r="E377" s="21">
        <f>IF(A377="","",SUMIF('Grup Eşleme'!$B$5:$B$504,A377,'Grup Eşleme'!$C$5:$C$504))</f>
        <v/>
      </c>
      <c r="F377" s="27">
        <f>IF(OR(A377="",'Metraj Mahal Listesi'!$K$3=0,COUNTIF($B$5:$B$504,A377)&gt;0),"",E377/'Metraj Mahal Listesi'!$K$3*100)</f>
        <v/>
      </c>
      <c r="G377" s="28">
        <f>IF(OR(D377="",F377=""),"",F377-D377)</f>
        <v/>
      </c>
      <c r="H377" s="29">
        <f>IF(OR(G377="",D377=0),"",G377/D377*100)</f>
        <v/>
      </c>
      <c r="I377" s="30">
        <f>IF(A377="","",IF(COUNTIF($B$5:$B$504,A377)&gt;0,IF(ABS(SUMIF($B$5:$B$504,A377,$C$5:$C$504)-100)&lt;0.0001,"✔ alt gruplar Σ=100","⚠ alt gruplar Σ≠100"),IF(G377="","—",IF(ABS(G377)&lt;=PursUyum,"✔ uyumlu",IF(ABS(G377)&lt;=PursCiddi,"⚠ dikkat","✗ ciddi fark")))))</f>
        <v/>
      </c>
      <c r="J377" s="5" t="n"/>
      <c r="K377" s="5" t="n"/>
    </row>
    <row r="378">
      <c r="A378" s="5" t="n"/>
      <c r="B378" s="5" t="n"/>
      <c r="C378" s="26" t="n"/>
      <c r="D378" s="27">
        <f>IF(OR(A378="",C378=""),"",C378*IFERROR(VLOOKUP(B378,$A$5:$C$504,3,FALSE)/100,1)*IFERROR(VLOOKUP(IFERROR(VLOOKUP(B378,$A$5:$B$504,2,FALSE),""),$A$5:$C$504,3,FALSE)/100,1)*IFERROR(VLOOKUP(IFERROR(VLOOKUP(IFERROR(VLOOKUP(B378,$A$5:$B$504,2,FALSE),""),$A$5:$B$504,2,FALSE),""),$A$5:$C$504,3,FALSE)/100,1))</f>
        <v/>
      </c>
      <c r="E378" s="21">
        <f>IF(A378="","",SUMIF('Grup Eşleme'!$B$5:$B$504,A378,'Grup Eşleme'!$C$5:$C$504))</f>
        <v/>
      </c>
      <c r="F378" s="27">
        <f>IF(OR(A378="",'Metraj Mahal Listesi'!$K$3=0,COUNTIF($B$5:$B$504,A378)&gt;0),"",E378/'Metraj Mahal Listesi'!$K$3*100)</f>
        <v/>
      </c>
      <c r="G378" s="28">
        <f>IF(OR(D378="",F378=""),"",F378-D378)</f>
        <v/>
      </c>
      <c r="H378" s="29">
        <f>IF(OR(G378="",D378=0),"",G378/D378*100)</f>
        <v/>
      </c>
      <c r="I378" s="30">
        <f>IF(A378="","",IF(COUNTIF($B$5:$B$504,A378)&gt;0,IF(ABS(SUMIF($B$5:$B$504,A378,$C$5:$C$504)-100)&lt;0.0001,"✔ alt gruplar Σ=100","⚠ alt gruplar Σ≠100"),IF(G378="","—",IF(ABS(G378)&lt;=PursUyum,"✔ uyumlu",IF(ABS(G378)&lt;=PursCiddi,"⚠ dikkat","✗ ciddi fark")))))</f>
        <v/>
      </c>
      <c r="J378" s="5" t="n"/>
      <c r="K378" s="5" t="n"/>
    </row>
    <row r="379">
      <c r="A379" s="5" t="n"/>
      <c r="B379" s="5" t="n"/>
      <c r="C379" s="26" t="n"/>
      <c r="D379" s="27">
        <f>IF(OR(A379="",C379=""),"",C379*IFERROR(VLOOKUP(B379,$A$5:$C$504,3,FALSE)/100,1)*IFERROR(VLOOKUP(IFERROR(VLOOKUP(B379,$A$5:$B$504,2,FALSE),""),$A$5:$C$504,3,FALSE)/100,1)*IFERROR(VLOOKUP(IFERROR(VLOOKUP(IFERROR(VLOOKUP(B379,$A$5:$B$504,2,FALSE),""),$A$5:$B$504,2,FALSE),""),$A$5:$C$504,3,FALSE)/100,1))</f>
        <v/>
      </c>
      <c r="E379" s="21">
        <f>IF(A379="","",SUMIF('Grup Eşleme'!$B$5:$B$504,A379,'Grup Eşleme'!$C$5:$C$504))</f>
        <v/>
      </c>
      <c r="F379" s="27">
        <f>IF(OR(A379="",'Metraj Mahal Listesi'!$K$3=0,COUNTIF($B$5:$B$504,A379)&gt;0),"",E379/'Metraj Mahal Listesi'!$K$3*100)</f>
        <v/>
      </c>
      <c r="G379" s="28">
        <f>IF(OR(D379="",F379=""),"",F379-D379)</f>
        <v/>
      </c>
      <c r="H379" s="29">
        <f>IF(OR(G379="",D379=0),"",G379/D379*100)</f>
        <v/>
      </c>
      <c r="I379" s="30">
        <f>IF(A379="","",IF(COUNTIF($B$5:$B$504,A379)&gt;0,IF(ABS(SUMIF($B$5:$B$504,A379,$C$5:$C$504)-100)&lt;0.0001,"✔ alt gruplar Σ=100","⚠ alt gruplar Σ≠100"),IF(G379="","—",IF(ABS(G379)&lt;=PursUyum,"✔ uyumlu",IF(ABS(G379)&lt;=PursCiddi,"⚠ dikkat","✗ ciddi fark")))))</f>
        <v/>
      </c>
      <c r="J379" s="5" t="n"/>
      <c r="K379" s="5" t="n"/>
    </row>
    <row r="380">
      <c r="A380" s="5" t="n"/>
      <c r="B380" s="5" t="n"/>
      <c r="C380" s="26" t="n"/>
      <c r="D380" s="27">
        <f>IF(OR(A380="",C380=""),"",C380*IFERROR(VLOOKUP(B380,$A$5:$C$504,3,FALSE)/100,1)*IFERROR(VLOOKUP(IFERROR(VLOOKUP(B380,$A$5:$B$504,2,FALSE),""),$A$5:$C$504,3,FALSE)/100,1)*IFERROR(VLOOKUP(IFERROR(VLOOKUP(IFERROR(VLOOKUP(B380,$A$5:$B$504,2,FALSE),""),$A$5:$B$504,2,FALSE),""),$A$5:$C$504,3,FALSE)/100,1))</f>
        <v/>
      </c>
      <c r="E380" s="21">
        <f>IF(A380="","",SUMIF('Grup Eşleme'!$B$5:$B$504,A380,'Grup Eşleme'!$C$5:$C$504))</f>
        <v/>
      </c>
      <c r="F380" s="27">
        <f>IF(OR(A380="",'Metraj Mahal Listesi'!$K$3=0,COUNTIF($B$5:$B$504,A380)&gt;0),"",E380/'Metraj Mahal Listesi'!$K$3*100)</f>
        <v/>
      </c>
      <c r="G380" s="28">
        <f>IF(OR(D380="",F380=""),"",F380-D380)</f>
        <v/>
      </c>
      <c r="H380" s="29">
        <f>IF(OR(G380="",D380=0),"",G380/D380*100)</f>
        <v/>
      </c>
      <c r="I380" s="30">
        <f>IF(A380="","",IF(COUNTIF($B$5:$B$504,A380)&gt;0,IF(ABS(SUMIF($B$5:$B$504,A380,$C$5:$C$504)-100)&lt;0.0001,"✔ alt gruplar Σ=100","⚠ alt gruplar Σ≠100"),IF(G380="","—",IF(ABS(G380)&lt;=PursUyum,"✔ uyumlu",IF(ABS(G380)&lt;=PursCiddi,"⚠ dikkat","✗ ciddi fark")))))</f>
        <v/>
      </c>
      <c r="J380" s="5" t="n"/>
      <c r="K380" s="5" t="n"/>
    </row>
    <row r="381">
      <c r="A381" s="5" t="n"/>
      <c r="B381" s="5" t="n"/>
      <c r="C381" s="26" t="n"/>
      <c r="D381" s="27">
        <f>IF(OR(A381="",C381=""),"",C381*IFERROR(VLOOKUP(B381,$A$5:$C$504,3,FALSE)/100,1)*IFERROR(VLOOKUP(IFERROR(VLOOKUP(B381,$A$5:$B$504,2,FALSE),""),$A$5:$C$504,3,FALSE)/100,1)*IFERROR(VLOOKUP(IFERROR(VLOOKUP(IFERROR(VLOOKUP(B381,$A$5:$B$504,2,FALSE),""),$A$5:$B$504,2,FALSE),""),$A$5:$C$504,3,FALSE)/100,1))</f>
        <v/>
      </c>
      <c r="E381" s="21">
        <f>IF(A381="","",SUMIF('Grup Eşleme'!$B$5:$B$504,A381,'Grup Eşleme'!$C$5:$C$504))</f>
        <v/>
      </c>
      <c r="F381" s="27">
        <f>IF(OR(A381="",'Metraj Mahal Listesi'!$K$3=0,COUNTIF($B$5:$B$504,A381)&gt;0),"",E381/'Metraj Mahal Listesi'!$K$3*100)</f>
        <v/>
      </c>
      <c r="G381" s="28">
        <f>IF(OR(D381="",F381=""),"",F381-D381)</f>
        <v/>
      </c>
      <c r="H381" s="29">
        <f>IF(OR(G381="",D381=0),"",G381/D381*100)</f>
        <v/>
      </c>
      <c r="I381" s="30">
        <f>IF(A381="","",IF(COUNTIF($B$5:$B$504,A381)&gt;0,IF(ABS(SUMIF($B$5:$B$504,A381,$C$5:$C$504)-100)&lt;0.0001,"✔ alt gruplar Σ=100","⚠ alt gruplar Σ≠100"),IF(G381="","—",IF(ABS(G381)&lt;=PursUyum,"✔ uyumlu",IF(ABS(G381)&lt;=PursCiddi,"⚠ dikkat","✗ ciddi fark")))))</f>
        <v/>
      </c>
      <c r="J381" s="5" t="n"/>
      <c r="K381" s="5" t="n"/>
    </row>
    <row r="382">
      <c r="A382" s="5" t="n"/>
      <c r="B382" s="5" t="n"/>
      <c r="C382" s="26" t="n"/>
      <c r="D382" s="27">
        <f>IF(OR(A382="",C382=""),"",C382*IFERROR(VLOOKUP(B382,$A$5:$C$504,3,FALSE)/100,1)*IFERROR(VLOOKUP(IFERROR(VLOOKUP(B382,$A$5:$B$504,2,FALSE),""),$A$5:$C$504,3,FALSE)/100,1)*IFERROR(VLOOKUP(IFERROR(VLOOKUP(IFERROR(VLOOKUP(B382,$A$5:$B$504,2,FALSE),""),$A$5:$B$504,2,FALSE),""),$A$5:$C$504,3,FALSE)/100,1))</f>
        <v/>
      </c>
      <c r="E382" s="21">
        <f>IF(A382="","",SUMIF('Grup Eşleme'!$B$5:$B$504,A382,'Grup Eşleme'!$C$5:$C$504))</f>
        <v/>
      </c>
      <c r="F382" s="27">
        <f>IF(OR(A382="",'Metraj Mahal Listesi'!$K$3=0,COUNTIF($B$5:$B$504,A382)&gt;0),"",E382/'Metraj Mahal Listesi'!$K$3*100)</f>
        <v/>
      </c>
      <c r="G382" s="28">
        <f>IF(OR(D382="",F382=""),"",F382-D382)</f>
        <v/>
      </c>
      <c r="H382" s="29">
        <f>IF(OR(G382="",D382=0),"",G382/D382*100)</f>
        <v/>
      </c>
      <c r="I382" s="30">
        <f>IF(A382="","",IF(COUNTIF($B$5:$B$504,A382)&gt;0,IF(ABS(SUMIF($B$5:$B$504,A382,$C$5:$C$504)-100)&lt;0.0001,"✔ alt gruplar Σ=100","⚠ alt gruplar Σ≠100"),IF(G382="","—",IF(ABS(G382)&lt;=PursUyum,"✔ uyumlu",IF(ABS(G382)&lt;=PursCiddi,"⚠ dikkat","✗ ciddi fark")))))</f>
        <v/>
      </c>
      <c r="J382" s="5" t="n"/>
      <c r="K382" s="5" t="n"/>
    </row>
    <row r="383">
      <c r="A383" s="5" t="n"/>
      <c r="B383" s="5" t="n"/>
      <c r="C383" s="26" t="n"/>
      <c r="D383" s="27">
        <f>IF(OR(A383="",C383=""),"",C383*IFERROR(VLOOKUP(B383,$A$5:$C$504,3,FALSE)/100,1)*IFERROR(VLOOKUP(IFERROR(VLOOKUP(B383,$A$5:$B$504,2,FALSE),""),$A$5:$C$504,3,FALSE)/100,1)*IFERROR(VLOOKUP(IFERROR(VLOOKUP(IFERROR(VLOOKUP(B383,$A$5:$B$504,2,FALSE),""),$A$5:$B$504,2,FALSE),""),$A$5:$C$504,3,FALSE)/100,1))</f>
        <v/>
      </c>
      <c r="E383" s="21">
        <f>IF(A383="","",SUMIF('Grup Eşleme'!$B$5:$B$504,A383,'Grup Eşleme'!$C$5:$C$504))</f>
        <v/>
      </c>
      <c r="F383" s="27">
        <f>IF(OR(A383="",'Metraj Mahal Listesi'!$K$3=0,COUNTIF($B$5:$B$504,A383)&gt;0),"",E383/'Metraj Mahal Listesi'!$K$3*100)</f>
        <v/>
      </c>
      <c r="G383" s="28">
        <f>IF(OR(D383="",F383=""),"",F383-D383)</f>
        <v/>
      </c>
      <c r="H383" s="29">
        <f>IF(OR(G383="",D383=0),"",G383/D383*100)</f>
        <v/>
      </c>
      <c r="I383" s="30">
        <f>IF(A383="","",IF(COUNTIF($B$5:$B$504,A383)&gt;0,IF(ABS(SUMIF($B$5:$B$504,A383,$C$5:$C$504)-100)&lt;0.0001,"✔ alt gruplar Σ=100","⚠ alt gruplar Σ≠100"),IF(G383="","—",IF(ABS(G383)&lt;=PursUyum,"✔ uyumlu",IF(ABS(G383)&lt;=PursCiddi,"⚠ dikkat","✗ ciddi fark")))))</f>
        <v/>
      </c>
      <c r="J383" s="5" t="n"/>
      <c r="K383" s="5" t="n"/>
    </row>
    <row r="384">
      <c r="A384" s="5" t="n"/>
      <c r="B384" s="5" t="n"/>
      <c r="C384" s="26" t="n"/>
      <c r="D384" s="27">
        <f>IF(OR(A384="",C384=""),"",C384*IFERROR(VLOOKUP(B384,$A$5:$C$504,3,FALSE)/100,1)*IFERROR(VLOOKUP(IFERROR(VLOOKUP(B384,$A$5:$B$504,2,FALSE),""),$A$5:$C$504,3,FALSE)/100,1)*IFERROR(VLOOKUP(IFERROR(VLOOKUP(IFERROR(VLOOKUP(B384,$A$5:$B$504,2,FALSE),""),$A$5:$B$504,2,FALSE),""),$A$5:$C$504,3,FALSE)/100,1))</f>
        <v/>
      </c>
      <c r="E384" s="21">
        <f>IF(A384="","",SUMIF('Grup Eşleme'!$B$5:$B$504,A384,'Grup Eşleme'!$C$5:$C$504))</f>
        <v/>
      </c>
      <c r="F384" s="27">
        <f>IF(OR(A384="",'Metraj Mahal Listesi'!$K$3=0,COUNTIF($B$5:$B$504,A384)&gt;0),"",E384/'Metraj Mahal Listesi'!$K$3*100)</f>
        <v/>
      </c>
      <c r="G384" s="28">
        <f>IF(OR(D384="",F384=""),"",F384-D384)</f>
        <v/>
      </c>
      <c r="H384" s="29">
        <f>IF(OR(G384="",D384=0),"",G384/D384*100)</f>
        <v/>
      </c>
      <c r="I384" s="30">
        <f>IF(A384="","",IF(COUNTIF($B$5:$B$504,A384)&gt;0,IF(ABS(SUMIF($B$5:$B$504,A384,$C$5:$C$504)-100)&lt;0.0001,"✔ alt gruplar Σ=100","⚠ alt gruplar Σ≠100"),IF(G384="","—",IF(ABS(G384)&lt;=PursUyum,"✔ uyumlu",IF(ABS(G384)&lt;=PursCiddi,"⚠ dikkat","✗ ciddi fark")))))</f>
        <v/>
      </c>
      <c r="J384" s="5" t="n"/>
      <c r="K384" s="5" t="n"/>
    </row>
    <row r="385">
      <c r="A385" s="5" t="n"/>
      <c r="B385" s="5" t="n"/>
      <c r="C385" s="26" t="n"/>
      <c r="D385" s="27">
        <f>IF(OR(A385="",C385=""),"",C385*IFERROR(VLOOKUP(B385,$A$5:$C$504,3,FALSE)/100,1)*IFERROR(VLOOKUP(IFERROR(VLOOKUP(B385,$A$5:$B$504,2,FALSE),""),$A$5:$C$504,3,FALSE)/100,1)*IFERROR(VLOOKUP(IFERROR(VLOOKUP(IFERROR(VLOOKUP(B385,$A$5:$B$504,2,FALSE),""),$A$5:$B$504,2,FALSE),""),$A$5:$C$504,3,FALSE)/100,1))</f>
        <v/>
      </c>
      <c r="E385" s="21">
        <f>IF(A385="","",SUMIF('Grup Eşleme'!$B$5:$B$504,A385,'Grup Eşleme'!$C$5:$C$504))</f>
        <v/>
      </c>
      <c r="F385" s="27">
        <f>IF(OR(A385="",'Metraj Mahal Listesi'!$K$3=0,COUNTIF($B$5:$B$504,A385)&gt;0),"",E385/'Metraj Mahal Listesi'!$K$3*100)</f>
        <v/>
      </c>
      <c r="G385" s="28">
        <f>IF(OR(D385="",F385=""),"",F385-D385)</f>
        <v/>
      </c>
      <c r="H385" s="29">
        <f>IF(OR(G385="",D385=0),"",G385/D385*100)</f>
        <v/>
      </c>
      <c r="I385" s="30">
        <f>IF(A385="","",IF(COUNTIF($B$5:$B$504,A385)&gt;0,IF(ABS(SUMIF($B$5:$B$504,A385,$C$5:$C$504)-100)&lt;0.0001,"✔ alt gruplar Σ=100","⚠ alt gruplar Σ≠100"),IF(G385="","—",IF(ABS(G385)&lt;=PursUyum,"✔ uyumlu",IF(ABS(G385)&lt;=PursCiddi,"⚠ dikkat","✗ ciddi fark")))))</f>
        <v/>
      </c>
      <c r="J385" s="5" t="n"/>
      <c r="K385" s="5" t="n"/>
    </row>
    <row r="386">
      <c r="A386" s="5" t="n"/>
      <c r="B386" s="5" t="n"/>
      <c r="C386" s="26" t="n"/>
      <c r="D386" s="27">
        <f>IF(OR(A386="",C386=""),"",C386*IFERROR(VLOOKUP(B386,$A$5:$C$504,3,FALSE)/100,1)*IFERROR(VLOOKUP(IFERROR(VLOOKUP(B386,$A$5:$B$504,2,FALSE),""),$A$5:$C$504,3,FALSE)/100,1)*IFERROR(VLOOKUP(IFERROR(VLOOKUP(IFERROR(VLOOKUP(B386,$A$5:$B$504,2,FALSE),""),$A$5:$B$504,2,FALSE),""),$A$5:$C$504,3,FALSE)/100,1))</f>
        <v/>
      </c>
      <c r="E386" s="21">
        <f>IF(A386="","",SUMIF('Grup Eşleme'!$B$5:$B$504,A386,'Grup Eşleme'!$C$5:$C$504))</f>
        <v/>
      </c>
      <c r="F386" s="27">
        <f>IF(OR(A386="",'Metraj Mahal Listesi'!$K$3=0,COUNTIF($B$5:$B$504,A386)&gt;0),"",E386/'Metraj Mahal Listesi'!$K$3*100)</f>
        <v/>
      </c>
      <c r="G386" s="28">
        <f>IF(OR(D386="",F386=""),"",F386-D386)</f>
        <v/>
      </c>
      <c r="H386" s="29">
        <f>IF(OR(G386="",D386=0),"",G386/D386*100)</f>
        <v/>
      </c>
      <c r="I386" s="30">
        <f>IF(A386="","",IF(COUNTIF($B$5:$B$504,A386)&gt;0,IF(ABS(SUMIF($B$5:$B$504,A386,$C$5:$C$504)-100)&lt;0.0001,"✔ alt gruplar Σ=100","⚠ alt gruplar Σ≠100"),IF(G386="","—",IF(ABS(G386)&lt;=PursUyum,"✔ uyumlu",IF(ABS(G386)&lt;=PursCiddi,"⚠ dikkat","✗ ciddi fark")))))</f>
        <v/>
      </c>
      <c r="J386" s="5" t="n"/>
      <c r="K386" s="5" t="n"/>
    </row>
    <row r="387">
      <c r="A387" s="5" t="n"/>
      <c r="B387" s="5" t="n"/>
      <c r="C387" s="26" t="n"/>
      <c r="D387" s="27">
        <f>IF(OR(A387="",C387=""),"",C387*IFERROR(VLOOKUP(B387,$A$5:$C$504,3,FALSE)/100,1)*IFERROR(VLOOKUP(IFERROR(VLOOKUP(B387,$A$5:$B$504,2,FALSE),""),$A$5:$C$504,3,FALSE)/100,1)*IFERROR(VLOOKUP(IFERROR(VLOOKUP(IFERROR(VLOOKUP(B387,$A$5:$B$504,2,FALSE),""),$A$5:$B$504,2,FALSE),""),$A$5:$C$504,3,FALSE)/100,1))</f>
        <v/>
      </c>
      <c r="E387" s="21">
        <f>IF(A387="","",SUMIF('Grup Eşleme'!$B$5:$B$504,A387,'Grup Eşleme'!$C$5:$C$504))</f>
        <v/>
      </c>
      <c r="F387" s="27">
        <f>IF(OR(A387="",'Metraj Mahal Listesi'!$K$3=0,COUNTIF($B$5:$B$504,A387)&gt;0),"",E387/'Metraj Mahal Listesi'!$K$3*100)</f>
        <v/>
      </c>
      <c r="G387" s="28">
        <f>IF(OR(D387="",F387=""),"",F387-D387)</f>
        <v/>
      </c>
      <c r="H387" s="29">
        <f>IF(OR(G387="",D387=0),"",G387/D387*100)</f>
        <v/>
      </c>
      <c r="I387" s="30">
        <f>IF(A387="","",IF(COUNTIF($B$5:$B$504,A387)&gt;0,IF(ABS(SUMIF($B$5:$B$504,A387,$C$5:$C$504)-100)&lt;0.0001,"✔ alt gruplar Σ=100","⚠ alt gruplar Σ≠100"),IF(G387="","—",IF(ABS(G387)&lt;=PursUyum,"✔ uyumlu",IF(ABS(G387)&lt;=PursCiddi,"⚠ dikkat","✗ ciddi fark")))))</f>
        <v/>
      </c>
      <c r="J387" s="5" t="n"/>
      <c r="K387" s="5" t="n"/>
    </row>
    <row r="388">
      <c r="A388" s="5" t="n"/>
      <c r="B388" s="5" t="n"/>
      <c r="C388" s="26" t="n"/>
      <c r="D388" s="27">
        <f>IF(OR(A388="",C388=""),"",C388*IFERROR(VLOOKUP(B388,$A$5:$C$504,3,FALSE)/100,1)*IFERROR(VLOOKUP(IFERROR(VLOOKUP(B388,$A$5:$B$504,2,FALSE),""),$A$5:$C$504,3,FALSE)/100,1)*IFERROR(VLOOKUP(IFERROR(VLOOKUP(IFERROR(VLOOKUP(B388,$A$5:$B$504,2,FALSE),""),$A$5:$B$504,2,FALSE),""),$A$5:$C$504,3,FALSE)/100,1))</f>
        <v/>
      </c>
      <c r="E388" s="21">
        <f>IF(A388="","",SUMIF('Grup Eşleme'!$B$5:$B$504,A388,'Grup Eşleme'!$C$5:$C$504))</f>
        <v/>
      </c>
      <c r="F388" s="27">
        <f>IF(OR(A388="",'Metraj Mahal Listesi'!$K$3=0,COUNTIF($B$5:$B$504,A388)&gt;0),"",E388/'Metraj Mahal Listesi'!$K$3*100)</f>
        <v/>
      </c>
      <c r="G388" s="28">
        <f>IF(OR(D388="",F388=""),"",F388-D388)</f>
        <v/>
      </c>
      <c r="H388" s="29">
        <f>IF(OR(G388="",D388=0),"",G388/D388*100)</f>
        <v/>
      </c>
      <c r="I388" s="30">
        <f>IF(A388="","",IF(COUNTIF($B$5:$B$504,A388)&gt;0,IF(ABS(SUMIF($B$5:$B$504,A388,$C$5:$C$504)-100)&lt;0.0001,"✔ alt gruplar Σ=100","⚠ alt gruplar Σ≠100"),IF(G388="","—",IF(ABS(G388)&lt;=PursUyum,"✔ uyumlu",IF(ABS(G388)&lt;=PursCiddi,"⚠ dikkat","✗ ciddi fark")))))</f>
        <v/>
      </c>
      <c r="J388" s="5" t="n"/>
      <c r="K388" s="5" t="n"/>
    </row>
    <row r="389">
      <c r="A389" s="5" t="n"/>
      <c r="B389" s="5" t="n"/>
      <c r="C389" s="26" t="n"/>
      <c r="D389" s="27">
        <f>IF(OR(A389="",C389=""),"",C389*IFERROR(VLOOKUP(B389,$A$5:$C$504,3,FALSE)/100,1)*IFERROR(VLOOKUP(IFERROR(VLOOKUP(B389,$A$5:$B$504,2,FALSE),""),$A$5:$C$504,3,FALSE)/100,1)*IFERROR(VLOOKUP(IFERROR(VLOOKUP(IFERROR(VLOOKUP(B389,$A$5:$B$504,2,FALSE),""),$A$5:$B$504,2,FALSE),""),$A$5:$C$504,3,FALSE)/100,1))</f>
        <v/>
      </c>
      <c r="E389" s="21">
        <f>IF(A389="","",SUMIF('Grup Eşleme'!$B$5:$B$504,A389,'Grup Eşleme'!$C$5:$C$504))</f>
        <v/>
      </c>
      <c r="F389" s="27">
        <f>IF(OR(A389="",'Metraj Mahal Listesi'!$K$3=0,COUNTIF($B$5:$B$504,A389)&gt;0),"",E389/'Metraj Mahal Listesi'!$K$3*100)</f>
        <v/>
      </c>
      <c r="G389" s="28">
        <f>IF(OR(D389="",F389=""),"",F389-D389)</f>
        <v/>
      </c>
      <c r="H389" s="29">
        <f>IF(OR(G389="",D389=0),"",G389/D389*100)</f>
        <v/>
      </c>
      <c r="I389" s="30">
        <f>IF(A389="","",IF(COUNTIF($B$5:$B$504,A389)&gt;0,IF(ABS(SUMIF($B$5:$B$504,A389,$C$5:$C$504)-100)&lt;0.0001,"✔ alt gruplar Σ=100","⚠ alt gruplar Σ≠100"),IF(G389="","—",IF(ABS(G389)&lt;=PursUyum,"✔ uyumlu",IF(ABS(G389)&lt;=PursCiddi,"⚠ dikkat","✗ ciddi fark")))))</f>
        <v/>
      </c>
      <c r="J389" s="5" t="n"/>
      <c r="K389" s="5" t="n"/>
    </row>
    <row r="390">
      <c r="A390" s="5" t="n"/>
      <c r="B390" s="5" t="n"/>
      <c r="C390" s="26" t="n"/>
      <c r="D390" s="27">
        <f>IF(OR(A390="",C390=""),"",C390*IFERROR(VLOOKUP(B390,$A$5:$C$504,3,FALSE)/100,1)*IFERROR(VLOOKUP(IFERROR(VLOOKUP(B390,$A$5:$B$504,2,FALSE),""),$A$5:$C$504,3,FALSE)/100,1)*IFERROR(VLOOKUP(IFERROR(VLOOKUP(IFERROR(VLOOKUP(B390,$A$5:$B$504,2,FALSE),""),$A$5:$B$504,2,FALSE),""),$A$5:$C$504,3,FALSE)/100,1))</f>
        <v/>
      </c>
      <c r="E390" s="21">
        <f>IF(A390="","",SUMIF('Grup Eşleme'!$B$5:$B$504,A390,'Grup Eşleme'!$C$5:$C$504))</f>
        <v/>
      </c>
      <c r="F390" s="27">
        <f>IF(OR(A390="",'Metraj Mahal Listesi'!$K$3=0,COUNTIF($B$5:$B$504,A390)&gt;0),"",E390/'Metraj Mahal Listesi'!$K$3*100)</f>
        <v/>
      </c>
      <c r="G390" s="28">
        <f>IF(OR(D390="",F390=""),"",F390-D390)</f>
        <v/>
      </c>
      <c r="H390" s="29">
        <f>IF(OR(G390="",D390=0),"",G390/D390*100)</f>
        <v/>
      </c>
      <c r="I390" s="30">
        <f>IF(A390="","",IF(COUNTIF($B$5:$B$504,A390)&gt;0,IF(ABS(SUMIF($B$5:$B$504,A390,$C$5:$C$504)-100)&lt;0.0001,"✔ alt gruplar Σ=100","⚠ alt gruplar Σ≠100"),IF(G390="","—",IF(ABS(G390)&lt;=PursUyum,"✔ uyumlu",IF(ABS(G390)&lt;=PursCiddi,"⚠ dikkat","✗ ciddi fark")))))</f>
        <v/>
      </c>
      <c r="J390" s="5" t="n"/>
      <c r="K390" s="5" t="n"/>
    </row>
    <row r="391">
      <c r="A391" s="5" t="n"/>
      <c r="B391" s="5" t="n"/>
      <c r="C391" s="26" t="n"/>
      <c r="D391" s="27">
        <f>IF(OR(A391="",C391=""),"",C391*IFERROR(VLOOKUP(B391,$A$5:$C$504,3,FALSE)/100,1)*IFERROR(VLOOKUP(IFERROR(VLOOKUP(B391,$A$5:$B$504,2,FALSE),""),$A$5:$C$504,3,FALSE)/100,1)*IFERROR(VLOOKUP(IFERROR(VLOOKUP(IFERROR(VLOOKUP(B391,$A$5:$B$504,2,FALSE),""),$A$5:$B$504,2,FALSE),""),$A$5:$C$504,3,FALSE)/100,1))</f>
        <v/>
      </c>
      <c r="E391" s="21">
        <f>IF(A391="","",SUMIF('Grup Eşleme'!$B$5:$B$504,A391,'Grup Eşleme'!$C$5:$C$504))</f>
        <v/>
      </c>
      <c r="F391" s="27">
        <f>IF(OR(A391="",'Metraj Mahal Listesi'!$K$3=0,COUNTIF($B$5:$B$504,A391)&gt;0),"",E391/'Metraj Mahal Listesi'!$K$3*100)</f>
        <v/>
      </c>
      <c r="G391" s="28">
        <f>IF(OR(D391="",F391=""),"",F391-D391)</f>
        <v/>
      </c>
      <c r="H391" s="29">
        <f>IF(OR(G391="",D391=0),"",G391/D391*100)</f>
        <v/>
      </c>
      <c r="I391" s="30">
        <f>IF(A391="","",IF(COUNTIF($B$5:$B$504,A391)&gt;0,IF(ABS(SUMIF($B$5:$B$504,A391,$C$5:$C$504)-100)&lt;0.0001,"✔ alt gruplar Σ=100","⚠ alt gruplar Σ≠100"),IF(G391="","—",IF(ABS(G391)&lt;=PursUyum,"✔ uyumlu",IF(ABS(G391)&lt;=PursCiddi,"⚠ dikkat","✗ ciddi fark")))))</f>
        <v/>
      </c>
      <c r="J391" s="5" t="n"/>
      <c r="K391" s="5" t="n"/>
    </row>
    <row r="392">
      <c r="A392" s="5" t="n"/>
      <c r="B392" s="5" t="n"/>
      <c r="C392" s="26" t="n"/>
      <c r="D392" s="27">
        <f>IF(OR(A392="",C392=""),"",C392*IFERROR(VLOOKUP(B392,$A$5:$C$504,3,FALSE)/100,1)*IFERROR(VLOOKUP(IFERROR(VLOOKUP(B392,$A$5:$B$504,2,FALSE),""),$A$5:$C$504,3,FALSE)/100,1)*IFERROR(VLOOKUP(IFERROR(VLOOKUP(IFERROR(VLOOKUP(B392,$A$5:$B$504,2,FALSE),""),$A$5:$B$504,2,FALSE),""),$A$5:$C$504,3,FALSE)/100,1))</f>
        <v/>
      </c>
      <c r="E392" s="21">
        <f>IF(A392="","",SUMIF('Grup Eşleme'!$B$5:$B$504,A392,'Grup Eşleme'!$C$5:$C$504))</f>
        <v/>
      </c>
      <c r="F392" s="27">
        <f>IF(OR(A392="",'Metraj Mahal Listesi'!$K$3=0,COUNTIF($B$5:$B$504,A392)&gt;0),"",E392/'Metraj Mahal Listesi'!$K$3*100)</f>
        <v/>
      </c>
      <c r="G392" s="28">
        <f>IF(OR(D392="",F392=""),"",F392-D392)</f>
        <v/>
      </c>
      <c r="H392" s="29">
        <f>IF(OR(G392="",D392=0),"",G392/D392*100)</f>
        <v/>
      </c>
      <c r="I392" s="30">
        <f>IF(A392="","",IF(COUNTIF($B$5:$B$504,A392)&gt;0,IF(ABS(SUMIF($B$5:$B$504,A392,$C$5:$C$504)-100)&lt;0.0001,"✔ alt gruplar Σ=100","⚠ alt gruplar Σ≠100"),IF(G392="","—",IF(ABS(G392)&lt;=PursUyum,"✔ uyumlu",IF(ABS(G392)&lt;=PursCiddi,"⚠ dikkat","✗ ciddi fark")))))</f>
        <v/>
      </c>
      <c r="J392" s="5" t="n"/>
      <c r="K392" s="5" t="n"/>
    </row>
    <row r="393">
      <c r="A393" s="5" t="n"/>
      <c r="B393" s="5" t="n"/>
      <c r="C393" s="26" t="n"/>
      <c r="D393" s="27">
        <f>IF(OR(A393="",C393=""),"",C393*IFERROR(VLOOKUP(B393,$A$5:$C$504,3,FALSE)/100,1)*IFERROR(VLOOKUP(IFERROR(VLOOKUP(B393,$A$5:$B$504,2,FALSE),""),$A$5:$C$504,3,FALSE)/100,1)*IFERROR(VLOOKUP(IFERROR(VLOOKUP(IFERROR(VLOOKUP(B393,$A$5:$B$504,2,FALSE),""),$A$5:$B$504,2,FALSE),""),$A$5:$C$504,3,FALSE)/100,1))</f>
        <v/>
      </c>
      <c r="E393" s="21">
        <f>IF(A393="","",SUMIF('Grup Eşleme'!$B$5:$B$504,A393,'Grup Eşleme'!$C$5:$C$504))</f>
        <v/>
      </c>
      <c r="F393" s="27">
        <f>IF(OR(A393="",'Metraj Mahal Listesi'!$K$3=0,COUNTIF($B$5:$B$504,A393)&gt;0),"",E393/'Metraj Mahal Listesi'!$K$3*100)</f>
        <v/>
      </c>
      <c r="G393" s="28">
        <f>IF(OR(D393="",F393=""),"",F393-D393)</f>
        <v/>
      </c>
      <c r="H393" s="29">
        <f>IF(OR(G393="",D393=0),"",G393/D393*100)</f>
        <v/>
      </c>
      <c r="I393" s="30">
        <f>IF(A393="","",IF(COUNTIF($B$5:$B$504,A393)&gt;0,IF(ABS(SUMIF($B$5:$B$504,A393,$C$5:$C$504)-100)&lt;0.0001,"✔ alt gruplar Σ=100","⚠ alt gruplar Σ≠100"),IF(G393="","—",IF(ABS(G393)&lt;=PursUyum,"✔ uyumlu",IF(ABS(G393)&lt;=PursCiddi,"⚠ dikkat","✗ ciddi fark")))))</f>
        <v/>
      </c>
      <c r="J393" s="5" t="n"/>
      <c r="K393" s="5" t="n"/>
    </row>
    <row r="394">
      <c r="A394" s="5" t="n"/>
      <c r="B394" s="5" t="n"/>
      <c r="C394" s="26" t="n"/>
      <c r="D394" s="27">
        <f>IF(OR(A394="",C394=""),"",C394*IFERROR(VLOOKUP(B394,$A$5:$C$504,3,FALSE)/100,1)*IFERROR(VLOOKUP(IFERROR(VLOOKUP(B394,$A$5:$B$504,2,FALSE),""),$A$5:$C$504,3,FALSE)/100,1)*IFERROR(VLOOKUP(IFERROR(VLOOKUP(IFERROR(VLOOKUP(B394,$A$5:$B$504,2,FALSE),""),$A$5:$B$504,2,FALSE),""),$A$5:$C$504,3,FALSE)/100,1))</f>
        <v/>
      </c>
      <c r="E394" s="21">
        <f>IF(A394="","",SUMIF('Grup Eşleme'!$B$5:$B$504,A394,'Grup Eşleme'!$C$5:$C$504))</f>
        <v/>
      </c>
      <c r="F394" s="27">
        <f>IF(OR(A394="",'Metraj Mahal Listesi'!$K$3=0,COUNTIF($B$5:$B$504,A394)&gt;0),"",E394/'Metraj Mahal Listesi'!$K$3*100)</f>
        <v/>
      </c>
      <c r="G394" s="28">
        <f>IF(OR(D394="",F394=""),"",F394-D394)</f>
        <v/>
      </c>
      <c r="H394" s="29">
        <f>IF(OR(G394="",D394=0),"",G394/D394*100)</f>
        <v/>
      </c>
      <c r="I394" s="30">
        <f>IF(A394="","",IF(COUNTIF($B$5:$B$504,A394)&gt;0,IF(ABS(SUMIF($B$5:$B$504,A394,$C$5:$C$504)-100)&lt;0.0001,"✔ alt gruplar Σ=100","⚠ alt gruplar Σ≠100"),IF(G394="","—",IF(ABS(G394)&lt;=PursUyum,"✔ uyumlu",IF(ABS(G394)&lt;=PursCiddi,"⚠ dikkat","✗ ciddi fark")))))</f>
        <v/>
      </c>
      <c r="J394" s="5" t="n"/>
      <c r="K394" s="5" t="n"/>
    </row>
    <row r="395">
      <c r="A395" s="5" t="n"/>
      <c r="B395" s="5" t="n"/>
      <c r="C395" s="26" t="n"/>
      <c r="D395" s="27">
        <f>IF(OR(A395="",C395=""),"",C395*IFERROR(VLOOKUP(B395,$A$5:$C$504,3,FALSE)/100,1)*IFERROR(VLOOKUP(IFERROR(VLOOKUP(B395,$A$5:$B$504,2,FALSE),""),$A$5:$C$504,3,FALSE)/100,1)*IFERROR(VLOOKUP(IFERROR(VLOOKUP(IFERROR(VLOOKUP(B395,$A$5:$B$504,2,FALSE),""),$A$5:$B$504,2,FALSE),""),$A$5:$C$504,3,FALSE)/100,1))</f>
        <v/>
      </c>
      <c r="E395" s="21">
        <f>IF(A395="","",SUMIF('Grup Eşleme'!$B$5:$B$504,A395,'Grup Eşleme'!$C$5:$C$504))</f>
        <v/>
      </c>
      <c r="F395" s="27">
        <f>IF(OR(A395="",'Metraj Mahal Listesi'!$K$3=0,COUNTIF($B$5:$B$504,A395)&gt;0),"",E395/'Metraj Mahal Listesi'!$K$3*100)</f>
        <v/>
      </c>
      <c r="G395" s="28">
        <f>IF(OR(D395="",F395=""),"",F395-D395)</f>
        <v/>
      </c>
      <c r="H395" s="29">
        <f>IF(OR(G395="",D395=0),"",G395/D395*100)</f>
        <v/>
      </c>
      <c r="I395" s="30">
        <f>IF(A395="","",IF(COUNTIF($B$5:$B$504,A395)&gt;0,IF(ABS(SUMIF($B$5:$B$504,A395,$C$5:$C$504)-100)&lt;0.0001,"✔ alt gruplar Σ=100","⚠ alt gruplar Σ≠100"),IF(G395="","—",IF(ABS(G395)&lt;=PursUyum,"✔ uyumlu",IF(ABS(G395)&lt;=PursCiddi,"⚠ dikkat","✗ ciddi fark")))))</f>
        <v/>
      </c>
      <c r="J395" s="5" t="n"/>
      <c r="K395" s="5" t="n"/>
    </row>
    <row r="396">
      <c r="A396" s="5" t="n"/>
      <c r="B396" s="5" t="n"/>
      <c r="C396" s="26" t="n"/>
      <c r="D396" s="27">
        <f>IF(OR(A396="",C396=""),"",C396*IFERROR(VLOOKUP(B396,$A$5:$C$504,3,FALSE)/100,1)*IFERROR(VLOOKUP(IFERROR(VLOOKUP(B396,$A$5:$B$504,2,FALSE),""),$A$5:$C$504,3,FALSE)/100,1)*IFERROR(VLOOKUP(IFERROR(VLOOKUP(IFERROR(VLOOKUP(B396,$A$5:$B$504,2,FALSE),""),$A$5:$B$504,2,FALSE),""),$A$5:$C$504,3,FALSE)/100,1))</f>
        <v/>
      </c>
      <c r="E396" s="21">
        <f>IF(A396="","",SUMIF('Grup Eşleme'!$B$5:$B$504,A396,'Grup Eşleme'!$C$5:$C$504))</f>
        <v/>
      </c>
      <c r="F396" s="27">
        <f>IF(OR(A396="",'Metraj Mahal Listesi'!$K$3=0,COUNTIF($B$5:$B$504,A396)&gt;0),"",E396/'Metraj Mahal Listesi'!$K$3*100)</f>
        <v/>
      </c>
      <c r="G396" s="28">
        <f>IF(OR(D396="",F396=""),"",F396-D396)</f>
        <v/>
      </c>
      <c r="H396" s="29">
        <f>IF(OR(G396="",D396=0),"",G396/D396*100)</f>
        <v/>
      </c>
      <c r="I396" s="30">
        <f>IF(A396="","",IF(COUNTIF($B$5:$B$504,A396)&gt;0,IF(ABS(SUMIF($B$5:$B$504,A396,$C$5:$C$504)-100)&lt;0.0001,"✔ alt gruplar Σ=100","⚠ alt gruplar Σ≠100"),IF(G396="","—",IF(ABS(G396)&lt;=PursUyum,"✔ uyumlu",IF(ABS(G396)&lt;=PursCiddi,"⚠ dikkat","✗ ciddi fark")))))</f>
        <v/>
      </c>
      <c r="J396" s="5" t="n"/>
      <c r="K396" s="5" t="n"/>
    </row>
    <row r="397">
      <c r="A397" s="5" t="n"/>
      <c r="B397" s="5" t="n"/>
      <c r="C397" s="26" t="n"/>
      <c r="D397" s="27">
        <f>IF(OR(A397="",C397=""),"",C397*IFERROR(VLOOKUP(B397,$A$5:$C$504,3,FALSE)/100,1)*IFERROR(VLOOKUP(IFERROR(VLOOKUP(B397,$A$5:$B$504,2,FALSE),""),$A$5:$C$504,3,FALSE)/100,1)*IFERROR(VLOOKUP(IFERROR(VLOOKUP(IFERROR(VLOOKUP(B397,$A$5:$B$504,2,FALSE),""),$A$5:$B$504,2,FALSE),""),$A$5:$C$504,3,FALSE)/100,1))</f>
        <v/>
      </c>
      <c r="E397" s="21">
        <f>IF(A397="","",SUMIF('Grup Eşleme'!$B$5:$B$504,A397,'Grup Eşleme'!$C$5:$C$504))</f>
        <v/>
      </c>
      <c r="F397" s="27">
        <f>IF(OR(A397="",'Metraj Mahal Listesi'!$K$3=0,COUNTIF($B$5:$B$504,A397)&gt;0),"",E397/'Metraj Mahal Listesi'!$K$3*100)</f>
        <v/>
      </c>
      <c r="G397" s="28">
        <f>IF(OR(D397="",F397=""),"",F397-D397)</f>
        <v/>
      </c>
      <c r="H397" s="29">
        <f>IF(OR(G397="",D397=0),"",G397/D397*100)</f>
        <v/>
      </c>
      <c r="I397" s="30">
        <f>IF(A397="","",IF(COUNTIF($B$5:$B$504,A397)&gt;0,IF(ABS(SUMIF($B$5:$B$504,A397,$C$5:$C$504)-100)&lt;0.0001,"✔ alt gruplar Σ=100","⚠ alt gruplar Σ≠100"),IF(G397="","—",IF(ABS(G397)&lt;=PursUyum,"✔ uyumlu",IF(ABS(G397)&lt;=PursCiddi,"⚠ dikkat","✗ ciddi fark")))))</f>
        <v/>
      </c>
      <c r="J397" s="5" t="n"/>
      <c r="K397" s="5" t="n"/>
    </row>
    <row r="398">
      <c r="A398" s="5" t="n"/>
      <c r="B398" s="5" t="n"/>
      <c r="C398" s="26" t="n"/>
      <c r="D398" s="27">
        <f>IF(OR(A398="",C398=""),"",C398*IFERROR(VLOOKUP(B398,$A$5:$C$504,3,FALSE)/100,1)*IFERROR(VLOOKUP(IFERROR(VLOOKUP(B398,$A$5:$B$504,2,FALSE),""),$A$5:$C$504,3,FALSE)/100,1)*IFERROR(VLOOKUP(IFERROR(VLOOKUP(IFERROR(VLOOKUP(B398,$A$5:$B$504,2,FALSE),""),$A$5:$B$504,2,FALSE),""),$A$5:$C$504,3,FALSE)/100,1))</f>
        <v/>
      </c>
      <c r="E398" s="21">
        <f>IF(A398="","",SUMIF('Grup Eşleme'!$B$5:$B$504,A398,'Grup Eşleme'!$C$5:$C$504))</f>
        <v/>
      </c>
      <c r="F398" s="27">
        <f>IF(OR(A398="",'Metraj Mahal Listesi'!$K$3=0,COUNTIF($B$5:$B$504,A398)&gt;0),"",E398/'Metraj Mahal Listesi'!$K$3*100)</f>
        <v/>
      </c>
      <c r="G398" s="28">
        <f>IF(OR(D398="",F398=""),"",F398-D398)</f>
        <v/>
      </c>
      <c r="H398" s="29">
        <f>IF(OR(G398="",D398=0),"",G398/D398*100)</f>
        <v/>
      </c>
      <c r="I398" s="30">
        <f>IF(A398="","",IF(COUNTIF($B$5:$B$504,A398)&gt;0,IF(ABS(SUMIF($B$5:$B$504,A398,$C$5:$C$504)-100)&lt;0.0001,"✔ alt gruplar Σ=100","⚠ alt gruplar Σ≠100"),IF(G398="","—",IF(ABS(G398)&lt;=PursUyum,"✔ uyumlu",IF(ABS(G398)&lt;=PursCiddi,"⚠ dikkat","✗ ciddi fark")))))</f>
        <v/>
      </c>
      <c r="J398" s="5" t="n"/>
      <c r="K398" s="5" t="n"/>
    </row>
    <row r="399">
      <c r="A399" s="5" t="n"/>
      <c r="B399" s="5" t="n"/>
      <c r="C399" s="26" t="n"/>
      <c r="D399" s="27">
        <f>IF(OR(A399="",C399=""),"",C399*IFERROR(VLOOKUP(B399,$A$5:$C$504,3,FALSE)/100,1)*IFERROR(VLOOKUP(IFERROR(VLOOKUP(B399,$A$5:$B$504,2,FALSE),""),$A$5:$C$504,3,FALSE)/100,1)*IFERROR(VLOOKUP(IFERROR(VLOOKUP(IFERROR(VLOOKUP(B399,$A$5:$B$504,2,FALSE),""),$A$5:$B$504,2,FALSE),""),$A$5:$C$504,3,FALSE)/100,1))</f>
        <v/>
      </c>
      <c r="E399" s="21">
        <f>IF(A399="","",SUMIF('Grup Eşleme'!$B$5:$B$504,A399,'Grup Eşleme'!$C$5:$C$504))</f>
        <v/>
      </c>
      <c r="F399" s="27">
        <f>IF(OR(A399="",'Metraj Mahal Listesi'!$K$3=0,COUNTIF($B$5:$B$504,A399)&gt;0),"",E399/'Metraj Mahal Listesi'!$K$3*100)</f>
        <v/>
      </c>
      <c r="G399" s="28">
        <f>IF(OR(D399="",F399=""),"",F399-D399)</f>
        <v/>
      </c>
      <c r="H399" s="29">
        <f>IF(OR(G399="",D399=0),"",G399/D399*100)</f>
        <v/>
      </c>
      <c r="I399" s="30">
        <f>IF(A399="","",IF(COUNTIF($B$5:$B$504,A399)&gt;0,IF(ABS(SUMIF($B$5:$B$504,A399,$C$5:$C$504)-100)&lt;0.0001,"✔ alt gruplar Σ=100","⚠ alt gruplar Σ≠100"),IF(G399="","—",IF(ABS(G399)&lt;=PursUyum,"✔ uyumlu",IF(ABS(G399)&lt;=PursCiddi,"⚠ dikkat","✗ ciddi fark")))))</f>
        <v/>
      </c>
      <c r="J399" s="5" t="n"/>
      <c r="K399" s="5" t="n"/>
    </row>
    <row r="400">
      <c r="A400" s="5" t="n"/>
      <c r="B400" s="5" t="n"/>
      <c r="C400" s="26" t="n"/>
      <c r="D400" s="27">
        <f>IF(OR(A400="",C400=""),"",C400*IFERROR(VLOOKUP(B400,$A$5:$C$504,3,FALSE)/100,1)*IFERROR(VLOOKUP(IFERROR(VLOOKUP(B400,$A$5:$B$504,2,FALSE),""),$A$5:$C$504,3,FALSE)/100,1)*IFERROR(VLOOKUP(IFERROR(VLOOKUP(IFERROR(VLOOKUP(B400,$A$5:$B$504,2,FALSE),""),$A$5:$B$504,2,FALSE),""),$A$5:$C$504,3,FALSE)/100,1))</f>
        <v/>
      </c>
      <c r="E400" s="21">
        <f>IF(A400="","",SUMIF('Grup Eşleme'!$B$5:$B$504,A400,'Grup Eşleme'!$C$5:$C$504))</f>
        <v/>
      </c>
      <c r="F400" s="27">
        <f>IF(OR(A400="",'Metraj Mahal Listesi'!$K$3=0,COUNTIF($B$5:$B$504,A400)&gt;0),"",E400/'Metraj Mahal Listesi'!$K$3*100)</f>
        <v/>
      </c>
      <c r="G400" s="28">
        <f>IF(OR(D400="",F400=""),"",F400-D400)</f>
        <v/>
      </c>
      <c r="H400" s="29">
        <f>IF(OR(G400="",D400=0),"",G400/D400*100)</f>
        <v/>
      </c>
      <c r="I400" s="30">
        <f>IF(A400="","",IF(COUNTIF($B$5:$B$504,A400)&gt;0,IF(ABS(SUMIF($B$5:$B$504,A400,$C$5:$C$504)-100)&lt;0.0001,"✔ alt gruplar Σ=100","⚠ alt gruplar Σ≠100"),IF(G400="","—",IF(ABS(G400)&lt;=PursUyum,"✔ uyumlu",IF(ABS(G400)&lt;=PursCiddi,"⚠ dikkat","✗ ciddi fark")))))</f>
        <v/>
      </c>
      <c r="J400" s="5" t="n"/>
      <c r="K400" s="5" t="n"/>
    </row>
    <row r="401">
      <c r="A401" s="5" t="n"/>
      <c r="B401" s="5" t="n"/>
      <c r="C401" s="26" t="n"/>
      <c r="D401" s="27">
        <f>IF(OR(A401="",C401=""),"",C401*IFERROR(VLOOKUP(B401,$A$5:$C$504,3,FALSE)/100,1)*IFERROR(VLOOKUP(IFERROR(VLOOKUP(B401,$A$5:$B$504,2,FALSE),""),$A$5:$C$504,3,FALSE)/100,1)*IFERROR(VLOOKUP(IFERROR(VLOOKUP(IFERROR(VLOOKUP(B401,$A$5:$B$504,2,FALSE),""),$A$5:$B$504,2,FALSE),""),$A$5:$C$504,3,FALSE)/100,1))</f>
        <v/>
      </c>
      <c r="E401" s="21">
        <f>IF(A401="","",SUMIF('Grup Eşleme'!$B$5:$B$504,A401,'Grup Eşleme'!$C$5:$C$504))</f>
        <v/>
      </c>
      <c r="F401" s="27">
        <f>IF(OR(A401="",'Metraj Mahal Listesi'!$K$3=0,COUNTIF($B$5:$B$504,A401)&gt;0),"",E401/'Metraj Mahal Listesi'!$K$3*100)</f>
        <v/>
      </c>
      <c r="G401" s="28">
        <f>IF(OR(D401="",F401=""),"",F401-D401)</f>
        <v/>
      </c>
      <c r="H401" s="29">
        <f>IF(OR(G401="",D401=0),"",G401/D401*100)</f>
        <v/>
      </c>
      <c r="I401" s="30">
        <f>IF(A401="","",IF(COUNTIF($B$5:$B$504,A401)&gt;0,IF(ABS(SUMIF($B$5:$B$504,A401,$C$5:$C$504)-100)&lt;0.0001,"✔ alt gruplar Σ=100","⚠ alt gruplar Σ≠100"),IF(G401="","—",IF(ABS(G401)&lt;=PursUyum,"✔ uyumlu",IF(ABS(G401)&lt;=PursCiddi,"⚠ dikkat","✗ ciddi fark")))))</f>
        <v/>
      </c>
      <c r="J401" s="5" t="n"/>
      <c r="K401" s="5" t="n"/>
    </row>
    <row r="402">
      <c r="A402" s="5" t="n"/>
      <c r="B402" s="5" t="n"/>
      <c r="C402" s="26" t="n"/>
      <c r="D402" s="27">
        <f>IF(OR(A402="",C402=""),"",C402*IFERROR(VLOOKUP(B402,$A$5:$C$504,3,FALSE)/100,1)*IFERROR(VLOOKUP(IFERROR(VLOOKUP(B402,$A$5:$B$504,2,FALSE),""),$A$5:$C$504,3,FALSE)/100,1)*IFERROR(VLOOKUP(IFERROR(VLOOKUP(IFERROR(VLOOKUP(B402,$A$5:$B$504,2,FALSE),""),$A$5:$B$504,2,FALSE),""),$A$5:$C$504,3,FALSE)/100,1))</f>
        <v/>
      </c>
      <c r="E402" s="21">
        <f>IF(A402="","",SUMIF('Grup Eşleme'!$B$5:$B$504,A402,'Grup Eşleme'!$C$5:$C$504))</f>
        <v/>
      </c>
      <c r="F402" s="27">
        <f>IF(OR(A402="",'Metraj Mahal Listesi'!$K$3=0,COUNTIF($B$5:$B$504,A402)&gt;0),"",E402/'Metraj Mahal Listesi'!$K$3*100)</f>
        <v/>
      </c>
      <c r="G402" s="28">
        <f>IF(OR(D402="",F402=""),"",F402-D402)</f>
        <v/>
      </c>
      <c r="H402" s="29">
        <f>IF(OR(G402="",D402=0),"",G402/D402*100)</f>
        <v/>
      </c>
      <c r="I402" s="30">
        <f>IF(A402="","",IF(COUNTIF($B$5:$B$504,A402)&gt;0,IF(ABS(SUMIF($B$5:$B$504,A402,$C$5:$C$504)-100)&lt;0.0001,"✔ alt gruplar Σ=100","⚠ alt gruplar Σ≠100"),IF(G402="","—",IF(ABS(G402)&lt;=PursUyum,"✔ uyumlu",IF(ABS(G402)&lt;=PursCiddi,"⚠ dikkat","✗ ciddi fark")))))</f>
        <v/>
      </c>
      <c r="J402" s="5" t="n"/>
      <c r="K402" s="5" t="n"/>
    </row>
    <row r="403">
      <c r="A403" s="5" t="n"/>
      <c r="B403" s="5" t="n"/>
      <c r="C403" s="26" t="n"/>
      <c r="D403" s="27">
        <f>IF(OR(A403="",C403=""),"",C403*IFERROR(VLOOKUP(B403,$A$5:$C$504,3,FALSE)/100,1)*IFERROR(VLOOKUP(IFERROR(VLOOKUP(B403,$A$5:$B$504,2,FALSE),""),$A$5:$C$504,3,FALSE)/100,1)*IFERROR(VLOOKUP(IFERROR(VLOOKUP(IFERROR(VLOOKUP(B403,$A$5:$B$504,2,FALSE),""),$A$5:$B$504,2,FALSE),""),$A$5:$C$504,3,FALSE)/100,1))</f>
        <v/>
      </c>
      <c r="E403" s="21">
        <f>IF(A403="","",SUMIF('Grup Eşleme'!$B$5:$B$504,A403,'Grup Eşleme'!$C$5:$C$504))</f>
        <v/>
      </c>
      <c r="F403" s="27">
        <f>IF(OR(A403="",'Metraj Mahal Listesi'!$K$3=0,COUNTIF($B$5:$B$504,A403)&gt;0),"",E403/'Metraj Mahal Listesi'!$K$3*100)</f>
        <v/>
      </c>
      <c r="G403" s="28">
        <f>IF(OR(D403="",F403=""),"",F403-D403)</f>
        <v/>
      </c>
      <c r="H403" s="29">
        <f>IF(OR(G403="",D403=0),"",G403/D403*100)</f>
        <v/>
      </c>
      <c r="I403" s="30">
        <f>IF(A403="","",IF(COUNTIF($B$5:$B$504,A403)&gt;0,IF(ABS(SUMIF($B$5:$B$504,A403,$C$5:$C$504)-100)&lt;0.0001,"✔ alt gruplar Σ=100","⚠ alt gruplar Σ≠100"),IF(G403="","—",IF(ABS(G403)&lt;=PursUyum,"✔ uyumlu",IF(ABS(G403)&lt;=PursCiddi,"⚠ dikkat","✗ ciddi fark")))))</f>
        <v/>
      </c>
      <c r="J403" s="5" t="n"/>
      <c r="K403" s="5" t="n"/>
    </row>
    <row r="404">
      <c r="A404" s="5" t="n"/>
      <c r="B404" s="5" t="n"/>
      <c r="C404" s="26" t="n"/>
      <c r="D404" s="27">
        <f>IF(OR(A404="",C404=""),"",C404*IFERROR(VLOOKUP(B404,$A$5:$C$504,3,FALSE)/100,1)*IFERROR(VLOOKUP(IFERROR(VLOOKUP(B404,$A$5:$B$504,2,FALSE),""),$A$5:$C$504,3,FALSE)/100,1)*IFERROR(VLOOKUP(IFERROR(VLOOKUP(IFERROR(VLOOKUP(B404,$A$5:$B$504,2,FALSE),""),$A$5:$B$504,2,FALSE),""),$A$5:$C$504,3,FALSE)/100,1))</f>
        <v/>
      </c>
      <c r="E404" s="21">
        <f>IF(A404="","",SUMIF('Grup Eşleme'!$B$5:$B$504,A404,'Grup Eşleme'!$C$5:$C$504))</f>
        <v/>
      </c>
      <c r="F404" s="27">
        <f>IF(OR(A404="",'Metraj Mahal Listesi'!$K$3=0,COUNTIF($B$5:$B$504,A404)&gt;0),"",E404/'Metraj Mahal Listesi'!$K$3*100)</f>
        <v/>
      </c>
      <c r="G404" s="28">
        <f>IF(OR(D404="",F404=""),"",F404-D404)</f>
        <v/>
      </c>
      <c r="H404" s="29">
        <f>IF(OR(G404="",D404=0),"",G404/D404*100)</f>
        <v/>
      </c>
      <c r="I404" s="30">
        <f>IF(A404="","",IF(COUNTIF($B$5:$B$504,A404)&gt;0,IF(ABS(SUMIF($B$5:$B$504,A404,$C$5:$C$504)-100)&lt;0.0001,"✔ alt gruplar Σ=100","⚠ alt gruplar Σ≠100"),IF(G404="","—",IF(ABS(G404)&lt;=PursUyum,"✔ uyumlu",IF(ABS(G404)&lt;=PursCiddi,"⚠ dikkat","✗ ciddi fark")))))</f>
        <v/>
      </c>
      <c r="J404" s="5" t="n"/>
      <c r="K404" s="5" t="n"/>
    </row>
    <row r="405">
      <c r="A405" s="5" t="n"/>
      <c r="B405" s="5" t="n"/>
      <c r="C405" s="26" t="n"/>
      <c r="D405" s="27">
        <f>IF(OR(A405="",C405=""),"",C405*IFERROR(VLOOKUP(B405,$A$5:$C$504,3,FALSE)/100,1)*IFERROR(VLOOKUP(IFERROR(VLOOKUP(B405,$A$5:$B$504,2,FALSE),""),$A$5:$C$504,3,FALSE)/100,1)*IFERROR(VLOOKUP(IFERROR(VLOOKUP(IFERROR(VLOOKUP(B405,$A$5:$B$504,2,FALSE),""),$A$5:$B$504,2,FALSE),""),$A$5:$C$504,3,FALSE)/100,1))</f>
        <v/>
      </c>
      <c r="E405" s="21">
        <f>IF(A405="","",SUMIF('Grup Eşleme'!$B$5:$B$504,A405,'Grup Eşleme'!$C$5:$C$504))</f>
        <v/>
      </c>
      <c r="F405" s="27">
        <f>IF(OR(A405="",'Metraj Mahal Listesi'!$K$3=0,COUNTIF($B$5:$B$504,A405)&gt;0),"",E405/'Metraj Mahal Listesi'!$K$3*100)</f>
        <v/>
      </c>
      <c r="G405" s="28">
        <f>IF(OR(D405="",F405=""),"",F405-D405)</f>
        <v/>
      </c>
      <c r="H405" s="29">
        <f>IF(OR(G405="",D405=0),"",G405/D405*100)</f>
        <v/>
      </c>
      <c r="I405" s="30">
        <f>IF(A405="","",IF(COUNTIF($B$5:$B$504,A405)&gt;0,IF(ABS(SUMIF($B$5:$B$504,A405,$C$5:$C$504)-100)&lt;0.0001,"✔ alt gruplar Σ=100","⚠ alt gruplar Σ≠100"),IF(G405="","—",IF(ABS(G405)&lt;=PursUyum,"✔ uyumlu",IF(ABS(G405)&lt;=PursCiddi,"⚠ dikkat","✗ ciddi fark")))))</f>
        <v/>
      </c>
      <c r="J405" s="5" t="n"/>
      <c r="K405" s="5" t="n"/>
    </row>
    <row r="406">
      <c r="A406" s="5" t="n"/>
      <c r="B406" s="5" t="n"/>
      <c r="C406" s="26" t="n"/>
      <c r="D406" s="27">
        <f>IF(OR(A406="",C406=""),"",C406*IFERROR(VLOOKUP(B406,$A$5:$C$504,3,FALSE)/100,1)*IFERROR(VLOOKUP(IFERROR(VLOOKUP(B406,$A$5:$B$504,2,FALSE),""),$A$5:$C$504,3,FALSE)/100,1)*IFERROR(VLOOKUP(IFERROR(VLOOKUP(IFERROR(VLOOKUP(B406,$A$5:$B$504,2,FALSE),""),$A$5:$B$504,2,FALSE),""),$A$5:$C$504,3,FALSE)/100,1))</f>
        <v/>
      </c>
      <c r="E406" s="21">
        <f>IF(A406="","",SUMIF('Grup Eşleme'!$B$5:$B$504,A406,'Grup Eşleme'!$C$5:$C$504))</f>
        <v/>
      </c>
      <c r="F406" s="27">
        <f>IF(OR(A406="",'Metraj Mahal Listesi'!$K$3=0,COUNTIF($B$5:$B$504,A406)&gt;0),"",E406/'Metraj Mahal Listesi'!$K$3*100)</f>
        <v/>
      </c>
      <c r="G406" s="28">
        <f>IF(OR(D406="",F406=""),"",F406-D406)</f>
        <v/>
      </c>
      <c r="H406" s="29">
        <f>IF(OR(G406="",D406=0),"",G406/D406*100)</f>
        <v/>
      </c>
      <c r="I406" s="30">
        <f>IF(A406="","",IF(COUNTIF($B$5:$B$504,A406)&gt;0,IF(ABS(SUMIF($B$5:$B$504,A406,$C$5:$C$504)-100)&lt;0.0001,"✔ alt gruplar Σ=100","⚠ alt gruplar Σ≠100"),IF(G406="","—",IF(ABS(G406)&lt;=PursUyum,"✔ uyumlu",IF(ABS(G406)&lt;=PursCiddi,"⚠ dikkat","✗ ciddi fark")))))</f>
        <v/>
      </c>
      <c r="J406" s="5" t="n"/>
      <c r="K406" s="5" t="n"/>
    </row>
    <row r="407">
      <c r="A407" s="5" t="n"/>
      <c r="B407" s="5" t="n"/>
      <c r="C407" s="26" t="n"/>
      <c r="D407" s="27">
        <f>IF(OR(A407="",C407=""),"",C407*IFERROR(VLOOKUP(B407,$A$5:$C$504,3,FALSE)/100,1)*IFERROR(VLOOKUP(IFERROR(VLOOKUP(B407,$A$5:$B$504,2,FALSE),""),$A$5:$C$504,3,FALSE)/100,1)*IFERROR(VLOOKUP(IFERROR(VLOOKUP(IFERROR(VLOOKUP(B407,$A$5:$B$504,2,FALSE),""),$A$5:$B$504,2,FALSE),""),$A$5:$C$504,3,FALSE)/100,1))</f>
        <v/>
      </c>
      <c r="E407" s="21">
        <f>IF(A407="","",SUMIF('Grup Eşleme'!$B$5:$B$504,A407,'Grup Eşleme'!$C$5:$C$504))</f>
        <v/>
      </c>
      <c r="F407" s="27">
        <f>IF(OR(A407="",'Metraj Mahal Listesi'!$K$3=0,COUNTIF($B$5:$B$504,A407)&gt;0),"",E407/'Metraj Mahal Listesi'!$K$3*100)</f>
        <v/>
      </c>
      <c r="G407" s="28">
        <f>IF(OR(D407="",F407=""),"",F407-D407)</f>
        <v/>
      </c>
      <c r="H407" s="29">
        <f>IF(OR(G407="",D407=0),"",G407/D407*100)</f>
        <v/>
      </c>
      <c r="I407" s="30">
        <f>IF(A407="","",IF(COUNTIF($B$5:$B$504,A407)&gt;0,IF(ABS(SUMIF($B$5:$B$504,A407,$C$5:$C$504)-100)&lt;0.0001,"✔ alt gruplar Σ=100","⚠ alt gruplar Σ≠100"),IF(G407="","—",IF(ABS(G407)&lt;=PursUyum,"✔ uyumlu",IF(ABS(G407)&lt;=PursCiddi,"⚠ dikkat","✗ ciddi fark")))))</f>
        <v/>
      </c>
      <c r="J407" s="5" t="n"/>
      <c r="K407" s="5" t="n"/>
    </row>
    <row r="408">
      <c r="A408" s="5" t="n"/>
      <c r="B408" s="5" t="n"/>
      <c r="C408" s="26" t="n"/>
      <c r="D408" s="27">
        <f>IF(OR(A408="",C408=""),"",C408*IFERROR(VLOOKUP(B408,$A$5:$C$504,3,FALSE)/100,1)*IFERROR(VLOOKUP(IFERROR(VLOOKUP(B408,$A$5:$B$504,2,FALSE),""),$A$5:$C$504,3,FALSE)/100,1)*IFERROR(VLOOKUP(IFERROR(VLOOKUP(IFERROR(VLOOKUP(B408,$A$5:$B$504,2,FALSE),""),$A$5:$B$504,2,FALSE),""),$A$5:$C$504,3,FALSE)/100,1))</f>
        <v/>
      </c>
      <c r="E408" s="21">
        <f>IF(A408="","",SUMIF('Grup Eşleme'!$B$5:$B$504,A408,'Grup Eşleme'!$C$5:$C$504))</f>
        <v/>
      </c>
      <c r="F408" s="27">
        <f>IF(OR(A408="",'Metraj Mahal Listesi'!$K$3=0,COUNTIF($B$5:$B$504,A408)&gt;0),"",E408/'Metraj Mahal Listesi'!$K$3*100)</f>
        <v/>
      </c>
      <c r="G408" s="28">
        <f>IF(OR(D408="",F408=""),"",F408-D408)</f>
        <v/>
      </c>
      <c r="H408" s="29">
        <f>IF(OR(G408="",D408=0),"",G408/D408*100)</f>
        <v/>
      </c>
      <c r="I408" s="30">
        <f>IF(A408="","",IF(COUNTIF($B$5:$B$504,A408)&gt;0,IF(ABS(SUMIF($B$5:$B$504,A408,$C$5:$C$504)-100)&lt;0.0001,"✔ alt gruplar Σ=100","⚠ alt gruplar Σ≠100"),IF(G408="","—",IF(ABS(G408)&lt;=PursUyum,"✔ uyumlu",IF(ABS(G408)&lt;=PursCiddi,"⚠ dikkat","✗ ciddi fark")))))</f>
        <v/>
      </c>
      <c r="J408" s="5" t="n"/>
      <c r="K408" s="5" t="n"/>
    </row>
    <row r="409">
      <c r="A409" s="5" t="n"/>
      <c r="B409" s="5" t="n"/>
      <c r="C409" s="26" t="n"/>
      <c r="D409" s="27">
        <f>IF(OR(A409="",C409=""),"",C409*IFERROR(VLOOKUP(B409,$A$5:$C$504,3,FALSE)/100,1)*IFERROR(VLOOKUP(IFERROR(VLOOKUP(B409,$A$5:$B$504,2,FALSE),""),$A$5:$C$504,3,FALSE)/100,1)*IFERROR(VLOOKUP(IFERROR(VLOOKUP(IFERROR(VLOOKUP(B409,$A$5:$B$504,2,FALSE),""),$A$5:$B$504,2,FALSE),""),$A$5:$C$504,3,FALSE)/100,1))</f>
        <v/>
      </c>
      <c r="E409" s="21">
        <f>IF(A409="","",SUMIF('Grup Eşleme'!$B$5:$B$504,A409,'Grup Eşleme'!$C$5:$C$504))</f>
        <v/>
      </c>
      <c r="F409" s="27">
        <f>IF(OR(A409="",'Metraj Mahal Listesi'!$K$3=0,COUNTIF($B$5:$B$504,A409)&gt;0),"",E409/'Metraj Mahal Listesi'!$K$3*100)</f>
        <v/>
      </c>
      <c r="G409" s="28">
        <f>IF(OR(D409="",F409=""),"",F409-D409)</f>
        <v/>
      </c>
      <c r="H409" s="29">
        <f>IF(OR(G409="",D409=0),"",G409/D409*100)</f>
        <v/>
      </c>
      <c r="I409" s="30">
        <f>IF(A409="","",IF(COUNTIF($B$5:$B$504,A409)&gt;0,IF(ABS(SUMIF($B$5:$B$504,A409,$C$5:$C$504)-100)&lt;0.0001,"✔ alt gruplar Σ=100","⚠ alt gruplar Σ≠100"),IF(G409="","—",IF(ABS(G409)&lt;=PursUyum,"✔ uyumlu",IF(ABS(G409)&lt;=PursCiddi,"⚠ dikkat","✗ ciddi fark")))))</f>
        <v/>
      </c>
      <c r="J409" s="5" t="n"/>
      <c r="K409" s="5" t="n"/>
    </row>
    <row r="410">
      <c r="A410" s="5" t="n"/>
      <c r="B410" s="5" t="n"/>
      <c r="C410" s="26" t="n"/>
      <c r="D410" s="27">
        <f>IF(OR(A410="",C410=""),"",C410*IFERROR(VLOOKUP(B410,$A$5:$C$504,3,FALSE)/100,1)*IFERROR(VLOOKUP(IFERROR(VLOOKUP(B410,$A$5:$B$504,2,FALSE),""),$A$5:$C$504,3,FALSE)/100,1)*IFERROR(VLOOKUP(IFERROR(VLOOKUP(IFERROR(VLOOKUP(B410,$A$5:$B$504,2,FALSE),""),$A$5:$B$504,2,FALSE),""),$A$5:$C$504,3,FALSE)/100,1))</f>
        <v/>
      </c>
      <c r="E410" s="21">
        <f>IF(A410="","",SUMIF('Grup Eşleme'!$B$5:$B$504,A410,'Grup Eşleme'!$C$5:$C$504))</f>
        <v/>
      </c>
      <c r="F410" s="27">
        <f>IF(OR(A410="",'Metraj Mahal Listesi'!$K$3=0,COUNTIF($B$5:$B$504,A410)&gt;0),"",E410/'Metraj Mahal Listesi'!$K$3*100)</f>
        <v/>
      </c>
      <c r="G410" s="28">
        <f>IF(OR(D410="",F410=""),"",F410-D410)</f>
        <v/>
      </c>
      <c r="H410" s="29">
        <f>IF(OR(G410="",D410=0),"",G410/D410*100)</f>
        <v/>
      </c>
      <c r="I410" s="30">
        <f>IF(A410="","",IF(COUNTIF($B$5:$B$504,A410)&gt;0,IF(ABS(SUMIF($B$5:$B$504,A410,$C$5:$C$504)-100)&lt;0.0001,"✔ alt gruplar Σ=100","⚠ alt gruplar Σ≠100"),IF(G410="","—",IF(ABS(G410)&lt;=PursUyum,"✔ uyumlu",IF(ABS(G410)&lt;=PursCiddi,"⚠ dikkat","✗ ciddi fark")))))</f>
        <v/>
      </c>
      <c r="J410" s="5" t="n"/>
      <c r="K410" s="5" t="n"/>
    </row>
    <row r="411">
      <c r="A411" s="5" t="n"/>
      <c r="B411" s="5" t="n"/>
      <c r="C411" s="26" t="n"/>
      <c r="D411" s="27">
        <f>IF(OR(A411="",C411=""),"",C411*IFERROR(VLOOKUP(B411,$A$5:$C$504,3,FALSE)/100,1)*IFERROR(VLOOKUP(IFERROR(VLOOKUP(B411,$A$5:$B$504,2,FALSE),""),$A$5:$C$504,3,FALSE)/100,1)*IFERROR(VLOOKUP(IFERROR(VLOOKUP(IFERROR(VLOOKUP(B411,$A$5:$B$504,2,FALSE),""),$A$5:$B$504,2,FALSE),""),$A$5:$C$504,3,FALSE)/100,1))</f>
        <v/>
      </c>
      <c r="E411" s="21">
        <f>IF(A411="","",SUMIF('Grup Eşleme'!$B$5:$B$504,A411,'Grup Eşleme'!$C$5:$C$504))</f>
        <v/>
      </c>
      <c r="F411" s="27">
        <f>IF(OR(A411="",'Metraj Mahal Listesi'!$K$3=0,COUNTIF($B$5:$B$504,A411)&gt;0),"",E411/'Metraj Mahal Listesi'!$K$3*100)</f>
        <v/>
      </c>
      <c r="G411" s="28">
        <f>IF(OR(D411="",F411=""),"",F411-D411)</f>
        <v/>
      </c>
      <c r="H411" s="29">
        <f>IF(OR(G411="",D411=0),"",G411/D411*100)</f>
        <v/>
      </c>
      <c r="I411" s="30">
        <f>IF(A411="","",IF(COUNTIF($B$5:$B$504,A411)&gt;0,IF(ABS(SUMIF($B$5:$B$504,A411,$C$5:$C$504)-100)&lt;0.0001,"✔ alt gruplar Σ=100","⚠ alt gruplar Σ≠100"),IF(G411="","—",IF(ABS(G411)&lt;=PursUyum,"✔ uyumlu",IF(ABS(G411)&lt;=PursCiddi,"⚠ dikkat","✗ ciddi fark")))))</f>
        <v/>
      </c>
      <c r="J411" s="5" t="n"/>
      <c r="K411" s="5" t="n"/>
    </row>
    <row r="412">
      <c r="A412" s="5" t="n"/>
      <c r="B412" s="5" t="n"/>
      <c r="C412" s="26" t="n"/>
      <c r="D412" s="27">
        <f>IF(OR(A412="",C412=""),"",C412*IFERROR(VLOOKUP(B412,$A$5:$C$504,3,FALSE)/100,1)*IFERROR(VLOOKUP(IFERROR(VLOOKUP(B412,$A$5:$B$504,2,FALSE),""),$A$5:$C$504,3,FALSE)/100,1)*IFERROR(VLOOKUP(IFERROR(VLOOKUP(IFERROR(VLOOKUP(B412,$A$5:$B$504,2,FALSE),""),$A$5:$B$504,2,FALSE),""),$A$5:$C$504,3,FALSE)/100,1))</f>
        <v/>
      </c>
      <c r="E412" s="21">
        <f>IF(A412="","",SUMIF('Grup Eşleme'!$B$5:$B$504,A412,'Grup Eşleme'!$C$5:$C$504))</f>
        <v/>
      </c>
      <c r="F412" s="27">
        <f>IF(OR(A412="",'Metraj Mahal Listesi'!$K$3=0,COUNTIF($B$5:$B$504,A412)&gt;0),"",E412/'Metraj Mahal Listesi'!$K$3*100)</f>
        <v/>
      </c>
      <c r="G412" s="28">
        <f>IF(OR(D412="",F412=""),"",F412-D412)</f>
        <v/>
      </c>
      <c r="H412" s="29">
        <f>IF(OR(G412="",D412=0),"",G412/D412*100)</f>
        <v/>
      </c>
      <c r="I412" s="30">
        <f>IF(A412="","",IF(COUNTIF($B$5:$B$504,A412)&gt;0,IF(ABS(SUMIF($B$5:$B$504,A412,$C$5:$C$504)-100)&lt;0.0001,"✔ alt gruplar Σ=100","⚠ alt gruplar Σ≠100"),IF(G412="","—",IF(ABS(G412)&lt;=PursUyum,"✔ uyumlu",IF(ABS(G412)&lt;=PursCiddi,"⚠ dikkat","✗ ciddi fark")))))</f>
        <v/>
      </c>
      <c r="J412" s="5" t="n"/>
      <c r="K412" s="5" t="n"/>
    </row>
    <row r="413">
      <c r="A413" s="5" t="n"/>
      <c r="B413" s="5" t="n"/>
      <c r="C413" s="26" t="n"/>
      <c r="D413" s="27">
        <f>IF(OR(A413="",C413=""),"",C413*IFERROR(VLOOKUP(B413,$A$5:$C$504,3,FALSE)/100,1)*IFERROR(VLOOKUP(IFERROR(VLOOKUP(B413,$A$5:$B$504,2,FALSE),""),$A$5:$C$504,3,FALSE)/100,1)*IFERROR(VLOOKUP(IFERROR(VLOOKUP(IFERROR(VLOOKUP(B413,$A$5:$B$504,2,FALSE),""),$A$5:$B$504,2,FALSE),""),$A$5:$C$504,3,FALSE)/100,1))</f>
        <v/>
      </c>
      <c r="E413" s="21">
        <f>IF(A413="","",SUMIF('Grup Eşleme'!$B$5:$B$504,A413,'Grup Eşleme'!$C$5:$C$504))</f>
        <v/>
      </c>
      <c r="F413" s="27">
        <f>IF(OR(A413="",'Metraj Mahal Listesi'!$K$3=0,COUNTIF($B$5:$B$504,A413)&gt;0),"",E413/'Metraj Mahal Listesi'!$K$3*100)</f>
        <v/>
      </c>
      <c r="G413" s="28">
        <f>IF(OR(D413="",F413=""),"",F413-D413)</f>
        <v/>
      </c>
      <c r="H413" s="29">
        <f>IF(OR(G413="",D413=0),"",G413/D413*100)</f>
        <v/>
      </c>
      <c r="I413" s="30">
        <f>IF(A413="","",IF(COUNTIF($B$5:$B$504,A413)&gt;0,IF(ABS(SUMIF($B$5:$B$504,A413,$C$5:$C$504)-100)&lt;0.0001,"✔ alt gruplar Σ=100","⚠ alt gruplar Σ≠100"),IF(G413="","—",IF(ABS(G413)&lt;=PursUyum,"✔ uyumlu",IF(ABS(G413)&lt;=PursCiddi,"⚠ dikkat","✗ ciddi fark")))))</f>
        <v/>
      </c>
      <c r="J413" s="5" t="n"/>
      <c r="K413" s="5" t="n"/>
    </row>
    <row r="414">
      <c r="A414" s="5" t="n"/>
      <c r="B414" s="5" t="n"/>
      <c r="C414" s="26" t="n"/>
      <c r="D414" s="27">
        <f>IF(OR(A414="",C414=""),"",C414*IFERROR(VLOOKUP(B414,$A$5:$C$504,3,FALSE)/100,1)*IFERROR(VLOOKUP(IFERROR(VLOOKUP(B414,$A$5:$B$504,2,FALSE),""),$A$5:$C$504,3,FALSE)/100,1)*IFERROR(VLOOKUP(IFERROR(VLOOKUP(IFERROR(VLOOKUP(B414,$A$5:$B$504,2,FALSE),""),$A$5:$B$504,2,FALSE),""),$A$5:$C$504,3,FALSE)/100,1))</f>
        <v/>
      </c>
      <c r="E414" s="21">
        <f>IF(A414="","",SUMIF('Grup Eşleme'!$B$5:$B$504,A414,'Grup Eşleme'!$C$5:$C$504))</f>
        <v/>
      </c>
      <c r="F414" s="27">
        <f>IF(OR(A414="",'Metraj Mahal Listesi'!$K$3=0,COUNTIF($B$5:$B$504,A414)&gt;0),"",E414/'Metraj Mahal Listesi'!$K$3*100)</f>
        <v/>
      </c>
      <c r="G414" s="28">
        <f>IF(OR(D414="",F414=""),"",F414-D414)</f>
        <v/>
      </c>
      <c r="H414" s="29">
        <f>IF(OR(G414="",D414=0),"",G414/D414*100)</f>
        <v/>
      </c>
      <c r="I414" s="30">
        <f>IF(A414="","",IF(COUNTIF($B$5:$B$504,A414)&gt;0,IF(ABS(SUMIF($B$5:$B$504,A414,$C$5:$C$504)-100)&lt;0.0001,"✔ alt gruplar Σ=100","⚠ alt gruplar Σ≠100"),IF(G414="","—",IF(ABS(G414)&lt;=PursUyum,"✔ uyumlu",IF(ABS(G414)&lt;=PursCiddi,"⚠ dikkat","✗ ciddi fark")))))</f>
        <v/>
      </c>
      <c r="J414" s="5" t="n"/>
      <c r="K414" s="5" t="n"/>
    </row>
    <row r="415">
      <c r="A415" s="5" t="n"/>
      <c r="B415" s="5" t="n"/>
      <c r="C415" s="26" t="n"/>
      <c r="D415" s="27">
        <f>IF(OR(A415="",C415=""),"",C415*IFERROR(VLOOKUP(B415,$A$5:$C$504,3,FALSE)/100,1)*IFERROR(VLOOKUP(IFERROR(VLOOKUP(B415,$A$5:$B$504,2,FALSE),""),$A$5:$C$504,3,FALSE)/100,1)*IFERROR(VLOOKUP(IFERROR(VLOOKUP(IFERROR(VLOOKUP(B415,$A$5:$B$504,2,FALSE),""),$A$5:$B$504,2,FALSE),""),$A$5:$C$504,3,FALSE)/100,1))</f>
        <v/>
      </c>
      <c r="E415" s="21">
        <f>IF(A415="","",SUMIF('Grup Eşleme'!$B$5:$B$504,A415,'Grup Eşleme'!$C$5:$C$504))</f>
        <v/>
      </c>
      <c r="F415" s="27">
        <f>IF(OR(A415="",'Metraj Mahal Listesi'!$K$3=0,COUNTIF($B$5:$B$504,A415)&gt;0),"",E415/'Metraj Mahal Listesi'!$K$3*100)</f>
        <v/>
      </c>
      <c r="G415" s="28">
        <f>IF(OR(D415="",F415=""),"",F415-D415)</f>
        <v/>
      </c>
      <c r="H415" s="29">
        <f>IF(OR(G415="",D415=0),"",G415/D415*100)</f>
        <v/>
      </c>
      <c r="I415" s="30">
        <f>IF(A415="","",IF(COUNTIF($B$5:$B$504,A415)&gt;0,IF(ABS(SUMIF($B$5:$B$504,A415,$C$5:$C$504)-100)&lt;0.0001,"✔ alt gruplar Σ=100","⚠ alt gruplar Σ≠100"),IF(G415="","—",IF(ABS(G415)&lt;=PursUyum,"✔ uyumlu",IF(ABS(G415)&lt;=PursCiddi,"⚠ dikkat","✗ ciddi fark")))))</f>
        <v/>
      </c>
      <c r="J415" s="5" t="n"/>
      <c r="K415" s="5" t="n"/>
    </row>
    <row r="416">
      <c r="A416" s="5" t="n"/>
      <c r="B416" s="5" t="n"/>
      <c r="C416" s="26" t="n"/>
      <c r="D416" s="27">
        <f>IF(OR(A416="",C416=""),"",C416*IFERROR(VLOOKUP(B416,$A$5:$C$504,3,FALSE)/100,1)*IFERROR(VLOOKUP(IFERROR(VLOOKUP(B416,$A$5:$B$504,2,FALSE),""),$A$5:$C$504,3,FALSE)/100,1)*IFERROR(VLOOKUP(IFERROR(VLOOKUP(IFERROR(VLOOKUP(B416,$A$5:$B$504,2,FALSE),""),$A$5:$B$504,2,FALSE),""),$A$5:$C$504,3,FALSE)/100,1))</f>
        <v/>
      </c>
      <c r="E416" s="21">
        <f>IF(A416="","",SUMIF('Grup Eşleme'!$B$5:$B$504,A416,'Grup Eşleme'!$C$5:$C$504))</f>
        <v/>
      </c>
      <c r="F416" s="27">
        <f>IF(OR(A416="",'Metraj Mahal Listesi'!$K$3=0,COUNTIF($B$5:$B$504,A416)&gt;0),"",E416/'Metraj Mahal Listesi'!$K$3*100)</f>
        <v/>
      </c>
      <c r="G416" s="28">
        <f>IF(OR(D416="",F416=""),"",F416-D416)</f>
        <v/>
      </c>
      <c r="H416" s="29">
        <f>IF(OR(G416="",D416=0),"",G416/D416*100)</f>
        <v/>
      </c>
      <c r="I416" s="30">
        <f>IF(A416="","",IF(COUNTIF($B$5:$B$504,A416)&gt;0,IF(ABS(SUMIF($B$5:$B$504,A416,$C$5:$C$504)-100)&lt;0.0001,"✔ alt gruplar Σ=100","⚠ alt gruplar Σ≠100"),IF(G416="","—",IF(ABS(G416)&lt;=PursUyum,"✔ uyumlu",IF(ABS(G416)&lt;=PursCiddi,"⚠ dikkat","✗ ciddi fark")))))</f>
        <v/>
      </c>
      <c r="J416" s="5" t="n"/>
      <c r="K416" s="5" t="n"/>
    </row>
    <row r="417">
      <c r="A417" s="5" t="n"/>
      <c r="B417" s="5" t="n"/>
      <c r="C417" s="26" t="n"/>
      <c r="D417" s="27">
        <f>IF(OR(A417="",C417=""),"",C417*IFERROR(VLOOKUP(B417,$A$5:$C$504,3,FALSE)/100,1)*IFERROR(VLOOKUP(IFERROR(VLOOKUP(B417,$A$5:$B$504,2,FALSE),""),$A$5:$C$504,3,FALSE)/100,1)*IFERROR(VLOOKUP(IFERROR(VLOOKUP(IFERROR(VLOOKUP(B417,$A$5:$B$504,2,FALSE),""),$A$5:$B$504,2,FALSE),""),$A$5:$C$504,3,FALSE)/100,1))</f>
        <v/>
      </c>
      <c r="E417" s="21">
        <f>IF(A417="","",SUMIF('Grup Eşleme'!$B$5:$B$504,A417,'Grup Eşleme'!$C$5:$C$504))</f>
        <v/>
      </c>
      <c r="F417" s="27">
        <f>IF(OR(A417="",'Metraj Mahal Listesi'!$K$3=0,COUNTIF($B$5:$B$504,A417)&gt;0),"",E417/'Metraj Mahal Listesi'!$K$3*100)</f>
        <v/>
      </c>
      <c r="G417" s="28">
        <f>IF(OR(D417="",F417=""),"",F417-D417)</f>
        <v/>
      </c>
      <c r="H417" s="29">
        <f>IF(OR(G417="",D417=0),"",G417/D417*100)</f>
        <v/>
      </c>
      <c r="I417" s="30">
        <f>IF(A417="","",IF(COUNTIF($B$5:$B$504,A417)&gt;0,IF(ABS(SUMIF($B$5:$B$504,A417,$C$5:$C$504)-100)&lt;0.0001,"✔ alt gruplar Σ=100","⚠ alt gruplar Σ≠100"),IF(G417="","—",IF(ABS(G417)&lt;=PursUyum,"✔ uyumlu",IF(ABS(G417)&lt;=PursCiddi,"⚠ dikkat","✗ ciddi fark")))))</f>
        <v/>
      </c>
      <c r="J417" s="5" t="n"/>
      <c r="K417" s="5" t="n"/>
    </row>
    <row r="418">
      <c r="A418" s="5" t="n"/>
      <c r="B418" s="5" t="n"/>
      <c r="C418" s="26" t="n"/>
      <c r="D418" s="27">
        <f>IF(OR(A418="",C418=""),"",C418*IFERROR(VLOOKUP(B418,$A$5:$C$504,3,FALSE)/100,1)*IFERROR(VLOOKUP(IFERROR(VLOOKUP(B418,$A$5:$B$504,2,FALSE),""),$A$5:$C$504,3,FALSE)/100,1)*IFERROR(VLOOKUP(IFERROR(VLOOKUP(IFERROR(VLOOKUP(B418,$A$5:$B$504,2,FALSE),""),$A$5:$B$504,2,FALSE),""),$A$5:$C$504,3,FALSE)/100,1))</f>
        <v/>
      </c>
      <c r="E418" s="21">
        <f>IF(A418="","",SUMIF('Grup Eşleme'!$B$5:$B$504,A418,'Grup Eşleme'!$C$5:$C$504))</f>
        <v/>
      </c>
      <c r="F418" s="27">
        <f>IF(OR(A418="",'Metraj Mahal Listesi'!$K$3=0,COUNTIF($B$5:$B$504,A418)&gt;0),"",E418/'Metraj Mahal Listesi'!$K$3*100)</f>
        <v/>
      </c>
      <c r="G418" s="28">
        <f>IF(OR(D418="",F418=""),"",F418-D418)</f>
        <v/>
      </c>
      <c r="H418" s="29">
        <f>IF(OR(G418="",D418=0),"",G418/D418*100)</f>
        <v/>
      </c>
      <c r="I418" s="30">
        <f>IF(A418="","",IF(COUNTIF($B$5:$B$504,A418)&gt;0,IF(ABS(SUMIF($B$5:$B$504,A418,$C$5:$C$504)-100)&lt;0.0001,"✔ alt gruplar Σ=100","⚠ alt gruplar Σ≠100"),IF(G418="","—",IF(ABS(G418)&lt;=PursUyum,"✔ uyumlu",IF(ABS(G418)&lt;=PursCiddi,"⚠ dikkat","✗ ciddi fark")))))</f>
        <v/>
      </c>
      <c r="J418" s="5" t="n"/>
      <c r="K418" s="5" t="n"/>
    </row>
    <row r="419">
      <c r="A419" s="5" t="n"/>
      <c r="B419" s="5" t="n"/>
      <c r="C419" s="26" t="n"/>
      <c r="D419" s="27">
        <f>IF(OR(A419="",C419=""),"",C419*IFERROR(VLOOKUP(B419,$A$5:$C$504,3,FALSE)/100,1)*IFERROR(VLOOKUP(IFERROR(VLOOKUP(B419,$A$5:$B$504,2,FALSE),""),$A$5:$C$504,3,FALSE)/100,1)*IFERROR(VLOOKUP(IFERROR(VLOOKUP(IFERROR(VLOOKUP(B419,$A$5:$B$504,2,FALSE),""),$A$5:$B$504,2,FALSE),""),$A$5:$C$504,3,FALSE)/100,1))</f>
        <v/>
      </c>
      <c r="E419" s="21">
        <f>IF(A419="","",SUMIF('Grup Eşleme'!$B$5:$B$504,A419,'Grup Eşleme'!$C$5:$C$504))</f>
        <v/>
      </c>
      <c r="F419" s="27">
        <f>IF(OR(A419="",'Metraj Mahal Listesi'!$K$3=0,COUNTIF($B$5:$B$504,A419)&gt;0),"",E419/'Metraj Mahal Listesi'!$K$3*100)</f>
        <v/>
      </c>
      <c r="G419" s="28">
        <f>IF(OR(D419="",F419=""),"",F419-D419)</f>
        <v/>
      </c>
      <c r="H419" s="29">
        <f>IF(OR(G419="",D419=0),"",G419/D419*100)</f>
        <v/>
      </c>
      <c r="I419" s="30">
        <f>IF(A419="","",IF(COUNTIF($B$5:$B$504,A419)&gt;0,IF(ABS(SUMIF($B$5:$B$504,A419,$C$5:$C$504)-100)&lt;0.0001,"✔ alt gruplar Σ=100","⚠ alt gruplar Σ≠100"),IF(G419="","—",IF(ABS(G419)&lt;=PursUyum,"✔ uyumlu",IF(ABS(G419)&lt;=PursCiddi,"⚠ dikkat","✗ ciddi fark")))))</f>
        <v/>
      </c>
      <c r="J419" s="5" t="n"/>
      <c r="K419" s="5" t="n"/>
    </row>
    <row r="420">
      <c r="A420" s="5" t="n"/>
      <c r="B420" s="5" t="n"/>
      <c r="C420" s="26" t="n"/>
      <c r="D420" s="27">
        <f>IF(OR(A420="",C420=""),"",C420*IFERROR(VLOOKUP(B420,$A$5:$C$504,3,FALSE)/100,1)*IFERROR(VLOOKUP(IFERROR(VLOOKUP(B420,$A$5:$B$504,2,FALSE),""),$A$5:$C$504,3,FALSE)/100,1)*IFERROR(VLOOKUP(IFERROR(VLOOKUP(IFERROR(VLOOKUP(B420,$A$5:$B$504,2,FALSE),""),$A$5:$B$504,2,FALSE),""),$A$5:$C$504,3,FALSE)/100,1))</f>
        <v/>
      </c>
      <c r="E420" s="21">
        <f>IF(A420="","",SUMIF('Grup Eşleme'!$B$5:$B$504,A420,'Grup Eşleme'!$C$5:$C$504))</f>
        <v/>
      </c>
      <c r="F420" s="27">
        <f>IF(OR(A420="",'Metraj Mahal Listesi'!$K$3=0,COUNTIF($B$5:$B$504,A420)&gt;0),"",E420/'Metraj Mahal Listesi'!$K$3*100)</f>
        <v/>
      </c>
      <c r="G420" s="28">
        <f>IF(OR(D420="",F420=""),"",F420-D420)</f>
        <v/>
      </c>
      <c r="H420" s="29">
        <f>IF(OR(G420="",D420=0),"",G420/D420*100)</f>
        <v/>
      </c>
      <c r="I420" s="30">
        <f>IF(A420="","",IF(COUNTIF($B$5:$B$504,A420)&gt;0,IF(ABS(SUMIF($B$5:$B$504,A420,$C$5:$C$504)-100)&lt;0.0001,"✔ alt gruplar Σ=100","⚠ alt gruplar Σ≠100"),IF(G420="","—",IF(ABS(G420)&lt;=PursUyum,"✔ uyumlu",IF(ABS(G420)&lt;=PursCiddi,"⚠ dikkat","✗ ciddi fark")))))</f>
        <v/>
      </c>
      <c r="J420" s="5" t="n"/>
      <c r="K420" s="5" t="n"/>
    </row>
    <row r="421">
      <c r="A421" s="5" t="n"/>
      <c r="B421" s="5" t="n"/>
      <c r="C421" s="26" t="n"/>
      <c r="D421" s="27">
        <f>IF(OR(A421="",C421=""),"",C421*IFERROR(VLOOKUP(B421,$A$5:$C$504,3,FALSE)/100,1)*IFERROR(VLOOKUP(IFERROR(VLOOKUP(B421,$A$5:$B$504,2,FALSE),""),$A$5:$C$504,3,FALSE)/100,1)*IFERROR(VLOOKUP(IFERROR(VLOOKUP(IFERROR(VLOOKUP(B421,$A$5:$B$504,2,FALSE),""),$A$5:$B$504,2,FALSE),""),$A$5:$C$504,3,FALSE)/100,1))</f>
        <v/>
      </c>
      <c r="E421" s="21">
        <f>IF(A421="","",SUMIF('Grup Eşleme'!$B$5:$B$504,A421,'Grup Eşleme'!$C$5:$C$504))</f>
        <v/>
      </c>
      <c r="F421" s="27">
        <f>IF(OR(A421="",'Metraj Mahal Listesi'!$K$3=0,COUNTIF($B$5:$B$504,A421)&gt;0),"",E421/'Metraj Mahal Listesi'!$K$3*100)</f>
        <v/>
      </c>
      <c r="G421" s="28">
        <f>IF(OR(D421="",F421=""),"",F421-D421)</f>
        <v/>
      </c>
      <c r="H421" s="29">
        <f>IF(OR(G421="",D421=0),"",G421/D421*100)</f>
        <v/>
      </c>
      <c r="I421" s="30">
        <f>IF(A421="","",IF(COUNTIF($B$5:$B$504,A421)&gt;0,IF(ABS(SUMIF($B$5:$B$504,A421,$C$5:$C$504)-100)&lt;0.0001,"✔ alt gruplar Σ=100","⚠ alt gruplar Σ≠100"),IF(G421="","—",IF(ABS(G421)&lt;=PursUyum,"✔ uyumlu",IF(ABS(G421)&lt;=PursCiddi,"⚠ dikkat","✗ ciddi fark")))))</f>
        <v/>
      </c>
      <c r="J421" s="5" t="n"/>
      <c r="K421" s="5" t="n"/>
    </row>
    <row r="422">
      <c r="A422" s="5" t="n"/>
      <c r="B422" s="5" t="n"/>
      <c r="C422" s="26" t="n"/>
      <c r="D422" s="27">
        <f>IF(OR(A422="",C422=""),"",C422*IFERROR(VLOOKUP(B422,$A$5:$C$504,3,FALSE)/100,1)*IFERROR(VLOOKUP(IFERROR(VLOOKUP(B422,$A$5:$B$504,2,FALSE),""),$A$5:$C$504,3,FALSE)/100,1)*IFERROR(VLOOKUP(IFERROR(VLOOKUP(IFERROR(VLOOKUP(B422,$A$5:$B$504,2,FALSE),""),$A$5:$B$504,2,FALSE),""),$A$5:$C$504,3,FALSE)/100,1))</f>
        <v/>
      </c>
      <c r="E422" s="21">
        <f>IF(A422="","",SUMIF('Grup Eşleme'!$B$5:$B$504,A422,'Grup Eşleme'!$C$5:$C$504))</f>
        <v/>
      </c>
      <c r="F422" s="27">
        <f>IF(OR(A422="",'Metraj Mahal Listesi'!$K$3=0,COUNTIF($B$5:$B$504,A422)&gt;0),"",E422/'Metraj Mahal Listesi'!$K$3*100)</f>
        <v/>
      </c>
      <c r="G422" s="28">
        <f>IF(OR(D422="",F422=""),"",F422-D422)</f>
        <v/>
      </c>
      <c r="H422" s="29">
        <f>IF(OR(G422="",D422=0),"",G422/D422*100)</f>
        <v/>
      </c>
      <c r="I422" s="30">
        <f>IF(A422="","",IF(COUNTIF($B$5:$B$504,A422)&gt;0,IF(ABS(SUMIF($B$5:$B$504,A422,$C$5:$C$504)-100)&lt;0.0001,"✔ alt gruplar Σ=100","⚠ alt gruplar Σ≠100"),IF(G422="","—",IF(ABS(G422)&lt;=PursUyum,"✔ uyumlu",IF(ABS(G422)&lt;=PursCiddi,"⚠ dikkat","✗ ciddi fark")))))</f>
        <v/>
      </c>
      <c r="J422" s="5" t="n"/>
      <c r="K422" s="5" t="n"/>
    </row>
    <row r="423">
      <c r="A423" s="5" t="n"/>
      <c r="B423" s="5" t="n"/>
      <c r="C423" s="26" t="n"/>
      <c r="D423" s="27">
        <f>IF(OR(A423="",C423=""),"",C423*IFERROR(VLOOKUP(B423,$A$5:$C$504,3,FALSE)/100,1)*IFERROR(VLOOKUP(IFERROR(VLOOKUP(B423,$A$5:$B$504,2,FALSE),""),$A$5:$C$504,3,FALSE)/100,1)*IFERROR(VLOOKUP(IFERROR(VLOOKUP(IFERROR(VLOOKUP(B423,$A$5:$B$504,2,FALSE),""),$A$5:$B$504,2,FALSE),""),$A$5:$C$504,3,FALSE)/100,1))</f>
        <v/>
      </c>
      <c r="E423" s="21">
        <f>IF(A423="","",SUMIF('Grup Eşleme'!$B$5:$B$504,A423,'Grup Eşleme'!$C$5:$C$504))</f>
        <v/>
      </c>
      <c r="F423" s="27">
        <f>IF(OR(A423="",'Metraj Mahal Listesi'!$K$3=0,COUNTIF($B$5:$B$504,A423)&gt;0),"",E423/'Metraj Mahal Listesi'!$K$3*100)</f>
        <v/>
      </c>
      <c r="G423" s="28">
        <f>IF(OR(D423="",F423=""),"",F423-D423)</f>
        <v/>
      </c>
      <c r="H423" s="29">
        <f>IF(OR(G423="",D423=0),"",G423/D423*100)</f>
        <v/>
      </c>
      <c r="I423" s="30">
        <f>IF(A423="","",IF(COUNTIF($B$5:$B$504,A423)&gt;0,IF(ABS(SUMIF($B$5:$B$504,A423,$C$5:$C$504)-100)&lt;0.0001,"✔ alt gruplar Σ=100","⚠ alt gruplar Σ≠100"),IF(G423="","—",IF(ABS(G423)&lt;=PursUyum,"✔ uyumlu",IF(ABS(G423)&lt;=PursCiddi,"⚠ dikkat","✗ ciddi fark")))))</f>
        <v/>
      </c>
      <c r="J423" s="5" t="n"/>
      <c r="K423" s="5" t="n"/>
    </row>
    <row r="424">
      <c r="A424" s="5" t="n"/>
      <c r="B424" s="5" t="n"/>
      <c r="C424" s="26" t="n"/>
      <c r="D424" s="27">
        <f>IF(OR(A424="",C424=""),"",C424*IFERROR(VLOOKUP(B424,$A$5:$C$504,3,FALSE)/100,1)*IFERROR(VLOOKUP(IFERROR(VLOOKUP(B424,$A$5:$B$504,2,FALSE),""),$A$5:$C$504,3,FALSE)/100,1)*IFERROR(VLOOKUP(IFERROR(VLOOKUP(IFERROR(VLOOKUP(B424,$A$5:$B$504,2,FALSE),""),$A$5:$B$504,2,FALSE),""),$A$5:$C$504,3,FALSE)/100,1))</f>
        <v/>
      </c>
      <c r="E424" s="21">
        <f>IF(A424="","",SUMIF('Grup Eşleme'!$B$5:$B$504,A424,'Grup Eşleme'!$C$5:$C$504))</f>
        <v/>
      </c>
      <c r="F424" s="27">
        <f>IF(OR(A424="",'Metraj Mahal Listesi'!$K$3=0,COUNTIF($B$5:$B$504,A424)&gt;0),"",E424/'Metraj Mahal Listesi'!$K$3*100)</f>
        <v/>
      </c>
      <c r="G424" s="28">
        <f>IF(OR(D424="",F424=""),"",F424-D424)</f>
        <v/>
      </c>
      <c r="H424" s="29">
        <f>IF(OR(G424="",D424=0),"",G424/D424*100)</f>
        <v/>
      </c>
      <c r="I424" s="30">
        <f>IF(A424="","",IF(COUNTIF($B$5:$B$504,A424)&gt;0,IF(ABS(SUMIF($B$5:$B$504,A424,$C$5:$C$504)-100)&lt;0.0001,"✔ alt gruplar Σ=100","⚠ alt gruplar Σ≠100"),IF(G424="","—",IF(ABS(G424)&lt;=PursUyum,"✔ uyumlu",IF(ABS(G424)&lt;=PursCiddi,"⚠ dikkat","✗ ciddi fark")))))</f>
        <v/>
      </c>
      <c r="J424" s="5" t="n"/>
      <c r="K424" s="5" t="n"/>
    </row>
    <row r="425">
      <c r="A425" s="5" t="n"/>
      <c r="B425" s="5" t="n"/>
      <c r="C425" s="26" t="n"/>
      <c r="D425" s="27">
        <f>IF(OR(A425="",C425=""),"",C425*IFERROR(VLOOKUP(B425,$A$5:$C$504,3,FALSE)/100,1)*IFERROR(VLOOKUP(IFERROR(VLOOKUP(B425,$A$5:$B$504,2,FALSE),""),$A$5:$C$504,3,FALSE)/100,1)*IFERROR(VLOOKUP(IFERROR(VLOOKUP(IFERROR(VLOOKUP(B425,$A$5:$B$504,2,FALSE),""),$A$5:$B$504,2,FALSE),""),$A$5:$C$504,3,FALSE)/100,1))</f>
        <v/>
      </c>
      <c r="E425" s="21">
        <f>IF(A425="","",SUMIF('Grup Eşleme'!$B$5:$B$504,A425,'Grup Eşleme'!$C$5:$C$504))</f>
        <v/>
      </c>
      <c r="F425" s="27">
        <f>IF(OR(A425="",'Metraj Mahal Listesi'!$K$3=0,COUNTIF($B$5:$B$504,A425)&gt;0),"",E425/'Metraj Mahal Listesi'!$K$3*100)</f>
        <v/>
      </c>
      <c r="G425" s="28">
        <f>IF(OR(D425="",F425=""),"",F425-D425)</f>
        <v/>
      </c>
      <c r="H425" s="29">
        <f>IF(OR(G425="",D425=0),"",G425/D425*100)</f>
        <v/>
      </c>
      <c r="I425" s="30">
        <f>IF(A425="","",IF(COUNTIF($B$5:$B$504,A425)&gt;0,IF(ABS(SUMIF($B$5:$B$504,A425,$C$5:$C$504)-100)&lt;0.0001,"✔ alt gruplar Σ=100","⚠ alt gruplar Σ≠100"),IF(G425="","—",IF(ABS(G425)&lt;=PursUyum,"✔ uyumlu",IF(ABS(G425)&lt;=PursCiddi,"⚠ dikkat","✗ ciddi fark")))))</f>
        <v/>
      </c>
      <c r="J425" s="5" t="n"/>
      <c r="K425" s="5" t="n"/>
    </row>
    <row r="426">
      <c r="A426" s="5" t="n"/>
      <c r="B426" s="5" t="n"/>
      <c r="C426" s="26" t="n"/>
      <c r="D426" s="27">
        <f>IF(OR(A426="",C426=""),"",C426*IFERROR(VLOOKUP(B426,$A$5:$C$504,3,FALSE)/100,1)*IFERROR(VLOOKUP(IFERROR(VLOOKUP(B426,$A$5:$B$504,2,FALSE),""),$A$5:$C$504,3,FALSE)/100,1)*IFERROR(VLOOKUP(IFERROR(VLOOKUP(IFERROR(VLOOKUP(B426,$A$5:$B$504,2,FALSE),""),$A$5:$B$504,2,FALSE),""),$A$5:$C$504,3,FALSE)/100,1))</f>
        <v/>
      </c>
      <c r="E426" s="21">
        <f>IF(A426="","",SUMIF('Grup Eşleme'!$B$5:$B$504,A426,'Grup Eşleme'!$C$5:$C$504))</f>
        <v/>
      </c>
      <c r="F426" s="27">
        <f>IF(OR(A426="",'Metraj Mahal Listesi'!$K$3=0,COUNTIF($B$5:$B$504,A426)&gt;0),"",E426/'Metraj Mahal Listesi'!$K$3*100)</f>
        <v/>
      </c>
      <c r="G426" s="28">
        <f>IF(OR(D426="",F426=""),"",F426-D426)</f>
        <v/>
      </c>
      <c r="H426" s="29">
        <f>IF(OR(G426="",D426=0),"",G426/D426*100)</f>
        <v/>
      </c>
      <c r="I426" s="30">
        <f>IF(A426="","",IF(COUNTIF($B$5:$B$504,A426)&gt;0,IF(ABS(SUMIF($B$5:$B$504,A426,$C$5:$C$504)-100)&lt;0.0001,"✔ alt gruplar Σ=100","⚠ alt gruplar Σ≠100"),IF(G426="","—",IF(ABS(G426)&lt;=PursUyum,"✔ uyumlu",IF(ABS(G426)&lt;=PursCiddi,"⚠ dikkat","✗ ciddi fark")))))</f>
        <v/>
      </c>
      <c r="J426" s="5" t="n"/>
      <c r="K426" s="5" t="n"/>
    </row>
    <row r="427">
      <c r="A427" s="5" t="n"/>
      <c r="B427" s="5" t="n"/>
      <c r="C427" s="26" t="n"/>
      <c r="D427" s="27">
        <f>IF(OR(A427="",C427=""),"",C427*IFERROR(VLOOKUP(B427,$A$5:$C$504,3,FALSE)/100,1)*IFERROR(VLOOKUP(IFERROR(VLOOKUP(B427,$A$5:$B$504,2,FALSE),""),$A$5:$C$504,3,FALSE)/100,1)*IFERROR(VLOOKUP(IFERROR(VLOOKUP(IFERROR(VLOOKUP(B427,$A$5:$B$504,2,FALSE),""),$A$5:$B$504,2,FALSE),""),$A$5:$C$504,3,FALSE)/100,1))</f>
        <v/>
      </c>
      <c r="E427" s="21">
        <f>IF(A427="","",SUMIF('Grup Eşleme'!$B$5:$B$504,A427,'Grup Eşleme'!$C$5:$C$504))</f>
        <v/>
      </c>
      <c r="F427" s="27">
        <f>IF(OR(A427="",'Metraj Mahal Listesi'!$K$3=0,COUNTIF($B$5:$B$504,A427)&gt;0),"",E427/'Metraj Mahal Listesi'!$K$3*100)</f>
        <v/>
      </c>
      <c r="G427" s="28">
        <f>IF(OR(D427="",F427=""),"",F427-D427)</f>
        <v/>
      </c>
      <c r="H427" s="29">
        <f>IF(OR(G427="",D427=0),"",G427/D427*100)</f>
        <v/>
      </c>
      <c r="I427" s="30">
        <f>IF(A427="","",IF(COUNTIF($B$5:$B$504,A427)&gt;0,IF(ABS(SUMIF($B$5:$B$504,A427,$C$5:$C$504)-100)&lt;0.0001,"✔ alt gruplar Σ=100","⚠ alt gruplar Σ≠100"),IF(G427="","—",IF(ABS(G427)&lt;=PursUyum,"✔ uyumlu",IF(ABS(G427)&lt;=PursCiddi,"⚠ dikkat","✗ ciddi fark")))))</f>
        <v/>
      </c>
      <c r="J427" s="5" t="n"/>
      <c r="K427" s="5" t="n"/>
    </row>
    <row r="428">
      <c r="A428" s="5" t="n"/>
      <c r="B428" s="5" t="n"/>
      <c r="C428" s="26" t="n"/>
      <c r="D428" s="27">
        <f>IF(OR(A428="",C428=""),"",C428*IFERROR(VLOOKUP(B428,$A$5:$C$504,3,FALSE)/100,1)*IFERROR(VLOOKUP(IFERROR(VLOOKUP(B428,$A$5:$B$504,2,FALSE),""),$A$5:$C$504,3,FALSE)/100,1)*IFERROR(VLOOKUP(IFERROR(VLOOKUP(IFERROR(VLOOKUP(B428,$A$5:$B$504,2,FALSE),""),$A$5:$B$504,2,FALSE),""),$A$5:$C$504,3,FALSE)/100,1))</f>
        <v/>
      </c>
      <c r="E428" s="21">
        <f>IF(A428="","",SUMIF('Grup Eşleme'!$B$5:$B$504,A428,'Grup Eşleme'!$C$5:$C$504))</f>
        <v/>
      </c>
      <c r="F428" s="27">
        <f>IF(OR(A428="",'Metraj Mahal Listesi'!$K$3=0,COUNTIF($B$5:$B$504,A428)&gt;0),"",E428/'Metraj Mahal Listesi'!$K$3*100)</f>
        <v/>
      </c>
      <c r="G428" s="28">
        <f>IF(OR(D428="",F428=""),"",F428-D428)</f>
        <v/>
      </c>
      <c r="H428" s="29">
        <f>IF(OR(G428="",D428=0),"",G428/D428*100)</f>
        <v/>
      </c>
      <c r="I428" s="30">
        <f>IF(A428="","",IF(COUNTIF($B$5:$B$504,A428)&gt;0,IF(ABS(SUMIF($B$5:$B$504,A428,$C$5:$C$504)-100)&lt;0.0001,"✔ alt gruplar Σ=100","⚠ alt gruplar Σ≠100"),IF(G428="","—",IF(ABS(G428)&lt;=PursUyum,"✔ uyumlu",IF(ABS(G428)&lt;=PursCiddi,"⚠ dikkat","✗ ciddi fark")))))</f>
        <v/>
      </c>
      <c r="J428" s="5" t="n"/>
      <c r="K428" s="5" t="n"/>
    </row>
    <row r="429">
      <c r="A429" s="5" t="n"/>
      <c r="B429" s="5" t="n"/>
      <c r="C429" s="26" t="n"/>
      <c r="D429" s="27">
        <f>IF(OR(A429="",C429=""),"",C429*IFERROR(VLOOKUP(B429,$A$5:$C$504,3,FALSE)/100,1)*IFERROR(VLOOKUP(IFERROR(VLOOKUP(B429,$A$5:$B$504,2,FALSE),""),$A$5:$C$504,3,FALSE)/100,1)*IFERROR(VLOOKUP(IFERROR(VLOOKUP(IFERROR(VLOOKUP(B429,$A$5:$B$504,2,FALSE),""),$A$5:$B$504,2,FALSE),""),$A$5:$C$504,3,FALSE)/100,1))</f>
        <v/>
      </c>
      <c r="E429" s="21">
        <f>IF(A429="","",SUMIF('Grup Eşleme'!$B$5:$B$504,A429,'Grup Eşleme'!$C$5:$C$504))</f>
        <v/>
      </c>
      <c r="F429" s="27">
        <f>IF(OR(A429="",'Metraj Mahal Listesi'!$K$3=0,COUNTIF($B$5:$B$504,A429)&gt;0),"",E429/'Metraj Mahal Listesi'!$K$3*100)</f>
        <v/>
      </c>
      <c r="G429" s="28">
        <f>IF(OR(D429="",F429=""),"",F429-D429)</f>
        <v/>
      </c>
      <c r="H429" s="29">
        <f>IF(OR(G429="",D429=0),"",G429/D429*100)</f>
        <v/>
      </c>
      <c r="I429" s="30">
        <f>IF(A429="","",IF(COUNTIF($B$5:$B$504,A429)&gt;0,IF(ABS(SUMIF($B$5:$B$504,A429,$C$5:$C$504)-100)&lt;0.0001,"✔ alt gruplar Σ=100","⚠ alt gruplar Σ≠100"),IF(G429="","—",IF(ABS(G429)&lt;=PursUyum,"✔ uyumlu",IF(ABS(G429)&lt;=PursCiddi,"⚠ dikkat","✗ ciddi fark")))))</f>
        <v/>
      </c>
      <c r="J429" s="5" t="n"/>
      <c r="K429" s="5" t="n"/>
    </row>
    <row r="430">
      <c r="A430" s="5" t="n"/>
      <c r="B430" s="5" t="n"/>
      <c r="C430" s="26" t="n"/>
      <c r="D430" s="27">
        <f>IF(OR(A430="",C430=""),"",C430*IFERROR(VLOOKUP(B430,$A$5:$C$504,3,FALSE)/100,1)*IFERROR(VLOOKUP(IFERROR(VLOOKUP(B430,$A$5:$B$504,2,FALSE),""),$A$5:$C$504,3,FALSE)/100,1)*IFERROR(VLOOKUP(IFERROR(VLOOKUP(IFERROR(VLOOKUP(B430,$A$5:$B$504,2,FALSE),""),$A$5:$B$504,2,FALSE),""),$A$5:$C$504,3,FALSE)/100,1))</f>
        <v/>
      </c>
      <c r="E430" s="21">
        <f>IF(A430="","",SUMIF('Grup Eşleme'!$B$5:$B$504,A430,'Grup Eşleme'!$C$5:$C$504))</f>
        <v/>
      </c>
      <c r="F430" s="27">
        <f>IF(OR(A430="",'Metraj Mahal Listesi'!$K$3=0,COUNTIF($B$5:$B$504,A430)&gt;0),"",E430/'Metraj Mahal Listesi'!$K$3*100)</f>
        <v/>
      </c>
      <c r="G430" s="28">
        <f>IF(OR(D430="",F430=""),"",F430-D430)</f>
        <v/>
      </c>
      <c r="H430" s="29">
        <f>IF(OR(G430="",D430=0),"",G430/D430*100)</f>
        <v/>
      </c>
      <c r="I430" s="30">
        <f>IF(A430="","",IF(COUNTIF($B$5:$B$504,A430)&gt;0,IF(ABS(SUMIF($B$5:$B$504,A430,$C$5:$C$504)-100)&lt;0.0001,"✔ alt gruplar Σ=100","⚠ alt gruplar Σ≠100"),IF(G430="","—",IF(ABS(G430)&lt;=PursUyum,"✔ uyumlu",IF(ABS(G430)&lt;=PursCiddi,"⚠ dikkat","✗ ciddi fark")))))</f>
        <v/>
      </c>
      <c r="J430" s="5" t="n"/>
      <c r="K430" s="5" t="n"/>
    </row>
    <row r="431">
      <c r="A431" s="5" t="n"/>
      <c r="B431" s="5" t="n"/>
      <c r="C431" s="26" t="n"/>
      <c r="D431" s="27">
        <f>IF(OR(A431="",C431=""),"",C431*IFERROR(VLOOKUP(B431,$A$5:$C$504,3,FALSE)/100,1)*IFERROR(VLOOKUP(IFERROR(VLOOKUP(B431,$A$5:$B$504,2,FALSE),""),$A$5:$C$504,3,FALSE)/100,1)*IFERROR(VLOOKUP(IFERROR(VLOOKUP(IFERROR(VLOOKUP(B431,$A$5:$B$504,2,FALSE),""),$A$5:$B$504,2,FALSE),""),$A$5:$C$504,3,FALSE)/100,1))</f>
        <v/>
      </c>
      <c r="E431" s="21">
        <f>IF(A431="","",SUMIF('Grup Eşleme'!$B$5:$B$504,A431,'Grup Eşleme'!$C$5:$C$504))</f>
        <v/>
      </c>
      <c r="F431" s="27">
        <f>IF(OR(A431="",'Metraj Mahal Listesi'!$K$3=0,COUNTIF($B$5:$B$504,A431)&gt;0),"",E431/'Metraj Mahal Listesi'!$K$3*100)</f>
        <v/>
      </c>
      <c r="G431" s="28">
        <f>IF(OR(D431="",F431=""),"",F431-D431)</f>
        <v/>
      </c>
      <c r="H431" s="29">
        <f>IF(OR(G431="",D431=0),"",G431/D431*100)</f>
        <v/>
      </c>
      <c r="I431" s="30">
        <f>IF(A431="","",IF(COUNTIF($B$5:$B$504,A431)&gt;0,IF(ABS(SUMIF($B$5:$B$504,A431,$C$5:$C$504)-100)&lt;0.0001,"✔ alt gruplar Σ=100","⚠ alt gruplar Σ≠100"),IF(G431="","—",IF(ABS(G431)&lt;=PursUyum,"✔ uyumlu",IF(ABS(G431)&lt;=PursCiddi,"⚠ dikkat","✗ ciddi fark")))))</f>
        <v/>
      </c>
      <c r="J431" s="5" t="n"/>
      <c r="K431" s="5" t="n"/>
    </row>
    <row r="432">
      <c r="A432" s="5" t="n"/>
      <c r="B432" s="5" t="n"/>
      <c r="C432" s="26" t="n"/>
      <c r="D432" s="27">
        <f>IF(OR(A432="",C432=""),"",C432*IFERROR(VLOOKUP(B432,$A$5:$C$504,3,FALSE)/100,1)*IFERROR(VLOOKUP(IFERROR(VLOOKUP(B432,$A$5:$B$504,2,FALSE),""),$A$5:$C$504,3,FALSE)/100,1)*IFERROR(VLOOKUP(IFERROR(VLOOKUP(IFERROR(VLOOKUP(B432,$A$5:$B$504,2,FALSE),""),$A$5:$B$504,2,FALSE),""),$A$5:$C$504,3,FALSE)/100,1))</f>
        <v/>
      </c>
      <c r="E432" s="21">
        <f>IF(A432="","",SUMIF('Grup Eşleme'!$B$5:$B$504,A432,'Grup Eşleme'!$C$5:$C$504))</f>
        <v/>
      </c>
      <c r="F432" s="27">
        <f>IF(OR(A432="",'Metraj Mahal Listesi'!$K$3=0,COUNTIF($B$5:$B$504,A432)&gt;0),"",E432/'Metraj Mahal Listesi'!$K$3*100)</f>
        <v/>
      </c>
      <c r="G432" s="28">
        <f>IF(OR(D432="",F432=""),"",F432-D432)</f>
        <v/>
      </c>
      <c r="H432" s="29">
        <f>IF(OR(G432="",D432=0),"",G432/D432*100)</f>
        <v/>
      </c>
      <c r="I432" s="30">
        <f>IF(A432="","",IF(COUNTIF($B$5:$B$504,A432)&gt;0,IF(ABS(SUMIF($B$5:$B$504,A432,$C$5:$C$504)-100)&lt;0.0001,"✔ alt gruplar Σ=100","⚠ alt gruplar Σ≠100"),IF(G432="","—",IF(ABS(G432)&lt;=PursUyum,"✔ uyumlu",IF(ABS(G432)&lt;=PursCiddi,"⚠ dikkat","✗ ciddi fark")))))</f>
        <v/>
      </c>
      <c r="J432" s="5" t="n"/>
      <c r="K432" s="5" t="n"/>
    </row>
    <row r="433">
      <c r="A433" s="5" t="n"/>
      <c r="B433" s="5" t="n"/>
      <c r="C433" s="26" t="n"/>
      <c r="D433" s="27">
        <f>IF(OR(A433="",C433=""),"",C433*IFERROR(VLOOKUP(B433,$A$5:$C$504,3,FALSE)/100,1)*IFERROR(VLOOKUP(IFERROR(VLOOKUP(B433,$A$5:$B$504,2,FALSE),""),$A$5:$C$504,3,FALSE)/100,1)*IFERROR(VLOOKUP(IFERROR(VLOOKUP(IFERROR(VLOOKUP(B433,$A$5:$B$504,2,FALSE),""),$A$5:$B$504,2,FALSE),""),$A$5:$C$504,3,FALSE)/100,1))</f>
        <v/>
      </c>
      <c r="E433" s="21">
        <f>IF(A433="","",SUMIF('Grup Eşleme'!$B$5:$B$504,A433,'Grup Eşleme'!$C$5:$C$504))</f>
        <v/>
      </c>
      <c r="F433" s="27">
        <f>IF(OR(A433="",'Metraj Mahal Listesi'!$K$3=0,COUNTIF($B$5:$B$504,A433)&gt;0),"",E433/'Metraj Mahal Listesi'!$K$3*100)</f>
        <v/>
      </c>
      <c r="G433" s="28">
        <f>IF(OR(D433="",F433=""),"",F433-D433)</f>
        <v/>
      </c>
      <c r="H433" s="29">
        <f>IF(OR(G433="",D433=0),"",G433/D433*100)</f>
        <v/>
      </c>
      <c r="I433" s="30">
        <f>IF(A433="","",IF(COUNTIF($B$5:$B$504,A433)&gt;0,IF(ABS(SUMIF($B$5:$B$504,A433,$C$5:$C$504)-100)&lt;0.0001,"✔ alt gruplar Σ=100","⚠ alt gruplar Σ≠100"),IF(G433="","—",IF(ABS(G433)&lt;=PursUyum,"✔ uyumlu",IF(ABS(G433)&lt;=PursCiddi,"⚠ dikkat","✗ ciddi fark")))))</f>
        <v/>
      </c>
      <c r="J433" s="5" t="n"/>
      <c r="K433" s="5" t="n"/>
    </row>
    <row r="434">
      <c r="A434" s="5" t="n"/>
      <c r="B434" s="5" t="n"/>
      <c r="C434" s="26" t="n"/>
      <c r="D434" s="27">
        <f>IF(OR(A434="",C434=""),"",C434*IFERROR(VLOOKUP(B434,$A$5:$C$504,3,FALSE)/100,1)*IFERROR(VLOOKUP(IFERROR(VLOOKUP(B434,$A$5:$B$504,2,FALSE),""),$A$5:$C$504,3,FALSE)/100,1)*IFERROR(VLOOKUP(IFERROR(VLOOKUP(IFERROR(VLOOKUP(B434,$A$5:$B$504,2,FALSE),""),$A$5:$B$504,2,FALSE),""),$A$5:$C$504,3,FALSE)/100,1))</f>
        <v/>
      </c>
      <c r="E434" s="21">
        <f>IF(A434="","",SUMIF('Grup Eşleme'!$B$5:$B$504,A434,'Grup Eşleme'!$C$5:$C$504))</f>
        <v/>
      </c>
      <c r="F434" s="27">
        <f>IF(OR(A434="",'Metraj Mahal Listesi'!$K$3=0,COUNTIF($B$5:$B$504,A434)&gt;0),"",E434/'Metraj Mahal Listesi'!$K$3*100)</f>
        <v/>
      </c>
      <c r="G434" s="28">
        <f>IF(OR(D434="",F434=""),"",F434-D434)</f>
        <v/>
      </c>
      <c r="H434" s="29">
        <f>IF(OR(G434="",D434=0),"",G434/D434*100)</f>
        <v/>
      </c>
      <c r="I434" s="30">
        <f>IF(A434="","",IF(COUNTIF($B$5:$B$504,A434)&gt;0,IF(ABS(SUMIF($B$5:$B$504,A434,$C$5:$C$504)-100)&lt;0.0001,"✔ alt gruplar Σ=100","⚠ alt gruplar Σ≠100"),IF(G434="","—",IF(ABS(G434)&lt;=PursUyum,"✔ uyumlu",IF(ABS(G434)&lt;=PursCiddi,"⚠ dikkat","✗ ciddi fark")))))</f>
        <v/>
      </c>
      <c r="J434" s="5" t="n"/>
      <c r="K434" s="5" t="n"/>
    </row>
    <row r="435">
      <c r="A435" s="5" t="n"/>
      <c r="B435" s="5" t="n"/>
      <c r="C435" s="26" t="n"/>
      <c r="D435" s="27">
        <f>IF(OR(A435="",C435=""),"",C435*IFERROR(VLOOKUP(B435,$A$5:$C$504,3,FALSE)/100,1)*IFERROR(VLOOKUP(IFERROR(VLOOKUP(B435,$A$5:$B$504,2,FALSE),""),$A$5:$C$504,3,FALSE)/100,1)*IFERROR(VLOOKUP(IFERROR(VLOOKUP(IFERROR(VLOOKUP(B435,$A$5:$B$504,2,FALSE),""),$A$5:$B$504,2,FALSE),""),$A$5:$C$504,3,FALSE)/100,1))</f>
        <v/>
      </c>
      <c r="E435" s="21">
        <f>IF(A435="","",SUMIF('Grup Eşleme'!$B$5:$B$504,A435,'Grup Eşleme'!$C$5:$C$504))</f>
        <v/>
      </c>
      <c r="F435" s="27">
        <f>IF(OR(A435="",'Metraj Mahal Listesi'!$K$3=0,COUNTIF($B$5:$B$504,A435)&gt;0),"",E435/'Metraj Mahal Listesi'!$K$3*100)</f>
        <v/>
      </c>
      <c r="G435" s="28">
        <f>IF(OR(D435="",F435=""),"",F435-D435)</f>
        <v/>
      </c>
      <c r="H435" s="29">
        <f>IF(OR(G435="",D435=0),"",G435/D435*100)</f>
        <v/>
      </c>
      <c r="I435" s="30">
        <f>IF(A435="","",IF(COUNTIF($B$5:$B$504,A435)&gt;0,IF(ABS(SUMIF($B$5:$B$504,A435,$C$5:$C$504)-100)&lt;0.0001,"✔ alt gruplar Σ=100","⚠ alt gruplar Σ≠100"),IF(G435="","—",IF(ABS(G435)&lt;=PursUyum,"✔ uyumlu",IF(ABS(G435)&lt;=PursCiddi,"⚠ dikkat","✗ ciddi fark")))))</f>
        <v/>
      </c>
      <c r="J435" s="5" t="n"/>
      <c r="K435" s="5" t="n"/>
    </row>
    <row r="436">
      <c r="A436" s="5" t="n"/>
      <c r="B436" s="5" t="n"/>
      <c r="C436" s="26" t="n"/>
      <c r="D436" s="27">
        <f>IF(OR(A436="",C436=""),"",C436*IFERROR(VLOOKUP(B436,$A$5:$C$504,3,FALSE)/100,1)*IFERROR(VLOOKUP(IFERROR(VLOOKUP(B436,$A$5:$B$504,2,FALSE),""),$A$5:$C$504,3,FALSE)/100,1)*IFERROR(VLOOKUP(IFERROR(VLOOKUP(IFERROR(VLOOKUP(B436,$A$5:$B$504,2,FALSE),""),$A$5:$B$504,2,FALSE),""),$A$5:$C$504,3,FALSE)/100,1))</f>
        <v/>
      </c>
      <c r="E436" s="21">
        <f>IF(A436="","",SUMIF('Grup Eşleme'!$B$5:$B$504,A436,'Grup Eşleme'!$C$5:$C$504))</f>
        <v/>
      </c>
      <c r="F436" s="27">
        <f>IF(OR(A436="",'Metraj Mahal Listesi'!$K$3=0,COUNTIF($B$5:$B$504,A436)&gt;0),"",E436/'Metraj Mahal Listesi'!$K$3*100)</f>
        <v/>
      </c>
      <c r="G436" s="28">
        <f>IF(OR(D436="",F436=""),"",F436-D436)</f>
        <v/>
      </c>
      <c r="H436" s="29">
        <f>IF(OR(G436="",D436=0),"",G436/D436*100)</f>
        <v/>
      </c>
      <c r="I436" s="30">
        <f>IF(A436="","",IF(COUNTIF($B$5:$B$504,A436)&gt;0,IF(ABS(SUMIF($B$5:$B$504,A436,$C$5:$C$504)-100)&lt;0.0001,"✔ alt gruplar Σ=100","⚠ alt gruplar Σ≠100"),IF(G436="","—",IF(ABS(G436)&lt;=PursUyum,"✔ uyumlu",IF(ABS(G436)&lt;=PursCiddi,"⚠ dikkat","✗ ciddi fark")))))</f>
        <v/>
      </c>
      <c r="J436" s="5" t="n"/>
      <c r="K436" s="5" t="n"/>
    </row>
    <row r="437">
      <c r="A437" s="5" t="n"/>
      <c r="B437" s="5" t="n"/>
      <c r="C437" s="26" t="n"/>
      <c r="D437" s="27">
        <f>IF(OR(A437="",C437=""),"",C437*IFERROR(VLOOKUP(B437,$A$5:$C$504,3,FALSE)/100,1)*IFERROR(VLOOKUP(IFERROR(VLOOKUP(B437,$A$5:$B$504,2,FALSE),""),$A$5:$C$504,3,FALSE)/100,1)*IFERROR(VLOOKUP(IFERROR(VLOOKUP(IFERROR(VLOOKUP(B437,$A$5:$B$504,2,FALSE),""),$A$5:$B$504,2,FALSE),""),$A$5:$C$504,3,FALSE)/100,1))</f>
        <v/>
      </c>
      <c r="E437" s="21">
        <f>IF(A437="","",SUMIF('Grup Eşleme'!$B$5:$B$504,A437,'Grup Eşleme'!$C$5:$C$504))</f>
        <v/>
      </c>
      <c r="F437" s="27">
        <f>IF(OR(A437="",'Metraj Mahal Listesi'!$K$3=0,COUNTIF($B$5:$B$504,A437)&gt;0),"",E437/'Metraj Mahal Listesi'!$K$3*100)</f>
        <v/>
      </c>
      <c r="G437" s="28">
        <f>IF(OR(D437="",F437=""),"",F437-D437)</f>
        <v/>
      </c>
      <c r="H437" s="29">
        <f>IF(OR(G437="",D437=0),"",G437/D437*100)</f>
        <v/>
      </c>
      <c r="I437" s="30">
        <f>IF(A437="","",IF(COUNTIF($B$5:$B$504,A437)&gt;0,IF(ABS(SUMIF($B$5:$B$504,A437,$C$5:$C$504)-100)&lt;0.0001,"✔ alt gruplar Σ=100","⚠ alt gruplar Σ≠100"),IF(G437="","—",IF(ABS(G437)&lt;=PursUyum,"✔ uyumlu",IF(ABS(G437)&lt;=PursCiddi,"⚠ dikkat","✗ ciddi fark")))))</f>
        <v/>
      </c>
      <c r="J437" s="5" t="n"/>
      <c r="K437" s="5" t="n"/>
    </row>
    <row r="438">
      <c r="A438" s="5" t="n"/>
      <c r="B438" s="5" t="n"/>
      <c r="C438" s="26" t="n"/>
      <c r="D438" s="27">
        <f>IF(OR(A438="",C438=""),"",C438*IFERROR(VLOOKUP(B438,$A$5:$C$504,3,FALSE)/100,1)*IFERROR(VLOOKUP(IFERROR(VLOOKUP(B438,$A$5:$B$504,2,FALSE),""),$A$5:$C$504,3,FALSE)/100,1)*IFERROR(VLOOKUP(IFERROR(VLOOKUP(IFERROR(VLOOKUP(B438,$A$5:$B$504,2,FALSE),""),$A$5:$B$504,2,FALSE),""),$A$5:$C$504,3,FALSE)/100,1))</f>
        <v/>
      </c>
      <c r="E438" s="21">
        <f>IF(A438="","",SUMIF('Grup Eşleme'!$B$5:$B$504,A438,'Grup Eşleme'!$C$5:$C$504))</f>
        <v/>
      </c>
      <c r="F438" s="27">
        <f>IF(OR(A438="",'Metraj Mahal Listesi'!$K$3=0,COUNTIF($B$5:$B$504,A438)&gt;0),"",E438/'Metraj Mahal Listesi'!$K$3*100)</f>
        <v/>
      </c>
      <c r="G438" s="28">
        <f>IF(OR(D438="",F438=""),"",F438-D438)</f>
        <v/>
      </c>
      <c r="H438" s="29">
        <f>IF(OR(G438="",D438=0),"",G438/D438*100)</f>
        <v/>
      </c>
      <c r="I438" s="30">
        <f>IF(A438="","",IF(COUNTIF($B$5:$B$504,A438)&gt;0,IF(ABS(SUMIF($B$5:$B$504,A438,$C$5:$C$504)-100)&lt;0.0001,"✔ alt gruplar Σ=100","⚠ alt gruplar Σ≠100"),IF(G438="","—",IF(ABS(G438)&lt;=PursUyum,"✔ uyumlu",IF(ABS(G438)&lt;=PursCiddi,"⚠ dikkat","✗ ciddi fark")))))</f>
        <v/>
      </c>
      <c r="J438" s="5" t="n"/>
      <c r="K438" s="5" t="n"/>
    </row>
    <row r="439">
      <c r="A439" s="5" t="n"/>
      <c r="B439" s="5" t="n"/>
      <c r="C439" s="26" t="n"/>
      <c r="D439" s="27">
        <f>IF(OR(A439="",C439=""),"",C439*IFERROR(VLOOKUP(B439,$A$5:$C$504,3,FALSE)/100,1)*IFERROR(VLOOKUP(IFERROR(VLOOKUP(B439,$A$5:$B$504,2,FALSE),""),$A$5:$C$504,3,FALSE)/100,1)*IFERROR(VLOOKUP(IFERROR(VLOOKUP(IFERROR(VLOOKUP(B439,$A$5:$B$504,2,FALSE),""),$A$5:$B$504,2,FALSE),""),$A$5:$C$504,3,FALSE)/100,1))</f>
        <v/>
      </c>
      <c r="E439" s="21">
        <f>IF(A439="","",SUMIF('Grup Eşleme'!$B$5:$B$504,A439,'Grup Eşleme'!$C$5:$C$504))</f>
        <v/>
      </c>
      <c r="F439" s="27">
        <f>IF(OR(A439="",'Metraj Mahal Listesi'!$K$3=0,COUNTIF($B$5:$B$504,A439)&gt;0),"",E439/'Metraj Mahal Listesi'!$K$3*100)</f>
        <v/>
      </c>
      <c r="G439" s="28">
        <f>IF(OR(D439="",F439=""),"",F439-D439)</f>
        <v/>
      </c>
      <c r="H439" s="29">
        <f>IF(OR(G439="",D439=0),"",G439/D439*100)</f>
        <v/>
      </c>
      <c r="I439" s="30">
        <f>IF(A439="","",IF(COUNTIF($B$5:$B$504,A439)&gt;0,IF(ABS(SUMIF($B$5:$B$504,A439,$C$5:$C$504)-100)&lt;0.0001,"✔ alt gruplar Σ=100","⚠ alt gruplar Σ≠100"),IF(G439="","—",IF(ABS(G439)&lt;=PursUyum,"✔ uyumlu",IF(ABS(G439)&lt;=PursCiddi,"⚠ dikkat","✗ ciddi fark")))))</f>
        <v/>
      </c>
      <c r="J439" s="5" t="n"/>
      <c r="K439" s="5" t="n"/>
    </row>
    <row r="440">
      <c r="A440" s="5" t="n"/>
      <c r="B440" s="5" t="n"/>
      <c r="C440" s="26" t="n"/>
      <c r="D440" s="27">
        <f>IF(OR(A440="",C440=""),"",C440*IFERROR(VLOOKUP(B440,$A$5:$C$504,3,FALSE)/100,1)*IFERROR(VLOOKUP(IFERROR(VLOOKUP(B440,$A$5:$B$504,2,FALSE),""),$A$5:$C$504,3,FALSE)/100,1)*IFERROR(VLOOKUP(IFERROR(VLOOKUP(IFERROR(VLOOKUP(B440,$A$5:$B$504,2,FALSE),""),$A$5:$B$504,2,FALSE),""),$A$5:$C$504,3,FALSE)/100,1))</f>
        <v/>
      </c>
      <c r="E440" s="21">
        <f>IF(A440="","",SUMIF('Grup Eşleme'!$B$5:$B$504,A440,'Grup Eşleme'!$C$5:$C$504))</f>
        <v/>
      </c>
      <c r="F440" s="27">
        <f>IF(OR(A440="",'Metraj Mahal Listesi'!$K$3=0,COUNTIF($B$5:$B$504,A440)&gt;0),"",E440/'Metraj Mahal Listesi'!$K$3*100)</f>
        <v/>
      </c>
      <c r="G440" s="28">
        <f>IF(OR(D440="",F440=""),"",F440-D440)</f>
        <v/>
      </c>
      <c r="H440" s="29">
        <f>IF(OR(G440="",D440=0),"",G440/D440*100)</f>
        <v/>
      </c>
      <c r="I440" s="30">
        <f>IF(A440="","",IF(COUNTIF($B$5:$B$504,A440)&gt;0,IF(ABS(SUMIF($B$5:$B$504,A440,$C$5:$C$504)-100)&lt;0.0001,"✔ alt gruplar Σ=100","⚠ alt gruplar Σ≠100"),IF(G440="","—",IF(ABS(G440)&lt;=PursUyum,"✔ uyumlu",IF(ABS(G440)&lt;=PursCiddi,"⚠ dikkat","✗ ciddi fark")))))</f>
        <v/>
      </c>
      <c r="J440" s="5" t="n"/>
      <c r="K440" s="5" t="n"/>
    </row>
    <row r="441">
      <c r="A441" s="5" t="n"/>
      <c r="B441" s="5" t="n"/>
      <c r="C441" s="26" t="n"/>
      <c r="D441" s="27">
        <f>IF(OR(A441="",C441=""),"",C441*IFERROR(VLOOKUP(B441,$A$5:$C$504,3,FALSE)/100,1)*IFERROR(VLOOKUP(IFERROR(VLOOKUP(B441,$A$5:$B$504,2,FALSE),""),$A$5:$C$504,3,FALSE)/100,1)*IFERROR(VLOOKUP(IFERROR(VLOOKUP(IFERROR(VLOOKUP(B441,$A$5:$B$504,2,FALSE),""),$A$5:$B$504,2,FALSE),""),$A$5:$C$504,3,FALSE)/100,1))</f>
        <v/>
      </c>
      <c r="E441" s="21">
        <f>IF(A441="","",SUMIF('Grup Eşleme'!$B$5:$B$504,A441,'Grup Eşleme'!$C$5:$C$504))</f>
        <v/>
      </c>
      <c r="F441" s="27">
        <f>IF(OR(A441="",'Metraj Mahal Listesi'!$K$3=0,COUNTIF($B$5:$B$504,A441)&gt;0),"",E441/'Metraj Mahal Listesi'!$K$3*100)</f>
        <v/>
      </c>
      <c r="G441" s="28">
        <f>IF(OR(D441="",F441=""),"",F441-D441)</f>
        <v/>
      </c>
      <c r="H441" s="29">
        <f>IF(OR(G441="",D441=0),"",G441/D441*100)</f>
        <v/>
      </c>
      <c r="I441" s="30">
        <f>IF(A441="","",IF(COUNTIF($B$5:$B$504,A441)&gt;0,IF(ABS(SUMIF($B$5:$B$504,A441,$C$5:$C$504)-100)&lt;0.0001,"✔ alt gruplar Σ=100","⚠ alt gruplar Σ≠100"),IF(G441="","—",IF(ABS(G441)&lt;=PursUyum,"✔ uyumlu",IF(ABS(G441)&lt;=PursCiddi,"⚠ dikkat","✗ ciddi fark")))))</f>
        <v/>
      </c>
      <c r="J441" s="5" t="n"/>
      <c r="K441" s="5" t="n"/>
    </row>
    <row r="442">
      <c r="A442" s="5" t="n"/>
      <c r="B442" s="5" t="n"/>
      <c r="C442" s="26" t="n"/>
      <c r="D442" s="27">
        <f>IF(OR(A442="",C442=""),"",C442*IFERROR(VLOOKUP(B442,$A$5:$C$504,3,FALSE)/100,1)*IFERROR(VLOOKUP(IFERROR(VLOOKUP(B442,$A$5:$B$504,2,FALSE),""),$A$5:$C$504,3,FALSE)/100,1)*IFERROR(VLOOKUP(IFERROR(VLOOKUP(IFERROR(VLOOKUP(B442,$A$5:$B$504,2,FALSE),""),$A$5:$B$504,2,FALSE),""),$A$5:$C$504,3,FALSE)/100,1))</f>
        <v/>
      </c>
      <c r="E442" s="21">
        <f>IF(A442="","",SUMIF('Grup Eşleme'!$B$5:$B$504,A442,'Grup Eşleme'!$C$5:$C$504))</f>
        <v/>
      </c>
      <c r="F442" s="27">
        <f>IF(OR(A442="",'Metraj Mahal Listesi'!$K$3=0,COUNTIF($B$5:$B$504,A442)&gt;0),"",E442/'Metraj Mahal Listesi'!$K$3*100)</f>
        <v/>
      </c>
      <c r="G442" s="28">
        <f>IF(OR(D442="",F442=""),"",F442-D442)</f>
        <v/>
      </c>
      <c r="H442" s="29">
        <f>IF(OR(G442="",D442=0),"",G442/D442*100)</f>
        <v/>
      </c>
      <c r="I442" s="30">
        <f>IF(A442="","",IF(COUNTIF($B$5:$B$504,A442)&gt;0,IF(ABS(SUMIF($B$5:$B$504,A442,$C$5:$C$504)-100)&lt;0.0001,"✔ alt gruplar Σ=100","⚠ alt gruplar Σ≠100"),IF(G442="","—",IF(ABS(G442)&lt;=PursUyum,"✔ uyumlu",IF(ABS(G442)&lt;=PursCiddi,"⚠ dikkat","✗ ciddi fark")))))</f>
        <v/>
      </c>
      <c r="J442" s="5" t="n"/>
      <c r="K442" s="5" t="n"/>
    </row>
    <row r="443">
      <c r="A443" s="5" t="n"/>
      <c r="B443" s="5" t="n"/>
      <c r="C443" s="26" t="n"/>
      <c r="D443" s="27">
        <f>IF(OR(A443="",C443=""),"",C443*IFERROR(VLOOKUP(B443,$A$5:$C$504,3,FALSE)/100,1)*IFERROR(VLOOKUP(IFERROR(VLOOKUP(B443,$A$5:$B$504,2,FALSE),""),$A$5:$C$504,3,FALSE)/100,1)*IFERROR(VLOOKUP(IFERROR(VLOOKUP(IFERROR(VLOOKUP(B443,$A$5:$B$504,2,FALSE),""),$A$5:$B$504,2,FALSE),""),$A$5:$C$504,3,FALSE)/100,1))</f>
        <v/>
      </c>
      <c r="E443" s="21">
        <f>IF(A443="","",SUMIF('Grup Eşleme'!$B$5:$B$504,A443,'Grup Eşleme'!$C$5:$C$504))</f>
        <v/>
      </c>
      <c r="F443" s="27">
        <f>IF(OR(A443="",'Metraj Mahal Listesi'!$K$3=0,COUNTIF($B$5:$B$504,A443)&gt;0),"",E443/'Metraj Mahal Listesi'!$K$3*100)</f>
        <v/>
      </c>
      <c r="G443" s="28">
        <f>IF(OR(D443="",F443=""),"",F443-D443)</f>
        <v/>
      </c>
      <c r="H443" s="29">
        <f>IF(OR(G443="",D443=0),"",G443/D443*100)</f>
        <v/>
      </c>
      <c r="I443" s="30">
        <f>IF(A443="","",IF(COUNTIF($B$5:$B$504,A443)&gt;0,IF(ABS(SUMIF($B$5:$B$504,A443,$C$5:$C$504)-100)&lt;0.0001,"✔ alt gruplar Σ=100","⚠ alt gruplar Σ≠100"),IF(G443="","—",IF(ABS(G443)&lt;=PursUyum,"✔ uyumlu",IF(ABS(G443)&lt;=PursCiddi,"⚠ dikkat","✗ ciddi fark")))))</f>
        <v/>
      </c>
      <c r="J443" s="5" t="n"/>
      <c r="K443" s="5" t="n"/>
    </row>
    <row r="444">
      <c r="A444" s="5" t="n"/>
      <c r="B444" s="5" t="n"/>
      <c r="C444" s="26" t="n"/>
      <c r="D444" s="27">
        <f>IF(OR(A444="",C444=""),"",C444*IFERROR(VLOOKUP(B444,$A$5:$C$504,3,FALSE)/100,1)*IFERROR(VLOOKUP(IFERROR(VLOOKUP(B444,$A$5:$B$504,2,FALSE),""),$A$5:$C$504,3,FALSE)/100,1)*IFERROR(VLOOKUP(IFERROR(VLOOKUP(IFERROR(VLOOKUP(B444,$A$5:$B$504,2,FALSE),""),$A$5:$B$504,2,FALSE),""),$A$5:$C$504,3,FALSE)/100,1))</f>
        <v/>
      </c>
      <c r="E444" s="21">
        <f>IF(A444="","",SUMIF('Grup Eşleme'!$B$5:$B$504,A444,'Grup Eşleme'!$C$5:$C$504))</f>
        <v/>
      </c>
      <c r="F444" s="27">
        <f>IF(OR(A444="",'Metraj Mahal Listesi'!$K$3=0,COUNTIF($B$5:$B$504,A444)&gt;0),"",E444/'Metraj Mahal Listesi'!$K$3*100)</f>
        <v/>
      </c>
      <c r="G444" s="28">
        <f>IF(OR(D444="",F444=""),"",F444-D444)</f>
        <v/>
      </c>
      <c r="H444" s="29">
        <f>IF(OR(G444="",D444=0),"",G444/D444*100)</f>
        <v/>
      </c>
      <c r="I444" s="30">
        <f>IF(A444="","",IF(COUNTIF($B$5:$B$504,A444)&gt;0,IF(ABS(SUMIF($B$5:$B$504,A444,$C$5:$C$504)-100)&lt;0.0001,"✔ alt gruplar Σ=100","⚠ alt gruplar Σ≠100"),IF(G444="","—",IF(ABS(G444)&lt;=PursUyum,"✔ uyumlu",IF(ABS(G444)&lt;=PursCiddi,"⚠ dikkat","✗ ciddi fark")))))</f>
        <v/>
      </c>
      <c r="J444" s="5" t="n"/>
      <c r="K444" s="5" t="n"/>
    </row>
    <row r="445">
      <c r="A445" s="5" t="n"/>
      <c r="B445" s="5" t="n"/>
      <c r="C445" s="26" t="n"/>
      <c r="D445" s="27">
        <f>IF(OR(A445="",C445=""),"",C445*IFERROR(VLOOKUP(B445,$A$5:$C$504,3,FALSE)/100,1)*IFERROR(VLOOKUP(IFERROR(VLOOKUP(B445,$A$5:$B$504,2,FALSE),""),$A$5:$C$504,3,FALSE)/100,1)*IFERROR(VLOOKUP(IFERROR(VLOOKUP(IFERROR(VLOOKUP(B445,$A$5:$B$504,2,FALSE),""),$A$5:$B$504,2,FALSE),""),$A$5:$C$504,3,FALSE)/100,1))</f>
        <v/>
      </c>
      <c r="E445" s="21">
        <f>IF(A445="","",SUMIF('Grup Eşleme'!$B$5:$B$504,A445,'Grup Eşleme'!$C$5:$C$504))</f>
        <v/>
      </c>
      <c r="F445" s="27">
        <f>IF(OR(A445="",'Metraj Mahal Listesi'!$K$3=0,COUNTIF($B$5:$B$504,A445)&gt;0),"",E445/'Metraj Mahal Listesi'!$K$3*100)</f>
        <v/>
      </c>
      <c r="G445" s="28">
        <f>IF(OR(D445="",F445=""),"",F445-D445)</f>
        <v/>
      </c>
      <c r="H445" s="29">
        <f>IF(OR(G445="",D445=0),"",G445/D445*100)</f>
        <v/>
      </c>
      <c r="I445" s="30">
        <f>IF(A445="","",IF(COUNTIF($B$5:$B$504,A445)&gt;0,IF(ABS(SUMIF($B$5:$B$504,A445,$C$5:$C$504)-100)&lt;0.0001,"✔ alt gruplar Σ=100","⚠ alt gruplar Σ≠100"),IF(G445="","—",IF(ABS(G445)&lt;=PursUyum,"✔ uyumlu",IF(ABS(G445)&lt;=PursCiddi,"⚠ dikkat","✗ ciddi fark")))))</f>
        <v/>
      </c>
      <c r="J445" s="5" t="n"/>
      <c r="K445" s="5" t="n"/>
    </row>
    <row r="446">
      <c r="A446" s="5" t="n"/>
      <c r="B446" s="5" t="n"/>
      <c r="C446" s="26" t="n"/>
      <c r="D446" s="27">
        <f>IF(OR(A446="",C446=""),"",C446*IFERROR(VLOOKUP(B446,$A$5:$C$504,3,FALSE)/100,1)*IFERROR(VLOOKUP(IFERROR(VLOOKUP(B446,$A$5:$B$504,2,FALSE),""),$A$5:$C$504,3,FALSE)/100,1)*IFERROR(VLOOKUP(IFERROR(VLOOKUP(IFERROR(VLOOKUP(B446,$A$5:$B$504,2,FALSE),""),$A$5:$B$504,2,FALSE),""),$A$5:$C$504,3,FALSE)/100,1))</f>
        <v/>
      </c>
      <c r="E446" s="21">
        <f>IF(A446="","",SUMIF('Grup Eşleme'!$B$5:$B$504,A446,'Grup Eşleme'!$C$5:$C$504))</f>
        <v/>
      </c>
      <c r="F446" s="27">
        <f>IF(OR(A446="",'Metraj Mahal Listesi'!$K$3=0,COUNTIF($B$5:$B$504,A446)&gt;0),"",E446/'Metraj Mahal Listesi'!$K$3*100)</f>
        <v/>
      </c>
      <c r="G446" s="28">
        <f>IF(OR(D446="",F446=""),"",F446-D446)</f>
        <v/>
      </c>
      <c r="H446" s="29">
        <f>IF(OR(G446="",D446=0),"",G446/D446*100)</f>
        <v/>
      </c>
      <c r="I446" s="30">
        <f>IF(A446="","",IF(COUNTIF($B$5:$B$504,A446)&gt;0,IF(ABS(SUMIF($B$5:$B$504,A446,$C$5:$C$504)-100)&lt;0.0001,"✔ alt gruplar Σ=100","⚠ alt gruplar Σ≠100"),IF(G446="","—",IF(ABS(G446)&lt;=PursUyum,"✔ uyumlu",IF(ABS(G446)&lt;=PursCiddi,"⚠ dikkat","✗ ciddi fark")))))</f>
        <v/>
      </c>
      <c r="J446" s="5" t="n"/>
      <c r="K446" s="5" t="n"/>
    </row>
    <row r="447">
      <c r="A447" s="5" t="n"/>
      <c r="B447" s="5" t="n"/>
      <c r="C447" s="26" t="n"/>
      <c r="D447" s="27">
        <f>IF(OR(A447="",C447=""),"",C447*IFERROR(VLOOKUP(B447,$A$5:$C$504,3,FALSE)/100,1)*IFERROR(VLOOKUP(IFERROR(VLOOKUP(B447,$A$5:$B$504,2,FALSE),""),$A$5:$C$504,3,FALSE)/100,1)*IFERROR(VLOOKUP(IFERROR(VLOOKUP(IFERROR(VLOOKUP(B447,$A$5:$B$504,2,FALSE),""),$A$5:$B$504,2,FALSE),""),$A$5:$C$504,3,FALSE)/100,1))</f>
        <v/>
      </c>
      <c r="E447" s="21">
        <f>IF(A447="","",SUMIF('Grup Eşleme'!$B$5:$B$504,A447,'Grup Eşleme'!$C$5:$C$504))</f>
        <v/>
      </c>
      <c r="F447" s="27">
        <f>IF(OR(A447="",'Metraj Mahal Listesi'!$K$3=0,COUNTIF($B$5:$B$504,A447)&gt;0),"",E447/'Metraj Mahal Listesi'!$K$3*100)</f>
        <v/>
      </c>
      <c r="G447" s="28">
        <f>IF(OR(D447="",F447=""),"",F447-D447)</f>
        <v/>
      </c>
      <c r="H447" s="29">
        <f>IF(OR(G447="",D447=0),"",G447/D447*100)</f>
        <v/>
      </c>
      <c r="I447" s="30">
        <f>IF(A447="","",IF(COUNTIF($B$5:$B$504,A447)&gt;0,IF(ABS(SUMIF($B$5:$B$504,A447,$C$5:$C$504)-100)&lt;0.0001,"✔ alt gruplar Σ=100","⚠ alt gruplar Σ≠100"),IF(G447="","—",IF(ABS(G447)&lt;=PursUyum,"✔ uyumlu",IF(ABS(G447)&lt;=PursCiddi,"⚠ dikkat","✗ ciddi fark")))))</f>
        <v/>
      </c>
      <c r="J447" s="5" t="n"/>
      <c r="K447" s="5" t="n"/>
    </row>
    <row r="448">
      <c r="A448" s="5" t="n"/>
      <c r="B448" s="5" t="n"/>
      <c r="C448" s="26" t="n"/>
      <c r="D448" s="27">
        <f>IF(OR(A448="",C448=""),"",C448*IFERROR(VLOOKUP(B448,$A$5:$C$504,3,FALSE)/100,1)*IFERROR(VLOOKUP(IFERROR(VLOOKUP(B448,$A$5:$B$504,2,FALSE),""),$A$5:$C$504,3,FALSE)/100,1)*IFERROR(VLOOKUP(IFERROR(VLOOKUP(IFERROR(VLOOKUP(B448,$A$5:$B$504,2,FALSE),""),$A$5:$B$504,2,FALSE),""),$A$5:$C$504,3,FALSE)/100,1))</f>
        <v/>
      </c>
      <c r="E448" s="21">
        <f>IF(A448="","",SUMIF('Grup Eşleme'!$B$5:$B$504,A448,'Grup Eşleme'!$C$5:$C$504))</f>
        <v/>
      </c>
      <c r="F448" s="27">
        <f>IF(OR(A448="",'Metraj Mahal Listesi'!$K$3=0,COUNTIF($B$5:$B$504,A448)&gt;0),"",E448/'Metraj Mahal Listesi'!$K$3*100)</f>
        <v/>
      </c>
      <c r="G448" s="28">
        <f>IF(OR(D448="",F448=""),"",F448-D448)</f>
        <v/>
      </c>
      <c r="H448" s="29">
        <f>IF(OR(G448="",D448=0),"",G448/D448*100)</f>
        <v/>
      </c>
      <c r="I448" s="30">
        <f>IF(A448="","",IF(COUNTIF($B$5:$B$504,A448)&gt;0,IF(ABS(SUMIF($B$5:$B$504,A448,$C$5:$C$504)-100)&lt;0.0001,"✔ alt gruplar Σ=100","⚠ alt gruplar Σ≠100"),IF(G448="","—",IF(ABS(G448)&lt;=PursUyum,"✔ uyumlu",IF(ABS(G448)&lt;=PursCiddi,"⚠ dikkat","✗ ciddi fark")))))</f>
        <v/>
      </c>
      <c r="J448" s="5" t="n"/>
      <c r="K448" s="5" t="n"/>
    </row>
    <row r="449">
      <c r="A449" s="5" t="n"/>
      <c r="B449" s="5" t="n"/>
      <c r="C449" s="26" t="n"/>
      <c r="D449" s="27">
        <f>IF(OR(A449="",C449=""),"",C449*IFERROR(VLOOKUP(B449,$A$5:$C$504,3,FALSE)/100,1)*IFERROR(VLOOKUP(IFERROR(VLOOKUP(B449,$A$5:$B$504,2,FALSE),""),$A$5:$C$504,3,FALSE)/100,1)*IFERROR(VLOOKUP(IFERROR(VLOOKUP(IFERROR(VLOOKUP(B449,$A$5:$B$504,2,FALSE),""),$A$5:$B$504,2,FALSE),""),$A$5:$C$504,3,FALSE)/100,1))</f>
        <v/>
      </c>
      <c r="E449" s="21">
        <f>IF(A449="","",SUMIF('Grup Eşleme'!$B$5:$B$504,A449,'Grup Eşleme'!$C$5:$C$504))</f>
        <v/>
      </c>
      <c r="F449" s="27">
        <f>IF(OR(A449="",'Metraj Mahal Listesi'!$K$3=0,COUNTIF($B$5:$B$504,A449)&gt;0),"",E449/'Metraj Mahal Listesi'!$K$3*100)</f>
        <v/>
      </c>
      <c r="G449" s="28">
        <f>IF(OR(D449="",F449=""),"",F449-D449)</f>
        <v/>
      </c>
      <c r="H449" s="29">
        <f>IF(OR(G449="",D449=0),"",G449/D449*100)</f>
        <v/>
      </c>
      <c r="I449" s="30">
        <f>IF(A449="","",IF(COUNTIF($B$5:$B$504,A449)&gt;0,IF(ABS(SUMIF($B$5:$B$504,A449,$C$5:$C$504)-100)&lt;0.0001,"✔ alt gruplar Σ=100","⚠ alt gruplar Σ≠100"),IF(G449="","—",IF(ABS(G449)&lt;=PursUyum,"✔ uyumlu",IF(ABS(G449)&lt;=PursCiddi,"⚠ dikkat","✗ ciddi fark")))))</f>
        <v/>
      </c>
      <c r="J449" s="5" t="n"/>
      <c r="K449" s="5" t="n"/>
    </row>
    <row r="450">
      <c r="A450" s="5" t="n"/>
      <c r="B450" s="5" t="n"/>
      <c r="C450" s="26" t="n"/>
      <c r="D450" s="27">
        <f>IF(OR(A450="",C450=""),"",C450*IFERROR(VLOOKUP(B450,$A$5:$C$504,3,FALSE)/100,1)*IFERROR(VLOOKUP(IFERROR(VLOOKUP(B450,$A$5:$B$504,2,FALSE),""),$A$5:$C$504,3,FALSE)/100,1)*IFERROR(VLOOKUP(IFERROR(VLOOKUP(IFERROR(VLOOKUP(B450,$A$5:$B$504,2,FALSE),""),$A$5:$B$504,2,FALSE),""),$A$5:$C$504,3,FALSE)/100,1))</f>
        <v/>
      </c>
      <c r="E450" s="21">
        <f>IF(A450="","",SUMIF('Grup Eşleme'!$B$5:$B$504,A450,'Grup Eşleme'!$C$5:$C$504))</f>
        <v/>
      </c>
      <c r="F450" s="27">
        <f>IF(OR(A450="",'Metraj Mahal Listesi'!$K$3=0,COUNTIF($B$5:$B$504,A450)&gt;0),"",E450/'Metraj Mahal Listesi'!$K$3*100)</f>
        <v/>
      </c>
      <c r="G450" s="28">
        <f>IF(OR(D450="",F450=""),"",F450-D450)</f>
        <v/>
      </c>
      <c r="H450" s="29">
        <f>IF(OR(G450="",D450=0),"",G450/D450*100)</f>
        <v/>
      </c>
      <c r="I450" s="30">
        <f>IF(A450="","",IF(COUNTIF($B$5:$B$504,A450)&gt;0,IF(ABS(SUMIF($B$5:$B$504,A450,$C$5:$C$504)-100)&lt;0.0001,"✔ alt gruplar Σ=100","⚠ alt gruplar Σ≠100"),IF(G450="","—",IF(ABS(G450)&lt;=PursUyum,"✔ uyumlu",IF(ABS(G450)&lt;=PursCiddi,"⚠ dikkat","✗ ciddi fark")))))</f>
        <v/>
      </c>
      <c r="J450" s="5" t="n"/>
      <c r="K450" s="5" t="n"/>
    </row>
    <row r="451">
      <c r="A451" s="5" t="n"/>
      <c r="B451" s="5" t="n"/>
      <c r="C451" s="26" t="n"/>
      <c r="D451" s="27">
        <f>IF(OR(A451="",C451=""),"",C451*IFERROR(VLOOKUP(B451,$A$5:$C$504,3,FALSE)/100,1)*IFERROR(VLOOKUP(IFERROR(VLOOKUP(B451,$A$5:$B$504,2,FALSE),""),$A$5:$C$504,3,FALSE)/100,1)*IFERROR(VLOOKUP(IFERROR(VLOOKUP(IFERROR(VLOOKUP(B451,$A$5:$B$504,2,FALSE),""),$A$5:$B$504,2,FALSE),""),$A$5:$C$504,3,FALSE)/100,1))</f>
        <v/>
      </c>
      <c r="E451" s="21">
        <f>IF(A451="","",SUMIF('Grup Eşleme'!$B$5:$B$504,A451,'Grup Eşleme'!$C$5:$C$504))</f>
        <v/>
      </c>
      <c r="F451" s="27">
        <f>IF(OR(A451="",'Metraj Mahal Listesi'!$K$3=0,COUNTIF($B$5:$B$504,A451)&gt;0),"",E451/'Metraj Mahal Listesi'!$K$3*100)</f>
        <v/>
      </c>
      <c r="G451" s="28">
        <f>IF(OR(D451="",F451=""),"",F451-D451)</f>
        <v/>
      </c>
      <c r="H451" s="29">
        <f>IF(OR(G451="",D451=0),"",G451/D451*100)</f>
        <v/>
      </c>
      <c r="I451" s="30">
        <f>IF(A451="","",IF(COUNTIF($B$5:$B$504,A451)&gt;0,IF(ABS(SUMIF($B$5:$B$504,A451,$C$5:$C$504)-100)&lt;0.0001,"✔ alt gruplar Σ=100","⚠ alt gruplar Σ≠100"),IF(G451="","—",IF(ABS(G451)&lt;=PursUyum,"✔ uyumlu",IF(ABS(G451)&lt;=PursCiddi,"⚠ dikkat","✗ ciddi fark")))))</f>
        <v/>
      </c>
      <c r="J451" s="5" t="n"/>
      <c r="K451" s="5" t="n"/>
    </row>
    <row r="452">
      <c r="A452" s="5" t="n"/>
      <c r="B452" s="5" t="n"/>
      <c r="C452" s="26" t="n"/>
      <c r="D452" s="27">
        <f>IF(OR(A452="",C452=""),"",C452*IFERROR(VLOOKUP(B452,$A$5:$C$504,3,FALSE)/100,1)*IFERROR(VLOOKUP(IFERROR(VLOOKUP(B452,$A$5:$B$504,2,FALSE),""),$A$5:$C$504,3,FALSE)/100,1)*IFERROR(VLOOKUP(IFERROR(VLOOKUP(IFERROR(VLOOKUP(B452,$A$5:$B$504,2,FALSE),""),$A$5:$B$504,2,FALSE),""),$A$5:$C$504,3,FALSE)/100,1))</f>
        <v/>
      </c>
      <c r="E452" s="21">
        <f>IF(A452="","",SUMIF('Grup Eşleme'!$B$5:$B$504,A452,'Grup Eşleme'!$C$5:$C$504))</f>
        <v/>
      </c>
      <c r="F452" s="27">
        <f>IF(OR(A452="",'Metraj Mahal Listesi'!$K$3=0,COUNTIF($B$5:$B$504,A452)&gt;0),"",E452/'Metraj Mahal Listesi'!$K$3*100)</f>
        <v/>
      </c>
      <c r="G452" s="28">
        <f>IF(OR(D452="",F452=""),"",F452-D452)</f>
        <v/>
      </c>
      <c r="H452" s="29">
        <f>IF(OR(G452="",D452=0),"",G452/D452*100)</f>
        <v/>
      </c>
      <c r="I452" s="30">
        <f>IF(A452="","",IF(COUNTIF($B$5:$B$504,A452)&gt;0,IF(ABS(SUMIF($B$5:$B$504,A452,$C$5:$C$504)-100)&lt;0.0001,"✔ alt gruplar Σ=100","⚠ alt gruplar Σ≠100"),IF(G452="","—",IF(ABS(G452)&lt;=PursUyum,"✔ uyumlu",IF(ABS(G452)&lt;=PursCiddi,"⚠ dikkat","✗ ciddi fark")))))</f>
        <v/>
      </c>
      <c r="J452" s="5" t="n"/>
      <c r="K452" s="5" t="n"/>
    </row>
    <row r="453">
      <c r="A453" s="5" t="n"/>
      <c r="B453" s="5" t="n"/>
      <c r="C453" s="26" t="n"/>
      <c r="D453" s="27">
        <f>IF(OR(A453="",C453=""),"",C453*IFERROR(VLOOKUP(B453,$A$5:$C$504,3,FALSE)/100,1)*IFERROR(VLOOKUP(IFERROR(VLOOKUP(B453,$A$5:$B$504,2,FALSE),""),$A$5:$C$504,3,FALSE)/100,1)*IFERROR(VLOOKUP(IFERROR(VLOOKUP(IFERROR(VLOOKUP(B453,$A$5:$B$504,2,FALSE),""),$A$5:$B$504,2,FALSE),""),$A$5:$C$504,3,FALSE)/100,1))</f>
        <v/>
      </c>
      <c r="E453" s="21">
        <f>IF(A453="","",SUMIF('Grup Eşleme'!$B$5:$B$504,A453,'Grup Eşleme'!$C$5:$C$504))</f>
        <v/>
      </c>
      <c r="F453" s="27">
        <f>IF(OR(A453="",'Metraj Mahal Listesi'!$K$3=0,COUNTIF($B$5:$B$504,A453)&gt;0),"",E453/'Metraj Mahal Listesi'!$K$3*100)</f>
        <v/>
      </c>
      <c r="G453" s="28">
        <f>IF(OR(D453="",F453=""),"",F453-D453)</f>
        <v/>
      </c>
      <c r="H453" s="29">
        <f>IF(OR(G453="",D453=0),"",G453/D453*100)</f>
        <v/>
      </c>
      <c r="I453" s="30">
        <f>IF(A453="","",IF(COUNTIF($B$5:$B$504,A453)&gt;0,IF(ABS(SUMIF($B$5:$B$504,A453,$C$5:$C$504)-100)&lt;0.0001,"✔ alt gruplar Σ=100","⚠ alt gruplar Σ≠100"),IF(G453="","—",IF(ABS(G453)&lt;=PursUyum,"✔ uyumlu",IF(ABS(G453)&lt;=PursCiddi,"⚠ dikkat","✗ ciddi fark")))))</f>
        <v/>
      </c>
      <c r="J453" s="5" t="n"/>
      <c r="K453" s="5" t="n"/>
    </row>
    <row r="454">
      <c r="A454" s="5" t="n"/>
      <c r="B454" s="5" t="n"/>
      <c r="C454" s="26" t="n"/>
      <c r="D454" s="27">
        <f>IF(OR(A454="",C454=""),"",C454*IFERROR(VLOOKUP(B454,$A$5:$C$504,3,FALSE)/100,1)*IFERROR(VLOOKUP(IFERROR(VLOOKUP(B454,$A$5:$B$504,2,FALSE),""),$A$5:$C$504,3,FALSE)/100,1)*IFERROR(VLOOKUP(IFERROR(VLOOKUP(IFERROR(VLOOKUP(B454,$A$5:$B$504,2,FALSE),""),$A$5:$B$504,2,FALSE),""),$A$5:$C$504,3,FALSE)/100,1))</f>
        <v/>
      </c>
      <c r="E454" s="21">
        <f>IF(A454="","",SUMIF('Grup Eşleme'!$B$5:$B$504,A454,'Grup Eşleme'!$C$5:$C$504))</f>
        <v/>
      </c>
      <c r="F454" s="27">
        <f>IF(OR(A454="",'Metraj Mahal Listesi'!$K$3=0,COUNTIF($B$5:$B$504,A454)&gt;0),"",E454/'Metraj Mahal Listesi'!$K$3*100)</f>
        <v/>
      </c>
      <c r="G454" s="28">
        <f>IF(OR(D454="",F454=""),"",F454-D454)</f>
        <v/>
      </c>
      <c r="H454" s="29">
        <f>IF(OR(G454="",D454=0),"",G454/D454*100)</f>
        <v/>
      </c>
      <c r="I454" s="30">
        <f>IF(A454="","",IF(COUNTIF($B$5:$B$504,A454)&gt;0,IF(ABS(SUMIF($B$5:$B$504,A454,$C$5:$C$504)-100)&lt;0.0001,"✔ alt gruplar Σ=100","⚠ alt gruplar Σ≠100"),IF(G454="","—",IF(ABS(G454)&lt;=PursUyum,"✔ uyumlu",IF(ABS(G454)&lt;=PursCiddi,"⚠ dikkat","✗ ciddi fark")))))</f>
        <v/>
      </c>
      <c r="J454" s="5" t="n"/>
      <c r="K454" s="5" t="n"/>
    </row>
    <row r="455">
      <c r="A455" s="5" t="n"/>
      <c r="B455" s="5" t="n"/>
      <c r="C455" s="26" t="n"/>
      <c r="D455" s="27">
        <f>IF(OR(A455="",C455=""),"",C455*IFERROR(VLOOKUP(B455,$A$5:$C$504,3,FALSE)/100,1)*IFERROR(VLOOKUP(IFERROR(VLOOKUP(B455,$A$5:$B$504,2,FALSE),""),$A$5:$C$504,3,FALSE)/100,1)*IFERROR(VLOOKUP(IFERROR(VLOOKUP(IFERROR(VLOOKUP(B455,$A$5:$B$504,2,FALSE),""),$A$5:$B$504,2,FALSE),""),$A$5:$C$504,3,FALSE)/100,1))</f>
        <v/>
      </c>
      <c r="E455" s="21">
        <f>IF(A455="","",SUMIF('Grup Eşleme'!$B$5:$B$504,A455,'Grup Eşleme'!$C$5:$C$504))</f>
        <v/>
      </c>
      <c r="F455" s="27">
        <f>IF(OR(A455="",'Metraj Mahal Listesi'!$K$3=0,COUNTIF($B$5:$B$504,A455)&gt;0),"",E455/'Metraj Mahal Listesi'!$K$3*100)</f>
        <v/>
      </c>
      <c r="G455" s="28">
        <f>IF(OR(D455="",F455=""),"",F455-D455)</f>
        <v/>
      </c>
      <c r="H455" s="29">
        <f>IF(OR(G455="",D455=0),"",G455/D455*100)</f>
        <v/>
      </c>
      <c r="I455" s="30">
        <f>IF(A455="","",IF(COUNTIF($B$5:$B$504,A455)&gt;0,IF(ABS(SUMIF($B$5:$B$504,A455,$C$5:$C$504)-100)&lt;0.0001,"✔ alt gruplar Σ=100","⚠ alt gruplar Σ≠100"),IF(G455="","—",IF(ABS(G455)&lt;=PursUyum,"✔ uyumlu",IF(ABS(G455)&lt;=PursCiddi,"⚠ dikkat","✗ ciddi fark")))))</f>
        <v/>
      </c>
      <c r="J455" s="5" t="n"/>
      <c r="K455" s="5" t="n"/>
    </row>
    <row r="456">
      <c r="A456" s="5" t="n"/>
      <c r="B456" s="5" t="n"/>
      <c r="C456" s="26" t="n"/>
      <c r="D456" s="27">
        <f>IF(OR(A456="",C456=""),"",C456*IFERROR(VLOOKUP(B456,$A$5:$C$504,3,FALSE)/100,1)*IFERROR(VLOOKUP(IFERROR(VLOOKUP(B456,$A$5:$B$504,2,FALSE),""),$A$5:$C$504,3,FALSE)/100,1)*IFERROR(VLOOKUP(IFERROR(VLOOKUP(IFERROR(VLOOKUP(B456,$A$5:$B$504,2,FALSE),""),$A$5:$B$504,2,FALSE),""),$A$5:$C$504,3,FALSE)/100,1))</f>
        <v/>
      </c>
      <c r="E456" s="21">
        <f>IF(A456="","",SUMIF('Grup Eşleme'!$B$5:$B$504,A456,'Grup Eşleme'!$C$5:$C$504))</f>
        <v/>
      </c>
      <c r="F456" s="27">
        <f>IF(OR(A456="",'Metraj Mahal Listesi'!$K$3=0,COUNTIF($B$5:$B$504,A456)&gt;0),"",E456/'Metraj Mahal Listesi'!$K$3*100)</f>
        <v/>
      </c>
      <c r="G456" s="28">
        <f>IF(OR(D456="",F456=""),"",F456-D456)</f>
        <v/>
      </c>
      <c r="H456" s="29">
        <f>IF(OR(G456="",D456=0),"",G456/D456*100)</f>
        <v/>
      </c>
      <c r="I456" s="30">
        <f>IF(A456="","",IF(COUNTIF($B$5:$B$504,A456)&gt;0,IF(ABS(SUMIF($B$5:$B$504,A456,$C$5:$C$504)-100)&lt;0.0001,"✔ alt gruplar Σ=100","⚠ alt gruplar Σ≠100"),IF(G456="","—",IF(ABS(G456)&lt;=PursUyum,"✔ uyumlu",IF(ABS(G456)&lt;=PursCiddi,"⚠ dikkat","✗ ciddi fark")))))</f>
        <v/>
      </c>
      <c r="J456" s="5" t="n"/>
      <c r="K456" s="5" t="n"/>
    </row>
    <row r="457">
      <c r="A457" s="5" t="n"/>
      <c r="B457" s="5" t="n"/>
      <c r="C457" s="26" t="n"/>
      <c r="D457" s="27">
        <f>IF(OR(A457="",C457=""),"",C457*IFERROR(VLOOKUP(B457,$A$5:$C$504,3,FALSE)/100,1)*IFERROR(VLOOKUP(IFERROR(VLOOKUP(B457,$A$5:$B$504,2,FALSE),""),$A$5:$C$504,3,FALSE)/100,1)*IFERROR(VLOOKUP(IFERROR(VLOOKUP(IFERROR(VLOOKUP(B457,$A$5:$B$504,2,FALSE),""),$A$5:$B$504,2,FALSE),""),$A$5:$C$504,3,FALSE)/100,1))</f>
        <v/>
      </c>
      <c r="E457" s="21">
        <f>IF(A457="","",SUMIF('Grup Eşleme'!$B$5:$B$504,A457,'Grup Eşleme'!$C$5:$C$504))</f>
        <v/>
      </c>
      <c r="F457" s="27">
        <f>IF(OR(A457="",'Metraj Mahal Listesi'!$K$3=0,COUNTIF($B$5:$B$504,A457)&gt;0),"",E457/'Metraj Mahal Listesi'!$K$3*100)</f>
        <v/>
      </c>
      <c r="G457" s="28">
        <f>IF(OR(D457="",F457=""),"",F457-D457)</f>
        <v/>
      </c>
      <c r="H457" s="29">
        <f>IF(OR(G457="",D457=0),"",G457/D457*100)</f>
        <v/>
      </c>
      <c r="I457" s="30">
        <f>IF(A457="","",IF(COUNTIF($B$5:$B$504,A457)&gt;0,IF(ABS(SUMIF($B$5:$B$504,A457,$C$5:$C$504)-100)&lt;0.0001,"✔ alt gruplar Σ=100","⚠ alt gruplar Σ≠100"),IF(G457="","—",IF(ABS(G457)&lt;=PursUyum,"✔ uyumlu",IF(ABS(G457)&lt;=PursCiddi,"⚠ dikkat","✗ ciddi fark")))))</f>
        <v/>
      </c>
      <c r="J457" s="5" t="n"/>
      <c r="K457" s="5" t="n"/>
    </row>
    <row r="458">
      <c r="A458" s="5" t="n"/>
      <c r="B458" s="5" t="n"/>
      <c r="C458" s="26" t="n"/>
      <c r="D458" s="27">
        <f>IF(OR(A458="",C458=""),"",C458*IFERROR(VLOOKUP(B458,$A$5:$C$504,3,FALSE)/100,1)*IFERROR(VLOOKUP(IFERROR(VLOOKUP(B458,$A$5:$B$504,2,FALSE),""),$A$5:$C$504,3,FALSE)/100,1)*IFERROR(VLOOKUP(IFERROR(VLOOKUP(IFERROR(VLOOKUP(B458,$A$5:$B$504,2,FALSE),""),$A$5:$B$504,2,FALSE),""),$A$5:$C$504,3,FALSE)/100,1))</f>
        <v/>
      </c>
      <c r="E458" s="21">
        <f>IF(A458="","",SUMIF('Grup Eşleme'!$B$5:$B$504,A458,'Grup Eşleme'!$C$5:$C$504))</f>
        <v/>
      </c>
      <c r="F458" s="27">
        <f>IF(OR(A458="",'Metraj Mahal Listesi'!$K$3=0,COUNTIF($B$5:$B$504,A458)&gt;0),"",E458/'Metraj Mahal Listesi'!$K$3*100)</f>
        <v/>
      </c>
      <c r="G458" s="28">
        <f>IF(OR(D458="",F458=""),"",F458-D458)</f>
        <v/>
      </c>
      <c r="H458" s="29">
        <f>IF(OR(G458="",D458=0),"",G458/D458*100)</f>
        <v/>
      </c>
      <c r="I458" s="30">
        <f>IF(A458="","",IF(COUNTIF($B$5:$B$504,A458)&gt;0,IF(ABS(SUMIF($B$5:$B$504,A458,$C$5:$C$504)-100)&lt;0.0001,"✔ alt gruplar Σ=100","⚠ alt gruplar Σ≠100"),IF(G458="","—",IF(ABS(G458)&lt;=PursUyum,"✔ uyumlu",IF(ABS(G458)&lt;=PursCiddi,"⚠ dikkat","✗ ciddi fark")))))</f>
        <v/>
      </c>
      <c r="J458" s="5" t="n"/>
      <c r="K458" s="5" t="n"/>
    </row>
    <row r="459">
      <c r="A459" s="5" t="n"/>
      <c r="B459" s="5" t="n"/>
      <c r="C459" s="26" t="n"/>
      <c r="D459" s="27">
        <f>IF(OR(A459="",C459=""),"",C459*IFERROR(VLOOKUP(B459,$A$5:$C$504,3,FALSE)/100,1)*IFERROR(VLOOKUP(IFERROR(VLOOKUP(B459,$A$5:$B$504,2,FALSE),""),$A$5:$C$504,3,FALSE)/100,1)*IFERROR(VLOOKUP(IFERROR(VLOOKUP(IFERROR(VLOOKUP(B459,$A$5:$B$504,2,FALSE),""),$A$5:$B$504,2,FALSE),""),$A$5:$C$504,3,FALSE)/100,1))</f>
        <v/>
      </c>
      <c r="E459" s="21">
        <f>IF(A459="","",SUMIF('Grup Eşleme'!$B$5:$B$504,A459,'Grup Eşleme'!$C$5:$C$504))</f>
        <v/>
      </c>
      <c r="F459" s="27">
        <f>IF(OR(A459="",'Metraj Mahal Listesi'!$K$3=0,COUNTIF($B$5:$B$504,A459)&gt;0),"",E459/'Metraj Mahal Listesi'!$K$3*100)</f>
        <v/>
      </c>
      <c r="G459" s="28">
        <f>IF(OR(D459="",F459=""),"",F459-D459)</f>
        <v/>
      </c>
      <c r="H459" s="29">
        <f>IF(OR(G459="",D459=0),"",G459/D459*100)</f>
        <v/>
      </c>
      <c r="I459" s="30">
        <f>IF(A459="","",IF(COUNTIF($B$5:$B$504,A459)&gt;0,IF(ABS(SUMIF($B$5:$B$504,A459,$C$5:$C$504)-100)&lt;0.0001,"✔ alt gruplar Σ=100","⚠ alt gruplar Σ≠100"),IF(G459="","—",IF(ABS(G459)&lt;=PursUyum,"✔ uyumlu",IF(ABS(G459)&lt;=PursCiddi,"⚠ dikkat","✗ ciddi fark")))))</f>
        <v/>
      </c>
      <c r="J459" s="5" t="n"/>
      <c r="K459" s="5" t="n"/>
    </row>
    <row r="460">
      <c r="A460" s="5" t="n"/>
      <c r="B460" s="5" t="n"/>
      <c r="C460" s="26" t="n"/>
      <c r="D460" s="27">
        <f>IF(OR(A460="",C460=""),"",C460*IFERROR(VLOOKUP(B460,$A$5:$C$504,3,FALSE)/100,1)*IFERROR(VLOOKUP(IFERROR(VLOOKUP(B460,$A$5:$B$504,2,FALSE),""),$A$5:$C$504,3,FALSE)/100,1)*IFERROR(VLOOKUP(IFERROR(VLOOKUP(IFERROR(VLOOKUP(B460,$A$5:$B$504,2,FALSE),""),$A$5:$B$504,2,FALSE),""),$A$5:$C$504,3,FALSE)/100,1))</f>
        <v/>
      </c>
      <c r="E460" s="21">
        <f>IF(A460="","",SUMIF('Grup Eşleme'!$B$5:$B$504,A460,'Grup Eşleme'!$C$5:$C$504))</f>
        <v/>
      </c>
      <c r="F460" s="27">
        <f>IF(OR(A460="",'Metraj Mahal Listesi'!$K$3=0,COUNTIF($B$5:$B$504,A460)&gt;0),"",E460/'Metraj Mahal Listesi'!$K$3*100)</f>
        <v/>
      </c>
      <c r="G460" s="28">
        <f>IF(OR(D460="",F460=""),"",F460-D460)</f>
        <v/>
      </c>
      <c r="H460" s="29">
        <f>IF(OR(G460="",D460=0),"",G460/D460*100)</f>
        <v/>
      </c>
      <c r="I460" s="30">
        <f>IF(A460="","",IF(COUNTIF($B$5:$B$504,A460)&gt;0,IF(ABS(SUMIF($B$5:$B$504,A460,$C$5:$C$504)-100)&lt;0.0001,"✔ alt gruplar Σ=100","⚠ alt gruplar Σ≠100"),IF(G460="","—",IF(ABS(G460)&lt;=PursUyum,"✔ uyumlu",IF(ABS(G460)&lt;=PursCiddi,"⚠ dikkat","✗ ciddi fark")))))</f>
        <v/>
      </c>
      <c r="J460" s="5" t="n"/>
      <c r="K460" s="5" t="n"/>
    </row>
    <row r="461">
      <c r="A461" s="5" t="n"/>
      <c r="B461" s="5" t="n"/>
      <c r="C461" s="26" t="n"/>
      <c r="D461" s="27">
        <f>IF(OR(A461="",C461=""),"",C461*IFERROR(VLOOKUP(B461,$A$5:$C$504,3,FALSE)/100,1)*IFERROR(VLOOKUP(IFERROR(VLOOKUP(B461,$A$5:$B$504,2,FALSE),""),$A$5:$C$504,3,FALSE)/100,1)*IFERROR(VLOOKUP(IFERROR(VLOOKUP(IFERROR(VLOOKUP(B461,$A$5:$B$504,2,FALSE),""),$A$5:$B$504,2,FALSE),""),$A$5:$C$504,3,FALSE)/100,1))</f>
        <v/>
      </c>
      <c r="E461" s="21">
        <f>IF(A461="","",SUMIF('Grup Eşleme'!$B$5:$B$504,A461,'Grup Eşleme'!$C$5:$C$504))</f>
        <v/>
      </c>
      <c r="F461" s="27">
        <f>IF(OR(A461="",'Metraj Mahal Listesi'!$K$3=0,COUNTIF($B$5:$B$504,A461)&gt;0),"",E461/'Metraj Mahal Listesi'!$K$3*100)</f>
        <v/>
      </c>
      <c r="G461" s="28">
        <f>IF(OR(D461="",F461=""),"",F461-D461)</f>
        <v/>
      </c>
      <c r="H461" s="29">
        <f>IF(OR(G461="",D461=0),"",G461/D461*100)</f>
        <v/>
      </c>
      <c r="I461" s="30">
        <f>IF(A461="","",IF(COUNTIF($B$5:$B$504,A461)&gt;0,IF(ABS(SUMIF($B$5:$B$504,A461,$C$5:$C$504)-100)&lt;0.0001,"✔ alt gruplar Σ=100","⚠ alt gruplar Σ≠100"),IF(G461="","—",IF(ABS(G461)&lt;=PursUyum,"✔ uyumlu",IF(ABS(G461)&lt;=PursCiddi,"⚠ dikkat","✗ ciddi fark")))))</f>
        <v/>
      </c>
      <c r="J461" s="5" t="n"/>
      <c r="K461" s="5" t="n"/>
    </row>
    <row r="462">
      <c r="A462" s="5" t="n"/>
      <c r="B462" s="5" t="n"/>
      <c r="C462" s="26" t="n"/>
      <c r="D462" s="27">
        <f>IF(OR(A462="",C462=""),"",C462*IFERROR(VLOOKUP(B462,$A$5:$C$504,3,FALSE)/100,1)*IFERROR(VLOOKUP(IFERROR(VLOOKUP(B462,$A$5:$B$504,2,FALSE),""),$A$5:$C$504,3,FALSE)/100,1)*IFERROR(VLOOKUP(IFERROR(VLOOKUP(IFERROR(VLOOKUP(B462,$A$5:$B$504,2,FALSE),""),$A$5:$B$504,2,FALSE),""),$A$5:$C$504,3,FALSE)/100,1))</f>
        <v/>
      </c>
      <c r="E462" s="21">
        <f>IF(A462="","",SUMIF('Grup Eşleme'!$B$5:$B$504,A462,'Grup Eşleme'!$C$5:$C$504))</f>
        <v/>
      </c>
      <c r="F462" s="27">
        <f>IF(OR(A462="",'Metraj Mahal Listesi'!$K$3=0,COUNTIF($B$5:$B$504,A462)&gt;0),"",E462/'Metraj Mahal Listesi'!$K$3*100)</f>
        <v/>
      </c>
      <c r="G462" s="28">
        <f>IF(OR(D462="",F462=""),"",F462-D462)</f>
        <v/>
      </c>
      <c r="H462" s="29">
        <f>IF(OR(G462="",D462=0),"",G462/D462*100)</f>
        <v/>
      </c>
      <c r="I462" s="30">
        <f>IF(A462="","",IF(COUNTIF($B$5:$B$504,A462)&gt;0,IF(ABS(SUMIF($B$5:$B$504,A462,$C$5:$C$504)-100)&lt;0.0001,"✔ alt gruplar Σ=100","⚠ alt gruplar Σ≠100"),IF(G462="","—",IF(ABS(G462)&lt;=PursUyum,"✔ uyumlu",IF(ABS(G462)&lt;=PursCiddi,"⚠ dikkat","✗ ciddi fark")))))</f>
        <v/>
      </c>
      <c r="J462" s="5" t="n"/>
      <c r="K462" s="5" t="n"/>
    </row>
    <row r="463">
      <c r="A463" s="5" t="n"/>
      <c r="B463" s="5" t="n"/>
      <c r="C463" s="26" t="n"/>
      <c r="D463" s="27">
        <f>IF(OR(A463="",C463=""),"",C463*IFERROR(VLOOKUP(B463,$A$5:$C$504,3,FALSE)/100,1)*IFERROR(VLOOKUP(IFERROR(VLOOKUP(B463,$A$5:$B$504,2,FALSE),""),$A$5:$C$504,3,FALSE)/100,1)*IFERROR(VLOOKUP(IFERROR(VLOOKUP(IFERROR(VLOOKUP(B463,$A$5:$B$504,2,FALSE),""),$A$5:$B$504,2,FALSE),""),$A$5:$C$504,3,FALSE)/100,1))</f>
        <v/>
      </c>
      <c r="E463" s="21">
        <f>IF(A463="","",SUMIF('Grup Eşleme'!$B$5:$B$504,A463,'Grup Eşleme'!$C$5:$C$504))</f>
        <v/>
      </c>
      <c r="F463" s="27">
        <f>IF(OR(A463="",'Metraj Mahal Listesi'!$K$3=0,COUNTIF($B$5:$B$504,A463)&gt;0),"",E463/'Metraj Mahal Listesi'!$K$3*100)</f>
        <v/>
      </c>
      <c r="G463" s="28">
        <f>IF(OR(D463="",F463=""),"",F463-D463)</f>
        <v/>
      </c>
      <c r="H463" s="29">
        <f>IF(OR(G463="",D463=0),"",G463/D463*100)</f>
        <v/>
      </c>
      <c r="I463" s="30">
        <f>IF(A463="","",IF(COUNTIF($B$5:$B$504,A463)&gt;0,IF(ABS(SUMIF($B$5:$B$504,A463,$C$5:$C$504)-100)&lt;0.0001,"✔ alt gruplar Σ=100","⚠ alt gruplar Σ≠100"),IF(G463="","—",IF(ABS(G463)&lt;=PursUyum,"✔ uyumlu",IF(ABS(G463)&lt;=PursCiddi,"⚠ dikkat","✗ ciddi fark")))))</f>
        <v/>
      </c>
      <c r="J463" s="5" t="n"/>
      <c r="K463" s="5" t="n"/>
    </row>
    <row r="464">
      <c r="A464" s="5" t="n"/>
      <c r="B464" s="5" t="n"/>
      <c r="C464" s="26" t="n"/>
      <c r="D464" s="27">
        <f>IF(OR(A464="",C464=""),"",C464*IFERROR(VLOOKUP(B464,$A$5:$C$504,3,FALSE)/100,1)*IFERROR(VLOOKUP(IFERROR(VLOOKUP(B464,$A$5:$B$504,2,FALSE),""),$A$5:$C$504,3,FALSE)/100,1)*IFERROR(VLOOKUP(IFERROR(VLOOKUP(IFERROR(VLOOKUP(B464,$A$5:$B$504,2,FALSE),""),$A$5:$B$504,2,FALSE),""),$A$5:$C$504,3,FALSE)/100,1))</f>
        <v/>
      </c>
      <c r="E464" s="21">
        <f>IF(A464="","",SUMIF('Grup Eşleme'!$B$5:$B$504,A464,'Grup Eşleme'!$C$5:$C$504))</f>
        <v/>
      </c>
      <c r="F464" s="27">
        <f>IF(OR(A464="",'Metraj Mahal Listesi'!$K$3=0,COUNTIF($B$5:$B$504,A464)&gt;0),"",E464/'Metraj Mahal Listesi'!$K$3*100)</f>
        <v/>
      </c>
      <c r="G464" s="28">
        <f>IF(OR(D464="",F464=""),"",F464-D464)</f>
        <v/>
      </c>
      <c r="H464" s="29">
        <f>IF(OR(G464="",D464=0),"",G464/D464*100)</f>
        <v/>
      </c>
      <c r="I464" s="30">
        <f>IF(A464="","",IF(COUNTIF($B$5:$B$504,A464)&gt;0,IF(ABS(SUMIF($B$5:$B$504,A464,$C$5:$C$504)-100)&lt;0.0001,"✔ alt gruplar Σ=100","⚠ alt gruplar Σ≠100"),IF(G464="","—",IF(ABS(G464)&lt;=PursUyum,"✔ uyumlu",IF(ABS(G464)&lt;=PursCiddi,"⚠ dikkat","✗ ciddi fark")))))</f>
        <v/>
      </c>
      <c r="J464" s="5" t="n"/>
      <c r="K464" s="5" t="n"/>
    </row>
    <row r="465">
      <c r="A465" s="5" t="n"/>
      <c r="B465" s="5" t="n"/>
      <c r="C465" s="26" t="n"/>
      <c r="D465" s="27">
        <f>IF(OR(A465="",C465=""),"",C465*IFERROR(VLOOKUP(B465,$A$5:$C$504,3,FALSE)/100,1)*IFERROR(VLOOKUP(IFERROR(VLOOKUP(B465,$A$5:$B$504,2,FALSE),""),$A$5:$C$504,3,FALSE)/100,1)*IFERROR(VLOOKUP(IFERROR(VLOOKUP(IFERROR(VLOOKUP(B465,$A$5:$B$504,2,FALSE),""),$A$5:$B$504,2,FALSE),""),$A$5:$C$504,3,FALSE)/100,1))</f>
        <v/>
      </c>
      <c r="E465" s="21">
        <f>IF(A465="","",SUMIF('Grup Eşleme'!$B$5:$B$504,A465,'Grup Eşleme'!$C$5:$C$504))</f>
        <v/>
      </c>
      <c r="F465" s="27">
        <f>IF(OR(A465="",'Metraj Mahal Listesi'!$K$3=0,COUNTIF($B$5:$B$504,A465)&gt;0),"",E465/'Metraj Mahal Listesi'!$K$3*100)</f>
        <v/>
      </c>
      <c r="G465" s="28">
        <f>IF(OR(D465="",F465=""),"",F465-D465)</f>
        <v/>
      </c>
      <c r="H465" s="29">
        <f>IF(OR(G465="",D465=0),"",G465/D465*100)</f>
        <v/>
      </c>
      <c r="I465" s="30">
        <f>IF(A465="","",IF(COUNTIF($B$5:$B$504,A465)&gt;0,IF(ABS(SUMIF($B$5:$B$504,A465,$C$5:$C$504)-100)&lt;0.0001,"✔ alt gruplar Σ=100","⚠ alt gruplar Σ≠100"),IF(G465="","—",IF(ABS(G465)&lt;=PursUyum,"✔ uyumlu",IF(ABS(G465)&lt;=PursCiddi,"⚠ dikkat","✗ ciddi fark")))))</f>
        <v/>
      </c>
      <c r="J465" s="5" t="n"/>
      <c r="K465" s="5" t="n"/>
    </row>
    <row r="466">
      <c r="A466" s="5" t="n"/>
      <c r="B466" s="5" t="n"/>
      <c r="C466" s="26" t="n"/>
      <c r="D466" s="27">
        <f>IF(OR(A466="",C466=""),"",C466*IFERROR(VLOOKUP(B466,$A$5:$C$504,3,FALSE)/100,1)*IFERROR(VLOOKUP(IFERROR(VLOOKUP(B466,$A$5:$B$504,2,FALSE),""),$A$5:$C$504,3,FALSE)/100,1)*IFERROR(VLOOKUP(IFERROR(VLOOKUP(IFERROR(VLOOKUP(B466,$A$5:$B$504,2,FALSE),""),$A$5:$B$504,2,FALSE),""),$A$5:$C$504,3,FALSE)/100,1))</f>
        <v/>
      </c>
      <c r="E466" s="21">
        <f>IF(A466="","",SUMIF('Grup Eşleme'!$B$5:$B$504,A466,'Grup Eşleme'!$C$5:$C$504))</f>
        <v/>
      </c>
      <c r="F466" s="27">
        <f>IF(OR(A466="",'Metraj Mahal Listesi'!$K$3=0,COUNTIF($B$5:$B$504,A466)&gt;0),"",E466/'Metraj Mahal Listesi'!$K$3*100)</f>
        <v/>
      </c>
      <c r="G466" s="28">
        <f>IF(OR(D466="",F466=""),"",F466-D466)</f>
        <v/>
      </c>
      <c r="H466" s="29">
        <f>IF(OR(G466="",D466=0),"",G466/D466*100)</f>
        <v/>
      </c>
      <c r="I466" s="30">
        <f>IF(A466="","",IF(COUNTIF($B$5:$B$504,A466)&gt;0,IF(ABS(SUMIF($B$5:$B$504,A466,$C$5:$C$504)-100)&lt;0.0001,"✔ alt gruplar Σ=100","⚠ alt gruplar Σ≠100"),IF(G466="","—",IF(ABS(G466)&lt;=PursUyum,"✔ uyumlu",IF(ABS(G466)&lt;=PursCiddi,"⚠ dikkat","✗ ciddi fark")))))</f>
        <v/>
      </c>
      <c r="J466" s="5" t="n"/>
      <c r="K466" s="5" t="n"/>
    </row>
    <row r="467">
      <c r="A467" s="5" t="n"/>
      <c r="B467" s="5" t="n"/>
      <c r="C467" s="26" t="n"/>
      <c r="D467" s="27">
        <f>IF(OR(A467="",C467=""),"",C467*IFERROR(VLOOKUP(B467,$A$5:$C$504,3,FALSE)/100,1)*IFERROR(VLOOKUP(IFERROR(VLOOKUP(B467,$A$5:$B$504,2,FALSE),""),$A$5:$C$504,3,FALSE)/100,1)*IFERROR(VLOOKUP(IFERROR(VLOOKUP(IFERROR(VLOOKUP(B467,$A$5:$B$504,2,FALSE),""),$A$5:$B$504,2,FALSE),""),$A$5:$C$504,3,FALSE)/100,1))</f>
        <v/>
      </c>
      <c r="E467" s="21">
        <f>IF(A467="","",SUMIF('Grup Eşleme'!$B$5:$B$504,A467,'Grup Eşleme'!$C$5:$C$504))</f>
        <v/>
      </c>
      <c r="F467" s="27">
        <f>IF(OR(A467="",'Metraj Mahal Listesi'!$K$3=0,COUNTIF($B$5:$B$504,A467)&gt;0),"",E467/'Metraj Mahal Listesi'!$K$3*100)</f>
        <v/>
      </c>
      <c r="G467" s="28">
        <f>IF(OR(D467="",F467=""),"",F467-D467)</f>
        <v/>
      </c>
      <c r="H467" s="29">
        <f>IF(OR(G467="",D467=0),"",G467/D467*100)</f>
        <v/>
      </c>
      <c r="I467" s="30">
        <f>IF(A467="","",IF(COUNTIF($B$5:$B$504,A467)&gt;0,IF(ABS(SUMIF($B$5:$B$504,A467,$C$5:$C$504)-100)&lt;0.0001,"✔ alt gruplar Σ=100","⚠ alt gruplar Σ≠100"),IF(G467="","—",IF(ABS(G467)&lt;=PursUyum,"✔ uyumlu",IF(ABS(G467)&lt;=PursCiddi,"⚠ dikkat","✗ ciddi fark")))))</f>
        <v/>
      </c>
      <c r="J467" s="5" t="n"/>
      <c r="K467" s="5" t="n"/>
    </row>
    <row r="468">
      <c r="A468" s="5" t="n"/>
      <c r="B468" s="5" t="n"/>
      <c r="C468" s="26" t="n"/>
      <c r="D468" s="27">
        <f>IF(OR(A468="",C468=""),"",C468*IFERROR(VLOOKUP(B468,$A$5:$C$504,3,FALSE)/100,1)*IFERROR(VLOOKUP(IFERROR(VLOOKUP(B468,$A$5:$B$504,2,FALSE),""),$A$5:$C$504,3,FALSE)/100,1)*IFERROR(VLOOKUP(IFERROR(VLOOKUP(IFERROR(VLOOKUP(B468,$A$5:$B$504,2,FALSE),""),$A$5:$B$504,2,FALSE),""),$A$5:$C$504,3,FALSE)/100,1))</f>
        <v/>
      </c>
      <c r="E468" s="21">
        <f>IF(A468="","",SUMIF('Grup Eşleme'!$B$5:$B$504,A468,'Grup Eşleme'!$C$5:$C$504))</f>
        <v/>
      </c>
      <c r="F468" s="27">
        <f>IF(OR(A468="",'Metraj Mahal Listesi'!$K$3=0,COUNTIF($B$5:$B$504,A468)&gt;0),"",E468/'Metraj Mahal Listesi'!$K$3*100)</f>
        <v/>
      </c>
      <c r="G468" s="28">
        <f>IF(OR(D468="",F468=""),"",F468-D468)</f>
        <v/>
      </c>
      <c r="H468" s="29">
        <f>IF(OR(G468="",D468=0),"",G468/D468*100)</f>
        <v/>
      </c>
      <c r="I468" s="30">
        <f>IF(A468="","",IF(COUNTIF($B$5:$B$504,A468)&gt;0,IF(ABS(SUMIF($B$5:$B$504,A468,$C$5:$C$504)-100)&lt;0.0001,"✔ alt gruplar Σ=100","⚠ alt gruplar Σ≠100"),IF(G468="","—",IF(ABS(G468)&lt;=PursUyum,"✔ uyumlu",IF(ABS(G468)&lt;=PursCiddi,"⚠ dikkat","✗ ciddi fark")))))</f>
        <v/>
      </c>
      <c r="J468" s="5" t="n"/>
      <c r="K468" s="5" t="n"/>
    </row>
    <row r="469">
      <c r="A469" s="5" t="n"/>
      <c r="B469" s="5" t="n"/>
      <c r="C469" s="26" t="n"/>
      <c r="D469" s="27">
        <f>IF(OR(A469="",C469=""),"",C469*IFERROR(VLOOKUP(B469,$A$5:$C$504,3,FALSE)/100,1)*IFERROR(VLOOKUP(IFERROR(VLOOKUP(B469,$A$5:$B$504,2,FALSE),""),$A$5:$C$504,3,FALSE)/100,1)*IFERROR(VLOOKUP(IFERROR(VLOOKUP(IFERROR(VLOOKUP(B469,$A$5:$B$504,2,FALSE),""),$A$5:$B$504,2,FALSE),""),$A$5:$C$504,3,FALSE)/100,1))</f>
        <v/>
      </c>
      <c r="E469" s="21">
        <f>IF(A469="","",SUMIF('Grup Eşleme'!$B$5:$B$504,A469,'Grup Eşleme'!$C$5:$C$504))</f>
        <v/>
      </c>
      <c r="F469" s="27">
        <f>IF(OR(A469="",'Metraj Mahal Listesi'!$K$3=0,COUNTIF($B$5:$B$504,A469)&gt;0),"",E469/'Metraj Mahal Listesi'!$K$3*100)</f>
        <v/>
      </c>
      <c r="G469" s="28">
        <f>IF(OR(D469="",F469=""),"",F469-D469)</f>
        <v/>
      </c>
      <c r="H469" s="29">
        <f>IF(OR(G469="",D469=0),"",G469/D469*100)</f>
        <v/>
      </c>
      <c r="I469" s="30">
        <f>IF(A469="","",IF(COUNTIF($B$5:$B$504,A469)&gt;0,IF(ABS(SUMIF($B$5:$B$504,A469,$C$5:$C$504)-100)&lt;0.0001,"✔ alt gruplar Σ=100","⚠ alt gruplar Σ≠100"),IF(G469="","—",IF(ABS(G469)&lt;=PursUyum,"✔ uyumlu",IF(ABS(G469)&lt;=PursCiddi,"⚠ dikkat","✗ ciddi fark")))))</f>
        <v/>
      </c>
      <c r="J469" s="5" t="n"/>
      <c r="K469" s="5" t="n"/>
    </row>
    <row r="470">
      <c r="A470" s="5" t="n"/>
      <c r="B470" s="5" t="n"/>
      <c r="C470" s="26" t="n"/>
      <c r="D470" s="27">
        <f>IF(OR(A470="",C470=""),"",C470*IFERROR(VLOOKUP(B470,$A$5:$C$504,3,FALSE)/100,1)*IFERROR(VLOOKUP(IFERROR(VLOOKUP(B470,$A$5:$B$504,2,FALSE),""),$A$5:$C$504,3,FALSE)/100,1)*IFERROR(VLOOKUP(IFERROR(VLOOKUP(IFERROR(VLOOKUP(B470,$A$5:$B$504,2,FALSE),""),$A$5:$B$504,2,FALSE),""),$A$5:$C$504,3,FALSE)/100,1))</f>
        <v/>
      </c>
      <c r="E470" s="21">
        <f>IF(A470="","",SUMIF('Grup Eşleme'!$B$5:$B$504,A470,'Grup Eşleme'!$C$5:$C$504))</f>
        <v/>
      </c>
      <c r="F470" s="27">
        <f>IF(OR(A470="",'Metraj Mahal Listesi'!$K$3=0,COUNTIF($B$5:$B$504,A470)&gt;0),"",E470/'Metraj Mahal Listesi'!$K$3*100)</f>
        <v/>
      </c>
      <c r="G470" s="28">
        <f>IF(OR(D470="",F470=""),"",F470-D470)</f>
        <v/>
      </c>
      <c r="H470" s="29">
        <f>IF(OR(G470="",D470=0),"",G470/D470*100)</f>
        <v/>
      </c>
      <c r="I470" s="30">
        <f>IF(A470="","",IF(COUNTIF($B$5:$B$504,A470)&gt;0,IF(ABS(SUMIF($B$5:$B$504,A470,$C$5:$C$504)-100)&lt;0.0001,"✔ alt gruplar Σ=100","⚠ alt gruplar Σ≠100"),IF(G470="","—",IF(ABS(G470)&lt;=PursUyum,"✔ uyumlu",IF(ABS(G470)&lt;=PursCiddi,"⚠ dikkat","✗ ciddi fark")))))</f>
        <v/>
      </c>
      <c r="J470" s="5" t="n"/>
      <c r="K470" s="5" t="n"/>
    </row>
    <row r="471">
      <c r="A471" s="5" t="n"/>
      <c r="B471" s="5" t="n"/>
      <c r="C471" s="26" t="n"/>
      <c r="D471" s="27">
        <f>IF(OR(A471="",C471=""),"",C471*IFERROR(VLOOKUP(B471,$A$5:$C$504,3,FALSE)/100,1)*IFERROR(VLOOKUP(IFERROR(VLOOKUP(B471,$A$5:$B$504,2,FALSE),""),$A$5:$C$504,3,FALSE)/100,1)*IFERROR(VLOOKUP(IFERROR(VLOOKUP(IFERROR(VLOOKUP(B471,$A$5:$B$504,2,FALSE),""),$A$5:$B$504,2,FALSE),""),$A$5:$C$504,3,FALSE)/100,1))</f>
        <v/>
      </c>
      <c r="E471" s="21">
        <f>IF(A471="","",SUMIF('Grup Eşleme'!$B$5:$B$504,A471,'Grup Eşleme'!$C$5:$C$504))</f>
        <v/>
      </c>
      <c r="F471" s="27">
        <f>IF(OR(A471="",'Metraj Mahal Listesi'!$K$3=0,COUNTIF($B$5:$B$504,A471)&gt;0),"",E471/'Metraj Mahal Listesi'!$K$3*100)</f>
        <v/>
      </c>
      <c r="G471" s="28">
        <f>IF(OR(D471="",F471=""),"",F471-D471)</f>
        <v/>
      </c>
      <c r="H471" s="29">
        <f>IF(OR(G471="",D471=0),"",G471/D471*100)</f>
        <v/>
      </c>
      <c r="I471" s="30">
        <f>IF(A471="","",IF(COUNTIF($B$5:$B$504,A471)&gt;0,IF(ABS(SUMIF($B$5:$B$504,A471,$C$5:$C$504)-100)&lt;0.0001,"✔ alt gruplar Σ=100","⚠ alt gruplar Σ≠100"),IF(G471="","—",IF(ABS(G471)&lt;=PursUyum,"✔ uyumlu",IF(ABS(G471)&lt;=PursCiddi,"⚠ dikkat","✗ ciddi fark")))))</f>
        <v/>
      </c>
      <c r="J471" s="5" t="n"/>
      <c r="K471" s="5" t="n"/>
    </row>
    <row r="472">
      <c r="A472" s="5" t="n"/>
      <c r="B472" s="5" t="n"/>
      <c r="C472" s="26" t="n"/>
      <c r="D472" s="27">
        <f>IF(OR(A472="",C472=""),"",C472*IFERROR(VLOOKUP(B472,$A$5:$C$504,3,FALSE)/100,1)*IFERROR(VLOOKUP(IFERROR(VLOOKUP(B472,$A$5:$B$504,2,FALSE),""),$A$5:$C$504,3,FALSE)/100,1)*IFERROR(VLOOKUP(IFERROR(VLOOKUP(IFERROR(VLOOKUP(B472,$A$5:$B$504,2,FALSE),""),$A$5:$B$504,2,FALSE),""),$A$5:$C$504,3,FALSE)/100,1))</f>
        <v/>
      </c>
      <c r="E472" s="21">
        <f>IF(A472="","",SUMIF('Grup Eşleme'!$B$5:$B$504,A472,'Grup Eşleme'!$C$5:$C$504))</f>
        <v/>
      </c>
      <c r="F472" s="27">
        <f>IF(OR(A472="",'Metraj Mahal Listesi'!$K$3=0,COUNTIF($B$5:$B$504,A472)&gt;0),"",E472/'Metraj Mahal Listesi'!$K$3*100)</f>
        <v/>
      </c>
      <c r="G472" s="28">
        <f>IF(OR(D472="",F472=""),"",F472-D472)</f>
        <v/>
      </c>
      <c r="H472" s="29">
        <f>IF(OR(G472="",D472=0),"",G472/D472*100)</f>
        <v/>
      </c>
      <c r="I472" s="30">
        <f>IF(A472="","",IF(COUNTIF($B$5:$B$504,A472)&gt;0,IF(ABS(SUMIF($B$5:$B$504,A472,$C$5:$C$504)-100)&lt;0.0001,"✔ alt gruplar Σ=100","⚠ alt gruplar Σ≠100"),IF(G472="","—",IF(ABS(G472)&lt;=PursUyum,"✔ uyumlu",IF(ABS(G472)&lt;=PursCiddi,"⚠ dikkat","✗ ciddi fark")))))</f>
        <v/>
      </c>
      <c r="J472" s="5" t="n"/>
      <c r="K472" s="5" t="n"/>
    </row>
    <row r="473">
      <c r="A473" s="5" t="n"/>
      <c r="B473" s="5" t="n"/>
      <c r="C473" s="26" t="n"/>
      <c r="D473" s="27">
        <f>IF(OR(A473="",C473=""),"",C473*IFERROR(VLOOKUP(B473,$A$5:$C$504,3,FALSE)/100,1)*IFERROR(VLOOKUP(IFERROR(VLOOKUP(B473,$A$5:$B$504,2,FALSE),""),$A$5:$C$504,3,FALSE)/100,1)*IFERROR(VLOOKUP(IFERROR(VLOOKUP(IFERROR(VLOOKUP(B473,$A$5:$B$504,2,FALSE),""),$A$5:$B$504,2,FALSE),""),$A$5:$C$504,3,FALSE)/100,1))</f>
        <v/>
      </c>
      <c r="E473" s="21">
        <f>IF(A473="","",SUMIF('Grup Eşleme'!$B$5:$B$504,A473,'Grup Eşleme'!$C$5:$C$504))</f>
        <v/>
      </c>
      <c r="F473" s="27">
        <f>IF(OR(A473="",'Metraj Mahal Listesi'!$K$3=0,COUNTIF($B$5:$B$504,A473)&gt;0),"",E473/'Metraj Mahal Listesi'!$K$3*100)</f>
        <v/>
      </c>
      <c r="G473" s="28">
        <f>IF(OR(D473="",F473=""),"",F473-D473)</f>
        <v/>
      </c>
      <c r="H473" s="29">
        <f>IF(OR(G473="",D473=0),"",G473/D473*100)</f>
        <v/>
      </c>
      <c r="I473" s="30">
        <f>IF(A473="","",IF(COUNTIF($B$5:$B$504,A473)&gt;0,IF(ABS(SUMIF($B$5:$B$504,A473,$C$5:$C$504)-100)&lt;0.0001,"✔ alt gruplar Σ=100","⚠ alt gruplar Σ≠100"),IF(G473="","—",IF(ABS(G473)&lt;=PursUyum,"✔ uyumlu",IF(ABS(G473)&lt;=PursCiddi,"⚠ dikkat","✗ ciddi fark")))))</f>
        <v/>
      </c>
      <c r="J473" s="5" t="n"/>
      <c r="K473" s="5" t="n"/>
    </row>
    <row r="474">
      <c r="A474" s="5" t="n"/>
      <c r="B474" s="5" t="n"/>
      <c r="C474" s="26" t="n"/>
      <c r="D474" s="27">
        <f>IF(OR(A474="",C474=""),"",C474*IFERROR(VLOOKUP(B474,$A$5:$C$504,3,FALSE)/100,1)*IFERROR(VLOOKUP(IFERROR(VLOOKUP(B474,$A$5:$B$504,2,FALSE),""),$A$5:$C$504,3,FALSE)/100,1)*IFERROR(VLOOKUP(IFERROR(VLOOKUP(IFERROR(VLOOKUP(B474,$A$5:$B$504,2,FALSE),""),$A$5:$B$504,2,FALSE),""),$A$5:$C$504,3,FALSE)/100,1))</f>
        <v/>
      </c>
      <c r="E474" s="21">
        <f>IF(A474="","",SUMIF('Grup Eşleme'!$B$5:$B$504,A474,'Grup Eşleme'!$C$5:$C$504))</f>
        <v/>
      </c>
      <c r="F474" s="27">
        <f>IF(OR(A474="",'Metraj Mahal Listesi'!$K$3=0,COUNTIF($B$5:$B$504,A474)&gt;0),"",E474/'Metraj Mahal Listesi'!$K$3*100)</f>
        <v/>
      </c>
      <c r="G474" s="28">
        <f>IF(OR(D474="",F474=""),"",F474-D474)</f>
        <v/>
      </c>
      <c r="H474" s="29">
        <f>IF(OR(G474="",D474=0),"",G474/D474*100)</f>
        <v/>
      </c>
      <c r="I474" s="30">
        <f>IF(A474="","",IF(COUNTIF($B$5:$B$504,A474)&gt;0,IF(ABS(SUMIF($B$5:$B$504,A474,$C$5:$C$504)-100)&lt;0.0001,"✔ alt gruplar Σ=100","⚠ alt gruplar Σ≠100"),IF(G474="","—",IF(ABS(G474)&lt;=PursUyum,"✔ uyumlu",IF(ABS(G474)&lt;=PursCiddi,"⚠ dikkat","✗ ciddi fark")))))</f>
        <v/>
      </c>
      <c r="J474" s="5" t="n"/>
      <c r="K474" s="5" t="n"/>
    </row>
    <row r="475">
      <c r="A475" s="5" t="n"/>
      <c r="B475" s="5" t="n"/>
      <c r="C475" s="26" t="n"/>
      <c r="D475" s="27">
        <f>IF(OR(A475="",C475=""),"",C475*IFERROR(VLOOKUP(B475,$A$5:$C$504,3,FALSE)/100,1)*IFERROR(VLOOKUP(IFERROR(VLOOKUP(B475,$A$5:$B$504,2,FALSE),""),$A$5:$C$504,3,FALSE)/100,1)*IFERROR(VLOOKUP(IFERROR(VLOOKUP(IFERROR(VLOOKUP(B475,$A$5:$B$504,2,FALSE),""),$A$5:$B$504,2,FALSE),""),$A$5:$C$504,3,FALSE)/100,1))</f>
        <v/>
      </c>
      <c r="E475" s="21">
        <f>IF(A475="","",SUMIF('Grup Eşleme'!$B$5:$B$504,A475,'Grup Eşleme'!$C$5:$C$504))</f>
        <v/>
      </c>
      <c r="F475" s="27">
        <f>IF(OR(A475="",'Metraj Mahal Listesi'!$K$3=0,COUNTIF($B$5:$B$504,A475)&gt;0),"",E475/'Metraj Mahal Listesi'!$K$3*100)</f>
        <v/>
      </c>
      <c r="G475" s="28">
        <f>IF(OR(D475="",F475=""),"",F475-D475)</f>
        <v/>
      </c>
      <c r="H475" s="29">
        <f>IF(OR(G475="",D475=0),"",G475/D475*100)</f>
        <v/>
      </c>
      <c r="I475" s="30">
        <f>IF(A475="","",IF(COUNTIF($B$5:$B$504,A475)&gt;0,IF(ABS(SUMIF($B$5:$B$504,A475,$C$5:$C$504)-100)&lt;0.0001,"✔ alt gruplar Σ=100","⚠ alt gruplar Σ≠100"),IF(G475="","—",IF(ABS(G475)&lt;=PursUyum,"✔ uyumlu",IF(ABS(G475)&lt;=PursCiddi,"⚠ dikkat","✗ ciddi fark")))))</f>
        <v/>
      </c>
      <c r="J475" s="5" t="n"/>
      <c r="K475" s="5" t="n"/>
    </row>
    <row r="476">
      <c r="A476" s="5" t="n"/>
      <c r="B476" s="5" t="n"/>
      <c r="C476" s="26" t="n"/>
      <c r="D476" s="27">
        <f>IF(OR(A476="",C476=""),"",C476*IFERROR(VLOOKUP(B476,$A$5:$C$504,3,FALSE)/100,1)*IFERROR(VLOOKUP(IFERROR(VLOOKUP(B476,$A$5:$B$504,2,FALSE),""),$A$5:$C$504,3,FALSE)/100,1)*IFERROR(VLOOKUP(IFERROR(VLOOKUP(IFERROR(VLOOKUP(B476,$A$5:$B$504,2,FALSE),""),$A$5:$B$504,2,FALSE),""),$A$5:$C$504,3,FALSE)/100,1))</f>
        <v/>
      </c>
      <c r="E476" s="21">
        <f>IF(A476="","",SUMIF('Grup Eşleme'!$B$5:$B$504,A476,'Grup Eşleme'!$C$5:$C$504))</f>
        <v/>
      </c>
      <c r="F476" s="27">
        <f>IF(OR(A476="",'Metraj Mahal Listesi'!$K$3=0,COUNTIF($B$5:$B$504,A476)&gt;0),"",E476/'Metraj Mahal Listesi'!$K$3*100)</f>
        <v/>
      </c>
      <c r="G476" s="28">
        <f>IF(OR(D476="",F476=""),"",F476-D476)</f>
        <v/>
      </c>
      <c r="H476" s="29">
        <f>IF(OR(G476="",D476=0),"",G476/D476*100)</f>
        <v/>
      </c>
      <c r="I476" s="30">
        <f>IF(A476="","",IF(COUNTIF($B$5:$B$504,A476)&gt;0,IF(ABS(SUMIF($B$5:$B$504,A476,$C$5:$C$504)-100)&lt;0.0001,"✔ alt gruplar Σ=100","⚠ alt gruplar Σ≠100"),IF(G476="","—",IF(ABS(G476)&lt;=PursUyum,"✔ uyumlu",IF(ABS(G476)&lt;=PursCiddi,"⚠ dikkat","✗ ciddi fark")))))</f>
        <v/>
      </c>
      <c r="J476" s="5" t="n"/>
      <c r="K476" s="5" t="n"/>
    </row>
    <row r="477">
      <c r="A477" s="5" t="n"/>
      <c r="B477" s="5" t="n"/>
      <c r="C477" s="26" t="n"/>
      <c r="D477" s="27">
        <f>IF(OR(A477="",C477=""),"",C477*IFERROR(VLOOKUP(B477,$A$5:$C$504,3,FALSE)/100,1)*IFERROR(VLOOKUP(IFERROR(VLOOKUP(B477,$A$5:$B$504,2,FALSE),""),$A$5:$C$504,3,FALSE)/100,1)*IFERROR(VLOOKUP(IFERROR(VLOOKUP(IFERROR(VLOOKUP(B477,$A$5:$B$504,2,FALSE),""),$A$5:$B$504,2,FALSE),""),$A$5:$C$504,3,FALSE)/100,1))</f>
        <v/>
      </c>
      <c r="E477" s="21">
        <f>IF(A477="","",SUMIF('Grup Eşleme'!$B$5:$B$504,A477,'Grup Eşleme'!$C$5:$C$504))</f>
        <v/>
      </c>
      <c r="F477" s="27">
        <f>IF(OR(A477="",'Metraj Mahal Listesi'!$K$3=0,COUNTIF($B$5:$B$504,A477)&gt;0),"",E477/'Metraj Mahal Listesi'!$K$3*100)</f>
        <v/>
      </c>
      <c r="G477" s="28">
        <f>IF(OR(D477="",F477=""),"",F477-D477)</f>
        <v/>
      </c>
      <c r="H477" s="29">
        <f>IF(OR(G477="",D477=0),"",G477/D477*100)</f>
        <v/>
      </c>
      <c r="I477" s="30">
        <f>IF(A477="","",IF(COUNTIF($B$5:$B$504,A477)&gt;0,IF(ABS(SUMIF($B$5:$B$504,A477,$C$5:$C$504)-100)&lt;0.0001,"✔ alt gruplar Σ=100","⚠ alt gruplar Σ≠100"),IF(G477="","—",IF(ABS(G477)&lt;=PursUyum,"✔ uyumlu",IF(ABS(G477)&lt;=PursCiddi,"⚠ dikkat","✗ ciddi fark")))))</f>
        <v/>
      </c>
      <c r="J477" s="5" t="n"/>
      <c r="K477" s="5" t="n"/>
    </row>
    <row r="478">
      <c r="A478" s="5" t="n"/>
      <c r="B478" s="5" t="n"/>
      <c r="C478" s="26" t="n"/>
      <c r="D478" s="27">
        <f>IF(OR(A478="",C478=""),"",C478*IFERROR(VLOOKUP(B478,$A$5:$C$504,3,FALSE)/100,1)*IFERROR(VLOOKUP(IFERROR(VLOOKUP(B478,$A$5:$B$504,2,FALSE),""),$A$5:$C$504,3,FALSE)/100,1)*IFERROR(VLOOKUP(IFERROR(VLOOKUP(IFERROR(VLOOKUP(B478,$A$5:$B$504,2,FALSE),""),$A$5:$B$504,2,FALSE),""),$A$5:$C$504,3,FALSE)/100,1))</f>
        <v/>
      </c>
      <c r="E478" s="21">
        <f>IF(A478="","",SUMIF('Grup Eşleme'!$B$5:$B$504,A478,'Grup Eşleme'!$C$5:$C$504))</f>
        <v/>
      </c>
      <c r="F478" s="27">
        <f>IF(OR(A478="",'Metraj Mahal Listesi'!$K$3=0,COUNTIF($B$5:$B$504,A478)&gt;0),"",E478/'Metraj Mahal Listesi'!$K$3*100)</f>
        <v/>
      </c>
      <c r="G478" s="28">
        <f>IF(OR(D478="",F478=""),"",F478-D478)</f>
        <v/>
      </c>
      <c r="H478" s="29">
        <f>IF(OR(G478="",D478=0),"",G478/D478*100)</f>
        <v/>
      </c>
      <c r="I478" s="30">
        <f>IF(A478="","",IF(COUNTIF($B$5:$B$504,A478)&gt;0,IF(ABS(SUMIF($B$5:$B$504,A478,$C$5:$C$504)-100)&lt;0.0001,"✔ alt gruplar Σ=100","⚠ alt gruplar Σ≠100"),IF(G478="","—",IF(ABS(G478)&lt;=PursUyum,"✔ uyumlu",IF(ABS(G478)&lt;=PursCiddi,"⚠ dikkat","✗ ciddi fark")))))</f>
        <v/>
      </c>
      <c r="J478" s="5" t="n"/>
      <c r="K478" s="5" t="n"/>
    </row>
    <row r="479">
      <c r="A479" s="5" t="n"/>
      <c r="B479" s="5" t="n"/>
      <c r="C479" s="26" t="n"/>
      <c r="D479" s="27">
        <f>IF(OR(A479="",C479=""),"",C479*IFERROR(VLOOKUP(B479,$A$5:$C$504,3,FALSE)/100,1)*IFERROR(VLOOKUP(IFERROR(VLOOKUP(B479,$A$5:$B$504,2,FALSE),""),$A$5:$C$504,3,FALSE)/100,1)*IFERROR(VLOOKUP(IFERROR(VLOOKUP(IFERROR(VLOOKUP(B479,$A$5:$B$504,2,FALSE),""),$A$5:$B$504,2,FALSE),""),$A$5:$C$504,3,FALSE)/100,1))</f>
        <v/>
      </c>
      <c r="E479" s="21">
        <f>IF(A479="","",SUMIF('Grup Eşleme'!$B$5:$B$504,A479,'Grup Eşleme'!$C$5:$C$504))</f>
        <v/>
      </c>
      <c r="F479" s="27">
        <f>IF(OR(A479="",'Metraj Mahal Listesi'!$K$3=0,COUNTIF($B$5:$B$504,A479)&gt;0),"",E479/'Metraj Mahal Listesi'!$K$3*100)</f>
        <v/>
      </c>
      <c r="G479" s="28">
        <f>IF(OR(D479="",F479=""),"",F479-D479)</f>
        <v/>
      </c>
      <c r="H479" s="29">
        <f>IF(OR(G479="",D479=0),"",G479/D479*100)</f>
        <v/>
      </c>
      <c r="I479" s="30">
        <f>IF(A479="","",IF(COUNTIF($B$5:$B$504,A479)&gt;0,IF(ABS(SUMIF($B$5:$B$504,A479,$C$5:$C$504)-100)&lt;0.0001,"✔ alt gruplar Σ=100","⚠ alt gruplar Σ≠100"),IF(G479="","—",IF(ABS(G479)&lt;=PursUyum,"✔ uyumlu",IF(ABS(G479)&lt;=PursCiddi,"⚠ dikkat","✗ ciddi fark")))))</f>
        <v/>
      </c>
      <c r="J479" s="5" t="n"/>
      <c r="K479" s="5" t="n"/>
    </row>
    <row r="480">
      <c r="A480" s="5" t="n"/>
      <c r="B480" s="5" t="n"/>
      <c r="C480" s="26" t="n"/>
      <c r="D480" s="27">
        <f>IF(OR(A480="",C480=""),"",C480*IFERROR(VLOOKUP(B480,$A$5:$C$504,3,FALSE)/100,1)*IFERROR(VLOOKUP(IFERROR(VLOOKUP(B480,$A$5:$B$504,2,FALSE),""),$A$5:$C$504,3,FALSE)/100,1)*IFERROR(VLOOKUP(IFERROR(VLOOKUP(IFERROR(VLOOKUP(B480,$A$5:$B$504,2,FALSE),""),$A$5:$B$504,2,FALSE),""),$A$5:$C$504,3,FALSE)/100,1))</f>
        <v/>
      </c>
      <c r="E480" s="21">
        <f>IF(A480="","",SUMIF('Grup Eşleme'!$B$5:$B$504,A480,'Grup Eşleme'!$C$5:$C$504))</f>
        <v/>
      </c>
      <c r="F480" s="27">
        <f>IF(OR(A480="",'Metraj Mahal Listesi'!$K$3=0,COUNTIF($B$5:$B$504,A480)&gt;0),"",E480/'Metraj Mahal Listesi'!$K$3*100)</f>
        <v/>
      </c>
      <c r="G480" s="28">
        <f>IF(OR(D480="",F480=""),"",F480-D480)</f>
        <v/>
      </c>
      <c r="H480" s="29">
        <f>IF(OR(G480="",D480=0),"",G480/D480*100)</f>
        <v/>
      </c>
      <c r="I480" s="30">
        <f>IF(A480="","",IF(COUNTIF($B$5:$B$504,A480)&gt;0,IF(ABS(SUMIF($B$5:$B$504,A480,$C$5:$C$504)-100)&lt;0.0001,"✔ alt gruplar Σ=100","⚠ alt gruplar Σ≠100"),IF(G480="","—",IF(ABS(G480)&lt;=PursUyum,"✔ uyumlu",IF(ABS(G480)&lt;=PursCiddi,"⚠ dikkat","✗ ciddi fark")))))</f>
        <v/>
      </c>
      <c r="J480" s="5" t="n"/>
      <c r="K480" s="5" t="n"/>
    </row>
    <row r="481">
      <c r="A481" s="5" t="n"/>
      <c r="B481" s="5" t="n"/>
      <c r="C481" s="26" t="n"/>
      <c r="D481" s="27">
        <f>IF(OR(A481="",C481=""),"",C481*IFERROR(VLOOKUP(B481,$A$5:$C$504,3,FALSE)/100,1)*IFERROR(VLOOKUP(IFERROR(VLOOKUP(B481,$A$5:$B$504,2,FALSE),""),$A$5:$C$504,3,FALSE)/100,1)*IFERROR(VLOOKUP(IFERROR(VLOOKUP(IFERROR(VLOOKUP(B481,$A$5:$B$504,2,FALSE),""),$A$5:$B$504,2,FALSE),""),$A$5:$C$504,3,FALSE)/100,1))</f>
        <v/>
      </c>
      <c r="E481" s="21">
        <f>IF(A481="","",SUMIF('Grup Eşleme'!$B$5:$B$504,A481,'Grup Eşleme'!$C$5:$C$504))</f>
        <v/>
      </c>
      <c r="F481" s="27">
        <f>IF(OR(A481="",'Metraj Mahal Listesi'!$K$3=0,COUNTIF($B$5:$B$504,A481)&gt;0),"",E481/'Metraj Mahal Listesi'!$K$3*100)</f>
        <v/>
      </c>
      <c r="G481" s="28">
        <f>IF(OR(D481="",F481=""),"",F481-D481)</f>
        <v/>
      </c>
      <c r="H481" s="29">
        <f>IF(OR(G481="",D481=0),"",G481/D481*100)</f>
        <v/>
      </c>
      <c r="I481" s="30">
        <f>IF(A481="","",IF(COUNTIF($B$5:$B$504,A481)&gt;0,IF(ABS(SUMIF($B$5:$B$504,A481,$C$5:$C$504)-100)&lt;0.0001,"✔ alt gruplar Σ=100","⚠ alt gruplar Σ≠100"),IF(G481="","—",IF(ABS(G481)&lt;=PursUyum,"✔ uyumlu",IF(ABS(G481)&lt;=PursCiddi,"⚠ dikkat","✗ ciddi fark")))))</f>
        <v/>
      </c>
      <c r="J481" s="5" t="n"/>
      <c r="K481" s="5" t="n"/>
    </row>
    <row r="482">
      <c r="A482" s="5" t="n"/>
      <c r="B482" s="5" t="n"/>
      <c r="C482" s="26" t="n"/>
      <c r="D482" s="27">
        <f>IF(OR(A482="",C482=""),"",C482*IFERROR(VLOOKUP(B482,$A$5:$C$504,3,FALSE)/100,1)*IFERROR(VLOOKUP(IFERROR(VLOOKUP(B482,$A$5:$B$504,2,FALSE),""),$A$5:$C$504,3,FALSE)/100,1)*IFERROR(VLOOKUP(IFERROR(VLOOKUP(IFERROR(VLOOKUP(B482,$A$5:$B$504,2,FALSE),""),$A$5:$B$504,2,FALSE),""),$A$5:$C$504,3,FALSE)/100,1))</f>
        <v/>
      </c>
      <c r="E482" s="21">
        <f>IF(A482="","",SUMIF('Grup Eşleme'!$B$5:$B$504,A482,'Grup Eşleme'!$C$5:$C$504))</f>
        <v/>
      </c>
      <c r="F482" s="27">
        <f>IF(OR(A482="",'Metraj Mahal Listesi'!$K$3=0,COUNTIF($B$5:$B$504,A482)&gt;0),"",E482/'Metraj Mahal Listesi'!$K$3*100)</f>
        <v/>
      </c>
      <c r="G482" s="28">
        <f>IF(OR(D482="",F482=""),"",F482-D482)</f>
        <v/>
      </c>
      <c r="H482" s="29">
        <f>IF(OR(G482="",D482=0),"",G482/D482*100)</f>
        <v/>
      </c>
      <c r="I482" s="30">
        <f>IF(A482="","",IF(COUNTIF($B$5:$B$504,A482)&gt;0,IF(ABS(SUMIF($B$5:$B$504,A482,$C$5:$C$504)-100)&lt;0.0001,"✔ alt gruplar Σ=100","⚠ alt gruplar Σ≠100"),IF(G482="","—",IF(ABS(G482)&lt;=PursUyum,"✔ uyumlu",IF(ABS(G482)&lt;=PursCiddi,"⚠ dikkat","✗ ciddi fark")))))</f>
        <v/>
      </c>
      <c r="J482" s="5" t="n"/>
      <c r="K482" s="5" t="n"/>
    </row>
    <row r="483">
      <c r="A483" s="5" t="n"/>
      <c r="B483" s="5" t="n"/>
      <c r="C483" s="26" t="n"/>
      <c r="D483" s="27">
        <f>IF(OR(A483="",C483=""),"",C483*IFERROR(VLOOKUP(B483,$A$5:$C$504,3,FALSE)/100,1)*IFERROR(VLOOKUP(IFERROR(VLOOKUP(B483,$A$5:$B$504,2,FALSE),""),$A$5:$C$504,3,FALSE)/100,1)*IFERROR(VLOOKUP(IFERROR(VLOOKUP(IFERROR(VLOOKUP(B483,$A$5:$B$504,2,FALSE),""),$A$5:$B$504,2,FALSE),""),$A$5:$C$504,3,FALSE)/100,1))</f>
        <v/>
      </c>
      <c r="E483" s="21">
        <f>IF(A483="","",SUMIF('Grup Eşleme'!$B$5:$B$504,A483,'Grup Eşleme'!$C$5:$C$504))</f>
        <v/>
      </c>
      <c r="F483" s="27">
        <f>IF(OR(A483="",'Metraj Mahal Listesi'!$K$3=0,COUNTIF($B$5:$B$504,A483)&gt;0),"",E483/'Metraj Mahal Listesi'!$K$3*100)</f>
        <v/>
      </c>
      <c r="G483" s="28">
        <f>IF(OR(D483="",F483=""),"",F483-D483)</f>
        <v/>
      </c>
      <c r="H483" s="29">
        <f>IF(OR(G483="",D483=0),"",G483/D483*100)</f>
        <v/>
      </c>
      <c r="I483" s="30">
        <f>IF(A483="","",IF(COUNTIF($B$5:$B$504,A483)&gt;0,IF(ABS(SUMIF($B$5:$B$504,A483,$C$5:$C$504)-100)&lt;0.0001,"✔ alt gruplar Σ=100","⚠ alt gruplar Σ≠100"),IF(G483="","—",IF(ABS(G483)&lt;=PursUyum,"✔ uyumlu",IF(ABS(G483)&lt;=PursCiddi,"⚠ dikkat","✗ ciddi fark")))))</f>
        <v/>
      </c>
      <c r="J483" s="5" t="n"/>
      <c r="K483" s="5" t="n"/>
    </row>
    <row r="484">
      <c r="A484" s="5" t="n"/>
      <c r="B484" s="5" t="n"/>
      <c r="C484" s="26" t="n"/>
      <c r="D484" s="27">
        <f>IF(OR(A484="",C484=""),"",C484*IFERROR(VLOOKUP(B484,$A$5:$C$504,3,FALSE)/100,1)*IFERROR(VLOOKUP(IFERROR(VLOOKUP(B484,$A$5:$B$504,2,FALSE),""),$A$5:$C$504,3,FALSE)/100,1)*IFERROR(VLOOKUP(IFERROR(VLOOKUP(IFERROR(VLOOKUP(B484,$A$5:$B$504,2,FALSE),""),$A$5:$B$504,2,FALSE),""),$A$5:$C$504,3,FALSE)/100,1))</f>
        <v/>
      </c>
      <c r="E484" s="21">
        <f>IF(A484="","",SUMIF('Grup Eşleme'!$B$5:$B$504,A484,'Grup Eşleme'!$C$5:$C$504))</f>
        <v/>
      </c>
      <c r="F484" s="27">
        <f>IF(OR(A484="",'Metraj Mahal Listesi'!$K$3=0,COUNTIF($B$5:$B$504,A484)&gt;0),"",E484/'Metraj Mahal Listesi'!$K$3*100)</f>
        <v/>
      </c>
      <c r="G484" s="28">
        <f>IF(OR(D484="",F484=""),"",F484-D484)</f>
        <v/>
      </c>
      <c r="H484" s="29">
        <f>IF(OR(G484="",D484=0),"",G484/D484*100)</f>
        <v/>
      </c>
      <c r="I484" s="30">
        <f>IF(A484="","",IF(COUNTIF($B$5:$B$504,A484)&gt;0,IF(ABS(SUMIF($B$5:$B$504,A484,$C$5:$C$504)-100)&lt;0.0001,"✔ alt gruplar Σ=100","⚠ alt gruplar Σ≠100"),IF(G484="","—",IF(ABS(G484)&lt;=PursUyum,"✔ uyumlu",IF(ABS(G484)&lt;=PursCiddi,"⚠ dikkat","✗ ciddi fark")))))</f>
        <v/>
      </c>
      <c r="J484" s="5" t="n"/>
      <c r="K484" s="5" t="n"/>
    </row>
    <row r="485">
      <c r="A485" s="5" t="n"/>
      <c r="B485" s="5" t="n"/>
      <c r="C485" s="26" t="n"/>
      <c r="D485" s="27">
        <f>IF(OR(A485="",C485=""),"",C485*IFERROR(VLOOKUP(B485,$A$5:$C$504,3,FALSE)/100,1)*IFERROR(VLOOKUP(IFERROR(VLOOKUP(B485,$A$5:$B$504,2,FALSE),""),$A$5:$C$504,3,FALSE)/100,1)*IFERROR(VLOOKUP(IFERROR(VLOOKUP(IFERROR(VLOOKUP(B485,$A$5:$B$504,2,FALSE),""),$A$5:$B$504,2,FALSE),""),$A$5:$C$504,3,FALSE)/100,1))</f>
        <v/>
      </c>
      <c r="E485" s="21">
        <f>IF(A485="","",SUMIF('Grup Eşleme'!$B$5:$B$504,A485,'Grup Eşleme'!$C$5:$C$504))</f>
        <v/>
      </c>
      <c r="F485" s="27">
        <f>IF(OR(A485="",'Metraj Mahal Listesi'!$K$3=0,COUNTIF($B$5:$B$504,A485)&gt;0),"",E485/'Metraj Mahal Listesi'!$K$3*100)</f>
        <v/>
      </c>
      <c r="G485" s="28">
        <f>IF(OR(D485="",F485=""),"",F485-D485)</f>
        <v/>
      </c>
      <c r="H485" s="29">
        <f>IF(OR(G485="",D485=0),"",G485/D485*100)</f>
        <v/>
      </c>
      <c r="I485" s="30">
        <f>IF(A485="","",IF(COUNTIF($B$5:$B$504,A485)&gt;0,IF(ABS(SUMIF($B$5:$B$504,A485,$C$5:$C$504)-100)&lt;0.0001,"✔ alt gruplar Σ=100","⚠ alt gruplar Σ≠100"),IF(G485="","—",IF(ABS(G485)&lt;=PursUyum,"✔ uyumlu",IF(ABS(G485)&lt;=PursCiddi,"⚠ dikkat","✗ ciddi fark")))))</f>
        <v/>
      </c>
      <c r="J485" s="5" t="n"/>
      <c r="K485" s="5" t="n"/>
    </row>
    <row r="486">
      <c r="A486" s="5" t="n"/>
      <c r="B486" s="5" t="n"/>
      <c r="C486" s="26" t="n"/>
      <c r="D486" s="27">
        <f>IF(OR(A486="",C486=""),"",C486*IFERROR(VLOOKUP(B486,$A$5:$C$504,3,FALSE)/100,1)*IFERROR(VLOOKUP(IFERROR(VLOOKUP(B486,$A$5:$B$504,2,FALSE),""),$A$5:$C$504,3,FALSE)/100,1)*IFERROR(VLOOKUP(IFERROR(VLOOKUP(IFERROR(VLOOKUP(B486,$A$5:$B$504,2,FALSE),""),$A$5:$B$504,2,FALSE),""),$A$5:$C$504,3,FALSE)/100,1))</f>
        <v/>
      </c>
      <c r="E486" s="21">
        <f>IF(A486="","",SUMIF('Grup Eşleme'!$B$5:$B$504,A486,'Grup Eşleme'!$C$5:$C$504))</f>
        <v/>
      </c>
      <c r="F486" s="27">
        <f>IF(OR(A486="",'Metraj Mahal Listesi'!$K$3=0,COUNTIF($B$5:$B$504,A486)&gt;0),"",E486/'Metraj Mahal Listesi'!$K$3*100)</f>
        <v/>
      </c>
      <c r="G486" s="28">
        <f>IF(OR(D486="",F486=""),"",F486-D486)</f>
        <v/>
      </c>
      <c r="H486" s="29">
        <f>IF(OR(G486="",D486=0),"",G486/D486*100)</f>
        <v/>
      </c>
      <c r="I486" s="30">
        <f>IF(A486="","",IF(COUNTIF($B$5:$B$504,A486)&gt;0,IF(ABS(SUMIF($B$5:$B$504,A486,$C$5:$C$504)-100)&lt;0.0001,"✔ alt gruplar Σ=100","⚠ alt gruplar Σ≠100"),IF(G486="","—",IF(ABS(G486)&lt;=PursUyum,"✔ uyumlu",IF(ABS(G486)&lt;=PursCiddi,"⚠ dikkat","✗ ciddi fark")))))</f>
        <v/>
      </c>
      <c r="J486" s="5" t="n"/>
      <c r="K486" s="5" t="n"/>
    </row>
    <row r="487">
      <c r="A487" s="5" t="n"/>
      <c r="B487" s="5" t="n"/>
      <c r="C487" s="26" t="n"/>
      <c r="D487" s="27">
        <f>IF(OR(A487="",C487=""),"",C487*IFERROR(VLOOKUP(B487,$A$5:$C$504,3,FALSE)/100,1)*IFERROR(VLOOKUP(IFERROR(VLOOKUP(B487,$A$5:$B$504,2,FALSE),""),$A$5:$C$504,3,FALSE)/100,1)*IFERROR(VLOOKUP(IFERROR(VLOOKUP(IFERROR(VLOOKUP(B487,$A$5:$B$504,2,FALSE),""),$A$5:$B$504,2,FALSE),""),$A$5:$C$504,3,FALSE)/100,1))</f>
        <v/>
      </c>
      <c r="E487" s="21">
        <f>IF(A487="","",SUMIF('Grup Eşleme'!$B$5:$B$504,A487,'Grup Eşleme'!$C$5:$C$504))</f>
        <v/>
      </c>
      <c r="F487" s="27">
        <f>IF(OR(A487="",'Metraj Mahal Listesi'!$K$3=0,COUNTIF($B$5:$B$504,A487)&gt;0),"",E487/'Metraj Mahal Listesi'!$K$3*100)</f>
        <v/>
      </c>
      <c r="G487" s="28">
        <f>IF(OR(D487="",F487=""),"",F487-D487)</f>
        <v/>
      </c>
      <c r="H487" s="29">
        <f>IF(OR(G487="",D487=0),"",G487/D487*100)</f>
        <v/>
      </c>
      <c r="I487" s="30">
        <f>IF(A487="","",IF(COUNTIF($B$5:$B$504,A487)&gt;0,IF(ABS(SUMIF($B$5:$B$504,A487,$C$5:$C$504)-100)&lt;0.0001,"✔ alt gruplar Σ=100","⚠ alt gruplar Σ≠100"),IF(G487="","—",IF(ABS(G487)&lt;=PursUyum,"✔ uyumlu",IF(ABS(G487)&lt;=PursCiddi,"⚠ dikkat","✗ ciddi fark")))))</f>
        <v/>
      </c>
      <c r="J487" s="5" t="n"/>
      <c r="K487" s="5" t="n"/>
    </row>
    <row r="488">
      <c r="A488" s="5" t="n"/>
      <c r="B488" s="5" t="n"/>
      <c r="C488" s="26" t="n"/>
      <c r="D488" s="27">
        <f>IF(OR(A488="",C488=""),"",C488*IFERROR(VLOOKUP(B488,$A$5:$C$504,3,FALSE)/100,1)*IFERROR(VLOOKUP(IFERROR(VLOOKUP(B488,$A$5:$B$504,2,FALSE),""),$A$5:$C$504,3,FALSE)/100,1)*IFERROR(VLOOKUP(IFERROR(VLOOKUP(IFERROR(VLOOKUP(B488,$A$5:$B$504,2,FALSE),""),$A$5:$B$504,2,FALSE),""),$A$5:$C$504,3,FALSE)/100,1))</f>
        <v/>
      </c>
      <c r="E488" s="21">
        <f>IF(A488="","",SUMIF('Grup Eşleme'!$B$5:$B$504,A488,'Grup Eşleme'!$C$5:$C$504))</f>
        <v/>
      </c>
      <c r="F488" s="27">
        <f>IF(OR(A488="",'Metraj Mahal Listesi'!$K$3=0,COUNTIF($B$5:$B$504,A488)&gt;0),"",E488/'Metraj Mahal Listesi'!$K$3*100)</f>
        <v/>
      </c>
      <c r="G488" s="28">
        <f>IF(OR(D488="",F488=""),"",F488-D488)</f>
        <v/>
      </c>
      <c r="H488" s="29">
        <f>IF(OR(G488="",D488=0),"",G488/D488*100)</f>
        <v/>
      </c>
      <c r="I488" s="30">
        <f>IF(A488="","",IF(COUNTIF($B$5:$B$504,A488)&gt;0,IF(ABS(SUMIF($B$5:$B$504,A488,$C$5:$C$504)-100)&lt;0.0001,"✔ alt gruplar Σ=100","⚠ alt gruplar Σ≠100"),IF(G488="","—",IF(ABS(G488)&lt;=PursUyum,"✔ uyumlu",IF(ABS(G488)&lt;=PursCiddi,"⚠ dikkat","✗ ciddi fark")))))</f>
        <v/>
      </c>
      <c r="J488" s="5" t="n"/>
      <c r="K488" s="5" t="n"/>
    </row>
    <row r="489">
      <c r="A489" s="5" t="n"/>
      <c r="B489" s="5" t="n"/>
      <c r="C489" s="26" t="n"/>
      <c r="D489" s="27">
        <f>IF(OR(A489="",C489=""),"",C489*IFERROR(VLOOKUP(B489,$A$5:$C$504,3,FALSE)/100,1)*IFERROR(VLOOKUP(IFERROR(VLOOKUP(B489,$A$5:$B$504,2,FALSE),""),$A$5:$C$504,3,FALSE)/100,1)*IFERROR(VLOOKUP(IFERROR(VLOOKUP(IFERROR(VLOOKUP(B489,$A$5:$B$504,2,FALSE),""),$A$5:$B$504,2,FALSE),""),$A$5:$C$504,3,FALSE)/100,1))</f>
        <v/>
      </c>
      <c r="E489" s="21">
        <f>IF(A489="","",SUMIF('Grup Eşleme'!$B$5:$B$504,A489,'Grup Eşleme'!$C$5:$C$504))</f>
        <v/>
      </c>
      <c r="F489" s="27">
        <f>IF(OR(A489="",'Metraj Mahal Listesi'!$K$3=0,COUNTIF($B$5:$B$504,A489)&gt;0),"",E489/'Metraj Mahal Listesi'!$K$3*100)</f>
        <v/>
      </c>
      <c r="G489" s="28">
        <f>IF(OR(D489="",F489=""),"",F489-D489)</f>
        <v/>
      </c>
      <c r="H489" s="29">
        <f>IF(OR(G489="",D489=0),"",G489/D489*100)</f>
        <v/>
      </c>
      <c r="I489" s="30">
        <f>IF(A489="","",IF(COUNTIF($B$5:$B$504,A489)&gt;0,IF(ABS(SUMIF($B$5:$B$504,A489,$C$5:$C$504)-100)&lt;0.0001,"✔ alt gruplar Σ=100","⚠ alt gruplar Σ≠100"),IF(G489="","—",IF(ABS(G489)&lt;=PursUyum,"✔ uyumlu",IF(ABS(G489)&lt;=PursCiddi,"⚠ dikkat","✗ ciddi fark")))))</f>
        <v/>
      </c>
      <c r="J489" s="5" t="n"/>
      <c r="K489" s="5" t="n"/>
    </row>
    <row r="490">
      <c r="A490" s="5" t="n"/>
      <c r="B490" s="5" t="n"/>
      <c r="C490" s="26" t="n"/>
      <c r="D490" s="27">
        <f>IF(OR(A490="",C490=""),"",C490*IFERROR(VLOOKUP(B490,$A$5:$C$504,3,FALSE)/100,1)*IFERROR(VLOOKUP(IFERROR(VLOOKUP(B490,$A$5:$B$504,2,FALSE),""),$A$5:$C$504,3,FALSE)/100,1)*IFERROR(VLOOKUP(IFERROR(VLOOKUP(IFERROR(VLOOKUP(B490,$A$5:$B$504,2,FALSE),""),$A$5:$B$504,2,FALSE),""),$A$5:$C$504,3,FALSE)/100,1))</f>
        <v/>
      </c>
      <c r="E490" s="21">
        <f>IF(A490="","",SUMIF('Grup Eşleme'!$B$5:$B$504,A490,'Grup Eşleme'!$C$5:$C$504))</f>
        <v/>
      </c>
      <c r="F490" s="27">
        <f>IF(OR(A490="",'Metraj Mahal Listesi'!$K$3=0,COUNTIF($B$5:$B$504,A490)&gt;0),"",E490/'Metraj Mahal Listesi'!$K$3*100)</f>
        <v/>
      </c>
      <c r="G490" s="28">
        <f>IF(OR(D490="",F490=""),"",F490-D490)</f>
        <v/>
      </c>
      <c r="H490" s="29">
        <f>IF(OR(G490="",D490=0),"",G490/D490*100)</f>
        <v/>
      </c>
      <c r="I490" s="30">
        <f>IF(A490="","",IF(COUNTIF($B$5:$B$504,A490)&gt;0,IF(ABS(SUMIF($B$5:$B$504,A490,$C$5:$C$504)-100)&lt;0.0001,"✔ alt gruplar Σ=100","⚠ alt gruplar Σ≠100"),IF(G490="","—",IF(ABS(G490)&lt;=PursUyum,"✔ uyumlu",IF(ABS(G490)&lt;=PursCiddi,"⚠ dikkat","✗ ciddi fark")))))</f>
        <v/>
      </c>
      <c r="J490" s="5" t="n"/>
      <c r="K490" s="5" t="n"/>
    </row>
    <row r="491">
      <c r="A491" s="5" t="n"/>
      <c r="B491" s="5" t="n"/>
      <c r="C491" s="26" t="n"/>
      <c r="D491" s="27">
        <f>IF(OR(A491="",C491=""),"",C491*IFERROR(VLOOKUP(B491,$A$5:$C$504,3,FALSE)/100,1)*IFERROR(VLOOKUP(IFERROR(VLOOKUP(B491,$A$5:$B$504,2,FALSE),""),$A$5:$C$504,3,FALSE)/100,1)*IFERROR(VLOOKUP(IFERROR(VLOOKUP(IFERROR(VLOOKUP(B491,$A$5:$B$504,2,FALSE),""),$A$5:$B$504,2,FALSE),""),$A$5:$C$504,3,FALSE)/100,1))</f>
        <v/>
      </c>
      <c r="E491" s="21">
        <f>IF(A491="","",SUMIF('Grup Eşleme'!$B$5:$B$504,A491,'Grup Eşleme'!$C$5:$C$504))</f>
        <v/>
      </c>
      <c r="F491" s="27">
        <f>IF(OR(A491="",'Metraj Mahal Listesi'!$K$3=0,COUNTIF($B$5:$B$504,A491)&gt;0),"",E491/'Metraj Mahal Listesi'!$K$3*100)</f>
        <v/>
      </c>
      <c r="G491" s="28">
        <f>IF(OR(D491="",F491=""),"",F491-D491)</f>
        <v/>
      </c>
      <c r="H491" s="29">
        <f>IF(OR(G491="",D491=0),"",G491/D491*100)</f>
        <v/>
      </c>
      <c r="I491" s="30">
        <f>IF(A491="","",IF(COUNTIF($B$5:$B$504,A491)&gt;0,IF(ABS(SUMIF($B$5:$B$504,A491,$C$5:$C$504)-100)&lt;0.0001,"✔ alt gruplar Σ=100","⚠ alt gruplar Σ≠100"),IF(G491="","—",IF(ABS(G491)&lt;=PursUyum,"✔ uyumlu",IF(ABS(G491)&lt;=PursCiddi,"⚠ dikkat","✗ ciddi fark")))))</f>
        <v/>
      </c>
      <c r="J491" s="5" t="n"/>
      <c r="K491" s="5" t="n"/>
    </row>
    <row r="492">
      <c r="A492" s="5" t="n"/>
      <c r="B492" s="5" t="n"/>
      <c r="C492" s="26" t="n"/>
      <c r="D492" s="27">
        <f>IF(OR(A492="",C492=""),"",C492*IFERROR(VLOOKUP(B492,$A$5:$C$504,3,FALSE)/100,1)*IFERROR(VLOOKUP(IFERROR(VLOOKUP(B492,$A$5:$B$504,2,FALSE),""),$A$5:$C$504,3,FALSE)/100,1)*IFERROR(VLOOKUP(IFERROR(VLOOKUP(IFERROR(VLOOKUP(B492,$A$5:$B$504,2,FALSE),""),$A$5:$B$504,2,FALSE),""),$A$5:$C$504,3,FALSE)/100,1))</f>
        <v/>
      </c>
      <c r="E492" s="21">
        <f>IF(A492="","",SUMIF('Grup Eşleme'!$B$5:$B$504,A492,'Grup Eşleme'!$C$5:$C$504))</f>
        <v/>
      </c>
      <c r="F492" s="27">
        <f>IF(OR(A492="",'Metraj Mahal Listesi'!$K$3=0,COUNTIF($B$5:$B$504,A492)&gt;0),"",E492/'Metraj Mahal Listesi'!$K$3*100)</f>
        <v/>
      </c>
      <c r="G492" s="28">
        <f>IF(OR(D492="",F492=""),"",F492-D492)</f>
        <v/>
      </c>
      <c r="H492" s="29">
        <f>IF(OR(G492="",D492=0),"",G492/D492*100)</f>
        <v/>
      </c>
      <c r="I492" s="30">
        <f>IF(A492="","",IF(COUNTIF($B$5:$B$504,A492)&gt;0,IF(ABS(SUMIF($B$5:$B$504,A492,$C$5:$C$504)-100)&lt;0.0001,"✔ alt gruplar Σ=100","⚠ alt gruplar Σ≠100"),IF(G492="","—",IF(ABS(G492)&lt;=PursUyum,"✔ uyumlu",IF(ABS(G492)&lt;=PursCiddi,"⚠ dikkat","✗ ciddi fark")))))</f>
        <v/>
      </c>
      <c r="J492" s="5" t="n"/>
      <c r="K492" s="5" t="n"/>
    </row>
    <row r="493">
      <c r="A493" s="5" t="n"/>
      <c r="B493" s="5" t="n"/>
      <c r="C493" s="26" t="n"/>
      <c r="D493" s="27">
        <f>IF(OR(A493="",C493=""),"",C493*IFERROR(VLOOKUP(B493,$A$5:$C$504,3,FALSE)/100,1)*IFERROR(VLOOKUP(IFERROR(VLOOKUP(B493,$A$5:$B$504,2,FALSE),""),$A$5:$C$504,3,FALSE)/100,1)*IFERROR(VLOOKUP(IFERROR(VLOOKUP(IFERROR(VLOOKUP(B493,$A$5:$B$504,2,FALSE),""),$A$5:$B$504,2,FALSE),""),$A$5:$C$504,3,FALSE)/100,1))</f>
        <v/>
      </c>
      <c r="E493" s="21">
        <f>IF(A493="","",SUMIF('Grup Eşleme'!$B$5:$B$504,A493,'Grup Eşleme'!$C$5:$C$504))</f>
        <v/>
      </c>
      <c r="F493" s="27">
        <f>IF(OR(A493="",'Metraj Mahal Listesi'!$K$3=0,COUNTIF($B$5:$B$504,A493)&gt;0),"",E493/'Metraj Mahal Listesi'!$K$3*100)</f>
        <v/>
      </c>
      <c r="G493" s="28">
        <f>IF(OR(D493="",F493=""),"",F493-D493)</f>
        <v/>
      </c>
      <c r="H493" s="29">
        <f>IF(OR(G493="",D493=0),"",G493/D493*100)</f>
        <v/>
      </c>
      <c r="I493" s="30">
        <f>IF(A493="","",IF(COUNTIF($B$5:$B$504,A493)&gt;0,IF(ABS(SUMIF($B$5:$B$504,A493,$C$5:$C$504)-100)&lt;0.0001,"✔ alt gruplar Σ=100","⚠ alt gruplar Σ≠100"),IF(G493="","—",IF(ABS(G493)&lt;=PursUyum,"✔ uyumlu",IF(ABS(G493)&lt;=PursCiddi,"⚠ dikkat","✗ ciddi fark")))))</f>
        <v/>
      </c>
      <c r="J493" s="5" t="n"/>
      <c r="K493" s="5" t="n"/>
    </row>
    <row r="494">
      <c r="A494" s="5" t="n"/>
      <c r="B494" s="5" t="n"/>
      <c r="C494" s="26" t="n"/>
      <c r="D494" s="27">
        <f>IF(OR(A494="",C494=""),"",C494*IFERROR(VLOOKUP(B494,$A$5:$C$504,3,FALSE)/100,1)*IFERROR(VLOOKUP(IFERROR(VLOOKUP(B494,$A$5:$B$504,2,FALSE),""),$A$5:$C$504,3,FALSE)/100,1)*IFERROR(VLOOKUP(IFERROR(VLOOKUP(IFERROR(VLOOKUP(B494,$A$5:$B$504,2,FALSE),""),$A$5:$B$504,2,FALSE),""),$A$5:$C$504,3,FALSE)/100,1))</f>
        <v/>
      </c>
      <c r="E494" s="21">
        <f>IF(A494="","",SUMIF('Grup Eşleme'!$B$5:$B$504,A494,'Grup Eşleme'!$C$5:$C$504))</f>
        <v/>
      </c>
      <c r="F494" s="27">
        <f>IF(OR(A494="",'Metraj Mahal Listesi'!$K$3=0,COUNTIF($B$5:$B$504,A494)&gt;0),"",E494/'Metraj Mahal Listesi'!$K$3*100)</f>
        <v/>
      </c>
      <c r="G494" s="28">
        <f>IF(OR(D494="",F494=""),"",F494-D494)</f>
        <v/>
      </c>
      <c r="H494" s="29">
        <f>IF(OR(G494="",D494=0),"",G494/D494*100)</f>
        <v/>
      </c>
      <c r="I494" s="30">
        <f>IF(A494="","",IF(COUNTIF($B$5:$B$504,A494)&gt;0,IF(ABS(SUMIF($B$5:$B$504,A494,$C$5:$C$504)-100)&lt;0.0001,"✔ alt gruplar Σ=100","⚠ alt gruplar Σ≠100"),IF(G494="","—",IF(ABS(G494)&lt;=PursUyum,"✔ uyumlu",IF(ABS(G494)&lt;=PursCiddi,"⚠ dikkat","✗ ciddi fark")))))</f>
        <v/>
      </c>
      <c r="J494" s="5" t="n"/>
      <c r="K494" s="5" t="n"/>
    </row>
    <row r="495">
      <c r="A495" s="5" t="n"/>
      <c r="B495" s="5" t="n"/>
      <c r="C495" s="26" t="n"/>
      <c r="D495" s="27">
        <f>IF(OR(A495="",C495=""),"",C495*IFERROR(VLOOKUP(B495,$A$5:$C$504,3,FALSE)/100,1)*IFERROR(VLOOKUP(IFERROR(VLOOKUP(B495,$A$5:$B$504,2,FALSE),""),$A$5:$C$504,3,FALSE)/100,1)*IFERROR(VLOOKUP(IFERROR(VLOOKUP(IFERROR(VLOOKUP(B495,$A$5:$B$504,2,FALSE),""),$A$5:$B$504,2,FALSE),""),$A$5:$C$504,3,FALSE)/100,1))</f>
        <v/>
      </c>
      <c r="E495" s="21">
        <f>IF(A495="","",SUMIF('Grup Eşleme'!$B$5:$B$504,A495,'Grup Eşleme'!$C$5:$C$504))</f>
        <v/>
      </c>
      <c r="F495" s="27">
        <f>IF(OR(A495="",'Metraj Mahal Listesi'!$K$3=0,COUNTIF($B$5:$B$504,A495)&gt;0),"",E495/'Metraj Mahal Listesi'!$K$3*100)</f>
        <v/>
      </c>
      <c r="G495" s="28">
        <f>IF(OR(D495="",F495=""),"",F495-D495)</f>
        <v/>
      </c>
      <c r="H495" s="29">
        <f>IF(OR(G495="",D495=0),"",G495/D495*100)</f>
        <v/>
      </c>
      <c r="I495" s="30">
        <f>IF(A495="","",IF(COUNTIF($B$5:$B$504,A495)&gt;0,IF(ABS(SUMIF($B$5:$B$504,A495,$C$5:$C$504)-100)&lt;0.0001,"✔ alt gruplar Σ=100","⚠ alt gruplar Σ≠100"),IF(G495="","—",IF(ABS(G495)&lt;=PursUyum,"✔ uyumlu",IF(ABS(G495)&lt;=PursCiddi,"⚠ dikkat","✗ ciddi fark")))))</f>
        <v/>
      </c>
      <c r="J495" s="5" t="n"/>
      <c r="K495" s="5" t="n"/>
    </row>
    <row r="496">
      <c r="A496" s="5" t="n"/>
      <c r="B496" s="5" t="n"/>
      <c r="C496" s="26" t="n"/>
      <c r="D496" s="27">
        <f>IF(OR(A496="",C496=""),"",C496*IFERROR(VLOOKUP(B496,$A$5:$C$504,3,FALSE)/100,1)*IFERROR(VLOOKUP(IFERROR(VLOOKUP(B496,$A$5:$B$504,2,FALSE),""),$A$5:$C$504,3,FALSE)/100,1)*IFERROR(VLOOKUP(IFERROR(VLOOKUP(IFERROR(VLOOKUP(B496,$A$5:$B$504,2,FALSE),""),$A$5:$B$504,2,FALSE),""),$A$5:$C$504,3,FALSE)/100,1))</f>
        <v/>
      </c>
      <c r="E496" s="21">
        <f>IF(A496="","",SUMIF('Grup Eşleme'!$B$5:$B$504,A496,'Grup Eşleme'!$C$5:$C$504))</f>
        <v/>
      </c>
      <c r="F496" s="27">
        <f>IF(OR(A496="",'Metraj Mahal Listesi'!$K$3=0,COUNTIF($B$5:$B$504,A496)&gt;0),"",E496/'Metraj Mahal Listesi'!$K$3*100)</f>
        <v/>
      </c>
      <c r="G496" s="28">
        <f>IF(OR(D496="",F496=""),"",F496-D496)</f>
        <v/>
      </c>
      <c r="H496" s="29">
        <f>IF(OR(G496="",D496=0),"",G496/D496*100)</f>
        <v/>
      </c>
      <c r="I496" s="30">
        <f>IF(A496="","",IF(COUNTIF($B$5:$B$504,A496)&gt;0,IF(ABS(SUMIF($B$5:$B$504,A496,$C$5:$C$504)-100)&lt;0.0001,"✔ alt gruplar Σ=100","⚠ alt gruplar Σ≠100"),IF(G496="","—",IF(ABS(G496)&lt;=PursUyum,"✔ uyumlu",IF(ABS(G496)&lt;=PursCiddi,"⚠ dikkat","✗ ciddi fark")))))</f>
        <v/>
      </c>
      <c r="J496" s="5" t="n"/>
      <c r="K496" s="5" t="n"/>
    </row>
    <row r="497">
      <c r="A497" s="5" t="n"/>
      <c r="B497" s="5" t="n"/>
      <c r="C497" s="26" t="n"/>
      <c r="D497" s="27">
        <f>IF(OR(A497="",C497=""),"",C497*IFERROR(VLOOKUP(B497,$A$5:$C$504,3,FALSE)/100,1)*IFERROR(VLOOKUP(IFERROR(VLOOKUP(B497,$A$5:$B$504,2,FALSE),""),$A$5:$C$504,3,FALSE)/100,1)*IFERROR(VLOOKUP(IFERROR(VLOOKUP(IFERROR(VLOOKUP(B497,$A$5:$B$504,2,FALSE),""),$A$5:$B$504,2,FALSE),""),$A$5:$C$504,3,FALSE)/100,1))</f>
        <v/>
      </c>
      <c r="E497" s="21">
        <f>IF(A497="","",SUMIF('Grup Eşleme'!$B$5:$B$504,A497,'Grup Eşleme'!$C$5:$C$504))</f>
        <v/>
      </c>
      <c r="F497" s="27">
        <f>IF(OR(A497="",'Metraj Mahal Listesi'!$K$3=0,COUNTIF($B$5:$B$504,A497)&gt;0),"",E497/'Metraj Mahal Listesi'!$K$3*100)</f>
        <v/>
      </c>
      <c r="G497" s="28">
        <f>IF(OR(D497="",F497=""),"",F497-D497)</f>
        <v/>
      </c>
      <c r="H497" s="29">
        <f>IF(OR(G497="",D497=0),"",G497/D497*100)</f>
        <v/>
      </c>
      <c r="I497" s="30">
        <f>IF(A497="","",IF(COUNTIF($B$5:$B$504,A497)&gt;0,IF(ABS(SUMIF($B$5:$B$504,A497,$C$5:$C$504)-100)&lt;0.0001,"✔ alt gruplar Σ=100","⚠ alt gruplar Σ≠100"),IF(G497="","—",IF(ABS(G497)&lt;=PursUyum,"✔ uyumlu",IF(ABS(G497)&lt;=PursCiddi,"⚠ dikkat","✗ ciddi fark")))))</f>
        <v/>
      </c>
      <c r="J497" s="5" t="n"/>
      <c r="K497" s="5" t="n"/>
    </row>
    <row r="498">
      <c r="A498" s="5" t="n"/>
      <c r="B498" s="5" t="n"/>
      <c r="C498" s="26" t="n"/>
      <c r="D498" s="27">
        <f>IF(OR(A498="",C498=""),"",C498*IFERROR(VLOOKUP(B498,$A$5:$C$504,3,FALSE)/100,1)*IFERROR(VLOOKUP(IFERROR(VLOOKUP(B498,$A$5:$B$504,2,FALSE),""),$A$5:$C$504,3,FALSE)/100,1)*IFERROR(VLOOKUP(IFERROR(VLOOKUP(IFERROR(VLOOKUP(B498,$A$5:$B$504,2,FALSE),""),$A$5:$B$504,2,FALSE),""),$A$5:$C$504,3,FALSE)/100,1))</f>
        <v/>
      </c>
      <c r="E498" s="21">
        <f>IF(A498="","",SUMIF('Grup Eşleme'!$B$5:$B$504,A498,'Grup Eşleme'!$C$5:$C$504))</f>
        <v/>
      </c>
      <c r="F498" s="27">
        <f>IF(OR(A498="",'Metraj Mahal Listesi'!$K$3=0,COUNTIF($B$5:$B$504,A498)&gt;0),"",E498/'Metraj Mahal Listesi'!$K$3*100)</f>
        <v/>
      </c>
      <c r="G498" s="28">
        <f>IF(OR(D498="",F498=""),"",F498-D498)</f>
        <v/>
      </c>
      <c r="H498" s="29">
        <f>IF(OR(G498="",D498=0),"",G498/D498*100)</f>
        <v/>
      </c>
      <c r="I498" s="30">
        <f>IF(A498="","",IF(COUNTIF($B$5:$B$504,A498)&gt;0,IF(ABS(SUMIF($B$5:$B$504,A498,$C$5:$C$504)-100)&lt;0.0001,"✔ alt gruplar Σ=100","⚠ alt gruplar Σ≠100"),IF(G498="","—",IF(ABS(G498)&lt;=PursUyum,"✔ uyumlu",IF(ABS(G498)&lt;=PursCiddi,"⚠ dikkat","✗ ciddi fark")))))</f>
        <v/>
      </c>
      <c r="J498" s="5" t="n"/>
      <c r="K498" s="5" t="n"/>
    </row>
    <row r="499">
      <c r="A499" s="5" t="n"/>
      <c r="B499" s="5" t="n"/>
      <c r="C499" s="26" t="n"/>
      <c r="D499" s="27">
        <f>IF(OR(A499="",C499=""),"",C499*IFERROR(VLOOKUP(B499,$A$5:$C$504,3,FALSE)/100,1)*IFERROR(VLOOKUP(IFERROR(VLOOKUP(B499,$A$5:$B$504,2,FALSE),""),$A$5:$C$504,3,FALSE)/100,1)*IFERROR(VLOOKUP(IFERROR(VLOOKUP(IFERROR(VLOOKUP(B499,$A$5:$B$504,2,FALSE),""),$A$5:$B$504,2,FALSE),""),$A$5:$C$504,3,FALSE)/100,1))</f>
        <v/>
      </c>
      <c r="E499" s="21">
        <f>IF(A499="","",SUMIF('Grup Eşleme'!$B$5:$B$504,A499,'Grup Eşleme'!$C$5:$C$504))</f>
        <v/>
      </c>
      <c r="F499" s="27">
        <f>IF(OR(A499="",'Metraj Mahal Listesi'!$K$3=0,COUNTIF($B$5:$B$504,A499)&gt;0),"",E499/'Metraj Mahal Listesi'!$K$3*100)</f>
        <v/>
      </c>
      <c r="G499" s="28">
        <f>IF(OR(D499="",F499=""),"",F499-D499)</f>
        <v/>
      </c>
      <c r="H499" s="29">
        <f>IF(OR(G499="",D499=0),"",G499/D499*100)</f>
        <v/>
      </c>
      <c r="I499" s="30">
        <f>IF(A499="","",IF(COUNTIF($B$5:$B$504,A499)&gt;0,IF(ABS(SUMIF($B$5:$B$504,A499,$C$5:$C$504)-100)&lt;0.0001,"✔ alt gruplar Σ=100","⚠ alt gruplar Σ≠100"),IF(G499="","—",IF(ABS(G499)&lt;=PursUyum,"✔ uyumlu",IF(ABS(G499)&lt;=PursCiddi,"⚠ dikkat","✗ ciddi fark")))))</f>
        <v/>
      </c>
      <c r="J499" s="5" t="n"/>
      <c r="K499" s="5" t="n"/>
    </row>
    <row r="500">
      <c r="A500" s="5" t="n"/>
      <c r="B500" s="5" t="n"/>
      <c r="C500" s="26" t="n"/>
      <c r="D500" s="27">
        <f>IF(OR(A500="",C500=""),"",C500*IFERROR(VLOOKUP(B500,$A$5:$C$504,3,FALSE)/100,1)*IFERROR(VLOOKUP(IFERROR(VLOOKUP(B500,$A$5:$B$504,2,FALSE),""),$A$5:$C$504,3,FALSE)/100,1)*IFERROR(VLOOKUP(IFERROR(VLOOKUP(IFERROR(VLOOKUP(B500,$A$5:$B$504,2,FALSE),""),$A$5:$B$504,2,FALSE),""),$A$5:$C$504,3,FALSE)/100,1))</f>
        <v/>
      </c>
      <c r="E500" s="21">
        <f>IF(A500="","",SUMIF('Grup Eşleme'!$B$5:$B$504,A500,'Grup Eşleme'!$C$5:$C$504))</f>
        <v/>
      </c>
      <c r="F500" s="27">
        <f>IF(OR(A500="",'Metraj Mahal Listesi'!$K$3=0,COUNTIF($B$5:$B$504,A500)&gt;0),"",E500/'Metraj Mahal Listesi'!$K$3*100)</f>
        <v/>
      </c>
      <c r="G500" s="28">
        <f>IF(OR(D500="",F500=""),"",F500-D500)</f>
        <v/>
      </c>
      <c r="H500" s="29">
        <f>IF(OR(G500="",D500=0),"",G500/D500*100)</f>
        <v/>
      </c>
      <c r="I500" s="30">
        <f>IF(A500="","",IF(COUNTIF($B$5:$B$504,A500)&gt;0,IF(ABS(SUMIF($B$5:$B$504,A500,$C$5:$C$504)-100)&lt;0.0001,"✔ alt gruplar Σ=100","⚠ alt gruplar Σ≠100"),IF(G500="","—",IF(ABS(G500)&lt;=PursUyum,"✔ uyumlu",IF(ABS(G500)&lt;=PursCiddi,"⚠ dikkat","✗ ciddi fark")))))</f>
        <v/>
      </c>
      <c r="J500" s="5" t="n"/>
      <c r="K500" s="5" t="n"/>
    </row>
    <row r="501">
      <c r="A501" s="5" t="n"/>
      <c r="B501" s="5" t="n"/>
      <c r="C501" s="26" t="n"/>
      <c r="D501" s="27">
        <f>IF(OR(A501="",C501=""),"",C501*IFERROR(VLOOKUP(B501,$A$5:$C$504,3,FALSE)/100,1)*IFERROR(VLOOKUP(IFERROR(VLOOKUP(B501,$A$5:$B$504,2,FALSE),""),$A$5:$C$504,3,FALSE)/100,1)*IFERROR(VLOOKUP(IFERROR(VLOOKUP(IFERROR(VLOOKUP(B501,$A$5:$B$504,2,FALSE),""),$A$5:$B$504,2,FALSE),""),$A$5:$C$504,3,FALSE)/100,1))</f>
        <v/>
      </c>
      <c r="E501" s="21">
        <f>IF(A501="","",SUMIF('Grup Eşleme'!$B$5:$B$504,A501,'Grup Eşleme'!$C$5:$C$504))</f>
        <v/>
      </c>
      <c r="F501" s="27">
        <f>IF(OR(A501="",'Metraj Mahal Listesi'!$K$3=0,COUNTIF($B$5:$B$504,A501)&gt;0),"",E501/'Metraj Mahal Listesi'!$K$3*100)</f>
        <v/>
      </c>
      <c r="G501" s="28">
        <f>IF(OR(D501="",F501=""),"",F501-D501)</f>
        <v/>
      </c>
      <c r="H501" s="29">
        <f>IF(OR(G501="",D501=0),"",G501/D501*100)</f>
        <v/>
      </c>
      <c r="I501" s="30">
        <f>IF(A501="","",IF(COUNTIF($B$5:$B$504,A501)&gt;0,IF(ABS(SUMIF($B$5:$B$504,A501,$C$5:$C$504)-100)&lt;0.0001,"✔ alt gruplar Σ=100","⚠ alt gruplar Σ≠100"),IF(G501="","—",IF(ABS(G501)&lt;=PursUyum,"✔ uyumlu",IF(ABS(G501)&lt;=PursCiddi,"⚠ dikkat","✗ ciddi fark")))))</f>
        <v/>
      </c>
      <c r="J501" s="5" t="n"/>
      <c r="K501" s="5" t="n"/>
    </row>
    <row r="502">
      <c r="A502" s="5" t="n"/>
      <c r="B502" s="5" t="n"/>
      <c r="C502" s="26" t="n"/>
      <c r="D502" s="27">
        <f>IF(OR(A502="",C502=""),"",C502*IFERROR(VLOOKUP(B502,$A$5:$C$504,3,FALSE)/100,1)*IFERROR(VLOOKUP(IFERROR(VLOOKUP(B502,$A$5:$B$504,2,FALSE),""),$A$5:$C$504,3,FALSE)/100,1)*IFERROR(VLOOKUP(IFERROR(VLOOKUP(IFERROR(VLOOKUP(B502,$A$5:$B$504,2,FALSE),""),$A$5:$B$504,2,FALSE),""),$A$5:$C$504,3,FALSE)/100,1))</f>
        <v/>
      </c>
      <c r="E502" s="21">
        <f>IF(A502="","",SUMIF('Grup Eşleme'!$B$5:$B$504,A502,'Grup Eşleme'!$C$5:$C$504))</f>
        <v/>
      </c>
      <c r="F502" s="27">
        <f>IF(OR(A502="",'Metraj Mahal Listesi'!$K$3=0,COUNTIF($B$5:$B$504,A502)&gt;0),"",E502/'Metraj Mahal Listesi'!$K$3*100)</f>
        <v/>
      </c>
      <c r="G502" s="28">
        <f>IF(OR(D502="",F502=""),"",F502-D502)</f>
        <v/>
      </c>
      <c r="H502" s="29">
        <f>IF(OR(G502="",D502=0),"",G502/D502*100)</f>
        <v/>
      </c>
      <c r="I502" s="30">
        <f>IF(A502="","",IF(COUNTIF($B$5:$B$504,A502)&gt;0,IF(ABS(SUMIF($B$5:$B$504,A502,$C$5:$C$504)-100)&lt;0.0001,"✔ alt gruplar Σ=100","⚠ alt gruplar Σ≠100"),IF(G502="","—",IF(ABS(G502)&lt;=PursUyum,"✔ uyumlu",IF(ABS(G502)&lt;=PursCiddi,"⚠ dikkat","✗ ciddi fark")))))</f>
        <v/>
      </c>
      <c r="J502" s="5" t="n"/>
      <c r="K502" s="5" t="n"/>
    </row>
    <row r="503">
      <c r="A503" s="5" t="n"/>
      <c r="B503" s="5" t="n"/>
      <c r="C503" s="26" t="n"/>
      <c r="D503" s="27">
        <f>IF(OR(A503="",C503=""),"",C503*IFERROR(VLOOKUP(B503,$A$5:$C$504,3,FALSE)/100,1)*IFERROR(VLOOKUP(IFERROR(VLOOKUP(B503,$A$5:$B$504,2,FALSE),""),$A$5:$C$504,3,FALSE)/100,1)*IFERROR(VLOOKUP(IFERROR(VLOOKUP(IFERROR(VLOOKUP(B503,$A$5:$B$504,2,FALSE),""),$A$5:$B$504,2,FALSE),""),$A$5:$C$504,3,FALSE)/100,1))</f>
        <v/>
      </c>
      <c r="E503" s="21">
        <f>IF(A503="","",SUMIF('Grup Eşleme'!$B$5:$B$504,A503,'Grup Eşleme'!$C$5:$C$504))</f>
        <v/>
      </c>
      <c r="F503" s="27">
        <f>IF(OR(A503="",'Metraj Mahal Listesi'!$K$3=0,COUNTIF($B$5:$B$504,A503)&gt;0),"",E503/'Metraj Mahal Listesi'!$K$3*100)</f>
        <v/>
      </c>
      <c r="G503" s="28">
        <f>IF(OR(D503="",F503=""),"",F503-D503)</f>
        <v/>
      </c>
      <c r="H503" s="29">
        <f>IF(OR(G503="",D503=0),"",G503/D503*100)</f>
        <v/>
      </c>
      <c r="I503" s="30">
        <f>IF(A503="","",IF(COUNTIF($B$5:$B$504,A503)&gt;0,IF(ABS(SUMIF($B$5:$B$504,A503,$C$5:$C$504)-100)&lt;0.0001,"✔ alt gruplar Σ=100","⚠ alt gruplar Σ≠100"),IF(G503="","—",IF(ABS(G503)&lt;=PursUyum,"✔ uyumlu",IF(ABS(G503)&lt;=PursCiddi,"⚠ dikkat","✗ ciddi fark")))))</f>
        <v/>
      </c>
      <c r="J503" s="5" t="n"/>
      <c r="K503" s="5" t="n"/>
    </row>
    <row r="504">
      <c r="A504" s="5" t="n"/>
      <c r="B504" s="5" t="n"/>
      <c r="C504" s="26" t="n"/>
      <c r="D504" s="27">
        <f>IF(OR(A504="",C504=""),"",C504*IFERROR(VLOOKUP(B504,$A$5:$C$504,3,FALSE)/100,1)*IFERROR(VLOOKUP(IFERROR(VLOOKUP(B504,$A$5:$B$504,2,FALSE),""),$A$5:$C$504,3,FALSE)/100,1)*IFERROR(VLOOKUP(IFERROR(VLOOKUP(IFERROR(VLOOKUP(B504,$A$5:$B$504,2,FALSE),""),$A$5:$B$504,2,FALSE),""),$A$5:$C$504,3,FALSE)/100,1))</f>
        <v/>
      </c>
      <c r="E504" s="21">
        <f>IF(A504="","",SUMIF('Grup Eşleme'!$B$5:$B$504,A504,'Grup Eşleme'!$C$5:$C$504))</f>
        <v/>
      </c>
      <c r="F504" s="27">
        <f>IF(OR(A504="",'Metraj Mahal Listesi'!$K$3=0,COUNTIF($B$5:$B$504,A504)&gt;0),"",E504/'Metraj Mahal Listesi'!$K$3*100)</f>
        <v/>
      </c>
      <c r="G504" s="28">
        <f>IF(OR(D504="",F504=""),"",F504-D504)</f>
        <v/>
      </c>
      <c r="H504" s="29">
        <f>IF(OR(G504="",D504=0),"",G504/D504*100)</f>
        <v/>
      </c>
      <c r="I504" s="30">
        <f>IF(A504="","",IF(COUNTIF($B$5:$B$504,A504)&gt;0,IF(ABS(SUMIF($B$5:$B$504,A504,$C$5:$C$504)-100)&lt;0.0001,"✔ alt gruplar Σ=100","⚠ alt gruplar Σ≠100"),IF(G504="","—",IF(ABS(G504)&lt;=PursUyum,"✔ uyumlu",IF(ABS(G504)&lt;=PursCiddi,"⚠ dikkat","✗ ciddi fark")))))</f>
        <v/>
      </c>
      <c r="J504" s="5" t="n"/>
      <c r="K504" s="5" t="n"/>
    </row>
  </sheetData>
  <autoFilter ref="A4:K504"/>
  <mergeCells count="2">
    <mergeCell ref="A2:K2"/>
    <mergeCell ref="A1:K1"/>
  </mergeCells>
  <conditionalFormatting sqref="I5:I504">
    <cfRule type="expression" priority="1" dxfId="2">
      <formula>ISNUMBER(SEARCH("✗",I5))</formula>
    </cfRule>
    <cfRule type="expression" priority="2" dxfId="1">
      <formula>ISNUMBER(SEARCH("⚠",I5))</formula>
    </cfRule>
    <cfRule type="expression" priority="3" dxfId="0">
      <formula>ISNUMBER(SEARCH("✔",I5))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7" customWidth="1" min="3" max="3"/>
    <col width="10" customWidth="1" min="4" max="4"/>
    <col width="8" customWidth="1" min="5" max="5"/>
    <col width="10" customWidth="1" min="6" max="6"/>
    <col width="10" customWidth="1" min="7" max="7"/>
    <col width="40" customWidth="1" min="8" max="8"/>
  </cols>
  <sheetData>
    <row r="1" ht="28" customHeight="1">
      <c r="A1" s="1" t="inlineStr">
        <is>
          <t>GRUP EŞLEME · BİZİM GRUPLAR → KURUM GRUPLARI</t>
        </is>
      </c>
    </row>
    <row r="2" ht="30" customHeight="1">
      <c r="A2" s="2" t="inlineStr">
        <is>
          <t>Metrajdaki her iş grubu ya da alt başlığın pursantajda hangi kurum grubuna sayılacağı. Karşılığı yoksa kurum grubu boş bırakılır. Gruplama senaryosu denemek için yalnızca Kurum Grubu değiştirilir.</t>
        </is>
      </c>
    </row>
    <row r="3">
      <c r="A3" s="15" t="inlineStr">
        <is>
          <t>TOPLAM</t>
        </is>
      </c>
      <c r="B3" s="16" t="n"/>
      <c r="C3" s="16" t="n"/>
      <c r="D3" s="16" t="n"/>
      <c r="E3" s="16" t="n"/>
      <c r="F3" s="16" t="n"/>
      <c r="G3" s="16" t="n"/>
      <c r="H3" s="16" t="n"/>
    </row>
    <row r="4" ht="32" customHeight="1">
      <c r="A4" s="18" t="inlineStr">
        <is>
          <t>Bizim Grup (iş grubu / alt başlık)</t>
        </is>
      </c>
      <c r="B4" s="18" t="inlineStr">
        <is>
          <t>Kurum Grubu</t>
        </is>
      </c>
      <c r="C4" s="18" t="inlineStr">
        <is>
          <t>Bizim Tutar (₺)</t>
        </is>
      </c>
      <c r="D4" s="18" t="inlineStr">
        <is>
          <t>Pay (%)</t>
        </is>
      </c>
      <c r="E4" s="18" t="inlineStr">
        <is>
          <t>Satır</t>
        </is>
      </c>
      <c r="F4" s="18" t="inlineStr">
        <is>
          <t>Miktarı Girilmemiş</t>
        </is>
      </c>
      <c r="G4" s="18" t="inlineStr">
        <is>
          <t>Fiyatı Olmayan</t>
        </is>
      </c>
      <c r="H4" s="18" t="inlineStr">
        <is>
          <t>Not</t>
        </is>
      </c>
    </row>
    <row r="5">
      <c r="A5" s="5" t="n"/>
      <c r="B5" s="5" t="n"/>
      <c r="C5" s="21">
        <f>IF(A5="","",SUMPRODUCT((('Metraj Mahal Listesi'!$A$5:$A$504=A5)+('Metraj Mahal Listesi'!$B$5:$B$504=A5)&gt;0)*'Metraj Mahal Listesi'!$K$5:$K$504))</f>
        <v/>
      </c>
      <c r="D5" s="27">
        <f>IF(OR(A5="",'Metraj Mahal Listesi'!$K$3=0),"",C5/'Metraj Mahal Listesi'!$K$3*100)</f>
        <v/>
      </c>
      <c r="E5" s="31">
        <f>IF(A5="","",SUMPRODUCT((('Metraj Mahal Listesi'!$A$5:$A$504=A5)+('Metraj Mahal Listesi'!$B$5:$B$504=A5)&gt;0)*('Metraj Mahal Listesi'!$C$5:$C$504&lt;&gt;"")))</f>
        <v/>
      </c>
      <c r="F5" s="31">
        <f>IF(A5="","",SUMPRODUCT((('Metraj Mahal Listesi'!$A$5:$A$504=A5)+('Metraj Mahal Listesi'!$B$5:$B$504=A5)&gt;0)*('Metraj Mahal Listesi'!$C$5:$C$504&lt;&gt;"")*(LEFT('Metraj Mahal Listesi'!$C$5:$C$504,1)&lt;&gt;"—")*('Metraj Mahal Listesi'!$F$5:$F$504="")))</f>
        <v/>
      </c>
      <c r="G5" s="31">
        <f>IF(A5="","",SUMPRODUCT((('Metraj Mahal Listesi'!$A$5:$A$504=A5)+('Metraj Mahal Listesi'!$B$5:$B$504=A5)&gt;0)*('Metraj Mahal Listesi'!$F$5:$F$504&lt;&gt;"")*(LEFT('Metraj Mahal Listesi'!$C$5:$C$504,1)&lt;&gt;"—")*('Metraj Mahal Listesi'!$J$5:$J$504=0)))</f>
        <v/>
      </c>
      <c r="H5" s="5" t="n"/>
    </row>
    <row r="6">
      <c r="A6" s="5" t="n"/>
      <c r="B6" s="5" t="n"/>
      <c r="C6" s="21">
        <f>IF(A6="","",SUMPRODUCT((('Metraj Mahal Listesi'!$A$5:$A$504=A6)+('Metraj Mahal Listesi'!$B$5:$B$504=A6)&gt;0)*'Metraj Mahal Listesi'!$K$5:$K$504))</f>
        <v/>
      </c>
      <c r="D6" s="27">
        <f>IF(OR(A6="",'Metraj Mahal Listesi'!$K$3=0),"",C6/'Metraj Mahal Listesi'!$K$3*100)</f>
        <v/>
      </c>
      <c r="E6" s="31">
        <f>IF(A6="","",SUMPRODUCT((('Metraj Mahal Listesi'!$A$5:$A$504=A6)+('Metraj Mahal Listesi'!$B$5:$B$504=A6)&gt;0)*('Metraj Mahal Listesi'!$C$5:$C$504&lt;&gt;"")))</f>
        <v/>
      </c>
      <c r="F6" s="31">
        <f>IF(A6="","",SUMPRODUCT((('Metraj Mahal Listesi'!$A$5:$A$504=A6)+('Metraj Mahal Listesi'!$B$5:$B$504=A6)&gt;0)*('Metraj Mahal Listesi'!$C$5:$C$504&lt;&gt;"")*(LEFT('Metraj Mahal Listesi'!$C$5:$C$504,1)&lt;&gt;"—")*('Metraj Mahal Listesi'!$F$5:$F$504="")))</f>
        <v/>
      </c>
      <c r="G6" s="31">
        <f>IF(A6="","",SUMPRODUCT((('Metraj Mahal Listesi'!$A$5:$A$504=A6)+('Metraj Mahal Listesi'!$B$5:$B$504=A6)&gt;0)*('Metraj Mahal Listesi'!$F$5:$F$504&lt;&gt;"")*(LEFT('Metraj Mahal Listesi'!$C$5:$C$504,1)&lt;&gt;"—")*('Metraj Mahal Listesi'!$J$5:$J$504=0)))</f>
        <v/>
      </c>
      <c r="H6" s="5" t="n"/>
    </row>
    <row r="7">
      <c r="A7" s="5" t="n"/>
      <c r="B7" s="5" t="n"/>
      <c r="C7" s="21">
        <f>IF(A7="","",SUMPRODUCT((('Metraj Mahal Listesi'!$A$5:$A$504=A7)+('Metraj Mahal Listesi'!$B$5:$B$504=A7)&gt;0)*'Metraj Mahal Listesi'!$K$5:$K$504))</f>
        <v/>
      </c>
      <c r="D7" s="27">
        <f>IF(OR(A7="",'Metraj Mahal Listesi'!$K$3=0),"",C7/'Metraj Mahal Listesi'!$K$3*100)</f>
        <v/>
      </c>
      <c r="E7" s="31">
        <f>IF(A7="","",SUMPRODUCT((('Metraj Mahal Listesi'!$A$5:$A$504=A7)+('Metraj Mahal Listesi'!$B$5:$B$504=A7)&gt;0)*('Metraj Mahal Listesi'!$C$5:$C$504&lt;&gt;"")))</f>
        <v/>
      </c>
      <c r="F7" s="31">
        <f>IF(A7="","",SUMPRODUCT((('Metraj Mahal Listesi'!$A$5:$A$504=A7)+('Metraj Mahal Listesi'!$B$5:$B$504=A7)&gt;0)*('Metraj Mahal Listesi'!$C$5:$C$504&lt;&gt;"")*(LEFT('Metraj Mahal Listesi'!$C$5:$C$504,1)&lt;&gt;"—")*('Metraj Mahal Listesi'!$F$5:$F$504="")))</f>
        <v/>
      </c>
      <c r="G7" s="31">
        <f>IF(A7="","",SUMPRODUCT((('Metraj Mahal Listesi'!$A$5:$A$504=A7)+('Metraj Mahal Listesi'!$B$5:$B$504=A7)&gt;0)*('Metraj Mahal Listesi'!$F$5:$F$504&lt;&gt;"")*(LEFT('Metraj Mahal Listesi'!$C$5:$C$504,1)&lt;&gt;"—")*('Metraj Mahal Listesi'!$J$5:$J$504=0)))</f>
        <v/>
      </c>
      <c r="H7" s="5" t="n"/>
    </row>
    <row r="8">
      <c r="A8" s="5" t="n"/>
      <c r="B8" s="5" t="n"/>
      <c r="C8" s="21">
        <f>IF(A8="","",SUMPRODUCT((('Metraj Mahal Listesi'!$A$5:$A$504=A8)+('Metraj Mahal Listesi'!$B$5:$B$504=A8)&gt;0)*'Metraj Mahal Listesi'!$K$5:$K$504))</f>
        <v/>
      </c>
      <c r="D8" s="27">
        <f>IF(OR(A8="",'Metraj Mahal Listesi'!$K$3=0),"",C8/'Metraj Mahal Listesi'!$K$3*100)</f>
        <v/>
      </c>
      <c r="E8" s="31">
        <f>IF(A8="","",SUMPRODUCT((('Metraj Mahal Listesi'!$A$5:$A$504=A8)+('Metraj Mahal Listesi'!$B$5:$B$504=A8)&gt;0)*('Metraj Mahal Listesi'!$C$5:$C$504&lt;&gt;"")))</f>
        <v/>
      </c>
      <c r="F8" s="31">
        <f>IF(A8="","",SUMPRODUCT((('Metraj Mahal Listesi'!$A$5:$A$504=A8)+('Metraj Mahal Listesi'!$B$5:$B$504=A8)&gt;0)*('Metraj Mahal Listesi'!$C$5:$C$504&lt;&gt;"")*(LEFT('Metraj Mahal Listesi'!$C$5:$C$504,1)&lt;&gt;"—")*('Metraj Mahal Listesi'!$F$5:$F$504="")))</f>
        <v/>
      </c>
      <c r="G8" s="31">
        <f>IF(A8="","",SUMPRODUCT((('Metraj Mahal Listesi'!$A$5:$A$504=A8)+('Metraj Mahal Listesi'!$B$5:$B$504=A8)&gt;0)*('Metraj Mahal Listesi'!$F$5:$F$504&lt;&gt;"")*(LEFT('Metraj Mahal Listesi'!$C$5:$C$504,1)&lt;&gt;"—")*('Metraj Mahal Listesi'!$J$5:$J$504=0)))</f>
        <v/>
      </c>
      <c r="H8" s="5" t="n"/>
    </row>
    <row r="9">
      <c r="A9" s="5" t="n"/>
      <c r="B9" s="5" t="n"/>
      <c r="C9" s="21">
        <f>IF(A9="","",SUMPRODUCT((('Metraj Mahal Listesi'!$A$5:$A$504=A9)+('Metraj Mahal Listesi'!$B$5:$B$504=A9)&gt;0)*'Metraj Mahal Listesi'!$K$5:$K$504))</f>
        <v/>
      </c>
      <c r="D9" s="27">
        <f>IF(OR(A9="",'Metraj Mahal Listesi'!$K$3=0),"",C9/'Metraj Mahal Listesi'!$K$3*100)</f>
        <v/>
      </c>
      <c r="E9" s="31">
        <f>IF(A9="","",SUMPRODUCT((('Metraj Mahal Listesi'!$A$5:$A$504=A9)+('Metraj Mahal Listesi'!$B$5:$B$504=A9)&gt;0)*('Metraj Mahal Listesi'!$C$5:$C$504&lt;&gt;"")))</f>
        <v/>
      </c>
      <c r="F9" s="31">
        <f>IF(A9="","",SUMPRODUCT((('Metraj Mahal Listesi'!$A$5:$A$504=A9)+('Metraj Mahal Listesi'!$B$5:$B$504=A9)&gt;0)*('Metraj Mahal Listesi'!$C$5:$C$504&lt;&gt;"")*(LEFT('Metraj Mahal Listesi'!$C$5:$C$504,1)&lt;&gt;"—")*('Metraj Mahal Listesi'!$F$5:$F$504="")))</f>
        <v/>
      </c>
      <c r="G9" s="31">
        <f>IF(A9="","",SUMPRODUCT((('Metraj Mahal Listesi'!$A$5:$A$504=A9)+('Metraj Mahal Listesi'!$B$5:$B$504=A9)&gt;0)*('Metraj Mahal Listesi'!$F$5:$F$504&lt;&gt;"")*(LEFT('Metraj Mahal Listesi'!$C$5:$C$504,1)&lt;&gt;"—")*('Metraj Mahal Listesi'!$J$5:$J$504=0)))</f>
        <v/>
      </c>
      <c r="H9" s="5" t="n"/>
    </row>
    <row r="10">
      <c r="A10" s="5" t="n"/>
      <c r="B10" s="5" t="n"/>
      <c r="C10" s="21">
        <f>IF(A10="","",SUMPRODUCT((('Metraj Mahal Listesi'!$A$5:$A$504=A10)+('Metraj Mahal Listesi'!$B$5:$B$504=A10)&gt;0)*'Metraj Mahal Listesi'!$K$5:$K$504))</f>
        <v/>
      </c>
      <c r="D10" s="27">
        <f>IF(OR(A10="",'Metraj Mahal Listesi'!$K$3=0),"",C10/'Metraj Mahal Listesi'!$K$3*100)</f>
        <v/>
      </c>
      <c r="E10" s="31">
        <f>IF(A10="","",SUMPRODUCT((('Metraj Mahal Listesi'!$A$5:$A$504=A10)+('Metraj Mahal Listesi'!$B$5:$B$504=A10)&gt;0)*('Metraj Mahal Listesi'!$C$5:$C$504&lt;&gt;"")))</f>
        <v/>
      </c>
      <c r="F10" s="31">
        <f>IF(A10="","",SUMPRODUCT((('Metraj Mahal Listesi'!$A$5:$A$504=A10)+('Metraj Mahal Listesi'!$B$5:$B$504=A10)&gt;0)*('Metraj Mahal Listesi'!$C$5:$C$504&lt;&gt;"")*(LEFT('Metraj Mahal Listesi'!$C$5:$C$504,1)&lt;&gt;"—")*('Metraj Mahal Listesi'!$F$5:$F$504="")))</f>
        <v/>
      </c>
      <c r="G10" s="31">
        <f>IF(A10="","",SUMPRODUCT((('Metraj Mahal Listesi'!$A$5:$A$504=A10)+('Metraj Mahal Listesi'!$B$5:$B$504=A10)&gt;0)*('Metraj Mahal Listesi'!$F$5:$F$504&lt;&gt;"")*(LEFT('Metraj Mahal Listesi'!$C$5:$C$504,1)&lt;&gt;"—")*('Metraj Mahal Listesi'!$J$5:$J$504=0)))</f>
        <v/>
      </c>
      <c r="H10" s="5" t="n"/>
    </row>
    <row r="11">
      <c r="A11" s="5" t="n"/>
      <c r="B11" s="5" t="n"/>
      <c r="C11" s="21">
        <f>IF(A11="","",SUMPRODUCT((('Metraj Mahal Listesi'!$A$5:$A$504=A11)+('Metraj Mahal Listesi'!$B$5:$B$504=A11)&gt;0)*'Metraj Mahal Listesi'!$K$5:$K$504))</f>
        <v/>
      </c>
      <c r="D11" s="27">
        <f>IF(OR(A11="",'Metraj Mahal Listesi'!$K$3=0),"",C11/'Metraj Mahal Listesi'!$K$3*100)</f>
        <v/>
      </c>
      <c r="E11" s="31">
        <f>IF(A11="","",SUMPRODUCT((('Metraj Mahal Listesi'!$A$5:$A$504=A11)+('Metraj Mahal Listesi'!$B$5:$B$504=A11)&gt;0)*('Metraj Mahal Listesi'!$C$5:$C$504&lt;&gt;"")))</f>
        <v/>
      </c>
      <c r="F11" s="31">
        <f>IF(A11="","",SUMPRODUCT((('Metraj Mahal Listesi'!$A$5:$A$504=A11)+('Metraj Mahal Listesi'!$B$5:$B$504=A11)&gt;0)*('Metraj Mahal Listesi'!$C$5:$C$504&lt;&gt;"")*(LEFT('Metraj Mahal Listesi'!$C$5:$C$504,1)&lt;&gt;"—")*('Metraj Mahal Listesi'!$F$5:$F$504="")))</f>
        <v/>
      </c>
      <c r="G11" s="31">
        <f>IF(A11="","",SUMPRODUCT((('Metraj Mahal Listesi'!$A$5:$A$504=A11)+('Metraj Mahal Listesi'!$B$5:$B$504=A11)&gt;0)*('Metraj Mahal Listesi'!$F$5:$F$504&lt;&gt;"")*(LEFT('Metraj Mahal Listesi'!$C$5:$C$504,1)&lt;&gt;"—")*('Metraj Mahal Listesi'!$J$5:$J$504=0)))</f>
        <v/>
      </c>
      <c r="H11" s="5" t="n"/>
    </row>
    <row r="12">
      <c r="A12" s="5" t="n"/>
      <c r="B12" s="5" t="n"/>
      <c r="C12" s="21">
        <f>IF(A12="","",SUMPRODUCT((('Metraj Mahal Listesi'!$A$5:$A$504=A12)+('Metraj Mahal Listesi'!$B$5:$B$504=A12)&gt;0)*'Metraj Mahal Listesi'!$K$5:$K$504))</f>
        <v/>
      </c>
      <c r="D12" s="27">
        <f>IF(OR(A12="",'Metraj Mahal Listesi'!$K$3=0),"",C12/'Metraj Mahal Listesi'!$K$3*100)</f>
        <v/>
      </c>
      <c r="E12" s="31">
        <f>IF(A12="","",SUMPRODUCT((('Metraj Mahal Listesi'!$A$5:$A$504=A12)+('Metraj Mahal Listesi'!$B$5:$B$504=A12)&gt;0)*('Metraj Mahal Listesi'!$C$5:$C$504&lt;&gt;"")))</f>
        <v/>
      </c>
      <c r="F12" s="31">
        <f>IF(A12="","",SUMPRODUCT((('Metraj Mahal Listesi'!$A$5:$A$504=A12)+('Metraj Mahal Listesi'!$B$5:$B$504=A12)&gt;0)*('Metraj Mahal Listesi'!$C$5:$C$504&lt;&gt;"")*(LEFT('Metraj Mahal Listesi'!$C$5:$C$504,1)&lt;&gt;"—")*('Metraj Mahal Listesi'!$F$5:$F$504="")))</f>
        <v/>
      </c>
      <c r="G12" s="31">
        <f>IF(A12="","",SUMPRODUCT((('Metraj Mahal Listesi'!$A$5:$A$504=A12)+('Metraj Mahal Listesi'!$B$5:$B$504=A12)&gt;0)*('Metraj Mahal Listesi'!$F$5:$F$504&lt;&gt;"")*(LEFT('Metraj Mahal Listesi'!$C$5:$C$504,1)&lt;&gt;"—")*('Metraj Mahal Listesi'!$J$5:$J$504=0)))</f>
        <v/>
      </c>
      <c r="H12" s="5" t="n"/>
    </row>
    <row r="13">
      <c r="A13" s="5" t="n"/>
      <c r="B13" s="5" t="n"/>
      <c r="C13" s="21">
        <f>IF(A13="","",SUMPRODUCT((('Metraj Mahal Listesi'!$A$5:$A$504=A13)+('Metraj Mahal Listesi'!$B$5:$B$504=A13)&gt;0)*'Metraj Mahal Listesi'!$K$5:$K$504))</f>
        <v/>
      </c>
      <c r="D13" s="27">
        <f>IF(OR(A13="",'Metraj Mahal Listesi'!$K$3=0),"",C13/'Metraj Mahal Listesi'!$K$3*100)</f>
        <v/>
      </c>
      <c r="E13" s="31">
        <f>IF(A13="","",SUMPRODUCT((('Metraj Mahal Listesi'!$A$5:$A$504=A13)+('Metraj Mahal Listesi'!$B$5:$B$504=A13)&gt;0)*('Metraj Mahal Listesi'!$C$5:$C$504&lt;&gt;"")))</f>
        <v/>
      </c>
      <c r="F13" s="31">
        <f>IF(A13="","",SUMPRODUCT((('Metraj Mahal Listesi'!$A$5:$A$504=A13)+('Metraj Mahal Listesi'!$B$5:$B$504=A13)&gt;0)*('Metraj Mahal Listesi'!$C$5:$C$504&lt;&gt;"")*(LEFT('Metraj Mahal Listesi'!$C$5:$C$504,1)&lt;&gt;"—")*('Metraj Mahal Listesi'!$F$5:$F$504="")))</f>
        <v/>
      </c>
      <c r="G13" s="31">
        <f>IF(A13="","",SUMPRODUCT((('Metraj Mahal Listesi'!$A$5:$A$504=A13)+('Metraj Mahal Listesi'!$B$5:$B$504=A13)&gt;0)*('Metraj Mahal Listesi'!$F$5:$F$504&lt;&gt;"")*(LEFT('Metraj Mahal Listesi'!$C$5:$C$504,1)&lt;&gt;"—")*('Metraj Mahal Listesi'!$J$5:$J$504=0)))</f>
        <v/>
      </c>
      <c r="H13" s="5" t="n"/>
    </row>
    <row r="14">
      <c r="A14" s="5" t="n"/>
      <c r="B14" s="5" t="n"/>
      <c r="C14" s="21">
        <f>IF(A14="","",SUMPRODUCT((('Metraj Mahal Listesi'!$A$5:$A$504=A14)+('Metraj Mahal Listesi'!$B$5:$B$504=A14)&gt;0)*'Metraj Mahal Listesi'!$K$5:$K$504))</f>
        <v/>
      </c>
      <c r="D14" s="27">
        <f>IF(OR(A14="",'Metraj Mahal Listesi'!$K$3=0),"",C14/'Metraj Mahal Listesi'!$K$3*100)</f>
        <v/>
      </c>
      <c r="E14" s="31">
        <f>IF(A14="","",SUMPRODUCT((('Metraj Mahal Listesi'!$A$5:$A$504=A14)+('Metraj Mahal Listesi'!$B$5:$B$504=A14)&gt;0)*('Metraj Mahal Listesi'!$C$5:$C$504&lt;&gt;"")))</f>
        <v/>
      </c>
      <c r="F14" s="31">
        <f>IF(A14="","",SUMPRODUCT((('Metraj Mahal Listesi'!$A$5:$A$504=A14)+('Metraj Mahal Listesi'!$B$5:$B$504=A14)&gt;0)*('Metraj Mahal Listesi'!$C$5:$C$504&lt;&gt;"")*(LEFT('Metraj Mahal Listesi'!$C$5:$C$504,1)&lt;&gt;"—")*('Metraj Mahal Listesi'!$F$5:$F$504="")))</f>
        <v/>
      </c>
      <c r="G14" s="31">
        <f>IF(A14="","",SUMPRODUCT((('Metraj Mahal Listesi'!$A$5:$A$504=A14)+('Metraj Mahal Listesi'!$B$5:$B$504=A14)&gt;0)*('Metraj Mahal Listesi'!$F$5:$F$504&lt;&gt;"")*(LEFT('Metraj Mahal Listesi'!$C$5:$C$504,1)&lt;&gt;"—")*('Metraj Mahal Listesi'!$J$5:$J$504=0)))</f>
        <v/>
      </c>
      <c r="H14" s="5" t="n"/>
    </row>
    <row r="15">
      <c r="A15" s="5" t="n"/>
      <c r="B15" s="5" t="n"/>
      <c r="C15" s="21">
        <f>IF(A15="","",SUMPRODUCT((('Metraj Mahal Listesi'!$A$5:$A$504=A15)+('Metraj Mahal Listesi'!$B$5:$B$504=A15)&gt;0)*'Metraj Mahal Listesi'!$K$5:$K$504))</f>
        <v/>
      </c>
      <c r="D15" s="27">
        <f>IF(OR(A15="",'Metraj Mahal Listesi'!$K$3=0),"",C15/'Metraj Mahal Listesi'!$K$3*100)</f>
        <v/>
      </c>
      <c r="E15" s="31">
        <f>IF(A15="","",SUMPRODUCT((('Metraj Mahal Listesi'!$A$5:$A$504=A15)+('Metraj Mahal Listesi'!$B$5:$B$504=A15)&gt;0)*('Metraj Mahal Listesi'!$C$5:$C$504&lt;&gt;"")))</f>
        <v/>
      </c>
      <c r="F15" s="31">
        <f>IF(A15="","",SUMPRODUCT((('Metraj Mahal Listesi'!$A$5:$A$504=A15)+('Metraj Mahal Listesi'!$B$5:$B$504=A15)&gt;0)*('Metraj Mahal Listesi'!$C$5:$C$504&lt;&gt;"")*(LEFT('Metraj Mahal Listesi'!$C$5:$C$504,1)&lt;&gt;"—")*('Metraj Mahal Listesi'!$F$5:$F$504="")))</f>
        <v/>
      </c>
      <c r="G15" s="31">
        <f>IF(A15="","",SUMPRODUCT((('Metraj Mahal Listesi'!$A$5:$A$504=A15)+('Metraj Mahal Listesi'!$B$5:$B$504=A15)&gt;0)*('Metraj Mahal Listesi'!$F$5:$F$504&lt;&gt;"")*(LEFT('Metraj Mahal Listesi'!$C$5:$C$504,1)&lt;&gt;"—")*('Metraj Mahal Listesi'!$J$5:$J$504=0)))</f>
        <v/>
      </c>
      <c r="H15" s="5" t="n"/>
    </row>
    <row r="16">
      <c r="A16" s="5" t="n"/>
      <c r="B16" s="5" t="n"/>
      <c r="C16" s="21">
        <f>IF(A16="","",SUMPRODUCT((('Metraj Mahal Listesi'!$A$5:$A$504=A16)+('Metraj Mahal Listesi'!$B$5:$B$504=A16)&gt;0)*'Metraj Mahal Listesi'!$K$5:$K$504))</f>
        <v/>
      </c>
      <c r="D16" s="27">
        <f>IF(OR(A16="",'Metraj Mahal Listesi'!$K$3=0),"",C16/'Metraj Mahal Listesi'!$K$3*100)</f>
        <v/>
      </c>
      <c r="E16" s="31">
        <f>IF(A16="","",SUMPRODUCT((('Metraj Mahal Listesi'!$A$5:$A$504=A16)+('Metraj Mahal Listesi'!$B$5:$B$504=A16)&gt;0)*('Metraj Mahal Listesi'!$C$5:$C$504&lt;&gt;"")))</f>
        <v/>
      </c>
      <c r="F16" s="31">
        <f>IF(A16="","",SUMPRODUCT((('Metraj Mahal Listesi'!$A$5:$A$504=A16)+('Metraj Mahal Listesi'!$B$5:$B$504=A16)&gt;0)*('Metraj Mahal Listesi'!$C$5:$C$504&lt;&gt;"")*(LEFT('Metraj Mahal Listesi'!$C$5:$C$504,1)&lt;&gt;"—")*('Metraj Mahal Listesi'!$F$5:$F$504="")))</f>
        <v/>
      </c>
      <c r="G16" s="31">
        <f>IF(A16="","",SUMPRODUCT((('Metraj Mahal Listesi'!$A$5:$A$504=A16)+('Metraj Mahal Listesi'!$B$5:$B$504=A16)&gt;0)*('Metraj Mahal Listesi'!$F$5:$F$504&lt;&gt;"")*(LEFT('Metraj Mahal Listesi'!$C$5:$C$504,1)&lt;&gt;"—")*('Metraj Mahal Listesi'!$J$5:$J$504=0)))</f>
        <v/>
      </c>
      <c r="H16" s="5" t="n"/>
    </row>
    <row r="17">
      <c r="A17" s="5" t="n"/>
      <c r="B17" s="5" t="n"/>
      <c r="C17" s="21">
        <f>IF(A17="","",SUMPRODUCT((('Metraj Mahal Listesi'!$A$5:$A$504=A17)+('Metraj Mahal Listesi'!$B$5:$B$504=A17)&gt;0)*'Metraj Mahal Listesi'!$K$5:$K$504))</f>
        <v/>
      </c>
      <c r="D17" s="27">
        <f>IF(OR(A17="",'Metraj Mahal Listesi'!$K$3=0),"",C17/'Metraj Mahal Listesi'!$K$3*100)</f>
        <v/>
      </c>
      <c r="E17" s="31">
        <f>IF(A17="","",SUMPRODUCT((('Metraj Mahal Listesi'!$A$5:$A$504=A17)+('Metraj Mahal Listesi'!$B$5:$B$504=A17)&gt;0)*('Metraj Mahal Listesi'!$C$5:$C$504&lt;&gt;"")))</f>
        <v/>
      </c>
      <c r="F17" s="31">
        <f>IF(A17="","",SUMPRODUCT((('Metraj Mahal Listesi'!$A$5:$A$504=A17)+('Metraj Mahal Listesi'!$B$5:$B$504=A17)&gt;0)*('Metraj Mahal Listesi'!$C$5:$C$504&lt;&gt;"")*(LEFT('Metraj Mahal Listesi'!$C$5:$C$504,1)&lt;&gt;"—")*('Metraj Mahal Listesi'!$F$5:$F$504="")))</f>
        <v/>
      </c>
      <c r="G17" s="31">
        <f>IF(A17="","",SUMPRODUCT((('Metraj Mahal Listesi'!$A$5:$A$504=A17)+('Metraj Mahal Listesi'!$B$5:$B$504=A17)&gt;0)*('Metraj Mahal Listesi'!$F$5:$F$504&lt;&gt;"")*(LEFT('Metraj Mahal Listesi'!$C$5:$C$504,1)&lt;&gt;"—")*('Metraj Mahal Listesi'!$J$5:$J$504=0)))</f>
        <v/>
      </c>
      <c r="H17" s="5" t="n"/>
    </row>
    <row r="18">
      <c r="A18" s="5" t="n"/>
      <c r="B18" s="5" t="n"/>
      <c r="C18" s="21">
        <f>IF(A18="","",SUMPRODUCT((('Metraj Mahal Listesi'!$A$5:$A$504=A18)+('Metraj Mahal Listesi'!$B$5:$B$504=A18)&gt;0)*'Metraj Mahal Listesi'!$K$5:$K$504))</f>
        <v/>
      </c>
      <c r="D18" s="27">
        <f>IF(OR(A18="",'Metraj Mahal Listesi'!$K$3=0),"",C18/'Metraj Mahal Listesi'!$K$3*100)</f>
        <v/>
      </c>
      <c r="E18" s="31">
        <f>IF(A18="","",SUMPRODUCT((('Metraj Mahal Listesi'!$A$5:$A$504=A18)+('Metraj Mahal Listesi'!$B$5:$B$504=A18)&gt;0)*('Metraj Mahal Listesi'!$C$5:$C$504&lt;&gt;"")))</f>
        <v/>
      </c>
      <c r="F18" s="31">
        <f>IF(A18="","",SUMPRODUCT((('Metraj Mahal Listesi'!$A$5:$A$504=A18)+('Metraj Mahal Listesi'!$B$5:$B$504=A18)&gt;0)*('Metraj Mahal Listesi'!$C$5:$C$504&lt;&gt;"")*(LEFT('Metraj Mahal Listesi'!$C$5:$C$504,1)&lt;&gt;"—")*('Metraj Mahal Listesi'!$F$5:$F$504="")))</f>
        <v/>
      </c>
      <c r="G18" s="31">
        <f>IF(A18="","",SUMPRODUCT((('Metraj Mahal Listesi'!$A$5:$A$504=A18)+('Metraj Mahal Listesi'!$B$5:$B$504=A18)&gt;0)*('Metraj Mahal Listesi'!$F$5:$F$504&lt;&gt;"")*(LEFT('Metraj Mahal Listesi'!$C$5:$C$504,1)&lt;&gt;"—")*('Metraj Mahal Listesi'!$J$5:$J$504=0)))</f>
        <v/>
      </c>
      <c r="H18" s="5" t="n"/>
    </row>
    <row r="19">
      <c r="A19" s="5" t="n"/>
      <c r="B19" s="5" t="n"/>
      <c r="C19" s="21">
        <f>IF(A19="","",SUMPRODUCT((('Metraj Mahal Listesi'!$A$5:$A$504=A19)+('Metraj Mahal Listesi'!$B$5:$B$504=A19)&gt;0)*'Metraj Mahal Listesi'!$K$5:$K$504))</f>
        <v/>
      </c>
      <c r="D19" s="27">
        <f>IF(OR(A19="",'Metraj Mahal Listesi'!$K$3=0),"",C19/'Metraj Mahal Listesi'!$K$3*100)</f>
        <v/>
      </c>
      <c r="E19" s="31">
        <f>IF(A19="","",SUMPRODUCT((('Metraj Mahal Listesi'!$A$5:$A$504=A19)+('Metraj Mahal Listesi'!$B$5:$B$504=A19)&gt;0)*('Metraj Mahal Listesi'!$C$5:$C$504&lt;&gt;"")))</f>
        <v/>
      </c>
      <c r="F19" s="31">
        <f>IF(A19="","",SUMPRODUCT((('Metraj Mahal Listesi'!$A$5:$A$504=A19)+('Metraj Mahal Listesi'!$B$5:$B$504=A19)&gt;0)*('Metraj Mahal Listesi'!$C$5:$C$504&lt;&gt;"")*(LEFT('Metraj Mahal Listesi'!$C$5:$C$504,1)&lt;&gt;"—")*('Metraj Mahal Listesi'!$F$5:$F$504="")))</f>
        <v/>
      </c>
      <c r="G19" s="31">
        <f>IF(A19="","",SUMPRODUCT((('Metraj Mahal Listesi'!$A$5:$A$504=A19)+('Metraj Mahal Listesi'!$B$5:$B$504=A19)&gt;0)*('Metraj Mahal Listesi'!$F$5:$F$504&lt;&gt;"")*(LEFT('Metraj Mahal Listesi'!$C$5:$C$504,1)&lt;&gt;"—")*('Metraj Mahal Listesi'!$J$5:$J$504=0)))</f>
        <v/>
      </c>
      <c r="H19" s="5" t="n"/>
    </row>
    <row r="20">
      <c r="A20" s="5" t="n"/>
      <c r="B20" s="5" t="n"/>
      <c r="C20" s="21">
        <f>IF(A20="","",SUMPRODUCT((('Metraj Mahal Listesi'!$A$5:$A$504=A20)+('Metraj Mahal Listesi'!$B$5:$B$504=A20)&gt;0)*'Metraj Mahal Listesi'!$K$5:$K$504))</f>
        <v/>
      </c>
      <c r="D20" s="27">
        <f>IF(OR(A20="",'Metraj Mahal Listesi'!$K$3=0),"",C20/'Metraj Mahal Listesi'!$K$3*100)</f>
        <v/>
      </c>
      <c r="E20" s="31">
        <f>IF(A20="","",SUMPRODUCT((('Metraj Mahal Listesi'!$A$5:$A$504=A20)+('Metraj Mahal Listesi'!$B$5:$B$504=A20)&gt;0)*('Metraj Mahal Listesi'!$C$5:$C$504&lt;&gt;"")))</f>
        <v/>
      </c>
      <c r="F20" s="31">
        <f>IF(A20="","",SUMPRODUCT((('Metraj Mahal Listesi'!$A$5:$A$504=A20)+('Metraj Mahal Listesi'!$B$5:$B$504=A20)&gt;0)*('Metraj Mahal Listesi'!$C$5:$C$504&lt;&gt;"")*(LEFT('Metraj Mahal Listesi'!$C$5:$C$504,1)&lt;&gt;"—")*('Metraj Mahal Listesi'!$F$5:$F$504="")))</f>
        <v/>
      </c>
      <c r="G20" s="31">
        <f>IF(A20="","",SUMPRODUCT((('Metraj Mahal Listesi'!$A$5:$A$504=A20)+('Metraj Mahal Listesi'!$B$5:$B$504=A20)&gt;0)*('Metraj Mahal Listesi'!$F$5:$F$504&lt;&gt;"")*(LEFT('Metraj Mahal Listesi'!$C$5:$C$504,1)&lt;&gt;"—")*('Metraj Mahal Listesi'!$J$5:$J$504=0)))</f>
        <v/>
      </c>
      <c r="H20" s="5" t="n"/>
    </row>
    <row r="21">
      <c r="A21" s="5" t="n"/>
      <c r="B21" s="5" t="n"/>
      <c r="C21" s="21">
        <f>IF(A21="","",SUMPRODUCT((('Metraj Mahal Listesi'!$A$5:$A$504=A21)+('Metraj Mahal Listesi'!$B$5:$B$504=A21)&gt;0)*'Metraj Mahal Listesi'!$K$5:$K$504))</f>
        <v/>
      </c>
      <c r="D21" s="27">
        <f>IF(OR(A21="",'Metraj Mahal Listesi'!$K$3=0),"",C21/'Metraj Mahal Listesi'!$K$3*100)</f>
        <v/>
      </c>
      <c r="E21" s="31">
        <f>IF(A21="","",SUMPRODUCT((('Metraj Mahal Listesi'!$A$5:$A$504=A21)+('Metraj Mahal Listesi'!$B$5:$B$504=A21)&gt;0)*('Metraj Mahal Listesi'!$C$5:$C$504&lt;&gt;"")))</f>
        <v/>
      </c>
      <c r="F21" s="31">
        <f>IF(A21="","",SUMPRODUCT((('Metraj Mahal Listesi'!$A$5:$A$504=A21)+('Metraj Mahal Listesi'!$B$5:$B$504=A21)&gt;0)*('Metraj Mahal Listesi'!$C$5:$C$504&lt;&gt;"")*(LEFT('Metraj Mahal Listesi'!$C$5:$C$504,1)&lt;&gt;"—")*('Metraj Mahal Listesi'!$F$5:$F$504="")))</f>
        <v/>
      </c>
      <c r="G21" s="31">
        <f>IF(A21="","",SUMPRODUCT((('Metraj Mahal Listesi'!$A$5:$A$504=A21)+('Metraj Mahal Listesi'!$B$5:$B$504=A21)&gt;0)*('Metraj Mahal Listesi'!$F$5:$F$504&lt;&gt;"")*(LEFT('Metraj Mahal Listesi'!$C$5:$C$504,1)&lt;&gt;"—")*('Metraj Mahal Listesi'!$J$5:$J$504=0)))</f>
        <v/>
      </c>
      <c r="H21" s="5" t="n"/>
    </row>
    <row r="22">
      <c r="A22" s="5" t="n"/>
      <c r="B22" s="5" t="n"/>
      <c r="C22" s="21">
        <f>IF(A22="","",SUMPRODUCT((('Metraj Mahal Listesi'!$A$5:$A$504=A22)+('Metraj Mahal Listesi'!$B$5:$B$504=A22)&gt;0)*'Metraj Mahal Listesi'!$K$5:$K$504))</f>
        <v/>
      </c>
      <c r="D22" s="27">
        <f>IF(OR(A22="",'Metraj Mahal Listesi'!$K$3=0),"",C22/'Metraj Mahal Listesi'!$K$3*100)</f>
        <v/>
      </c>
      <c r="E22" s="31">
        <f>IF(A22="","",SUMPRODUCT((('Metraj Mahal Listesi'!$A$5:$A$504=A22)+('Metraj Mahal Listesi'!$B$5:$B$504=A22)&gt;0)*('Metraj Mahal Listesi'!$C$5:$C$504&lt;&gt;"")))</f>
        <v/>
      </c>
      <c r="F22" s="31">
        <f>IF(A22="","",SUMPRODUCT((('Metraj Mahal Listesi'!$A$5:$A$504=A22)+('Metraj Mahal Listesi'!$B$5:$B$504=A22)&gt;0)*('Metraj Mahal Listesi'!$C$5:$C$504&lt;&gt;"")*(LEFT('Metraj Mahal Listesi'!$C$5:$C$504,1)&lt;&gt;"—")*('Metraj Mahal Listesi'!$F$5:$F$504="")))</f>
        <v/>
      </c>
      <c r="G22" s="31">
        <f>IF(A22="","",SUMPRODUCT((('Metraj Mahal Listesi'!$A$5:$A$504=A22)+('Metraj Mahal Listesi'!$B$5:$B$504=A22)&gt;0)*('Metraj Mahal Listesi'!$F$5:$F$504&lt;&gt;"")*(LEFT('Metraj Mahal Listesi'!$C$5:$C$504,1)&lt;&gt;"—")*('Metraj Mahal Listesi'!$J$5:$J$504=0)))</f>
        <v/>
      </c>
      <c r="H22" s="5" t="n"/>
    </row>
    <row r="23">
      <c r="A23" s="5" t="n"/>
      <c r="B23" s="5" t="n"/>
      <c r="C23" s="21">
        <f>IF(A23="","",SUMPRODUCT((('Metraj Mahal Listesi'!$A$5:$A$504=A23)+('Metraj Mahal Listesi'!$B$5:$B$504=A23)&gt;0)*'Metraj Mahal Listesi'!$K$5:$K$504))</f>
        <v/>
      </c>
      <c r="D23" s="27">
        <f>IF(OR(A23="",'Metraj Mahal Listesi'!$K$3=0),"",C23/'Metraj Mahal Listesi'!$K$3*100)</f>
        <v/>
      </c>
      <c r="E23" s="31">
        <f>IF(A23="","",SUMPRODUCT((('Metraj Mahal Listesi'!$A$5:$A$504=A23)+('Metraj Mahal Listesi'!$B$5:$B$504=A23)&gt;0)*('Metraj Mahal Listesi'!$C$5:$C$504&lt;&gt;"")))</f>
        <v/>
      </c>
      <c r="F23" s="31">
        <f>IF(A23="","",SUMPRODUCT((('Metraj Mahal Listesi'!$A$5:$A$504=A23)+('Metraj Mahal Listesi'!$B$5:$B$504=A23)&gt;0)*('Metraj Mahal Listesi'!$C$5:$C$504&lt;&gt;"")*(LEFT('Metraj Mahal Listesi'!$C$5:$C$504,1)&lt;&gt;"—")*('Metraj Mahal Listesi'!$F$5:$F$504="")))</f>
        <v/>
      </c>
      <c r="G23" s="31">
        <f>IF(A23="","",SUMPRODUCT((('Metraj Mahal Listesi'!$A$5:$A$504=A23)+('Metraj Mahal Listesi'!$B$5:$B$504=A23)&gt;0)*('Metraj Mahal Listesi'!$F$5:$F$504&lt;&gt;"")*(LEFT('Metraj Mahal Listesi'!$C$5:$C$504,1)&lt;&gt;"—")*('Metraj Mahal Listesi'!$J$5:$J$504=0)))</f>
        <v/>
      </c>
      <c r="H23" s="5" t="n"/>
    </row>
    <row r="24">
      <c r="A24" s="5" t="n"/>
      <c r="B24" s="5" t="n"/>
      <c r="C24" s="21">
        <f>IF(A24="","",SUMPRODUCT((('Metraj Mahal Listesi'!$A$5:$A$504=A24)+('Metraj Mahal Listesi'!$B$5:$B$504=A24)&gt;0)*'Metraj Mahal Listesi'!$K$5:$K$504))</f>
        <v/>
      </c>
      <c r="D24" s="27">
        <f>IF(OR(A24="",'Metraj Mahal Listesi'!$K$3=0),"",C24/'Metraj Mahal Listesi'!$K$3*100)</f>
        <v/>
      </c>
      <c r="E24" s="31">
        <f>IF(A24="","",SUMPRODUCT((('Metraj Mahal Listesi'!$A$5:$A$504=A24)+('Metraj Mahal Listesi'!$B$5:$B$504=A24)&gt;0)*('Metraj Mahal Listesi'!$C$5:$C$504&lt;&gt;"")))</f>
        <v/>
      </c>
      <c r="F24" s="31">
        <f>IF(A24="","",SUMPRODUCT((('Metraj Mahal Listesi'!$A$5:$A$504=A24)+('Metraj Mahal Listesi'!$B$5:$B$504=A24)&gt;0)*('Metraj Mahal Listesi'!$C$5:$C$504&lt;&gt;"")*(LEFT('Metraj Mahal Listesi'!$C$5:$C$504,1)&lt;&gt;"—")*('Metraj Mahal Listesi'!$F$5:$F$504="")))</f>
        <v/>
      </c>
      <c r="G24" s="31">
        <f>IF(A24="","",SUMPRODUCT((('Metraj Mahal Listesi'!$A$5:$A$504=A24)+('Metraj Mahal Listesi'!$B$5:$B$504=A24)&gt;0)*('Metraj Mahal Listesi'!$F$5:$F$504&lt;&gt;"")*(LEFT('Metraj Mahal Listesi'!$C$5:$C$504,1)&lt;&gt;"—")*('Metraj Mahal Listesi'!$J$5:$J$504=0)))</f>
        <v/>
      </c>
      <c r="H24" s="5" t="n"/>
    </row>
    <row r="25">
      <c r="A25" s="5" t="n"/>
      <c r="B25" s="5" t="n"/>
      <c r="C25" s="21">
        <f>IF(A25="","",SUMPRODUCT((('Metraj Mahal Listesi'!$A$5:$A$504=A25)+('Metraj Mahal Listesi'!$B$5:$B$504=A25)&gt;0)*'Metraj Mahal Listesi'!$K$5:$K$504))</f>
        <v/>
      </c>
      <c r="D25" s="27">
        <f>IF(OR(A25="",'Metraj Mahal Listesi'!$K$3=0),"",C25/'Metraj Mahal Listesi'!$K$3*100)</f>
        <v/>
      </c>
      <c r="E25" s="31">
        <f>IF(A25="","",SUMPRODUCT((('Metraj Mahal Listesi'!$A$5:$A$504=A25)+('Metraj Mahal Listesi'!$B$5:$B$504=A25)&gt;0)*('Metraj Mahal Listesi'!$C$5:$C$504&lt;&gt;"")))</f>
        <v/>
      </c>
      <c r="F25" s="31">
        <f>IF(A25="","",SUMPRODUCT((('Metraj Mahal Listesi'!$A$5:$A$504=A25)+('Metraj Mahal Listesi'!$B$5:$B$504=A25)&gt;0)*('Metraj Mahal Listesi'!$C$5:$C$504&lt;&gt;"")*(LEFT('Metraj Mahal Listesi'!$C$5:$C$504,1)&lt;&gt;"—")*('Metraj Mahal Listesi'!$F$5:$F$504="")))</f>
        <v/>
      </c>
      <c r="G25" s="31">
        <f>IF(A25="","",SUMPRODUCT((('Metraj Mahal Listesi'!$A$5:$A$504=A25)+('Metraj Mahal Listesi'!$B$5:$B$504=A25)&gt;0)*('Metraj Mahal Listesi'!$F$5:$F$504&lt;&gt;"")*(LEFT('Metraj Mahal Listesi'!$C$5:$C$504,1)&lt;&gt;"—")*('Metraj Mahal Listesi'!$J$5:$J$504=0)))</f>
        <v/>
      </c>
      <c r="H25" s="5" t="n"/>
    </row>
    <row r="26">
      <c r="A26" s="5" t="n"/>
      <c r="B26" s="5" t="n"/>
      <c r="C26" s="21">
        <f>IF(A26="","",SUMPRODUCT((('Metraj Mahal Listesi'!$A$5:$A$504=A26)+('Metraj Mahal Listesi'!$B$5:$B$504=A26)&gt;0)*'Metraj Mahal Listesi'!$K$5:$K$504))</f>
        <v/>
      </c>
      <c r="D26" s="27">
        <f>IF(OR(A26="",'Metraj Mahal Listesi'!$K$3=0),"",C26/'Metraj Mahal Listesi'!$K$3*100)</f>
        <v/>
      </c>
      <c r="E26" s="31">
        <f>IF(A26="","",SUMPRODUCT((('Metraj Mahal Listesi'!$A$5:$A$504=A26)+('Metraj Mahal Listesi'!$B$5:$B$504=A26)&gt;0)*('Metraj Mahal Listesi'!$C$5:$C$504&lt;&gt;"")))</f>
        <v/>
      </c>
      <c r="F26" s="31">
        <f>IF(A26="","",SUMPRODUCT((('Metraj Mahal Listesi'!$A$5:$A$504=A26)+('Metraj Mahal Listesi'!$B$5:$B$504=A26)&gt;0)*('Metraj Mahal Listesi'!$C$5:$C$504&lt;&gt;"")*(LEFT('Metraj Mahal Listesi'!$C$5:$C$504,1)&lt;&gt;"—")*('Metraj Mahal Listesi'!$F$5:$F$504="")))</f>
        <v/>
      </c>
      <c r="G26" s="31">
        <f>IF(A26="","",SUMPRODUCT((('Metraj Mahal Listesi'!$A$5:$A$504=A26)+('Metraj Mahal Listesi'!$B$5:$B$504=A26)&gt;0)*('Metraj Mahal Listesi'!$F$5:$F$504&lt;&gt;"")*(LEFT('Metraj Mahal Listesi'!$C$5:$C$504,1)&lt;&gt;"—")*('Metraj Mahal Listesi'!$J$5:$J$504=0)))</f>
        <v/>
      </c>
      <c r="H26" s="5" t="n"/>
    </row>
    <row r="27">
      <c r="A27" s="5" t="n"/>
      <c r="B27" s="5" t="n"/>
      <c r="C27" s="21">
        <f>IF(A27="","",SUMPRODUCT((('Metraj Mahal Listesi'!$A$5:$A$504=A27)+('Metraj Mahal Listesi'!$B$5:$B$504=A27)&gt;0)*'Metraj Mahal Listesi'!$K$5:$K$504))</f>
        <v/>
      </c>
      <c r="D27" s="27">
        <f>IF(OR(A27="",'Metraj Mahal Listesi'!$K$3=0),"",C27/'Metraj Mahal Listesi'!$K$3*100)</f>
        <v/>
      </c>
      <c r="E27" s="31">
        <f>IF(A27="","",SUMPRODUCT((('Metraj Mahal Listesi'!$A$5:$A$504=A27)+('Metraj Mahal Listesi'!$B$5:$B$504=A27)&gt;0)*('Metraj Mahal Listesi'!$C$5:$C$504&lt;&gt;"")))</f>
        <v/>
      </c>
      <c r="F27" s="31">
        <f>IF(A27="","",SUMPRODUCT((('Metraj Mahal Listesi'!$A$5:$A$504=A27)+('Metraj Mahal Listesi'!$B$5:$B$504=A27)&gt;0)*('Metraj Mahal Listesi'!$C$5:$C$504&lt;&gt;"")*(LEFT('Metraj Mahal Listesi'!$C$5:$C$504,1)&lt;&gt;"—")*('Metraj Mahal Listesi'!$F$5:$F$504="")))</f>
        <v/>
      </c>
      <c r="G27" s="31">
        <f>IF(A27="","",SUMPRODUCT((('Metraj Mahal Listesi'!$A$5:$A$504=A27)+('Metraj Mahal Listesi'!$B$5:$B$504=A27)&gt;0)*('Metraj Mahal Listesi'!$F$5:$F$504&lt;&gt;"")*(LEFT('Metraj Mahal Listesi'!$C$5:$C$504,1)&lt;&gt;"—")*('Metraj Mahal Listesi'!$J$5:$J$504=0)))</f>
        <v/>
      </c>
      <c r="H27" s="5" t="n"/>
    </row>
    <row r="28">
      <c r="A28" s="5" t="n"/>
      <c r="B28" s="5" t="n"/>
      <c r="C28" s="21">
        <f>IF(A28="","",SUMPRODUCT((('Metraj Mahal Listesi'!$A$5:$A$504=A28)+('Metraj Mahal Listesi'!$B$5:$B$504=A28)&gt;0)*'Metraj Mahal Listesi'!$K$5:$K$504))</f>
        <v/>
      </c>
      <c r="D28" s="27">
        <f>IF(OR(A28="",'Metraj Mahal Listesi'!$K$3=0),"",C28/'Metraj Mahal Listesi'!$K$3*100)</f>
        <v/>
      </c>
      <c r="E28" s="31">
        <f>IF(A28="","",SUMPRODUCT((('Metraj Mahal Listesi'!$A$5:$A$504=A28)+('Metraj Mahal Listesi'!$B$5:$B$504=A28)&gt;0)*('Metraj Mahal Listesi'!$C$5:$C$504&lt;&gt;"")))</f>
        <v/>
      </c>
      <c r="F28" s="31">
        <f>IF(A28="","",SUMPRODUCT((('Metraj Mahal Listesi'!$A$5:$A$504=A28)+('Metraj Mahal Listesi'!$B$5:$B$504=A28)&gt;0)*('Metraj Mahal Listesi'!$C$5:$C$504&lt;&gt;"")*(LEFT('Metraj Mahal Listesi'!$C$5:$C$504,1)&lt;&gt;"—")*('Metraj Mahal Listesi'!$F$5:$F$504="")))</f>
        <v/>
      </c>
      <c r="G28" s="31">
        <f>IF(A28="","",SUMPRODUCT((('Metraj Mahal Listesi'!$A$5:$A$504=A28)+('Metraj Mahal Listesi'!$B$5:$B$504=A28)&gt;0)*('Metraj Mahal Listesi'!$F$5:$F$504&lt;&gt;"")*(LEFT('Metraj Mahal Listesi'!$C$5:$C$504,1)&lt;&gt;"—")*('Metraj Mahal Listesi'!$J$5:$J$504=0)))</f>
        <v/>
      </c>
      <c r="H28" s="5" t="n"/>
    </row>
    <row r="29">
      <c r="A29" s="5" t="n"/>
      <c r="B29" s="5" t="n"/>
      <c r="C29" s="21">
        <f>IF(A29="","",SUMPRODUCT((('Metraj Mahal Listesi'!$A$5:$A$504=A29)+('Metraj Mahal Listesi'!$B$5:$B$504=A29)&gt;0)*'Metraj Mahal Listesi'!$K$5:$K$504))</f>
        <v/>
      </c>
      <c r="D29" s="27">
        <f>IF(OR(A29="",'Metraj Mahal Listesi'!$K$3=0),"",C29/'Metraj Mahal Listesi'!$K$3*100)</f>
        <v/>
      </c>
      <c r="E29" s="31">
        <f>IF(A29="","",SUMPRODUCT((('Metraj Mahal Listesi'!$A$5:$A$504=A29)+('Metraj Mahal Listesi'!$B$5:$B$504=A29)&gt;0)*('Metraj Mahal Listesi'!$C$5:$C$504&lt;&gt;"")))</f>
        <v/>
      </c>
      <c r="F29" s="31">
        <f>IF(A29="","",SUMPRODUCT((('Metraj Mahal Listesi'!$A$5:$A$504=A29)+('Metraj Mahal Listesi'!$B$5:$B$504=A29)&gt;0)*('Metraj Mahal Listesi'!$C$5:$C$504&lt;&gt;"")*(LEFT('Metraj Mahal Listesi'!$C$5:$C$504,1)&lt;&gt;"—")*('Metraj Mahal Listesi'!$F$5:$F$504="")))</f>
        <v/>
      </c>
      <c r="G29" s="31">
        <f>IF(A29="","",SUMPRODUCT((('Metraj Mahal Listesi'!$A$5:$A$504=A29)+('Metraj Mahal Listesi'!$B$5:$B$504=A29)&gt;0)*('Metraj Mahal Listesi'!$F$5:$F$504&lt;&gt;"")*(LEFT('Metraj Mahal Listesi'!$C$5:$C$504,1)&lt;&gt;"—")*('Metraj Mahal Listesi'!$J$5:$J$504=0)))</f>
        <v/>
      </c>
      <c r="H29" s="5" t="n"/>
    </row>
    <row r="30">
      <c r="A30" s="5" t="n"/>
      <c r="B30" s="5" t="n"/>
      <c r="C30" s="21">
        <f>IF(A30="","",SUMPRODUCT((('Metraj Mahal Listesi'!$A$5:$A$504=A30)+('Metraj Mahal Listesi'!$B$5:$B$504=A30)&gt;0)*'Metraj Mahal Listesi'!$K$5:$K$504))</f>
        <v/>
      </c>
      <c r="D30" s="27">
        <f>IF(OR(A30="",'Metraj Mahal Listesi'!$K$3=0),"",C30/'Metraj Mahal Listesi'!$K$3*100)</f>
        <v/>
      </c>
      <c r="E30" s="31">
        <f>IF(A30="","",SUMPRODUCT((('Metraj Mahal Listesi'!$A$5:$A$504=A30)+('Metraj Mahal Listesi'!$B$5:$B$504=A30)&gt;0)*('Metraj Mahal Listesi'!$C$5:$C$504&lt;&gt;"")))</f>
        <v/>
      </c>
      <c r="F30" s="31">
        <f>IF(A30="","",SUMPRODUCT((('Metraj Mahal Listesi'!$A$5:$A$504=A30)+('Metraj Mahal Listesi'!$B$5:$B$504=A30)&gt;0)*('Metraj Mahal Listesi'!$C$5:$C$504&lt;&gt;"")*(LEFT('Metraj Mahal Listesi'!$C$5:$C$504,1)&lt;&gt;"—")*('Metraj Mahal Listesi'!$F$5:$F$504="")))</f>
        <v/>
      </c>
      <c r="G30" s="31">
        <f>IF(A30="","",SUMPRODUCT((('Metraj Mahal Listesi'!$A$5:$A$504=A30)+('Metraj Mahal Listesi'!$B$5:$B$504=A30)&gt;0)*('Metraj Mahal Listesi'!$F$5:$F$504&lt;&gt;"")*(LEFT('Metraj Mahal Listesi'!$C$5:$C$504,1)&lt;&gt;"—")*('Metraj Mahal Listesi'!$J$5:$J$504=0)))</f>
        <v/>
      </c>
      <c r="H30" s="5" t="n"/>
    </row>
    <row r="31">
      <c r="A31" s="5" t="n"/>
      <c r="B31" s="5" t="n"/>
      <c r="C31" s="21">
        <f>IF(A31="","",SUMPRODUCT((('Metraj Mahal Listesi'!$A$5:$A$504=A31)+('Metraj Mahal Listesi'!$B$5:$B$504=A31)&gt;0)*'Metraj Mahal Listesi'!$K$5:$K$504))</f>
        <v/>
      </c>
      <c r="D31" s="27">
        <f>IF(OR(A31="",'Metraj Mahal Listesi'!$K$3=0),"",C31/'Metraj Mahal Listesi'!$K$3*100)</f>
        <v/>
      </c>
      <c r="E31" s="31">
        <f>IF(A31="","",SUMPRODUCT((('Metraj Mahal Listesi'!$A$5:$A$504=A31)+('Metraj Mahal Listesi'!$B$5:$B$504=A31)&gt;0)*('Metraj Mahal Listesi'!$C$5:$C$504&lt;&gt;"")))</f>
        <v/>
      </c>
      <c r="F31" s="31">
        <f>IF(A31="","",SUMPRODUCT((('Metraj Mahal Listesi'!$A$5:$A$504=A31)+('Metraj Mahal Listesi'!$B$5:$B$504=A31)&gt;0)*('Metraj Mahal Listesi'!$C$5:$C$504&lt;&gt;"")*(LEFT('Metraj Mahal Listesi'!$C$5:$C$504,1)&lt;&gt;"—")*('Metraj Mahal Listesi'!$F$5:$F$504="")))</f>
        <v/>
      </c>
      <c r="G31" s="31">
        <f>IF(A31="","",SUMPRODUCT((('Metraj Mahal Listesi'!$A$5:$A$504=A31)+('Metraj Mahal Listesi'!$B$5:$B$504=A31)&gt;0)*('Metraj Mahal Listesi'!$F$5:$F$504&lt;&gt;"")*(LEFT('Metraj Mahal Listesi'!$C$5:$C$504,1)&lt;&gt;"—")*('Metraj Mahal Listesi'!$J$5:$J$504=0)))</f>
        <v/>
      </c>
      <c r="H31" s="5" t="n"/>
    </row>
    <row r="32">
      <c r="A32" s="5" t="n"/>
      <c r="B32" s="5" t="n"/>
      <c r="C32" s="21">
        <f>IF(A32="","",SUMPRODUCT((('Metraj Mahal Listesi'!$A$5:$A$504=A32)+('Metraj Mahal Listesi'!$B$5:$B$504=A32)&gt;0)*'Metraj Mahal Listesi'!$K$5:$K$504))</f>
        <v/>
      </c>
      <c r="D32" s="27">
        <f>IF(OR(A32="",'Metraj Mahal Listesi'!$K$3=0),"",C32/'Metraj Mahal Listesi'!$K$3*100)</f>
        <v/>
      </c>
      <c r="E32" s="31">
        <f>IF(A32="","",SUMPRODUCT((('Metraj Mahal Listesi'!$A$5:$A$504=A32)+('Metraj Mahal Listesi'!$B$5:$B$504=A32)&gt;0)*('Metraj Mahal Listesi'!$C$5:$C$504&lt;&gt;"")))</f>
        <v/>
      </c>
      <c r="F32" s="31">
        <f>IF(A32="","",SUMPRODUCT((('Metraj Mahal Listesi'!$A$5:$A$504=A32)+('Metraj Mahal Listesi'!$B$5:$B$504=A32)&gt;0)*('Metraj Mahal Listesi'!$C$5:$C$504&lt;&gt;"")*(LEFT('Metraj Mahal Listesi'!$C$5:$C$504,1)&lt;&gt;"—")*('Metraj Mahal Listesi'!$F$5:$F$504="")))</f>
        <v/>
      </c>
      <c r="G32" s="31">
        <f>IF(A32="","",SUMPRODUCT((('Metraj Mahal Listesi'!$A$5:$A$504=A32)+('Metraj Mahal Listesi'!$B$5:$B$504=A32)&gt;0)*('Metraj Mahal Listesi'!$F$5:$F$504&lt;&gt;"")*(LEFT('Metraj Mahal Listesi'!$C$5:$C$504,1)&lt;&gt;"—")*('Metraj Mahal Listesi'!$J$5:$J$504=0)))</f>
        <v/>
      </c>
      <c r="H32" s="5" t="n"/>
    </row>
    <row r="33">
      <c r="A33" s="5" t="n"/>
      <c r="B33" s="5" t="n"/>
      <c r="C33" s="21">
        <f>IF(A33="","",SUMPRODUCT((('Metraj Mahal Listesi'!$A$5:$A$504=A33)+('Metraj Mahal Listesi'!$B$5:$B$504=A33)&gt;0)*'Metraj Mahal Listesi'!$K$5:$K$504))</f>
        <v/>
      </c>
      <c r="D33" s="27">
        <f>IF(OR(A33="",'Metraj Mahal Listesi'!$K$3=0),"",C33/'Metraj Mahal Listesi'!$K$3*100)</f>
        <v/>
      </c>
      <c r="E33" s="31">
        <f>IF(A33="","",SUMPRODUCT((('Metraj Mahal Listesi'!$A$5:$A$504=A33)+('Metraj Mahal Listesi'!$B$5:$B$504=A33)&gt;0)*('Metraj Mahal Listesi'!$C$5:$C$504&lt;&gt;"")))</f>
        <v/>
      </c>
      <c r="F33" s="31">
        <f>IF(A33="","",SUMPRODUCT((('Metraj Mahal Listesi'!$A$5:$A$504=A33)+('Metraj Mahal Listesi'!$B$5:$B$504=A33)&gt;0)*('Metraj Mahal Listesi'!$C$5:$C$504&lt;&gt;"")*(LEFT('Metraj Mahal Listesi'!$C$5:$C$504,1)&lt;&gt;"—")*('Metraj Mahal Listesi'!$F$5:$F$504="")))</f>
        <v/>
      </c>
      <c r="G33" s="31">
        <f>IF(A33="","",SUMPRODUCT((('Metraj Mahal Listesi'!$A$5:$A$504=A33)+('Metraj Mahal Listesi'!$B$5:$B$504=A33)&gt;0)*('Metraj Mahal Listesi'!$F$5:$F$504&lt;&gt;"")*(LEFT('Metraj Mahal Listesi'!$C$5:$C$504,1)&lt;&gt;"—")*('Metraj Mahal Listesi'!$J$5:$J$504=0)))</f>
        <v/>
      </c>
      <c r="H33" s="5" t="n"/>
    </row>
    <row r="34">
      <c r="A34" s="5" t="n"/>
      <c r="B34" s="5" t="n"/>
      <c r="C34" s="21">
        <f>IF(A34="","",SUMPRODUCT((('Metraj Mahal Listesi'!$A$5:$A$504=A34)+('Metraj Mahal Listesi'!$B$5:$B$504=A34)&gt;0)*'Metraj Mahal Listesi'!$K$5:$K$504))</f>
        <v/>
      </c>
      <c r="D34" s="27">
        <f>IF(OR(A34="",'Metraj Mahal Listesi'!$K$3=0),"",C34/'Metraj Mahal Listesi'!$K$3*100)</f>
        <v/>
      </c>
      <c r="E34" s="31">
        <f>IF(A34="","",SUMPRODUCT((('Metraj Mahal Listesi'!$A$5:$A$504=A34)+('Metraj Mahal Listesi'!$B$5:$B$504=A34)&gt;0)*('Metraj Mahal Listesi'!$C$5:$C$504&lt;&gt;"")))</f>
        <v/>
      </c>
      <c r="F34" s="31">
        <f>IF(A34="","",SUMPRODUCT((('Metraj Mahal Listesi'!$A$5:$A$504=A34)+('Metraj Mahal Listesi'!$B$5:$B$504=A34)&gt;0)*('Metraj Mahal Listesi'!$C$5:$C$504&lt;&gt;"")*(LEFT('Metraj Mahal Listesi'!$C$5:$C$504,1)&lt;&gt;"—")*('Metraj Mahal Listesi'!$F$5:$F$504="")))</f>
        <v/>
      </c>
      <c r="G34" s="31">
        <f>IF(A34="","",SUMPRODUCT((('Metraj Mahal Listesi'!$A$5:$A$504=A34)+('Metraj Mahal Listesi'!$B$5:$B$504=A34)&gt;0)*('Metraj Mahal Listesi'!$F$5:$F$504&lt;&gt;"")*(LEFT('Metraj Mahal Listesi'!$C$5:$C$504,1)&lt;&gt;"—")*('Metraj Mahal Listesi'!$J$5:$J$504=0)))</f>
        <v/>
      </c>
      <c r="H34" s="5" t="n"/>
    </row>
    <row r="35">
      <c r="A35" s="5" t="n"/>
      <c r="B35" s="5" t="n"/>
      <c r="C35" s="21">
        <f>IF(A35="","",SUMPRODUCT((('Metraj Mahal Listesi'!$A$5:$A$504=A35)+('Metraj Mahal Listesi'!$B$5:$B$504=A35)&gt;0)*'Metraj Mahal Listesi'!$K$5:$K$504))</f>
        <v/>
      </c>
      <c r="D35" s="27">
        <f>IF(OR(A35="",'Metraj Mahal Listesi'!$K$3=0),"",C35/'Metraj Mahal Listesi'!$K$3*100)</f>
        <v/>
      </c>
      <c r="E35" s="31">
        <f>IF(A35="","",SUMPRODUCT((('Metraj Mahal Listesi'!$A$5:$A$504=A35)+('Metraj Mahal Listesi'!$B$5:$B$504=A35)&gt;0)*('Metraj Mahal Listesi'!$C$5:$C$504&lt;&gt;"")))</f>
        <v/>
      </c>
      <c r="F35" s="31">
        <f>IF(A35="","",SUMPRODUCT((('Metraj Mahal Listesi'!$A$5:$A$504=A35)+('Metraj Mahal Listesi'!$B$5:$B$504=A35)&gt;0)*('Metraj Mahal Listesi'!$C$5:$C$504&lt;&gt;"")*(LEFT('Metraj Mahal Listesi'!$C$5:$C$504,1)&lt;&gt;"—")*('Metraj Mahal Listesi'!$F$5:$F$504="")))</f>
        <v/>
      </c>
      <c r="G35" s="31">
        <f>IF(A35="","",SUMPRODUCT((('Metraj Mahal Listesi'!$A$5:$A$504=A35)+('Metraj Mahal Listesi'!$B$5:$B$504=A35)&gt;0)*('Metraj Mahal Listesi'!$F$5:$F$504&lt;&gt;"")*(LEFT('Metraj Mahal Listesi'!$C$5:$C$504,1)&lt;&gt;"—")*('Metraj Mahal Listesi'!$J$5:$J$504=0)))</f>
        <v/>
      </c>
      <c r="H35" s="5" t="n"/>
    </row>
    <row r="36">
      <c r="A36" s="5" t="n"/>
      <c r="B36" s="5" t="n"/>
      <c r="C36" s="21">
        <f>IF(A36="","",SUMPRODUCT((('Metraj Mahal Listesi'!$A$5:$A$504=A36)+('Metraj Mahal Listesi'!$B$5:$B$504=A36)&gt;0)*'Metraj Mahal Listesi'!$K$5:$K$504))</f>
        <v/>
      </c>
      <c r="D36" s="27">
        <f>IF(OR(A36="",'Metraj Mahal Listesi'!$K$3=0),"",C36/'Metraj Mahal Listesi'!$K$3*100)</f>
        <v/>
      </c>
      <c r="E36" s="31">
        <f>IF(A36="","",SUMPRODUCT((('Metraj Mahal Listesi'!$A$5:$A$504=A36)+('Metraj Mahal Listesi'!$B$5:$B$504=A36)&gt;0)*('Metraj Mahal Listesi'!$C$5:$C$504&lt;&gt;"")))</f>
        <v/>
      </c>
      <c r="F36" s="31">
        <f>IF(A36="","",SUMPRODUCT((('Metraj Mahal Listesi'!$A$5:$A$504=A36)+('Metraj Mahal Listesi'!$B$5:$B$504=A36)&gt;0)*('Metraj Mahal Listesi'!$C$5:$C$504&lt;&gt;"")*(LEFT('Metraj Mahal Listesi'!$C$5:$C$504,1)&lt;&gt;"—")*('Metraj Mahal Listesi'!$F$5:$F$504="")))</f>
        <v/>
      </c>
      <c r="G36" s="31">
        <f>IF(A36="","",SUMPRODUCT((('Metraj Mahal Listesi'!$A$5:$A$504=A36)+('Metraj Mahal Listesi'!$B$5:$B$504=A36)&gt;0)*('Metraj Mahal Listesi'!$F$5:$F$504&lt;&gt;"")*(LEFT('Metraj Mahal Listesi'!$C$5:$C$504,1)&lt;&gt;"—")*('Metraj Mahal Listesi'!$J$5:$J$504=0)))</f>
        <v/>
      </c>
      <c r="H36" s="5" t="n"/>
    </row>
    <row r="37">
      <c r="A37" s="5" t="n"/>
      <c r="B37" s="5" t="n"/>
      <c r="C37" s="21">
        <f>IF(A37="","",SUMPRODUCT((('Metraj Mahal Listesi'!$A$5:$A$504=A37)+('Metraj Mahal Listesi'!$B$5:$B$504=A37)&gt;0)*'Metraj Mahal Listesi'!$K$5:$K$504))</f>
        <v/>
      </c>
      <c r="D37" s="27">
        <f>IF(OR(A37="",'Metraj Mahal Listesi'!$K$3=0),"",C37/'Metraj Mahal Listesi'!$K$3*100)</f>
        <v/>
      </c>
      <c r="E37" s="31">
        <f>IF(A37="","",SUMPRODUCT((('Metraj Mahal Listesi'!$A$5:$A$504=A37)+('Metraj Mahal Listesi'!$B$5:$B$504=A37)&gt;0)*('Metraj Mahal Listesi'!$C$5:$C$504&lt;&gt;"")))</f>
        <v/>
      </c>
      <c r="F37" s="31">
        <f>IF(A37="","",SUMPRODUCT((('Metraj Mahal Listesi'!$A$5:$A$504=A37)+('Metraj Mahal Listesi'!$B$5:$B$504=A37)&gt;0)*('Metraj Mahal Listesi'!$C$5:$C$504&lt;&gt;"")*(LEFT('Metraj Mahal Listesi'!$C$5:$C$504,1)&lt;&gt;"—")*('Metraj Mahal Listesi'!$F$5:$F$504="")))</f>
        <v/>
      </c>
      <c r="G37" s="31">
        <f>IF(A37="","",SUMPRODUCT((('Metraj Mahal Listesi'!$A$5:$A$504=A37)+('Metraj Mahal Listesi'!$B$5:$B$504=A37)&gt;0)*('Metraj Mahal Listesi'!$F$5:$F$504&lt;&gt;"")*(LEFT('Metraj Mahal Listesi'!$C$5:$C$504,1)&lt;&gt;"—")*('Metraj Mahal Listesi'!$J$5:$J$504=0)))</f>
        <v/>
      </c>
      <c r="H37" s="5" t="n"/>
    </row>
    <row r="38">
      <c r="A38" s="5" t="n"/>
      <c r="B38" s="5" t="n"/>
      <c r="C38" s="21">
        <f>IF(A38="","",SUMPRODUCT((('Metraj Mahal Listesi'!$A$5:$A$504=A38)+('Metraj Mahal Listesi'!$B$5:$B$504=A38)&gt;0)*'Metraj Mahal Listesi'!$K$5:$K$504))</f>
        <v/>
      </c>
      <c r="D38" s="27">
        <f>IF(OR(A38="",'Metraj Mahal Listesi'!$K$3=0),"",C38/'Metraj Mahal Listesi'!$K$3*100)</f>
        <v/>
      </c>
      <c r="E38" s="31">
        <f>IF(A38="","",SUMPRODUCT((('Metraj Mahal Listesi'!$A$5:$A$504=A38)+('Metraj Mahal Listesi'!$B$5:$B$504=A38)&gt;0)*('Metraj Mahal Listesi'!$C$5:$C$504&lt;&gt;"")))</f>
        <v/>
      </c>
      <c r="F38" s="31">
        <f>IF(A38="","",SUMPRODUCT((('Metraj Mahal Listesi'!$A$5:$A$504=A38)+('Metraj Mahal Listesi'!$B$5:$B$504=A38)&gt;0)*('Metraj Mahal Listesi'!$C$5:$C$504&lt;&gt;"")*(LEFT('Metraj Mahal Listesi'!$C$5:$C$504,1)&lt;&gt;"—")*('Metraj Mahal Listesi'!$F$5:$F$504="")))</f>
        <v/>
      </c>
      <c r="G38" s="31">
        <f>IF(A38="","",SUMPRODUCT((('Metraj Mahal Listesi'!$A$5:$A$504=A38)+('Metraj Mahal Listesi'!$B$5:$B$504=A38)&gt;0)*('Metraj Mahal Listesi'!$F$5:$F$504&lt;&gt;"")*(LEFT('Metraj Mahal Listesi'!$C$5:$C$504,1)&lt;&gt;"—")*('Metraj Mahal Listesi'!$J$5:$J$504=0)))</f>
        <v/>
      </c>
      <c r="H38" s="5" t="n"/>
    </row>
    <row r="39">
      <c r="A39" s="5" t="n"/>
      <c r="B39" s="5" t="n"/>
      <c r="C39" s="21">
        <f>IF(A39="","",SUMPRODUCT((('Metraj Mahal Listesi'!$A$5:$A$504=A39)+('Metraj Mahal Listesi'!$B$5:$B$504=A39)&gt;0)*'Metraj Mahal Listesi'!$K$5:$K$504))</f>
        <v/>
      </c>
      <c r="D39" s="27">
        <f>IF(OR(A39="",'Metraj Mahal Listesi'!$K$3=0),"",C39/'Metraj Mahal Listesi'!$K$3*100)</f>
        <v/>
      </c>
      <c r="E39" s="31">
        <f>IF(A39="","",SUMPRODUCT((('Metraj Mahal Listesi'!$A$5:$A$504=A39)+('Metraj Mahal Listesi'!$B$5:$B$504=A39)&gt;0)*('Metraj Mahal Listesi'!$C$5:$C$504&lt;&gt;"")))</f>
        <v/>
      </c>
      <c r="F39" s="31">
        <f>IF(A39="","",SUMPRODUCT((('Metraj Mahal Listesi'!$A$5:$A$504=A39)+('Metraj Mahal Listesi'!$B$5:$B$504=A39)&gt;0)*('Metraj Mahal Listesi'!$C$5:$C$504&lt;&gt;"")*(LEFT('Metraj Mahal Listesi'!$C$5:$C$504,1)&lt;&gt;"—")*('Metraj Mahal Listesi'!$F$5:$F$504="")))</f>
        <v/>
      </c>
      <c r="G39" s="31">
        <f>IF(A39="","",SUMPRODUCT((('Metraj Mahal Listesi'!$A$5:$A$504=A39)+('Metraj Mahal Listesi'!$B$5:$B$504=A39)&gt;0)*('Metraj Mahal Listesi'!$F$5:$F$504&lt;&gt;"")*(LEFT('Metraj Mahal Listesi'!$C$5:$C$504,1)&lt;&gt;"—")*('Metraj Mahal Listesi'!$J$5:$J$504=0)))</f>
        <v/>
      </c>
      <c r="H39" s="5" t="n"/>
    </row>
    <row r="40">
      <c r="A40" s="5" t="n"/>
      <c r="B40" s="5" t="n"/>
      <c r="C40" s="21">
        <f>IF(A40="","",SUMPRODUCT((('Metraj Mahal Listesi'!$A$5:$A$504=A40)+('Metraj Mahal Listesi'!$B$5:$B$504=A40)&gt;0)*'Metraj Mahal Listesi'!$K$5:$K$504))</f>
        <v/>
      </c>
      <c r="D40" s="27">
        <f>IF(OR(A40="",'Metraj Mahal Listesi'!$K$3=0),"",C40/'Metraj Mahal Listesi'!$K$3*100)</f>
        <v/>
      </c>
      <c r="E40" s="31">
        <f>IF(A40="","",SUMPRODUCT((('Metraj Mahal Listesi'!$A$5:$A$504=A40)+('Metraj Mahal Listesi'!$B$5:$B$504=A40)&gt;0)*('Metraj Mahal Listesi'!$C$5:$C$504&lt;&gt;"")))</f>
        <v/>
      </c>
      <c r="F40" s="31">
        <f>IF(A40="","",SUMPRODUCT((('Metraj Mahal Listesi'!$A$5:$A$504=A40)+('Metraj Mahal Listesi'!$B$5:$B$504=A40)&gt;0)*('Metraj Mahal Listesi'!$C$5:$C$504&lt;&gt;"")*(LEFT('Metraj Mahal Listesi'!$C$5:$C$504,1)&lt;&gt;"—")*('Metraj Mahal Listesi'!$F$5:$F$504="")))</f>
        <v/>
      </c>
      <c r="G40" s="31">
        <f>IF(A40="","",SUMPRODUCT((('Metraj Mahal Listesi'!$A$5:$A$504=A40)+('Metraj Mahal Listesi'!$B$5:$B$504=A40)&gt;0)*('Metraj Mahal Listesi'!$F$5:$F$504&lt;&gt;"")*(LEFT('Metraj Mahal Listesi'!$C$5:$C$504,1)&lt;&gt;"—")*('Metraj Mahal Listesi'!$J$5:$J$504=0)))</f>
        <v/>
      </c>
      <c r="H40" s="5" t="n"/>
    </row>
    <row r="41">
      <c r="A41" s="5" t="n"/>
      <c r="B41" s="5" t="n"/>
      <c r="C41" s="21">
        <f>IF(A41="","",SUMPRODUCT((('Metraj Mahal Listesi'!$A$5:$A$504=A41)+('Metraj Mahal Listesi'!$B$5:$B$504=A41)&gt;0)*'Metraj Mahal Listesi'!$K$5:$K$504))</f>
        <v/>
      </c>
      <c r="D41" s="27">
        <f>IF(OR(A41="",'Metraj Mahal Listesi'!$K$3=0),"",C41/'Metraj Mahal Listesi'!$K$3*100)</f>
        <v/>
      </c>
      <c r="E41" s="31">
        <f>IF(A41="","",SUMPRODUCT((('Metraj Mahal Listesi'!$A$5:$A$504=A41)+('Metraj Mahal Listesi'!$B$5:$B$504=A41)&gt;0)*('Metraj Mahal Listesi'!$C$5:$C$504&lt;&gt;"")))</f>
        <v/>
      </c>
      <c r="F41" s="31">
        <f>IF(A41="","",SUMPRODUCT((('Metraj Mahal Listesi'!$A$5:$A$504=A41)+('Metraj Mahal Listesi'!$B$5:$B$504=A41)&gt;0)*('Metraj Mahal Listesi'!$C$5:$C$504&lt;&gt;"")*(LEFT('Metraj Mahal Listesi'!$C$5:$C$504,1)&lt;&gt;"—")*('Metraj Mahal Listesi'!$F$5:$F$504="")))</f>
        <v/>
      </c>
      <c r="G41" s="31">
        <f>IF(A41="","",SUMPRODUCT((('Metraj Mahal Listesi'!$A$5:$A$504=A41)+('Metraj Mahal Listesi'!$B$5:$B$504=A41)&gt;0)*('Metraj Mahal Listesi'!$F$5:$F$504&lt;&gt;"")*(LEFT('Metraj Mahal Listesi'!$C$5:$C$504,1)&lt;&gt;"—")*('Metraj Mahal Listesi'!$J$5:$J$504=0)))</f>
        <v/>
      </c>
      <c r="H41" s="5" t="n"/>
    </row>
    <row r="42">
      <c r="A42" s="5" t="n"/>
      <c r="B42" s="5" t="n"/>
      <c r="C42" s="21">
        <f>IF(A42="","",SUMPRODUCT((('Metraj Mahal Listesi'!$A$5:$A$504=A42)+('Metraj Mahal Listesi'!$B$5:$B$504=A42)&gt;0)*'Metraj Mahal Listesi'!$K$5:$K$504))</f>
        <v/>
      </c>
      <c r="D42" s="27">
        <f>IF(OR(A42="",'Metraj Mahal Listesi'!$K$3=0),"",C42/'Metraj Mahal Listesi'!$K$3*100)</f>
        <v/>
      </c>
      <c r="E42" s="31">
        <f>IF(A42="","",SUMPRODUCT((('Metraj Mahal Listesi'!$A$5:$A$504=A42)+('Metraj Mahal Listesi'!$B$5:$B$504=A42)&gt;0)*('Metraj Mahal Listesi'!$C$5:$C$504&lt;&gt;"")))</f>
        <v/>
      </c>
      <c r="F42" s="31">
        <f>IF(A42="","",SUMPRODUCT((('Metraj Mahal Listesi'!$A$5:$A$504=A42)+('Metraj Mahal Listesi'!$B$5:$B$504=A42)&gt;0)*('Metraj Mahal Listesi'!$C$5:$C$504&lt;&gt;"")*(LEFT('Metraj Mahal Listesi'!$C$5:$C$504,1)&lt;&gt;"—")*('Metraj Mahal Listesi'!$F$5:$F$504="")))</f>
        <v/>
      </c>
      <c r="G42" s="31">
        <f>IF(A42="","",SUMPRODUCT((('Metraj Mahal Listesi'!$A$5:$A$504=A42)+('Metraj Mahal Listesi'!$B$5:$B$504=A42)&gt;0)*('Metraj Mahal Listesi'!$F$5:$F$504&lt;&gt;"")*(LEFT('Metraj Mahal Listesi'!$C$5:$C$504,1)&lt;&gt;"—")*('Metraj Mahal Listesi'!$J$5:$J$504=0)))</f>
        <v/>
      </c>
      <c r="H42" s="5" t="n"/>
    </row>
    <row r="43">
      <c r="A43" s="5" t="n"/>
      <c r="B43" s="5" t="n"/>
      <c r="C43" s="21">
        <f>IF(A43="","",SUMPRODUCT((('Metraj Mahal Listesi'!$A$5:$A$504=A43)+('Metraj Mahal Listesi'!$B$5:$B$504=A43)&gt;0)*'Metraj Mahal Listesi'!$K$5:$K$504))</f>
        <v/>
      </c>
      <c r="D43" s="27">
        <f>IF(OR(A43="",'Metraj Mahal Listesi'!$K$3=0),"",C43/'Metraj Mahal Listesi'!$K$3*100)</f>
        <v/>
      </c>
      <c r="E43" s="31">
        <f>IF(A43="","",SUMPRODUCT((('Metraj Mahal Listesi'!$A$5:$A$504=A43)+('Metraj Mahal Listesi'!$B$5:$B$504=A43)&gt;0)*('Metraj Mahal Listesi'!$C$5:$C$504&lt;&gt;"")))</f>
        <v/>
      </c>
      <c r="F43" s="31">
        <f>IF(A43="","",SUMPRODUCT((('Metraj Mahal Listesi'!$A$5:$A$504=A43)+('Metraj Mahal Listesi'!$B$5:$B$504=A43)&gt;0)*('Metraj Mahal Listesi'!$C$5:$C$504&lt;&gt;"")*(LEFT('Metraj Mahal Listesi'!$C$5:$C$504,1)&lt;&gt;"—")*('Metraj Mahal Listesi'!$F$5:$F$504="")))</f>
        <v/>
      </c>
      <c r="G43" s="31">
        <f>IF(A43="","",SUMPRODUCT((('Metraj Mahal Listesi'!$A$5:$A$504=A43)+('Metraj Mahal Listesi'!$B$5:$B$504=A43)&gt;0)*('Metraj Mahal Listesi'!$F$5:$F$504&lt;&gt;"")*(LEFT('Metraj Mahal Listesi'!$C$5:$C$504,1)&lt;&gt;"—")*('Metraj Mahal Listesi'!$J$5:$J$504=0)))</f>
        <v/>
      </c>
      <c r="H43" s="5" t="n"/>
    </row>
    <row r="44">
      <c r="A44" s="5" t="n"/>
      <c r="B44" s="5" t="n"/>
      <c r="C44" s="21">
        <f>IF(A44="","",SUMPRODUCT((('Metraj Mahal Listesi'!$A$5:$A$504=A44)+('Metraj Mahal Listesi'!$B$5:$B$504=A44)&gt;0)*'Metraj Mahal Listesi'!$K$5:$K$504))</f>
        <v/>
      </c>
      <c r="D44" s="27">
        <f>IF(OR(A44="",'Metraj Mahal Listesi'!$K$3=0),"",C44/'Metraj Mahal Listesi'!$K$3*100)</f>
        <v/>
      </c>
      <c r="E44" s="31">
        <f>IF(A44="","",SUMPRODUCT((('Metraj Mahal Listesi'!$A$5:$A$504=A44)+('Metraj Mahal Listesi'!$B$5:$B$504=A44)&gt;0)*('Metraj Mahal Listesi'!$C$5:$C$504&lt;&gt;"")))</f>
        <v/>
      </c>
      <c r="F44" s="31">
        <f>IF(A44="","",SUMPRODUCT((('Metraj Mahal Listesi'!$A$5:$A$504=A44)+('Metraj Mahal Listesi'!$B$5:$B$504=A44)&gt;0)*('Metraj Mahal Listesi'!$C$5:$C$504&lt;&gt;"")*(LEFT('Metraj Mahal Listesi'!$C$5:$C$504,1)&lt;&gt;"—")*('Metraj Mahal Listesi'!$F$5:$F$504="")))</f>
        <v/>
      </c>
      <c r="G44" s="31">
        <f>IF(A44="","",SUMPRODUCT((('Metraj Mahal Listesi'!$A$5:$A$504=A44)+('Metraj Mahal Listesi'!$B$5:$B$504=A44)&gt;0)*('Metraj Mahal Listesi'!$F$5:$F$504&lt;&gt;"")*(LEFT('Metraj Mahal Listesi'!$C$5:$C$504,1)&lt;&gt;"—")*('Metraj Mahal Listesi'!$J$5:$J$504=0)))</f>
        <v/>
      </c>
      <c r="H44" s="5" t="n"/>
    </row>
    <row r="45">
      <c r="A45" s="5" t="n"/>
      <c r="B45" s="5" t="n"/>
      <c r="C45" s="21">
        <f>IF(A45="","",SUMPRODUCT((('Metraj Mahal Listesi'!$A$5:$A$504=A45)+('Metraj Mahal Listesi'!$B$5:$B$504=A45)&gt;0)*'Metraj Mahal Listesi'!$K$5:$K$504))</f>
        <v/>
      </c>
      <c r="D45" s="27">
        <f>IF(OR(A45="",'Metraj Mahal Listesi'!$K$3=0),"",C45/'Metraj Mahal Listesi'!$K$3*100)</f>
        <v/>
      </c>
      <c r="E45" s="31">
        <f>IF(A45="","",SUMPRODUCT((('Metraj Mahal Listesi'!$A$5:$A$504=A45)+('Metraj Mahal Listesi'!$B$5:$B$504=A45)&gt;0)*('Metraj Mahal Listesi'!$C$5:$C$504&lt;&gt;"")))</f>
        <v/>
      </c>
      <c r="F45" s="31">
        <f>IF(A45="","",SUMPRODUCT((('Metraj Mahal Listesi'!$A$5:$A$504=A45)+('Metraj Mahal Listesi'!$B$5:$B$504=A45)&gt;0)*('Metraj Mahal Listesi'!$C$5:$C$504&lt;&gt;"")*(LEFT('Metraj Mahal Listesi'!$C$5:$C$504,1)&lt;&gt;"—")*('Metraj Mahal Listesi'!$F$5:$F$504="")))</f>
        <v/>
      </c>
      <c r="G45" s="31">
        <f>IF(A45="","",SUMPRODUCT((('Metraj Mahal Listesi'!$A$5:$A$504=A45)+('Metraj Mahal Listesi'!$B$5:$B$504=A45)&gt;0)*('Metraj Mahal Listesi'!$F$5:$F$504&lt;&gt;"")*(LEFT('Metraj Mahal Listesi'!$C$5:$C$504,1)&lt;&gt;"—")*('Metraj Mahal Listesi'!$J$5:$J$504=0)))</f>
        <v/>
      </c>
      <c r="H45" s="5" t="n"/>
    </row>
    <row r="46">
      <c r="A46" s="5" t="n"/>
      <c r="B46" s="5" t="n"/>
      <c r="C46" s="21">
        <f>IF(A46="","",SUMPRODUCT((('Metraj Mahal Listesi'!$A$5:$A$504=A46)+('Metraj Mahal Listesi'!$B$5:$B$504=A46)&gt;0)*'Metraj Mahal Listesi'!$K$5:$K$504))</f>
        <v/>
      </c>
      <c r="D46" s="27">
        <f>IF(OR(A46="",'Metraj Mahal Listesi'!$K$3=0),"",C46/'Metraj Mahal Listesi'!$K$3*100)</f>
        <v/>
      </c>
      <c r="E46" s="31">
        <f>IF(A46="","",SUMPRODUCT((('Metraj Mahal Listesi'!$A$5:$A$504=A46)+('Metraj Mahal Listesi'!$B$5:$B$504=A46)&gt;0)*('Metraj Mahal Listesi'!$C$5:$C$504&lt;&gt;"")))</f>
        <v/>
      </c>
      <c r="F46" s="31">
        <f>IF(A46="","",SUMPRODUCT((('Metraj Mahal Listesi'!$A$5:$A$504=A46)+('Metraj Mahal Listesi'!$B$5:$B$504=A46)&gt;0)*('Metraj Mahal Listesi'!$C$5:$C$504&lt;&gt;"")*(LEFT('Metraj Mahal Listesi'!$C$5:$C$504,1)&lt;&gt;"—")*('Metraj Mahal Listesi'!$F$5:$F$504="")))</f>
        <v/>
      </c>
      <c r="G46" s="31">
        <f>IF(A46="","",SUMPRODUCT((('Metraj Mahal Listesi'!$A$5:$A$504=A46)+('Metraj Mahal Listesi'!$B$5:$B$504=A46)&gt;0)*('Metraj Mahal Listesi'!$F$5:$F$504&lt;&gt;"")*(LEFT('Metraj Mahal Listesi'!$C$5:$C$504,1)&lt;&gt;"—")*('Metraj Mahal Listesi'!$J$5:$J$504=0)))</f>
        <v/>
      </c>
      <c r="H46" s="5" t="n"/>
    </row>
    <row r="47">
      <c r="A47" s="5" t="n"/>
      <c r="B47" s="5" t="n"/>
      <c r="C47" s="21">
        <f>IF(A47="","",SUMPRODUCT((('Metraj Mahal Listesi'!$A$5:$A$504=A47)+('Metraj Mahal Listesi'!$B$5:$B$504=A47)&gt;0)*'Metraj Mahal Listesi'!$K$5:$K$504))</f>
        <v/>
      </c>
      <c r="D47" s="27">
        <f>IF(OR(A47="",'Metraj Mahal Listesi'!$K$3=0),"",C47/'Metraj Mahal Listesi'!$K$3*100)</f>
        <v/>
      </c>
      <c r="E47" s="31">
        <f>IF(A47="","",SUMPRODUCT((('Metraj Mahal Listesi'!$A$5:$A$504=A47)+('Metraj Mahal Listesi'!$B$5:$B$504=A47)&gt;0)*('Metraj Mahal Listesi'!$C$5:$C$504&lt;&gt;"")))</f>
        <v/>
      </c>
      <c r="F47" s="31">
        <f>IF(A47="","",SUMPRODUCT((('Metraj Mahal Listesi'!$A$5:$A$504=A47)+('Metraj Mahal Listesi'!$B$5:$B$504=A47)&gt;0)*('Metraj Mahal Listesi'!$C$5:$C$504&lt;&gt;"")*(LEFT('Metraj Mahal Listesi'!$C$5:$C$504,1)&lt;&gt;"—")*('Metraj Mahal Listesi'!$F$5:$F$504="")))</f>
        <v/>
      </c>
      <c r="G47" s="31">
        <f>IF(A47="","",SUMPRODUCT((('Metraj Mahal Listesi'!$A$5:$A$504=A47)+('Metraj Mahal Listesi'!$B$5:$B$504=A47)&gt;0)*('Metraj Mahal Listesi'!$F$5:$F$504&lt;&gt;"")*(LEFT('Metraj Mahal Listesi'!$C$5:$C$504,1)&lt;&gt;"—")*('Metraj Mahal Listesi'!$J$5:$J$504=0)))</f>
        <v/>
      </c>
      <c r="H47" s="5" t="n"/>
    </row>
    <row r="48">
      <c r="A48" s="5" t="n"/>
      <c r="B48" s="5" t="n"/>
      <c r="C48" s="21">
        <f>IF(A48="","",SUMPRODUCT((('Metraj Mahal Listesi'!$A$5:$A$504=A48)+('Metraj Mahal Listesi'!$B$5:$B$504=A48)&gt;0)*'Metraj Mahal Listesi'!$K$5:$K$504))</f>
        <v/>
      </c>
      <c r="D48" s="27">
        <f>IF(OR(A48="",'Metraj Mahal Listesi'!$K$3=0),"",C48/'Metraj Mahal Listesi'!$K$3*100)</f>
        <v/>
      </c>
      <c r="E48" s="31">
        <f>IF(A48="","",SUMPRODUCT((('Metraj Mahal Listesi'!$A$5:$A$504=A48)+('Metraj Mahal Listesi'!$B$5:$B$504=A48)&gt;0)*('Metraj Mahal Listesi'!$C$5:$C$504&lt;&gt;"")))</f>
        <v/>
      </c>
      <c r="F48" s="31">
        <f>IF(A48="","",SUMPRODUCT((('Metraj Mahal Listesi'!$A$5:$A$504=A48)+('Metraj Mahal Listesi'!$B$5:$B$504=A48)&gt;0)*('Metraj Mahal Listesi'!$C$5:$C$504&lt;&gt;"")*(LEFT('Metraj Mahal Listesi'!$C$5:$C$504,1)&lt;&gt;"—")*('Metraj Mahal Listesi'!$F$5:$F$504="")))</f>
        <v/>
      </c>
      <c r="G48" s="31">
        <f>IF(A48="","",SUMPRODUCT((('Metraj Mahal Listesi'!$A$5:$A$504=A48)+('Metraj Mahal Listesi'!$B$5:$B$504=A48)&gt;0)*('Metraj Mahal Listesi'!$F$5:$F$504&lt;&gt;"")*(LEFT('Metraj Mahal Listesi'!$C$5:$C$504,1)&lt;&gt;"—")*('Metraj Mahal Listesi'!$J$5:$J$504=0)))</f>
        <v/>
      </c>
      <c r="H48" s="5" t="n"/>
    </row>
    <row r="49">
      <c r="A49" s="5" t="n"/>
      <c r="B49" s="5" t="n"/>
      <c r="C49" s="21">
        <f>IF(A49="","",SUMPRODUCT((('Metraj Mahal Listesi'!$A$5:$A$504=A49)+('Metraj Mahal Listesi'!$B$5:$B$504=A49)&gt;0)*'Metraj Mahal Listesi'!$K$5:$K$504))</f>
        <v/>
      </c>
      <c r="D49" s="27">
        <f>IF(OR(A49="",'Metraj Mahal Listesi'!$K$3=0),"",C49/'Metraj Mahal Listesi'!$K$3*100)</f>
        <v/>
      </c>
      <c r="E49" s="31">
        <f>IF(A49="","",SUMPRODUCT((('Metraj Mahal Listesi'!$A$5:$A$504=A49)+('Metraj Mahal Listesi'!$B$5:$B$504=A49)&gt;0)*('Metraj Mahal Listesi'!$C$5:$C$504&lt;&gt;"")))</f>
        <v/>
      </c>
      <c r="F49" s="31">
        <f>IF(A49="","",SUMPRODUCT((('Metraj Mahal Listesi'!$A$5:$A$504=A49)+('Metraj Mahal Listesi'!$B$5:$B$504=A49)&gt;0)*('Metraj Mahal Listesi'!$C$5:$C$504&lt;&gt;"")*(LEFT('Metraj Mahal Listesi'!$C$5:$C$504,1)&lt;&gt;"—")*('Metraj Mahal Listesi'!$F$5:$F$504="")))</f>
        <v/>
      </c>
      <c r="G49" s="31">
        <f>IF(A49="","",SUMPRODUCT((('Metraj Mahal Listesi'!$A$5:$A$504=A49)+('Metraj Mahal Listesi'!$B$5:$B$504=A49)&gt;0)*('Metraj Mahal Listesi'!$F$5:$F$504&lt;&gt;"")*(LEFT('Metraj Mahal Listesi'!$C$5:$C$504,1)&lt;&gt;"—")*('Metraj Mahal Listesi'!$J$5:$J$504=0)))</f>
        <v/>
      </c>
      <c r="H49" s="5" t="n"/>
    </row>
    <row r="50">
      <c r="A50" s="5" t="n"/>
      <c r="B50" s="5" t="n"/>
      <c r="C50" s="21">
        <f>IF(A50="","",SUMPRODUCT((('Metraj Mahal Listesi'!$A$5:$A$504=A50)+('Metraj Mahal Listesi'!$B$5:$B$504=A50)&gt;0)*'Metraj Mahal Listesi'!$K$5:$K$504))</f>
        <v/>
      </c>
      <c r="D50" s="27">
        <f>IF(OR(A50="",'Metraj Mahal Listesi'!$K$3=0),"",C50/'Metraj Mahal Listesi'!$K$3*100)</f>
        <v/>
      </c>
      <c r="E50" s="31">
        <f>IF(A50="","",SUMPRODUCT((('Metraj Mahal Listesi'!$A$5:$A$504=A50)+('Metraj Mahal Listesi'!$B$5:$B$504=A50)&gt;0)*('Metraj Mahal Listesi'!$C$5:$C$504&lt;&gt;"")))</f>
        <v/>
      </c>
      <c r="F50" s="31">
        <f>IF(A50="","",SUMPRODUCT((('Metraj Mahal Listesi'!$A$5:$A$504=A50)+('Metraj Mahal Listesi'!$B$5:$B$504=A50)&gt;0)*('Metraj Mahal Listesi'!$C$5:$C$504&lt;&gt;"")*(LEFT('Metraj Mahal Listesi'!$C$5:$C$504,1)&lt;&gt;"—")*('Metraj Mahal Listesi'!$F$5:$F$504="")))</f>
        <v/>
      </c>
      <c r="G50" s="31">
        <f>IF(A50="","",SUMPRODUCT((('Metraj Mahal Listesi'!$A$5:$A$504=A50)+('Metraj Mahal Listesi'!$B$5:$B$504=A50)&gt;0)*('Metraj Mahal Listesi'!$F$5:$F$504&lt;&gt;"")*(LEFT('Metraj Mahal Listesi'!$C$5:$C$504,1)&lt;&gt;"—")*('Metraj Mahal Listesi'!$J$5:$J$504=0)))</f>
        <v/>
      </c>
      <c r="H50" s="5" t="n"/>
    </row>
    <row r="51">
      <c r="A51" s="5" t="n"/>
      <c r="B51" s="5" t="n"/>
      <c r="C51" s="21">
        <f>IF(A51="","",SUMPRODUCT((('Metraj Mahal Listesi'!$A$5:$A$504=A51)+('Metraj Mahal Listesi'!$B$5:$B$504=A51)&gt;0)*'Metraj Mahal Listesi'!$K$5:$K$504))</f>
        <v/>
      </c>
      <c r="D51" s="27">
        <f>IF(OR(A51="",'Metraj Mahal Listesi'!$K$3=0),"",C51/'Metraj Mahal Listesi'!$K$3*100)</f>
        <v/>
      </c>
      <c r="E51" s="31">
        <f>IF(A51="","",SUMPRODUCT((('Metraj Mahal Listesi'!$A$5:$A$504=A51)+('Metraj Mahal Listesi'!$B$5:$B$504=A51)&gt;0)*('Metraj Mahal Listesi'!$C$5:$C$504&lt;&gt;"")))</f>
        <v/>
      </c>
      <c r="F51" s="31">
        <f>IF(A51="","",SUMPRODUCT((('Metraj Mahal Listesi'!$A$5:$A$504=A51)+('Metraj Mahal Listesi'!$B$5:$B$504=A51)&gt;0)*('Metraj Mahal Listesi'!$C$5:$C$504&lt;&gt;"")*(LEFT('Metraj Mahal Listesi'!$C$5:$C$504,1)&lt;&gt;"—")*('Metraj Mahal Listesi'!$F$5:$F$504="")))</f>
        <v/>
      </c>
      <c r="G51" s="31">
        <f>IF(A51="","",SUMPRODUCT((('Metraj Mahal Listesi'!$A$5:$A$504=A51)+('Metraj Mahal Listesi'!$B$5:$B$504=A51)&gt;0)*('Metraj Mahal Listesi'!$F$5:$F$504&lt;&gt;"")*(LEFT('Metraj Mahal Listesi'!$C$5:$C$504,1)&lt;&gt;"—")*('Metraj Mahal Listesi'!$J$5:$J$504=0)))</f>
        <v/>
      </c>
      <c r="H51" s="5" t="n"/>
    </row>
    <row r="52">
      <c r="A52" s="5" t="n"/>
      <c r="B52" s="5" t="n"/>
      <c r="C52" s="21">
        <f>IF(A52="","",SUMPRODUCT((('Metraj Mahal Listesi'!$A$5:$A$504=A52)+('Metraj Mahal Listesi'!$B$5:$B$504=A52)&gt;0)*'Metraj Mahal Listesi'!$K$5:$K$504))</f>
        <v/>
      </c>
      <c r="D52" s="27">
        <f>IF(OR(A52="",'Metraj Mahal Listesi'!$K$3=0),"",C52/'Metraj Mahal Listesi'!$K$3*100)</f>
        <v/>
      </c>
      <c r="E52" s="31">
        <f>IF(A52="","",SUMPRODUCT((('Metraj Mahal Listesi'!$A$5:$A$504=A52)+('Metraj Mahal Listesi'!$B$5:$B$504=A52)&gt;0)*('Metraj Mahal Listesi'!$C$5:$C$504&lt;&gt;"")))</f>
        <v/>
      </c>
      <c r="F52" s="31">
        <f>IF(A52="","",SUMPRODUCT((('Metraj Mahal Listesi'!$A$5:$A$504=A52)+('Metraj Mahal Listesi'!$B$5:$B$504=A52)&gt;0)*('Metraj Mahal Listesi'!$C$5:$C$504&lt;&gt;"")*(LEFT('Metraj Mahal Listesi'!$C$5:$C$504,1)&lt;&gt;"—")*('Metraj Mahal Listesi'!$F$5:$F$504="")))</f>
        <v/>
      </c>
      <c r="G52" s="31">
        <f>IF(A52="","",SUMPRODUCT((('Metraj Mahal Listesi'!$A$5:$A$504=A52)+('Metraj Mahal Listesi'!$B$5:$B$504=A52)&gt;0)*('Metraj Mahal Listesi'!$F$5:$F$504&lt;&gt;"")*(LEFT('Metraj Mahal Listesi'!$C$5:$C$504,1)&lt;&gt;"—")*('Metraj Mahal Listesi'!$J$5:$J$504=0)))</f>
        <v/>
      </c>
      <c r="H52" s="5" t="n"/>
    </row>
    <row r="53">
      <c r="A53" s="5" t="n"/>
      <c r="B53" s="5" t="n"/>
      <c r="C53" s="21">
        <f>IF(A53="","",SUMPRODUCT((('Metraj Mahal Listesi'!$A$5:$A$504=A53)+('Metraj Mahal Listesi'!$B$5:$B$504=A53)&gt;0)*'Metraj Mahal Listesi'!$K$5:$K$504))</f>
        <v/>
      </c>
      <c r="D53" s="27">
        <f>IF(OR(A53="",'Metraj Mahal Listesi'!$K$3=0),"",C53/'Metraj Mahal Listesi'!$K$3*100)</f>
        <v/>
      </c>
      <c r="E53" s="31">
        <f>IF(A53="","",SUMPRODUCT((('Metraj Mahal Listesi'!$A$5:$A$504=A53)+('Metraj Mahal Listesi'!$B$5:$B$504=A53)&gt;0)*('Metraj Mahal Listesi'!$C$5:$C$504&lt;&gt;"")))</f>
        <v/>
      </c>
      <c r="F53" s="31">
        <f>IF(A53="","",SUMPRODUCT((('Metraj Mahal Listesi'!$A$5:$A$504=A53)+('Metraj Mahal Listesi'!$B$5:$B$504=A53)&gt;0)*('Metraj Mahal Listesi'!$C$5:$C$504&lt;&gt;"")*(LEFT('Metraj Mahal Listesi'!$C$5:$C$504,1)&lt;&gt;"—")*('Metraj Mahal Listesi'!$F$5:$F$504="")))</f>
        <v/>
      </c>
      <c r="G53" s="31">
        <f>IF(A53="","",SUMPRODUCT((('Metraj Mahal Listesi'!$A$5:$A$504=A53)+('Metraj Mahal Listesi'!$B$5:$B$504=A53)&gt;0)*('Metraj Mahal Listesi'!$F$5:$F$504&lt;&gt;"")*(LEFT('Metraj Mahal Listesi'!$C$5:$C$504,1)&lt;&gt;"—")*('Metraj Mahal Listesi'!$J$5:$J$504=0)))</f>
        <v/>
      </c>
      <c r="H53" s="5" t="n"/>
    </row>
    <row r="54">
      <c r="A54" s="5" t="n"/>
      <c r="B54" s="5" t="n"/>
      <c r="C54" s="21">
        <f>IF(A54="","",SUMPRODUCT((('Metraj Mahal Listesi'!$A$5:$A$504=A54)+('Metraj Mahal Listesi'!$B$5:$B$504=A54)&gt;0)*'Metraj Mahal Listesi'!$K$5:$K$504))</f>
        <v/>
      </c>
      <c r="D54" s="27">
        <f>IF(OR(A54="",'Metraj Mahal Listesi'!$K$3=0),"",C54/'Metraj Mahal Listesi'!$K$3*100)</f>
        <v/>
      </c>
      <c r="E54" s="31">
        <f>IF(A54="","",SUMPRODUCT((('Metraj Mahal Listesi'!$A$5:$A$504=A54)+('Metraj Mahal Listesi'!$B$5:$B$504=A54)&gt;0)*('Metraj Mahal Listesi'!$C$5:$C$504&lt;&gt;"")))</f>
        <v/>
      </c>
      <c r="F54" s="31">
        <f>IF(A54="","",SUMPRODUCT((('Metraj Mahal Listesi'!$A$5:$A$504=A54)+('Metraj Mahal Listesi'!$B$5:$B$504=A54)&gt;0)*('Metraj Mahal Listesi'!$C$5:$C$504&lt;&gt;"")*(LEFT('Metraj Mahal Listesi'!$C$5:$C$504,1)&lt;&gt;"—")*('Metraj Mahal Listesi'!$F$5:$F$504="")))</f>
        <v/>
      </c>
      <c r="G54" s="31">
        <f>IF(A54="","",SUMPRODUCT((('Metraj Mahal Listesi'!$A$5:$A$504=A54)+('Metraj Mahal Listesi'!$B$5:$B$504=A54)&gt;0)*('Metraj Mahal Listesi'!$F$5:$F$504&lt;&gt;"")*(LEFT('Metraj Mahal Listesi'!$C$5:$C$504,1)&lt;&gt;"—")*('Metraj Mahal Listesi'!$J$5:$J$504=0)))</f>
        <v/>
      </c>
      <c r="H54" s="5" t="n"/>
    </row>
    <row r="55">
      <c r="A55" s="5" t="n"/>
      <c r="B55" s="5" t="n"/>
      <c r="C55" s="21">
        <f>IF(A55="","",SUMPRODUCT((('Metraj Mahal Listesi'!$A$5:$A$504=A55)+('Metraj Mahal Listesi'!$B$5:$B$504=A55)&gt;0)*'Metraj Mahal Listesi'!$K$5:$K$504))</f>
        <v/>
      </c>
      <c r="D55" s="27">
        <f>IF(OR(A55="",'Metraj Mahal Listesi'!$K$3=0),"",C55/'Metraj Mahal Listesi'!$K$3*100)</f>
        <v/>
      </c>
      <c r="E55" s="31">
        <f>IF(A55="","",SUMPRODUCT((('Metraj Mahal Listesi'!$A$5:$A$504=A55)+('Metraj Mahal Listesi'!$B$5:$B$504=A55)&gt;0)*('Metraj Mahal Listesi'!$C$5:$C$504&lt;&gt;"")))</f>
        <v/>
      </c>
      <c r="F55" s="31">
        <f>IF(A55="","",SUMPRODUCT((('Metraj Mahal Listesi'!$A$5:$A$504=A55)+('Metraj Mahal Listesi'!$B$5:$B$504=A55)&gt;0)*('Metraj Mahal Listesi'!$C$5:$C$504&lt;&gt;"")*(LEFT('Metraj Mahal Listesi'!$C$5:$C$504,1)&lt;&gt;"—")*('Metraj Mahal Listesi'!$F$5:$F$504="")))</f>
        <v/>
      </c>
      <c r="G55" s="31">
        <f>IF(A55="","",SUMPRODUCT((('Metraj Mahal Listesi'!$A$5:$A$504=A55)+('Metraj Mahal Listesi'!$B$5:$B$504=A55)&gt;0)*('Metraj Mahal Listesi'!$F$5:$F$504&lt;&gt;"")*(LEFT('Metraj Mahal Listesi'!$C$5:$C$504,1)&lt;&gt;"—")*('Metraj Mahal Listesi'!$J$5:$J$504=0)))</f>
        <v/>
      </c>
      <c r="H55" s="5" t="n"/>
    </row>
    <row r="56">
      <c r="A56" s="5" t="n"/>
      <c r="B56" s="5" t="n"/>
      <c r="C56" s="21">
        <f>IF(A56="","",SUMPRODUCT((('Metraj Mahal Listesi'!$A$5:$A$504=A56)+('Metraj Mahal Listesi'!$B$5:$B$504=A56)&gt;0)*'Metraj Mahal Listesi'!$K$5:$K$504))</f>
        <v/>
      </c>
      <c r="D56" s="27">
        <f>IF(OR(A56="",'Metraj Mahal Listesi'!$K$3=0),"",C56/'Metraj Mahal Listesi'!$K$3*100)</f>
        <v/>
      </c>
      <c r="E56" s="31">
        <f>IF(A56="","",SUMPRODUCT((('Metraj Mahal Listesi'!$A$5:$A$504=A56)+('Metraj Mahal Listesi'!$B$5:$B$504=A56)&gt;0)*('Metraj Mahal Listesi'!$C$5:$C$504&lt;&gt;"")))</f>
        <v/>
      </c>
      <c r="F56" s="31">
        <f>IF(A56="","",SUMPRODUCT((('Metraj Mahal Listesi'!$A$5:$A$504=A56)+('Metraj Mahal Listesi'!$B$5:$B$504=A56)&gt;0)*('Metraj Mahal Listesi'!$C$5:$C$504&lt;&gt;"")*(LEFT('Metraj Mahal Listesi'!$C$5:$C$504,1)&lt;&gt;"—")*('Metraj Mahal Listesi'!$F$5:$F$504="")))</f>
        <v/>
      </c>
      <c r="G56" s="31">
        <f>IF(A56="","",SUMPRODUCT((('Metraj Mahal Listesi'!$A$5:$A$504=A56)+('Metraj Mahal Listesi'!$B$5:$B$504=A56)&gt;0)*('Metraj Mahal Listesi'!$F$5:$F$504&lt;&gt;"")*(LEFT('Metraj Mahal Listesi'!$C$5:$C$504,1)&lt;&gt;"—")*('Metraj Mahal Listesi'!$J$5:$J$504=0)))</f>
        <v/>
      </c>
      <c r="H56" s="5" t="n"/>
    </row>
    <row r="57">
      <c r="A57" s="5" t="n"/>
      <c r="B57" s="5" t="n"/>
      <c r="C57" s="21">
        <f>IF(A57="","",SUMPRODUCT((('Metraj Mahal Listesi'!$A$5:$A$504=A57)+('Metraj Mahal Listesi'!$B$5:$B$504=A57)&gt;0)*'Metraj Mahal Listesi'!$K$5:$K$504))</f>
        <v/>
      </c>
      <c r="D57" s="27">
        <f>IF(OR(A57="",'Metraj Mahal Listesi'!$K$3=0),"",C57/'Metraj Mahal Listesi'!$K$3*100)</f>
        <v/>
      </c>
      <c r="E57" s="31">
        <f>IF(A57="","",SUMPRODUCT((('Metraj Mahal Listesi'!$A$5:$A$504=A57)+('Metraj Mahal Listesi'!$B$5:$B$504=A57)&gt;0)*('Metraj Mahal Listesi'!$C$5:$C$504&lt;&gt;"")))</f>
        <v/>
      </c>
      <c r="F57" s="31">
        <f>IF(A57="","",SUMPRODUCT((('Metraj Mahal Listesi'!$A$5:$A$504=A57)+('Metraj Mahal Listesi'!$B$5:$B$504=A57)&gt;0)*('Metraj Mahal Listesi'!$C$5:$C$504&lt;&gt;"")*(LEFT('Metraj Mahal Listesi'!$C$5:$C$504,1)&lt;&gt;"—")*('Metraj Mahal Listesi'!$F$5:$F$504="")))</f>
        <v/>
      </c>
      <c r="G57" s="31">
        <f>IF(A57="","",SUMPRODUCT((('Metraj Mahal Listesi'!$A$5:$A$504=A57)+('Metraj Mahal Listesi'!$B$5:$B$504=A57)&gt;0)*('Metraj Mahal Listesi'!$F$5:$F$504&lt;&gt;"")*(LEFT('Metraj Mahal Listesi'!$C$5:$C$504,1)&lt;&gt;"—")*('Metraj Mahal Listesi'!$J$5:$J$504=0)))</f>
        <v/>
      </c>
      <c r="H57" s="5" t="n"/>
    </row>
    <row r="58">
      <c r="A58" s="5" t="n"/>
      <c r="B58" s="5" t="n"/>
      <c r="C58" s="21">
        <f>IF(A58="","",SUMPRODUCT((('Metraj Mahal Listesi'!$A$5:$A$504=A58)+('Metraj Mahal Listesi'!$B$5:$B$504=A58)&gt;0)*'Metraj Mahal Listesi'!$K$5:$K$504))</f>
        <v/>
      </c>
      <c r="D58" s="27">
        <f>IF(OR(A58="",'Metraj Mahal Listesi'!$K$3=0),"",C58/'Metraj Mahal Listesi'!$K$3*100)</f>
        <v/>
      </c>
      <c r="E58" s="31">
        <f>IF(A58="","",SUMPRODUCT((('Metraj Mahal Listesi'!$A$5:$A$504=A58)+('Metraj Mahal Listesi'!$B$5:$B$504=A58)&gt;0)*('Metraj Mahal Listesi'!$C$5:$C$504&lt;&gt;"")))</f>
        <v/>
      </c>
      <c r="F58" s="31">
        <f>IF(A58="","",SUMPRODUCT((('Metraj Mahal Listesi'!$A$5:$A$504=A58)+('Metraj Mahal Listesi'!$B$5:$B$504=A58)&gt;0)*('Metraj Mahal Listesi'!$C$5:$C$504&lt;&gt;"")*(LEFT('Metraj Mahal Listesi'!$C$5:$C$504,1)&lt;&gt;"—")*('Metraj Mahal Listesi'!$F$5:$F$504="")))</f>
        <v/>
      </c>
      <c r="G58" s="31">
        <f>IF(A58="","",SUMPRODUCT((('Metraj Mahal Listesi'!$A$5:$A$504=A58)+('Metraj Mahal Listesi'!$B$5:$B$504=A58)&gt;0)*('Metraj Mahal Listesi'!$F$5:$F$504&lt;&gt;"")*(LEFT('Metraj Mahal Listesi'!$C$5:$C$504,1)&lt;&gt;"—")*('Metraj Mahal Listesi'!$J$5:$J$504=0)))</f>
        <v/>
      </c>
      <c r="H58" s="5" t="n"/>
    </row>
    <row r="59">
      <c r="A59" s="5" t="n"/>
      <c r="B59" s="5" t="n"/>
      <c r="C59" s="21">
        <f>IF(A59="","",SUMPRODUCT((('Metraj Mahal Listesi'!$A$5:$A$504=A59)+('Metraj Mahal Listesi'!$B$5:$B$504=A59)&gt;0)*'Metraj Mahal Listesi'!$K$5:$K$504))</f>
        <v/>
      </c>
      <c r="D59" s="27">
        <f>IF(OR(A59="",'Metraj Mahal Listesi'!$K$3=0),"",C59/'Metraj Mahal Listesi'!$K$3*100)</f>
        <v/>
      </c>
      <c r="E59" s="31">
        <f>IF(A59="","",SUMPRODUCT((('Metraj Mahal Listesi'!$A$5:$A$504=A59)+('Metraj Mahal Listesi'!$B$5:$B$504=A59)&gt;0)*('Metraj Mahal Listesi'!$C$5:$C$504&lt;&gt;"")))</f>
        <v/>
      </c>
      <c r="F59" s="31">
        <f>IF(A59="","",SUMPRODUCT((('Metraj Mahal Listesi'!$A$5:$A$504=A59)+('Metraj Mahal Listesi'!$B$5:$B$504=A59)&gt;0)*('Metraj Mahal Listesi'!$C$5:$C$504&lt;&gt;"")*(LEFT('Metraj Mahal Listesi'!$C$5:$C$504,1)&lt;&gt;"—")*('Metraj Mahal Listesi'!$F$5:$F$504="")))</f>
        <v/>
      </c>
      <c r="G59" s="31">
        <f>IF(A59="","",SUMPRODUCT((('Metraj Mahal Listesi'!$A$5:$A$504=A59)+('Metraj Mahal Listesi'!$B$5:$B$504=A59)&gt;0)*('Metraj Mahal Listesi'!$F$5:$F$504&lt;&gt;"")*(LEFT('Metraj Mahal Listesi'!$C$5:$C$504,1)&lt;&gt;"—")*('Metraj Mahal Listesi'!$J$5:$J$504=0)))</f>
        <v/>
      </c>
      <c r="H59" s="5" t="n"/>
    </row>
    <row r="60">
      <c r="A60" s="5" t="n"/>
      <c r="B60" s="5" t="n"/>
      <c r="C60" s="21">
        <f>IF(A60="","",SUMPRODUCT((('Metraj Mahal Listesi'!$A$5:$A$504=A60)+('Metraj Mahal Listesi'!$B$5:$B$504=A60)&gt;0)*'Metraj Mahal Listesi'!$K$5:$K$504))</f>
        <v/>
      </c>
      <c r="D60" s="27">
        <f>IF(OR(A60="",'Metraj Mahal Listesi'!$K$3=0),"",C60/'Metraj Mahal Listesi'!$K$3*100)</f>
        <v/>
      </c>
      <c r="E60" s="31">
        <f>IF(A60="","",SUMPRODUCT((('Metraj Mahal Listesi'!$A$5:$A$504=A60)+('Metraj Mahal Listesi'!$B$5:$B$504=A60)&gt;0)*('Metraj Mahal Listesi'!$C$5:$C$504&lt;&gt;"")))</f>
        <v/>
      </c>
      <c r="F60" s="31">
        <f>IF(A60="","",SUMPRODUCT((('Metraj Mahal Listesi'!$A$5:$A$504=A60)+('Metraj Mahal Listesi'!$B$5:$B$504=A60)&gt;0)*('Metraj Mahal Listesi'!$C$5:$C$504&lt;&gt;"")*(LEFT('Metraj Mahal Listesi'!$C$5:$C$504,1)&lt;&gt;"—")*('Metraj Mahal Listesi'!$F$5:$F$504="")))</f>
        <v/>
      </c>
      <c r="G60" s="31">
        <f>IF(A60="","",SUMPRODUCT((('Metraj Mahal Listesi'!$A$5:$A$504=A60)+('Metraj Mahal Listesi'!$B$5:$B$504=A60)&gt;0)*('Metraj Mahal Listesi'!$F$5:$F$504&lt;&gt;"")*(LEFT('Metraj Mahal Listesi'!$C$5:$C$504,1)&lt;&gt;"—")*('Metraj Mahal Listesi'!$J$5:$J$504=0)))</f>
        <v/>
      </c>
      <c r="H60" s="5" t="n"/>
    </row>
    <row r="61">
      <c r="A61" s="5" t="n"/>
      <c r="B61" s="5" t="n"/>
      <c r="C61" s="21">
        <f>IF(A61="","",SUMPRODUCT((('Metraj Mahal Listesi'!$A$5:$A$504=A61)+('Metraj Mahal Listesi'!$B$5:$B$504=A61)&gt;0)*'Metraj Mahal Listesi'!$K$5:$K$504))</f>
        <v/>
      </c>
      <c r="D61" s="27">
        <f>IF(OR(A61="",'Metraj Mahal Listesi'!$K$3=0),"",C61/'Metraj Mahal Listesi'!$K$3*100)</f>
        <v/>
      </c>
      <c r="E61" s="31">
        <f>IF(A61="","",SUMPRODUCT((('Metraj Mahal Listesi'!$A$5:$A$504=A61)+('Metraj Mahal Listesi'!$B$5:$B$504=A61)&gt;0)*('Metraj Mahal Listesi'!$C$5:$C$504&lt;&gt;"")))</f>
        <v/>
      </c>
      <c r="F61" s="31">
        <f>IF(A61="","",SUMPRODUCT((('Metraj Mahal Listesi'!$A$5:$A$504=A61)+('Metraj Mahal Listesi'!$B$5:$B$504=A61)&gt;0)*('Metraj Mahal Listesi'!$C$5:$C$504&lt;&gt;"")*(LEFT('Metraj Mahal Listesi'!$C$5:$C$504,1)&lt;&gt;"—")*('Metraj Mahal Listesi'!$F$5:$F$504="")))</f>
        <v/>
      </c>
      <c r="G61" s="31">
        <f>IF(A61="","",SUMPRODUCT((('Metraj Mahal Listesi'!$A$5:$A$504=A61)+('Metraj Mahal Listesi'!$B$5:$B$504=A61)&gt;0)*('Metraj Mahal Listesi'!$F$5:$F$504&lt;&gt;"")*(LEFT('Metraj Mahal Listesi'!$C$5:$C$504,1)&lt;&gt;"—")*('Metraj Mahal Listesi'!$J$5:$J$504=0)))</f>
        <v/>
      </c>
      <c r="H61" s="5" t="n"/>
    </row>
    <row r="62">
      <c r="A62" s="5" t="n"/>
      <c r="B62" s="5" t="n"/>
      <c r="C62" s="21">
        <f>IF(A62="","",SUMPRODUCT((('Metraj Mahal Listesi'!$A$5:$A$504=A62)+('Metraj Mahal Listesi'!$B$5:$B$504=A62)&gt;0)*'Metraj Mahal Listesi'!$K$5:$K$504))</f>
        <v/>
      </c>
      <c r="D62" s="27">
        <f>IF(OR(A62="",'Metraj Mahal Listesi'!$K$3=0),"",C62/'Metraj Mahal Listesi'!$K$3*100)</f>
        <v/>
      </c>
      <c r="E62" s="31">
        <f>IF(A62="","",SUMPRODUCT((('Metraj Mahal Listesi'!$A$5:$A$504=A62)+('Metraj Mahal Listesi'!$B$5:$B$504=A62)&gt;0)*('Metraj Mahal Listesi'!$C$5:$C$504&lt;&gt;"")))</f>
        <v/>
      </c>
      <c r="F62" s="31">
        <f>IF(A62="","",SUMPRODUCT((('Metraj Mahal Listesi'!$A$5:$A$504=A62)+('Metraj Mahal Listesi'!$B$5:$B$504=A62)&gt;0)*('Metraj Mahal Listesi'!$C$5:$C$504&lt;&gt;"")*(LEFT('Metraj Mahal Listesi'!$C$5:$C$504,1)&lt;&gt;"—")*('Metraj Mahal Listesi'!$F$5:$F$504="")))</f>
        <v/>
      </c>
      <c r="G62" s="31">
        <f>IF(A62="","",SUMPRODUCT((('Metraj Mahal Listesi'!$A$5:$A$504=A62)+('Metraj Mahal Listesi'!$B$5:$B$504=A62)&gt;0)*('Metraj Mahal Listesi'!$F$5:$F$504&lt;&gt;"")*(LEFT('Metraj Mahal Listesi'!$C$5:$C$504,1)&lt;&gt;"—")*('Metraj Mahal Listesi'!$J$5:$J$504=0)))</f>
        <v/>
      </c>
      <c r="H62" s="5" t="n"/>
    </row>
    <row r="63">
      <c r="A63" s="5" t="n"/>
      <c r="B63" s="5" t="n"/>
      <c r="C63" s="21">
        <f>IF(A63="","",SUMPRODUCT((('Metraj Mahal Listesi'!$A$5:$A$504=A63)+('Metraj Mahal Listesi'!$B$5:$B$504=A63)&gt;0)*'Metraj Mahal Listesi'!$K$5:$K$504))</f>
        <v/>
      </c>
      <c r="D63" s="27">
        <f>IF(OR(A63="",'Metraj Mahal Listesi'!$K$3=0),"",C63/'Metraj Mahal Listesi'!$K$3*100)</f>
        <v/>
      </c>
      <c r="E63" s="31">
        <f>IF(A63="","",SUMPRODUCT((('Metraj Mahal Listesi'!$A$5:$A$504=A63)+('Metraj Mahal Listesi'!$B$5:$B$504=A63)&gt;0)*('Metraj Mahal Listesi'!$C$5:$C$504&lt;&gt;"")))</f>
        <v/>
      </c>
      <c r="F63" s="31">
        <f>IF(A63="","",SUMPRODUCT((('Metraj Mahal Listesi'!$A$5:$A$504=A63)+('Metraj Mahal Listesi'!$B$5:$B$504=A63)&gt;0)*('Metraj Mahal Listesi'!$C$5:$C$504&lt;&gt;"")*(LEFT('Metraj Mahal Listesi'!$C$5:$C$504,1)&lt;&gt;"—")*('Metraj Mahal Listesi'!$F$5:$F$504="")))</f>
        <v/>
      </c>
      <c r="G63" s="31">
        <f>IF(A63="","",SUMPRODUCT((('Metraj Mahal Listesi'!$A$5:$A$504=A63)+('Metraj Mahal Listesi'!$B$5:$B$504=A63)&gt;0)*('Metraj Mahal Listesi'!$F$5:$F$504&lt;&gt;"")*(LEFT('Metraj Mahal Listesi'!$C$5:$C$504,1)&lt;&gt;"—")*('Metraj Mahal Listesi'!$J$5:$J$504=0)))</f>
        <v/>
      </c>
      <c r="H63" s="5" t="n"/>
    </row>
    <row r="64">
      <c r="A64" s="5" t="n"/>
      <c r="B64" s="5" t="n"/>
      <c r="C64" s="21">
        <f>IF(A64="","",SUMPRODUCT((('Metraj Mahal Listesi'!$A$5:$A$504=A64)+('Metraj Mahal Listesi'!$B$5:$B$504=A64)&gt;0)*'Metraj Mahal Listesi'!$K$5:$K$504))</f>
        <v/>
      </c>
      <c r="D64" s="27">
        <f>IF(OR(A64="",'Metraj Mahal Listesi'!$K$3=0),"",C64/'Metraj Mahal Listesi'!$K$3*100)</f>
        <v/>
      </c>
      <c r="E64" s="31">
        <f>IF(A64="","",SUMPRODUCT((('Metraj Mahal Listesi'!$A$5:$A$504=A64)+('Metraj Mahal Listesi'!$B$5:$B$504=A64)&gt;0)*('Metraj Mahal Listesi'!$C$5:$C$504&lt;&gt;"")))</f>
        <v/>
      </c>
      <c r="F64" s="31">
        <f>IF(A64="","",SUMPRODUCT((('Metraj Mahal Listesi'!$A$5:$A$504=A64)+('Metraj Mahal Listesi'!$B$5:$B$504=A64)&gt;0)*('Metraj Mahal Listesi'!$C$5:$C$504&lt;&gt;"")*(LEFT('Metraj Mahal Listesi'!$C$5:$C$504,1)&lt;&gt;"—")*('Metraj Mahal Listesi'!$F$5:$F$504="")))</f>
        <v/>
      </c>
      <c r="G64" s="31">
        <f>IF(A64="","",SUMPRODUCT((('Metraj Mahal Listesi'!$A$5:$A$504=A64)+('Metraj Mahal Listesi'!$B$5:$B$504=A64)&gt;0)*('Metraj Mahal Listesi'!$F$5:$F$504&lt;&gt;"")*(LEFT('Metraj Mahal Listesi'!$C$5:$C$504,1)&lt;&gt;"—")*('Metraj Mahal Listesi'!$J$5:$J$504=0)))</f>
        <v/>
      </c>
      <c r="H64" s="5" t="n"/>
    </row>
    <row r="65">
      <c r="A65" s="5" t="n"/>
      <c r="B65" s="5" t="n"/>
      <c r="C65" s="21">
        <f>IF(A65="","",SUMPRODUCT((('Metraj Mahal Listesi'!$A$5:$A$504=A65)+('Metraj Mahal Listesi'!$B$5:$B$504=A65)&gt;0)*'Metraj Mahal Listesi'!$K$5:$K$504))</f>
        <v/>
      </c>
      <c r="D65" s="27">
        <f>IF(OR(A65="",'Metraj Mahal Listesi'!$K$3=0),"",C65/'Metraj Mahal Listesi'!$K$3*100)</f>
        <v/>
      </c>
      <c r="E65" s="31">
        <f>IF(A65="","",SUMPRODUCT((('Metraj Mahal Listesi'!$A$5:$A$504=A65)+('Metraj Mahal Listesi'!$B$5:$B$504=A65)&gt;0)*('Metraj Mahal Listesi'!$C$5:$C$504&lt;&gt;"")))</f>
        <v/>
      </c>
      <c r="F65" s="31">
        <f>IF(A65="","",SUMPRODUCT((('Metraj Mahal Listesi'!$A$5:$A$504=A65)+('Metraj Mahal Listesi'!$B$5:$B$504=A65)&gt;0)*('Metraj Mahal Listesi'!$C$5:$C$504&lt;&gt;"")*(LEFT('Metraj Mahal Listesi'!$C$5:$C$504,1)&lt;&gt;"—")*('Metraj Mahal Listesi'!$F$5:$F$504="")))</f>
        <v/>
      </c>
      <c r="G65" s="31">
        <f>IF(A65="","",SUMPRODUCT((('Metraj Mahal Listesi'!$A$5:$A$504=A65)+('Metraj Mahal Listesi'!$B$5:$B$504=A65)&gt;0)*('Metraj Mahal Listesi'!$F$5:$F$504&lt;&gt;"")*(LEFT('Metraj Mahal Listesi'!$C$5:$C$504,1)&lt;&gt;"—")*('Metraj Mahal Listesi'!$J$5:$J$504=0)))</f>
        <v/>
      </c>
      <c r="H65" s="5" t="n"/>
    </row>
    <row r="66">
      <c r="A66" s="5" t="n"/>
      <c r="B66" s="5" t="n"/>
      <c r="C66" s="21">
        <f>IF(A66="","",SUMPRODUCT((('Metraj Mahal Listesi'!$A$5:$A$504=A66)+('Metraj Mahal Listesi'!$B$5:$B$504=A66)&gt;0)*'Metraj Mahal Listesi'!$K$5:$K$504))</f>
        <v/>
      </c>
      <c r="D66" s="27">
        <f>IF(OR(A66="",'Metraj Mahal Listesi'!$K$3=0),"",C66/'Metraj Mahal Listesi'!$K$3*100)</f>
        <v/>
      </c>
      <c r="E66" s="31">
        <f>IF(A66="","",SUMPRODUCT((('Metraj Mahal Listesi'!$A$5:$A$504=A66)+('Metraj Mahal Listesi'!$B$5:$B$504=A66)&gt;0)*('Metraj Mahal Listesi'!$C$5:$C$504&lt;&gt;"")))</f>
        <v/>
      </c>
      <c r="F66" s="31">
        <f>IF(A66="","",SUMPRODUCT((('Metraj Mahal Listesi'!$A$5:$A$504=A66)+('Metraj Mahal Listesi'!$B$5:$B$504=A66)&gt;0)*('Metraj Mahal Listesi'!$C$5:$C$504&lt;&gt;"")*(LEFT('Metraj Mahal Listesi'!$C$5:$C$504,1)&lt;&gt;"—")*('Metraj Mahal Listesi'!$F$5:$F$504="")))</f>
        <v/>
      </c>
      <c r="G66" s="31">
        <f>IF(A66="","",SUMPRODUCT((('Metraj Mahal Listesi'!$A$5:$A$504=A66)+('Metraj Mahal Listesi'!$B$5:$B$504=A66)&gt;0)*('Metraj Mahal Listesi'!$F$5:$F$504&lt;&gt;"")*(LEFT('Metraj Mahal Listesi'!$C$5:$C$504,1)&lt;&gt;"—")*('Metraj Mahal Listesi'!$J$5:$J$504=0)))</f>
        <v/>
      </c>
      <c r="H66" s="5" t="n"/>
    </row>
    <row r="67">
      <c r="A67" s="5" t="n"/>
      <c r="B67" s="5" t="n"/>
      <c r="C67" s="21">
        <f>IF(A67="","",SUMPRODUCT((('Metraj Mahal Listesi'!$A$5:$A$504=A67)+('Metraj Mahal Listesi'!$B$5:$B$504=A67)&gt;0)*'Metraj Mahal Listesi'!$K$5:$K$504))</f>
        <v/>
      </c>
      <c r="D67" s="27">
        <f>IF(OR(A67="",'Metraj Mahal Listesi'!$K$3=0),"",C67/'Metraj Mahal Listesi'!$K$3*100)</f>
        <v/>
      </c>
      <c r="E67" s="31">
        <f>IF(A67="","",SUMPRODUCT((('Metraj Mahal Listesi'!$A$5:$A$504=A67)+('Metraj Mahal Listesi'!$B$5:$B$504=A67)&gt;0)*('Metraj Mahal Listesi'!$C$5:$C$504&lt;&gt;"")))</f>
        <v/>
      </c>
      <c r="F67" s="31">
        <f>IF(A67="","",SUMPRODUCT((('Metraj Mahal Listesi'!$A$5:$A$504=A67)+('Metraj Mahal Listesi'!$B$5:$B$504=A67)&gt;0)*('Metraj Mahal Listesi'!$C$5:$C$504&lt;&gt;"")*(LEFT('Metraj Mahal Listesi'!$C$5:$C$504,1)&lt;&gt;"—")*('Metraj Mahal Listesi'!$F$5:$F$504="")))</f>
        <v/>
      </c>
      <c r="G67" s="31">
        <f>IF(A67="","",SUMPRODUCT((('Metraj Mahal Listesi'!$A$5:$A$504=A67)+('Metraj Mahal Listesi'!$B$5:$B$504=A67)&gt;0)*('Metraj Mahal Listesi'!$F$5:$F$504&lt;&gt;"")*(LEFT('Metraj Mahal Listesi'!$C$5:$C$504,1)&lt;&gt;"—")*('Metraj Mahal Listesi'!$J$5:$J$504=0)))</f>
        <v/>
      </c>
      <c r="H67" s="5" t="n"/>
    </row>
    <row r="68">
      <c r="A68" s="5" t="n"/>
      <c r="B68" s="5" t="n"/>
      <c r="C68" s="21">
        <f>IF(A68="","",SUMPRODUCT((('Metraj Mahal Listesi'!$A$5:$A$504=A68)+('Metraj Mahal Listesi'!$B$5:$B$504=A68)&gt;0)*'Metraj Mahal Listesi'!$K$5:$K$504))</f>
        <v/>
      </c>
      <c r="D68" s="27">
        <f>IF(OR(A68="",'Metraj Mahal Listesi'!$K$3=0),"",C68/'Metraj Mahal Listesi'!$K$3*100)</f>
        <v/>
      </c>
      <c r="E68" s="31">
        <f>IF(A68="","",SUMPRODUCT((('Metraj Mahal Listesi'!$A$5:$A$504=A68)+('Metraj Mahal Listesi'!$B$5:$B$504=A68)&gt;0)*('Metraj Mahal Listesi'!$C$5:$C$504&lt;&gt;"")))</f>
        <v/>
      </c>
      <c r="F68" s="31">
        <f>IF(A68="","",SUMPRODUCT((('Metraj Mahal Listesi'!$A$5:$A$504=A68)+('Metraj Mahal Listesi'!$B$5:$B$504=A68)&gt;0)*('Metraj Mahal Listesi'!$C$5:$C$504&lt;&gt;"")*(LEFT('Metraj Mahal Listesi'!$C$5:$C$504,1)&lt;&gt;"—")*('Metraj Mahal Listesi'!$F$5:$F$504="")))</f>
        <v/>
      </c>
      <c r="G68" s="31">
        <f>IF(A68="","",SUMPRODUCT((('Metraj Mahal Listesi'!$A$5:$A$504=A68)+('Metraj Mahal Listesi'!$B$5:$B$504=A68)&gt;0)*('Metraj Mahal Listesi'!$F$5:$F$504&lt;&gt;"")*(LEFT('Metraj Mahal Listesi'!$C$5:$C$504,1)&lt;&gt;"—")*('Metraj Mahal Listesi'!$J$5:$J$504=0)))</f>
        <v/>
      </c>
      <c r="H68" s="5" t="n"/>
    </row>
    <row r="69">
      <c r="A69" s="5" t="n"/>
      <c r="B69" s="5" t="n"/>
      <c r="C69" s="21">
        <f>IF(A69="","",SUMPRODUCT((('Metraj Mahal Listesi'!$A$5:$A$504=A69)+('Metraj Mahal Listesi'!$B$5:$B$504=A69)&gt;0)*'Metraj Mahal Listesi'!$K$5:$K$504))</f>
        <v/>
      </c>
      <c r="D69" s="27">
        <f>IF(OR(A69="",'Metraj Mahal Listesi'!$K$3=0),"",C69/'Metraj Mahal Listesi'!$K$3*100)</f>
        <v/>
      </c>
      <c r="E69" s="31">
        <f>IF(A69="","",SUMPRODUCT((('Metraj Mahal Listesi'!$A$5:$A$504=A69)+('Metraj Mahal Listesi'!$B$5:$B$504=A69)&gt;0)*('Metraj Mahal Listesi'!$C$5:$C$504&lt;&gt;"")))</f>
        <v/>
      </c>
      <c r="F69" s="31">
        <f>IF(A69="","",SUMPRODUCT((('Metraj Mahal Listesi'!$A$5:$A$504=A69)+('Metraj Mahal Listesi'!$B$5:$B$504=A69)&gt;0)*('Metraj Mahal Listesi'!$C$5:$C$504&lt;&gt;"")*(LEFT('Metraj Mahal Listesi'!$C$5:$C$504,1)&lt;&gt;"—")*('Metraj Mahal Listesi'!$F$5:$F$504="")))</f>
        <v/>
      </c>
      <c r="G69" s="31">
        <f>IF(A69="","",SUMPRODUCT((('Metraj Mahal Listesi'!$A$5:$A$504=A69)+('Metraj Mahal Listesi'!$B$5:$B$504=A69)&gt;0)*('Metraj Mahal Listesi'!$F$5:$F$504&lt;&gt;"")*(LEFT('Metraj Mahal Listesi'!$C$5:$C$504,1)&lt;&gt;"—")*('Metraj Mahal Listesi'!$J$5:$J$504=0)))</f>
        <v/>
      </c>
      <c r="H69" s="5" t="n"/>
    </row>
    <row r="70">
      <c r="A70" s="5" t="n"/>
      <c r="B70" s="5" t="n"/>
      <c r="C70" s="21">
        <f>IF(A70="","",SUMPRODUCT((('Metraj Mahal Listesi'!$A$5:$A$504=A70)+('Metraj Mahal Listesi'!$B$5:$B$504=A70)&gt;0)*'Metraj Mahal Listesi'!$K$5:$K$504))</f>
        <v/>
      </c>
      <c r="D70" s="27">
        <f>IF(OR(A70="",'Metraj Mahal Listesi'!$K$3=0),"",C70/'Metraj Mahal Listesi'!$K$3*100)</f>
        <v/>
      </c>
      <c r="E70" s="31">
        <f>IF(A70="","",SUMPRODUCT((('Metraj Mahal Listesi'!$A$5:$A$504=A70)+('Metraj Mahal Listesi'!$B$5:$B$504=A70)&gt;0)*('Metraj Mahal Listesi'!$C$5:$C$504&lt;&gt;"")))</f>
        <v/>
      </c>
      <c r="F70" s="31">
        <f>IF(A70="","",SUMPRODUCT((('Metraj Mahal Listesi'!$A$5:$A$504=A70)+('Metraj Mahal Listesi'!$B$5:$B$504=A70)&gt;0)*('Metraj Mahal Listesi'!$C$5:$C$504&lt;&gt;"")*(LEFT('Metraj Mahal Listesi'!$C$5:$C$504,1)&lt;&gt;"—")*('Metraj Mahal Listesi'!$F$5:$F$504="")))</f>
        <v/>
      </c>
      <c r="G70" s="31">
        <f>IF(A70="","",SUMPRODUCT((('Metraj Mahal Listesi'!$A$5:$A$504=A70)+('Metraj Mahal Listesi'!$B$5:$B$504=A70)&gt;0)*('Metraj Mahal Listesi'!$F$5:$F$504&lt;&gt;"")*(LEFT('Metraj Mahal Listesi'!$C$5:$C$504,1)&lt;&gt;"—")*('Metraj Mahal Listesi'!$J$5:$J$504=0)))</f>
        <v/>
      </c>
      <c r="H70" s="5" t="n"/>
    </row>
    <row r="71">
      <c r="A71" s="5" t="n"/>
      <c r="B71" s="5" t="n"/>
      <c r="C71" s="21">
        <f>IF(A71="","",SUMPRODUCT((('Metraj Mahal Listesi'!$A$5:$A$504=A71)+('Metraj Mahal Listesi'!$B$5:$B$504=A71)&gt;0)*'Metraj Mahal Listesi'!$K$5:$K$504))</f>
        <v/>
      </c>
      <c r="D71" s="27">
        <f>IF(OR(A71="",'Metraj Mahal Listesi'!$K$3=0),"",C71/'Metraj Mahal Listesi'!$K$3*100)</f>
        <v/>
      </c>
      <c r="E71" s="31">
        <f>IF(A71="","",SUMPRODUCT((('Metraj Mahal Listesi'!$A$5:$A$504=A71)+('Metraj Mahal Listesi'!$B$5:$B$504=A71)&gt;0)*('Metraj Mahal Listesi'!$C$5:$C$504&lt;&gt;"")))</f>
        <v/>
      </c>
      <c r="F71" s="31">
        <f>IF(A71="","",SUMPRODUCT((('Metraj Mahal Listesi'!$A$5:$A$504=A71)+('Metraj Mahal Listesi'!$B$5:$B$504=A71)&gt;0)*('Metraj Mahal Listesi'!$C$5:$C$504&lt;&gt;"")*(LEFT('Metraj Mahal Listesi'!$C$5:$C$504,1)&lt;&gt;"—")*('Metraj Mahal Listesi'!$F$5:$F$504="")))</f>
        <v/>
      </c>
      <c r="G71" s="31">
        <f>IF(A71="","",SUMPRODUCT((('Metraj Mahal Listesi'!$A$5:$A$504=A71)+('Metraj Mahal Listesi'!$B$5:$B$504=A71)&gt;0)*('Metraj Mahal Listesi'!$F$5:$F$504&lt;&gt;"")*(LEFT('Metraj Mahal Listesi'!$C$5:$C$504,1)&lt;&gt;"—")*('Metraj Mahal Listesi'!$J$5:$J$504=0)))</f>
        <v/>
      </c>
      <c r="H71" s="5" t="n"/>
    </row>
    <row r="72">
      <c r="A72" s="5" t="n"/>
      <c r="B72" s="5" t="n"/>
      <c r="C72" s="21">
        <f>IF(A72="","",SUMPRODUCT((('Metraj Mahal Listesi'!$A$5:$A$504=A72)+('Metraj Mahal Listesi'!$B$5:$B$504=A72)&gt;0)*'Metraj Mahal Listesi'!$K$5:$K$504))</f>
        <v/>
      </c>
      <c r="D72" s="27">
        <f>IF(OR(A72="",'Metraj Mahal Listesi'!$K$3=0),"",C72/'Metraj Mahal Listesi'!$K$3*100)</f>
        <v/>
      </c>
      <c r="E72" s="31">
        <f>IF(A72="","",SUMPRODUCT((('Metraj Mahal Listesi'!$A$5:$A$504=A72)+('Metraj Mahal Listesi'!$B$5:$B$504=A72)&gt;0)*('Metraj Mahal Listesi'!$C$5:$C$504&lt;&gt;"")))</f>
        <v/>
      </c>
      <c r="F72" s="31">
        <f>IF(A72="","",SUMPRODUCT((('Metraj Mahal Listesi'!$A$5:$A$504=A72)+('Metraj Mahal Listesi'!$B$5:$B$504=A72)&gt;0)*('Metraj Mahal Listesi'!$C$5:$C$504&lt;&gt;"")*(LEFT('Metraj Mahal Listesi'!$C$5:$C$504,1)&lt;&gt;"—")*('Metraj Mahal Listesi'!$F$5:$F$504="")))</f>
        <v/>
      </c>
      <c r="G72" s="31">
        <f>IF(A72="","",SUMPRODUCT((('Metraj Mahal Listesi'!$A$5:$A$504=A72)+('Metraj Mahal Listesi'!$B$5:$B$504=A72)&gt;0)*('Metraj Mahal Listesi'!$F$5:$F$504&lt;&gt;"")*(LEFT('Metraj Mahal Listesi'!$C$5:$C$504,1)&lt;&gt;"—")*('Metraj Mahal Listesi'!$J$5:$J$504=0)))</f>
        <v/>
      </c>
      <c r="H72" s="5" t="n"/>
    </row>
    <row r="73">
      <c r="A73" s="5" t="n"/>
      <c r="B73" s="5" t="n"/>
      <c r="C73" s="21">
        <f>IF(A73="","",SUMPRODUCT((('Metraj Mahal Listesi'!$A$5:$A$504=A73)+('Metraj Mahal Listesi'!$B$5:$B$504=A73)&gt;0)*'Metraj Mahal Listesi'!$K$5:$K$504))</f>
        <v/>
      </c>
      <c r="D73" s="27">
        <f>IF(OR(A73="",'Metraj Mahal Listesi'!$K$3=0),"",C73/'Metraj Mahal Listesi'!$K$3*100)</f>
        <v/>
      </c>
      <c r="E73" s="31">
        <f>IF(A73="","",SUMPRODUCT((('Metraj Mahal Listesi'!$A$5:$A$504=A73)+('Metraj Mahal Listesi'!$B$5:$B$504=A73)&gt;0)*('Metraj Mahal Listesi'!$C$5:$C$504&lt;&gt;"")))</f>
        <v/>
      </c>
      <c r="F73" s="31">
        <f>IF(A73="","",SUMPRODUCT((('Metraj Mahal Listesi'!$A$5:$A$504=A73)+('Metraj Mahal Listesi'!$B$5:$B$504=A73)&gt;0)*('Metraj Mahal Listesi'!$C$5:$C$504&lt;&gt;"")*(LEFT('Metraj Mahal Listesi'!$C$5:$C$504,1)&lt;&gt;"—")*('Metraj Mahal Listesi'!$F$5:$F$504="")))</f>
        <v/>
      </c>
      <c r="G73" s="31">
        <f>IF(A73="","",SUMPRODUCT((('Metraj Mahal Listesi'!$A$5:$A$504=A73)+('Metraj Mahal Listesi'!$B$5:$B$504=A73)&gt;0)*('Metraj Mahal Listesi'!$F$5:$F$504&lt;&gt;"")*(LEFT('Metraj Mahal Listesi'!$C$5:$C$504,1)&lt;&gt;"—")*('Metraj Mahal Listesi'!$J$5:$J$504=0)))</f>
        <v/>
      </c>
      <c r="H73" s="5" t="n"/>
    </row>
    <row r="74">
      <c r="A74" s="5" t="n"/>
      <c r="B74" s="5" t="n"/>
      <c r="C74" s="21">
        <f>IF(A74="","",SUMPRODUCT((('Metraj Mahal Listesi'!$A$5:$A$504=A74)+('Metraj Mahal Listesi'!$B$5:$B$504=A74)&gt;0)*'Metraj Mahal Listesi'!$K$5:$K$504))</f>
        <v/>
      </c>
      <c r="D74" s="27">
        <f>IF(OR(A74="",'Metraj Mahal Listesi'!$K$3=0),"",C74/'Metraj Mahal Listesi'!$K$3*100)</f>
        <v/>
      </c>
      <c r="E74" s="31">
        <f>IF(A74="","",SUMPRODUCT((('Metraj Mahal Listesi'!$A$5:$A$504=A74)+('Metraj Mahal Listesi'!$B$5:$B$504=A74)&gt;0)*('Metraj Mahal Listesi'!$C$5:$C$504&lt;&gt;"")))</f>
        <v/>
      </c>
      <c r="F74" s="31">
        <f>IF(A74="","",SUMPRODUCT((('Metraj Mahal Listesi'!$A$5:$A$504=A74)+('Metraj Mahal Listesi'!$B$5:$B$504=A74)&gt;0)*('Metraj Mahal Listesi'!$C$5:$C$504&lt;&gt;"")*(LEFT('Metraj Mahal Listesi'!$C$5:$C$504,1)&lt;&gt;"—")*('Metraj Mahal Listesi'!$F$5:$F$504="")))</f>
        <v/>
      </c>
      <c r="G74" s="31">
        <f>IF(A74="","",SUMPRODUCT((('Metraj Mahal Listesi'!$A$5:$A$504=A74)+('Metraj Mahal Listesi'!$B$5:$B$504=A74)&gt;0)*('Metraj Mahal Listesi'!$F$5:$F$504&lt;&gt;"")*(LEFT('Metraj Mahal Listesi'!$C$5:$C$504,1)&lt;&gt;"—")*('Metraj Mahal Listesi'!$J$5:$J$504=0)))</f>
        <v/>
      </c>
      <c r="H74" s="5" t="n"/>
    </row>
    <row r="75">
      <c r="A75" s="5" t="n"/>
      <c r="B75" s="5" t="n"/>
      <c r="C75" s="21">
        <f>IF(A75="","",SUMPRODUCT((('Metraj Mahal Listesi'!$A$5:$A$504=A75)+('Metraj Mahal Listesi'!$B$5:$B$504=A75)&gt;0)*'Metraj Mahal Listesi'!$K$5:$K$504))</f>
        <v/>
      </c>
      <c r="D75" s="27">
        <f>IF(OR(A75="",'Metraj Mahal Listesi'!$K$3=0),"",C75/'Metraj Mahal Listesi'!$K$3*100)</f>
        <v/>
      </c>
      <c r="E75" s="31">
        <f>IF(A75="","",SUMPRODUCT((('Metraj Mahal Listesi'!$A$5:$A$504=A75)+('Metraj Mahal Listesi'!$B$5:$B$504=A75)&gt;0)*('Metraj Mahal Listesi'!$C$5:$C$504&lt;&gt;"")))</f>
        <v/>
      </c>
      <c r="F75" s="31">
        <f>IF(A75="","",SUMPRODUCT((('Metraj Mahal Listesi'!$A$5:$A$504=A75)+('Metraj Mahal Listesi'!$B$5:$B$504=A75)&gt;0)*('Metraj Mahal Listesi'!$C$5:$C$504&lt;&gt;"")*(LEFT('Metraj Mahal Listesi'!$C$5:$C$504,1)&lt;&gt;"—")*('Metraj Mahal Listesi'!$F$5:$F$504="")))</f>
        <v/>
      </c>
      <c r="G75" s="31">
        <f>IF(A75="","",SUMPRODUCT((('Metraj Mahal Listesi'!$A$5:$A$504=A75)+('Metraj Mahal Listesi'!$B$5:$B$504=A75)&gt;0)*('Metraj Mahal Listesi'!$F$5:$F$504&lt;&gt;"")*(LEFT('Metraj Mahal Listesi'!$C$5:$C$504,1)&lt;&gt;"—")*('Metraj Mahal Listesi'!$J$5:$J$504=0)))</f>
        <v/>
      </c>
      <c r="H75" s="5" t="n"/>
    </row>
    <row r="76">
      <c r="A76" s="5" t="n"/>
      <c r="B76" s="5" t="n"/>
      <c r="C76" s="21">
        <f>IF(A76="","",SUMPRODUCT((('Metraj Mahal Listesi'!$A$5:$A$504=A76)+('Metraj Mahal Listesi'!$B$5:$B$504=A76)&gt;0)*'Metraj Mahal Listesi'!$K$5:$K$504))</f>
        <v/>
      </c>
      <c r="D76" s="27">
        <f>IF(OR(A76="",'Metraj Mahal Listesi'!$K$3=0),"",C76/'Metraj Mahal Listesi'!$K$3*100)</f>
        <v/>
      </c>
      <c r="E76" s="31">
        <f>IF(A76="","",SUMPRODUCT((('Metraj Mahal Listesi'!$A$5:$A$504=A76)+('Metraj Mahal Listesi'!$B$5:$B$504=A76)&gt;0)*('Metraj Mahal Listesi'!$C$5:$C$504&lt;&gt;"")))</f>
        <v/>
      </c>
      <c r="F76" s="31">
        <f>IF(A76="","",SUMPRODUCT((('Metraj Mahal Listesi'!$A$5:$A$504=A76)+('Metraj Mahal Listesi'!$B$5:$B$504=A76)&gt;0)*('Metraj Mahal Listesi'!$C$5:$C$504&lt;&gt;"")*(LEFT('Metraj Mahal Listesi'!$C$5:$C$504,1)&lt;&gt;"—")*('Metraj Mahal Listesi'!$F$5:$F$504="")))</f>
        <v/>
      </c>
      <c r="G76" s="31">
        <f>IF(A76="","",SUMPRODUCT((('Metraj Mahal Listesi'!$A$5:$A$504=A76)+('Metraj Mahal Listesi'!$B$5:$B$504=A76)&gt;0)*('Metraj Mahal Listesi'!$F$5:$F$504&lt;&gt;"")*(LEFT('Metraj Mahal Listesi'!$C$5:$C$504,1)&lt;&gt;"—")*('Metraj Mahal Listesi'!$J$5:$J$504=0)))</f>
        <v/>
      </c>
      <c r="H76" s="5" t="n"/>
    </row>
    <row r="77">
      <c r="A77" s="5" t="n"/>
      <c r="B77" s="5" t="n"/>
      <c r="C77" s="21">
        <f>IF(A77="","",SUMPRODUCT((('Metraj Mahal Listesi'!$A$5:$A$504=A77)+('Metraj Mahal Listesi'!$B$5:$B$504=A77)&gt;0)*'Metraj Mahal Listesi'!$K$5:$K$504))</f>
        <v/>
      </c>
      <c r="D77" s="27">
        <f>IF(OR(A77="",'Metraj Mahal Listesi'!$K$3=0),"",C77/'Metraj Mahal Listesi'!$K$3*100)</f>
        <v/>
      </c>
      <c r="E77" s="31">
        <f>IF(A77="","",SUMPRODUCT((('Metraj Mahal Listesi'!$A$5:$A$504=A77)+('Metraj Mahal Listesi'!$B$5:$B$504=A77)&gt;0)*('Metraj Mahal Listesi'!$C$5:$C$504&lt;&gt;"")))</f>
        <v/>
      </c>
      <c r="F77" s="31">
        <f>IF(A77="","",SUMPRODUCT((('Metraj Mahal Listesi'!$A$5:$A$504=A77)+('Metraj Mahal Listesi'!$B$5:$B$504=A77)&gt;0)*('Metraj Mahal Listesi'!$C$5:$C$504&lt;&gt;"")*(LEFT('Metraj Mahal Listesi'!$C$5:$C$504,1)&lt;&gt;"—")*('Metraj Mahal Listesi'!$F$5:$F$504="")))</f>
        <v/>
      </c>
      <c r="G77" s="31">
        <f>IF(A77="","",SUMPRODUCT((('Metraj Mahal Listesi'!$A$5:$A$504=A77)+('Metraj Mahal Listesi'!$B$5:$B$504=A77)&gt;0)*('Metraj Mahal Listesi'!$F$5:$F$504&lt;&gt;"")*(LEFT('Metraj Mahal Listesi'!$C$5:$C$504,1)&lt;&gt;"—")*('Metraj Mahal Listesi'!$J$5:$J$504=0)))</f>
        <v/>
      </c>
      <c r="H77" s="5" t="n"/>
    </row>
    <row r="78">
      <c r="A78" s="5" t="n"/>
      <c r="B78" s="5" t="n"/>
      <c r="C78" s="21">
        <f>IF(A78="","",SUMPRODUCT((('Metraj Mahal Listesi'!$A$5:$A$504=A78)+('Metraj Mahal Listesi'!$B$5:$B$504=A78)&gt;0)*'Metraj Mahal Listesi'!$K$5:$K$504))</f>
        <v/>
      </c>
      <c r="D78" s="27">
        <f>IF(OR(A78="",'Metraj Mahal Listesi'!$K$3=0),"",C78/'Metraj Mahal Listesi'!$K$3*100)</f>
        <v/>
      </c>
      <c r="E78" s="31">
        <f>IF(A78="","",SUMPRODUCT((('Metraj Mahal Listesi'!$A$5:$A$504=A78)+('Metraj Mahal Listesi'!$B$5:$B$504=A78)&gt;0)*('Metraj Mahal Listesi'!$C$5:$C$504&lt;&gt;"")))</f>
        <v/>
      </c>
      <c r="F78" s="31">
        <f>IF(A78="","",SUMPRODUCT((('Metraj Mahal Listesi'!$A$5:$A$504=A78)+('Metraj Mahal Listesi'!$B$5:$B$504=A78)&gt;0)*('Metraj Mahal Listesi'!$C$5:$C$504&lt;&gt;"")*(LEFT('Metraj Mahal Listesi'!$C$5:$C$504,1)&lt;&gt;"—")*('Metraj Mahal Listesi'!$F$5:$F$504="")))</f>
        <v/>
      </c>
      <c r="G78" s="31">
        <f>IF(A78="","",SUMPRODUCT((('Metraj Mahal Listesi'!$A$5:$A$504=A78)+('Metraj Mahal Listesi'!$B$5:$B$504=A78)&gt;0)*('Metraj Mahal Listesi'!$F$5:$F$504&lt;&gt;"")*(LEFT('Metraj Mahal Listesi'!$C$5:$C$504,1)&lt;&gt;"—")*('Metraj Mahal Listesi'!$J$5:$J$504=0)))</f>
        <v/>
      </c>
      <c r="H78" s="5" t="n"/>
    </row>
    <row r="79">
      <c r="A79" s="5" t="n"/>
      <c r="B79" s="5" t="n"/>
      <c r="C79" s="21">
        <f>IF(A79="","",SUMPRODUCT((('Metraj Mahal Listesi'!$A$5:$A$504=A79)+('Metraj Mahal Listesi'!$B$5:$B$504=A79)&gt;0)*'Metraj Mahal Listesi'!$K$5:$K$504))</f>
        <v/>
      </c>
      <c r="D79" s="27">
        <f>IF(OR(A79="",'Metraj Mahal Listesi'!$K$3=0),"",C79/'Metraj Mahal Listesi'!$K$3*100)</f>
        <v/>
      </c>
      <c r="E79" s="31">
        <f>IF(A79="","",SUMPRODUCT((('Metraj Mahal Listesi'!$A$5:$A$504=A79)+('Metraj Mahal Listesi'!$B$5:$B$504=A79)&gt;0)*('Metraj Mahal Listesi'!$C$5:$C$504&lt;&gt;"")))</f>
        <v/>
      </c>
      <c r="F79" s="31">
        <f>IF(A79="","",SUMPRODUCT((('Metraj Mahal Listesi'!$A$5:$A$504=A79)+('Metraj Mahal Listesi'!$B$5:$B$504=A79)&gt;0)*('Metraj Mahal Listesi'!$C$5:$C$504&lt;&gt;"")*(LEFT('Metraj Mahal Listesi'!$C$5:$C$504,1)&lt;&gt;"—")*('Metraj Mahal Listesi'!$F$5:$F$504="")))</f>
        <v/>
      </c>
      <c r="G79" s="31">
        <f>IF(A79="","",SUMPRODUCT((('Metraj Mahal Listesi'!$A$5:$A$504=A79)+('Metraj Mahal Listesi'!$B$5:$B$504=A79)&gt;0)*('Metraj Mahal Listesi'!$F$5:$F$504&lt;&gt;"")*(LEFT('Metraj Mahal Listesi'!$C$5:$C$504,1)&lt;&gt;"—")*('Metraj Mahal Listesi'!$J$5:$J$504=0)))</f>
        <v/>
      </c>
      <c r="H79" s="5" t="n"/>
    </row>
    <row r="80">
      <c r="A80" s="5" t="n"/>
      <c r="B80" s="5" t="n"/>
      <c r="C80" s="21">
        <f>IF(A80="","",SUMPRODUCT((('Metraj Mahal Listesi'!$A$5:$A$504=A80)+('Metraj Mahal Listesi'!$B$5:$B$504=A80)&gt;0)*'Metraj Mahal Listesi'!$K$5:$K$504))</f>
        <v/>
      </c>
      <c r="D80" s="27">
        <f>IF(OR(A80="",'Metraj Mahal Listesi'!$K$3=0),"",C80/'Metraj Mahal Listesi'!$K$3*100)</f>
        <v/>
      </c>
      <c r="E80" s="31">
        <f>IF(A80="","",SUMPRODUCT((('Metraj Mahal Listesi'!$A$5:$A$504=A80)+('Metraj Mahal Listesi'!$B$5:$B$504=A80)&gt;0)*('Metraj Mahal Listesi'!$C$5:$C$504&lt;&gt;"")))</f>
        <v/>
      </c>
      <c r="F80" s="31">
        <f>IF(A80="","",SUMPRODUCT((('Metraj Mahal Listesi'!$A$5:$A$504=A80)+('Metraj Mahal Listesi'!$B$5:$B$504=A80)&gt;0)*('Metraj Mahal Listesi'!$C$5:$C$504&lt;&gt;"")*(LEFT('Metraj Mahal Listesi'!$C$5:$C$504,1)&lt;&gt;"—")*('Metraj Mahal Listesi'!$F$5:$F$504="")))</f>
        <v/>
      </c>
      <c r="G80" s="31">
        <f>IF(A80="","",SUMPRODUCT((('Metraj Mahal Listesi'!$A$5:$A$504=A80)+('Metraj Mahal Listesi'!$B$5:$B$504=A80)&gt;0)*('Metraj Mahal Listesi'!$F$5:$F$504&lt;&gt;"")*(LEFT('Metraj Mahal Listesi'!$C$5:$C$504,1)&lt;&gt;"—")*('Metraj Mahal Listesi'!$J$5:$J$504=0)))</f>
        <v/>
      </c>
      <c r="H80" s="5" t="n"/>
    </row>
    <row r="81">
      <c r="A81" s="5" t="n"/>
      <c r="B81" s="5" t="n"/>
      <c r="C81" s="21">
        <f>IF(A81="","",SUMPRODUCT((('Metraj Mahal Listesi'!$A$5:$A$504=A81)+('Metraj Mahal Listesi'!$B$5:$B$504=A81)&gt;0)*'Metraj Mahal Listesi'!$K$5:$K$504))</f>
        <v/>
      </c>
      <c r="D81" s="27">
        <f>IF(OR(A81="",'Metraj Mahal Listesi'!$K$3=0),"",C81/'Metraj Mahal Listesi'!$K$3*100)</f>
        <v/>
      </c>
      <c r="E81" s="31">
        <f>IF(A81="","",SUMPRODUCT((('Metraj Mahal Listesi'!$A$5:$A$504=A81)+('Metraj Mahal Listesi'!$B$5:$B$504=A81)&gt;0)*('Metraj Mahal Listesi'!$C$5:$C$504&lt;&gt;"")))</f>
        <v/>
      </c>
      <c r="F81" s="31">
        <f>IF(A81="","",SUMPRODUCT((('Metraj Mahal Listesi'!$A$5:$A$504=A81)+('Metraj Mahal Listesi'!$B$5:$B$504=A81)&gt;0)*('Metraj Mahal Listesi'!$C$5:$C$504&lt;&gt;"")*(LEFT('Metraj Mahal Listesi'!$C$5:$C$504,1)&lt;&gt;"—")*('Metraj Mahal Listesi'!$F$5:$F$504="")))</f>
        <v/>
      </c>
      <c r="G81" s="31">
        <f>IF(A81="","",SUMPRODUCT((('Metraj Mahal Listesi'!$A$5:$A$504=A81)+('Metraj Mahal Listesi'!$B$5:$B$504=A81)&gt;0)*('Metraj Mahal Listesi'!$F$5:$F$504&lt;&gt;"")*(LEFT('Metraj Mahal Listesi'!$C$5:$C$504,1)&lt;&gt;"—")*('Metraj Mahal Listesi'!$J$5:$J$504=0)))</f>
        <v/>
      </c>
      <c r="H81" s="5" t="n"/>
    </row>
    <row r="82">
      <c r="A82" s="5" t="n"/>
      <c r="B82" s="5" t="n"/>
      <c r="C82" s="21">
        <f>IF(A82="","",SUMPRODUCT((('Metraj Mahal Listesi'!$A$5:$A$504=A82)+('Metraj Mahal Listesi'!$B$5:$B$504=A82)&gt;0)*'Metraj Mahal Listesi'!$K$5:$K$504))</f>
        <v/>
      </c>
      <c r="D82" s="27">
        <f>IF(OR(A82="",'Metraj Mahal Listesi'!$K$3=0),"",C82/'Metraj Mahal Listesi'!$K$3*100)</f>
        <v/>
      </c>
      <c r="E82" s="31">
        <f>IF(A82="","",SUMPRODUCT((('Metraj Mahal Listesi'!$A$5:$A$504=A82)+('Metraj Mahal Listesi'!$B$5:$B$504=A82)&gt;0)*('Metraj Mahal Listesi'!$C$5:$C$504&lt;&gt;"")))</f>
        <v/>
      </c>
      <c r="F82" s="31">
        <f>IF(A82="","",SUMPRODUCT((('Metraj Mahal Listesi'!$A$5:$A$504=A82)+('Metraj Mahal Listesi'!$B$5:$B$504=A82)&gt;0)*('Metraj Mahal Listesi'!$C$5:$C$504&lt;&gt;"")*(LEFT('Metraj Mahal Listesi'!$C$5:$C$504,1)&lt;&gt;"—")*('Metraj Mahal Listesi'!$F$5:$F$504="")))</f>
        <v/>
      </c>
      <c r="G82" s="31">
        <f>IF(A82="","",SUMPRODUCT((('Metraj Mahal Listesi'!$A$5:$A$504=A82)+('Metraj Mahal Listesi'!$B$5:$B$504=A82)&gt;0)*('Metraj Mahal Listesi'!$F$5:$F$504&lt;&gt;"")*(LEFT('Metraj Mahal Listesi'!$C$5:$C$504,1)&lt;&gt;"—")*('Metraj Mahal Listesi'!$J$5:$J$504=0)))</f>
        <v/>
      </c>
      <c r="H82" s="5" t="n"/>
    </row>
    <row r="83">
      <c r="A83" s="5" t="n"/>
      <c r="B83" s="5" t="n"/>
      <c r="C83" s="21">
        <f>IF(A83="","",SUMPRODUCT((('Metraj Mahal Listesi'!$A$5:$A$504=A83)+('Metraj Mahal Listesi'!$B$5:$B$504=A83)&gt;0)*'Metraj Mahal Listesi'!$K$5:$K$504))</f>
        <v/>
      </c>
      <c r="D83" s="27">
        <f>IF(OR(A83="",'Metraj Mahal Listesi'!$K$3=0),"",C83/'Metraj Mahal Listesi'!$K$3*100)</f>
        <v/>
      </c>
      <c r="E83" s="31">
        <f>IF(A83="","",SUMPRODUCT((('Metraj Mahal Listesi'!$A$5:$A$504=A83)+('Metraj Mahal Listesi'!$B$5:$B$504=A83)&gt;0)*('Metraj Mahal Listesi'!$C$5:$C$504&lt;&gt;"")))</f>
        <v/>
      </c>
      <c r="F83" s="31">
        <f>IF(A83="","",SUMPRODUCT((('Metraj Mahal Listesi'!$A$5:$A$504=A83)+('Metraj Mahal Listesi'!$B$5:$B$504=A83)&gt;0)*('Metraj Mahal Listesi'!$C$5:$C$504&lt;&gt;"")*(LEFT('Metraj Mahal Listesi'!$C$5:$C$504,1)&lt;&gt;"—")*('Metraj Mahal Listesi'!$F$5:$F$504="")))</f>
        <v/>
      </c>
      <c r="G83" s="31">
        <f>IF(A83="","",SUMPRODUCT((('Metraj Mahal Listesi'!$A$5:$A$504=A83)+('Metraj Mahal Listesi'!$B$5:$B$504=A83)&gt;0)*('Metraj Mahal Listesi'!$F$5:$F$504&lt;&gt;"")*(LEFT('Metraj Mahal Listesi'!$C$5:$C$504,1)&lt;&gt;"—")*('Metraj Mahal Listesi'!$J$5:$J$504=0)))</f>
        <v/>
      </c>
      <c r="H83" s="5" t="n"/>
    </row>
    <row r="84">
      <c r="A84" s="5" t="n"/>
      <c r="B84" s="5" t="n"/>
      <c r="C84" s="21">
        <f>IF(A84="","",SUMPRODUCT((('Metraj Mahal Listesi'!$A$5:$A$504=A84)+('Metraj Mahal Listesi'!$B$5:$B$504=A84)&gt;0)*'Metraj Mahal Listesi'!$K$5:$K$504))</f>
        <v/>
      </c>
      <c r="D84" s="27">
        <f>IF(OR(A84="",'Metraj Mahal Listesi'!$K$3=0),"",C84/'Metraj Mahal Listesi'!$K$3*100)</f>
        <v/>
      </c>
      <c r="E84" s="31">
        <f>IF(A84="","",SUMPRODUCT((('Metraj Mahal Listesi'!$A$5:$A$504=A84)+('Metraj Mahal Listesi'!$B$5:$B$504=A84)&gt;0)*('Metraj Mahal Listesi'!$C$5:$C$504&lt;&gt;"")))</f>
        <v/>
      </c>
      <c r="F84" s="31">
        <f>IF(A84="","",SUMPRODUCT((('Metraj Mahal Listesi'!$A$5:$A$504=A84)+('Metraj Mahal Listesi'!$B$5:$B$504=A84)&gt;0)*('Metraj Mahal Listesi'!$C$5:$C$504&lt;&gt;"")*(LEFT('Metraj Mahal Listesi'!$C$5:$C$504,1)&lt;&gt;"—")*('Metraj Mahal Listesi'!$F$5:$F$504="")))</f>
        <v/>
      </c>
      <c r="G84" s="31">
        <f>IF(A84="","",SUMPRODUCT((('Metraj Mahal Listesi'!$A$5:$A$504=A84)+('Metraj Mahal Listesi'!$B$5:$B$504=A84)&gt;0)*('Metraj Mahal Listesi'!$F$5:$F$504&lt;&gt;"")*(LEFT('Metraj Mahal Listesi'!$C$5:$C$504,1)&lt;&gt;"—")*('Metraj Mahal Listesi'!$J$5:$J$504=0)))</f>
        <v/>
      </c>
      <c r="H84" s="5" t="n"/>
    </row>
    <row r="85">
      <c r="A85" s="5" t="n"/>
      <c r="B85" s="5" t="n"/>
      <c r="C85" s="21">
        <f>IF(A85="","",SUMPRODUCT((('Metraj Mahal Listesi'!$A$5:$A$504=A85)+('Metraj Mahal Listesi'!$B$5:$B$504=A85)&gt;0)*'Metraj Mahal Listesi'!$K$5:$K$504))</f>
        <v/>
      </c>
      <c r="D85" s="27">
        <f>IF(OR(A85="",'Metraj Mahal Listesi'!$K$3=0),"",C85/'Metraj Mahal Listesi'!$K$3*100)</f>
        <v/>
      </c>
      <c r="E85" s="31">
        <f>IF(A85="","",SUMPRODUCT((('Metraj Mahal Listesi'!$A$5:$A$504=A85)+('Metraj Mahal Listesi'!$B$5:$B$504=A85)&gt;0)*('Metraj Mahal Listesi'!$C$5:$C$504&lt;&gt;"")))</f>
        <v/>
      </c>
      <c r="F85" s="31">
        <f>IF(A85="","",SUMPRODUCT((('Metraj Mahal Listesi'!$A$5:$A$504=A85)+('Metraj Mahal Listesi'!$B$5:$B$504=A85)&gt;0)*('Metraj Mahal Listesi'!$C$5:$C$504&lt;&gt;"")*(LEFT('Metraj Mahal Listesi'!$C$5:$C$504,1)&lt;&gt;"—")*('Metraj Mahal Listesi'!$F$5:$F$504="")))</f>
        <v/>
      </c>
      <c r="G85" s="31">
        <f>IF(A85="","",SUMPRODUCT((('Metraj Mahal Listesi'!$A$5:$A$504=A85)+('Metraj Mahal Listesi'!$B$5:$B$504=A85)&gt;0)*('Metraj Mahal Listesi'!$F$5:$F$504&lt;&gt;"")*(LEFT('Metraj Mahal Listesi'!$C$5:$C$504,1)&lt;&gt;"—")*('Metraj Mahal Listesi'!$J$5:$J$504=0)))</f>
        <v/>
      </c>
      <c r="H85" s="5" t="n"/>
    </row>
    <row r="86">
      <c r="A86" s="5" t="n"/>
      <c r="B86" s="5" t="n"/>
      <c r="C86" s="21">
        <f>IF(A86="","",SUMPRODUCT((('Metraj Mahal Listesi'!$A$5:$A$504=A86)+('Metraj Mahal Listesi'!$B$5:$B$504=A86)&gt;0)*'Metraj Mahal Listesi'!$K$5:$K$504))</f>
        <v/>
      </c>
      <c r="D86" s="27">
        <f>IF(OR(A86="",'Metraj Mahal Listesi'!$K$3=0),"",C86/'Metraj Mahal Listesi'!$K$3*100)</f>
        <v/>
      </c>
      <c r="E86" s="31">
        <f>IF(A86="","",SUMPRODUCT((('Metraj Mahal Listesi'!$A$5:$A$504=A86)+('Metraj Mahal Listesi'!$B$5:$B$504=A86)&gt;0)*('Metraj Mahal Listesi'!$C$5:$C$504&lt;&gt;"")))</f>
        <v/>
      </c>
      <c r="F86" s="31">
        <f>IF(A86="","",SUMPRODUCT((('Metraj Mahal Listesi'!$A$5:$A$504=A86)+('Metraj Mahal Listesi'!$B$5:$B$504=A86)&gt;0)*('Metraj Mahal Listesi'!$C$5:$C$504&lt;&gt;"")*(LEFT('Metraj Mahal Listesi'!$C$5:$C$504,1)&lt;&gt;"—")*('Metraj Mahal Listesi'!$F$5:$F$504="")))</f>
        <v/>
      </c>
      <c r="G86" s="31">
        <f>IF(A86="","",SUMPRODUCT((('Metraj Mahal Listesi'!$A$5:$A$504=A86)+('Metraj Mahal Listesi'!$B$5:$B$504=A86)&gt;0)*('Metraj Mahal Listesi'!$F$5:$F$504&lt;&gt;"")*(LEFT('Metraj Mahal Listesi'!$C$5:$C$504,1)&lt;&gt;"—")*('Metraj Mahal Listesi'!$J$5:$J$504=0)))</f>
        <v/>
      </c>
      <c r="H86" s="5" t="n"/>
    </row>
    <row r="87">
      <c r="A87" s="5" t="n"/>
      <c r="B87" s="5" t="n"/>
      <c r="C87" s="21">
        <f>IF(A87="","",SUMPRODUCT((('Metraj Mahal Listesi'!$A$5:$A$504=A87)+('Metraj Mahal Listesi'!$B$5:$B$504=A87)&gt;0)*'Metraj Mahal Listesi'!$K$5:$K$504))</f>
        <v/>
      </c>
      <c r="D87" s="27">
        <f>IF(OR(A87="",'Metraj Mahal Listesi'!$K$3=0),"",C87/'Metraj Mahal Listesi'!$K$3*100)</f>
        <v/>
      </c>
      <c r="E87" s="31">
        <f>IF(A87="","",SUMPRODUCT((('Metraj Mahal Listesi'!$A$5:$A$504=A87)+('Metraj Mahal Listesi'!$B$5:$B$504=A87)&gt;0)*('Metraj Mahal Listesi'!$C$5:$C$504&lt;&gt;"")))</f>
        <v/>
      </c>
      <c r="F87" s="31">
        <f>IF(A87="","",SUMPRODUCT((('Metraj Mahal Listesi'!$A$5:$A$504=A87)+('Metraj Mahal Listesi'!$B$5:$B$504=A87)&gt;0)*('Metraj Mahal Listesi'!$C$5:$C$504&lt;&gt;"")*(LEFT('Metraj Mahal Listesi'!$C$5:$C$504,1)&lt;&gt;"—")*('Metraj Mahal Listesi'!$F$5:$F$504="")))</f>
        <v/>
      </c>
      <c r="G87" s="31">
        <f>IF(A87="","",SUMPRODUCT((('Metraj Mahal Listesi'!$A$5:$A$504=A87)+('Metraj Mahal Listesi'!$B$5:$B$504=A87)&gt;0)*('Metraj Mahal Listesi'!$F$5:$F$504&lt;&gt;"")*(LEFT('Metraj Mahal Listesi'!$C$5:$C$504,1)&lt;&gt;"—")*('Metraj Mahal Listesi'!$J$5:$J$504=0)))</f>
        <v/>
      </c>
      <c r="H87" s="5" t="n"/>
    </row>
    <row r="88">
      <c r="A88" s="5" t="n"/>
      <c r="B88" s="5" t="n"/>
      <c r="C88" s="21">
        <f>IF(A88="","",SUMPRODUCT((('Metraj Mahal Listesi'!$A$5:$A$504=A88)+('Metraj Mahal Listesi'!$B$5:$B$504=A88)&gt;0)*'Metraj Mahal Listesi'!$K$5:$K$504))</f>
        <v/>
      </c>
      <c r="D88" s="27">
        <f>IF(OR(A88="",'Metraj Mahal Listesi'!$K$3=0),"",C88/'Metraj Mahal Listesi'!$K$3*100)</f>
        <v/>
      </c>
      <c r="E88" s="31">
        <f>IF(A88="","",SUMPRODUCT((('Metraj Mahal Listesi'!$A$5:$A$504=A88)+('Metraj Mahal Listesi'!$B$5:$B$504=A88)&gt;0)*('Metraj Mahal Listesi'!$C$5:$C$504&lt;&gt;"")))</f>
        <v/>
      </c>
      <c r="F88" s="31">
        <f>IF(A88="","",SUMPRODUCT((('Metraj Mahal Listesi'!$A$5:$A$504=A88)+('Metraj Mahal Listesi'!$B$5:$B$504=A88)&gt;0)*('Metraj Mahal Listesi'!$C$5:$C$504&lt;&gt;"")*(LEFT('Metraj Mahal Listesi'!$C$5:$C$504,1)&lt;&gt;"—")*('Metraj Mahal Listesi'!$F$5:$F$504="")))</f>
        <v/>
      </c>
      <c r="G88" s="31">
        <f>IF(A88="","",SUMPRODUCT((('Metraj Mahal Listesi'!$A$5:$A$504=A88)+('Metraj Mahal Listesi'!$B$5:$B$504=A88)&gt;0)*('Metraj Mahal Listesi'!$F$5:$F$504&lt;&gt;"")*(LEFT('Metraj Mahal Listesi'!$C$5:$C$504,1)&lt;&gt;"—")*('Metraj Mahal Listesi'!$J$5:$J$504=0)))</f>
        <v/>
      </c>
      <c r="H88" s="5" t="n"/>
    </row>
    <row r="89">
      <c r="A89" s="5" t="n"/>
      <c r="B89" s="5" t="n"/>
      <c r="C89" s="21">
        <f>IF(A89="","",SUMPRODUCT((('Metraj Mahal Listesi'!$A$5:$A$504=A89)+('Metraj Mahal Listesi'!$B$5:$B$504=A89)&gt;0)*'Metraj Mahal Listesi'!$K$5:$K$504))</f>
        <v/>
      </c>
      <c r="D89" s="27">
        <f>IF(OR(A89="",'Metraj Mahal Listesi'!$K$3=0),"",C89/'Metraj Mahal Listesi'!$K$3*100)</f>
        <v/>
      </c>
      <c r="E89" s="31">
        <f>IF(A89="","",SUMPRODUCT((('Metraj Mahal Listesi'!$A$5:$A$504=A89)+('Metraj Mahal Listesi'!$B$5:$B$504=A89)&gt;0)*('Metraj Mahal Listesi'!$C$5:$C$504&lt;&gt;"")))</f>
        <v/>
      </c>
      <c r="F89" s="31">
        <f>IF(A89="","",SUMPRODUCT((('Metraj Mahal Listesi'!$A$5:$A$504=A89)+('Metraj Mahal Listesi'!$B$5:$B$504=A89)&gt;0)*('Metraj Mahal Listesi'!$C$5:$C$504&lt;&gt;"")*(LEFT('Metraj Mahal Listesi'!$C$5:$C$504,1)&lt;&gt;"—")*('Metraj Mahal Listesi'!$F$5:$F$504="")))</f>
        <v/>
      </c>
      <c r="G89" s="31">
        <f>IF(A89="","",SUMPRODUCT((('Metraj Mahal Listesi'!$A$5:$A$504=A89)+('Metraj Mahal Listesi'!$B$5:$B$504=A89)&gt;0)*('Metraj Mahal Listesi'!$F$5:$F$504&lt;&gt;"")*(LEFT('Metraj Mahal Listesi'!$C$5:$C$504,1)&lt;&gt;"—")*('Metraj Mahal Listesi'!$J$5:$J$504=0)))</f>
        <v/>
      </c>
      <c r="H89" s="5" t="n"/>
    </row>
    <row r="90">
      <c r="A90" s="5" t="n"/>
      <c r="B90" s="5" t="n"/>
      <c r="C90" s="21">
        <f>IF(A90="","",SUMPRODUCT((('Metraj Mahal Listesi'!$A$5:$A$504=A90)+('Metraj Mahal Listesi'!$B$5:$B$504=A90)&gt;0)*'Metraj Mahal Listesi'!$K$5:$K$504))</f>
        <v/>
      </c>
      <c r="D90" s="27">
        <f>IF(OR(A90="",'Metraj Mahal Listesi'!$K$3=0),"",C90/'Metraj Mahal Listesi'!$K$3*100)</f>
        <v/>
      </c>
      <c r="E90" s="31">
        <f>IF(A90="","",SUMPRODUCT((('Metraj Mahal Listesi'!$A$5:$A$504=A90)+('Metraj Mahal Listesi'!$B$5:$B$504=A90)&gt;0)*('Metraj Mahal Listesi'!$C$5:$C$504&lt;&gt;"")))</f>
        <v/>
      </c>
      <c r="F90" s="31">
        <f>IF(A90="","",SUMPRODUCT((('Metraj Mahal Listesi'!$A$5:$A$504=A90)+('Metraj Mahal Listesi'!$B$5:$B$504=A90)&gt;0)*('Metraj Mahal Listesi'!$C$5:$C$504&lt;&gt;"")*(LEFT('Metraj Mahal Listesi'!$C$5:$C$504,1)&lt;&gt;"—")*('Metraj Mahal Listesi'!$F$5:$F$504="")))</f>
        <v/>
      </c>
      <c r="G90" s="31">
        <f>IF(A90="","",SUMPRODUCT((('Metraj Mahal Listesi'!$A$5:$A$504=A90)+('Metraj Mahal Listesi'!$B$5:$B$504=A90)&gt;0)*('Metraj Mahal Listesi'!$F$5:$F$504&lt;&gt;"")*(LEFT('Metraj Mahal Listesi'!$C$5:$C$504,1)&lt;&gt;"—")*('Metraj Mahal Listesi'!$J$5:$J$504=0)))</f>
        <v/>
      </c>
      <c r="H90" s="5" t="n"/>
    </row>
    <row r="91">
      <c r="A91" s="5" t="n"/>
      <c r="B91" s="5" t="n"/>
      <c r="C91" s="21">
        <f>IF(A91="","",SUMPRODUCT((('Metraj Mahal Listesi'!$A$5:$A$504=A91)+('Metraj Mahal Listesi'!$B$5:$B$504=A91)&gt;0)*'Metraj Mahal Listesi'!$K$5:$K$504))</f>
        <v/>
      </c>
      <c r="D91" s="27">
        <f>IF(OR(A91="",'Metraj Mahal Listesi'!$K$3=0),"",C91/'Metraj Mahal Listesi'!$K$3*100)</f>
        <v/>
      </c>
      <c r="E91" s="31">
        <f>IF(A91="","",SUMPRODUCT((('Metraj Mahal Listesi'!$A$5:$A$504=A91)+('Metraj Mahal Listesi'!$B$5:$B$504=A91)&gt;0)*('Metraj Mahal Listesi'!$C$5:$C$504&lt;&gt;"")))</f>
        <v/>
      </c>
      <c r="F91" s="31">
        <f>IF(A91="","",SUMPRODUCT((('Metraj Mahal Listesi'!$A$5:$A$504=A91)+('Metraj Mahal Listesi'!$B$5:$B$504=A91)&gt;0)*('Metraj Mahal Listesi'!$C$5:$C$504&lt;&gt;"")*(LEFT('Metraj Mahal Listesi'!$C$5:$C$504,1)&lt;&gt;"—")*('Metraj Mahal Listesi'!$F$5:$F$504="")))</f>
        <v/>
      </c>
      <c r="G91" s="31">
        <f>IF(A91="","",SUMPRODUCT((('Metraj Mahal Listesi'!$A$5:$A$504=A91)+('Metraj Mahal Listesi'!$B$5:$B$504=A91)&gt;0)*('Metraj Mahal Listesi'!$F$5:$F$504&lt;&gt;"")*(LEFT('Metraj Mahal Listesi'!$C$5:$C$504,1)&lt;&gt;"—")*('Metraj Mahal Listesi'!$J$5:$J$504=0)))</f>
        <v/>
      </c>
      <c r="H91" s="5" t="n"/>
    </row>
    <row r="92">
      <c r="A92" s="5" t="n"/>
      <c r="B92" s="5" t="n"/>
      <c r="C92" s="21">
        <f>IF(A92="","",SUMPRODUCT((('Metraj Mahal Listesi'!$A$5:$A$504=A92)+('Metraj Mahal Listesi'!$B$5:$B$504=A92)&gt;0)*'Metraj Mahal Listesi'!$K$5:$K$504))</f>
        <v/>
      </c>
      <c r="D92" s="27">
        <f>IF(OR(A92="",'Metraj Mahal Listesi'!$K$3=0),"",C92/'Metraj Mahal Listesi'!$K$3*100)</f>
        <v/>
      </c>
      <c r="E92" s="31">
        <f>IF(A92="","",SUMPRODUCT((('Metraj Mahal Listesi'!$A$5:$A$504=A92)+('Metraj Mahal Listesi'!$B$5:$B$504=A92)&gt;0)*('Metraj Mahal Listesi'!$C$5:$C$504&lt;&gt;"")))</f>
        <v/>
      </c>
      <c r="F92" s="31">
        <f>IF(A92="","",SUMPRODUCT((('Metraj Mahal Listesi'!$A$5:$A$504=A92)+('Metraj Mahal Listesi'!$B$5:$B$504=A92)&gt;0)*('Metraj Mahal Listesi'!$C$5:$C$504&lt;&gt;"")*(LEFT('Metraj Mahal Listesi'!$C$5:$C$504,1)&lt;&gt;"—")*('Metraj Mahal Listesi'!$F$5:$F$504="")))</f>
        <v/>
      </c>
      <c r="G92" s="31">
        <f>IF(A92="","",SUMPRODUCT((('Metraj Mahal Listesi'!$A$5:$A$504=A92)+('Metraj Mahal Listesi'!$B$5:$B$504=A92)&gt;0)*('Metraj Mahal Listesi'!$F$5:$F$504&lt;&gt;"")*(LEFT('Metraj Mahal Listesi'!$C$5:$C$504,1)&lt;&gt;"—")*('Metraj Mahal Listesi'!$J$5:$J$504=0)))</f>
        <v/>
      </c>
      <c r="H92" s="5" t="n"/>
    </row>
    <row r="93">
      <c r="A93" s="5" t="n"/>
      <c r="B93" s="5" t="n"/>
      <c r="C93" s="21">
        <f>IF(A93="","",SUMPRODUCT((('Metraj Mahal Listesi'!$A$5:$A$504=A93)+('Metraj Mahal Listesi'!$B$5:$B$504=A93)&gt;0)*'Metraj Mahal Listesi'!$K$5:$K$504))</f>
        <v/>
      </c>
      <c r="D93" s="27">
        <f>IF(OR(A93="",'Metraj Mahal Listesi'!$K$3=0),"",C93/'Metraj Mahal Listesi'!$K$3*100)</f>
        <v/>
      </c>
      <c r="E93" s="31">
        <f>IF(A93="","",SUMPRODUCT((('Metraj Mahal Listesi'!$A$5:$A$504=A93)+('Metraj Mahal Listesi'!$B$5:$B$504=A93)&gt;0)*('Metraj Mahal Listesi'!$C$5:$C$504&lt;&gt;"")))</f>
        <v/>
      </c>
      <c r="F93" s="31">
        <f>IF(A93="","",SUMPRODUCT((('Metraj Mahal Listesi'!$A$5:$A$504=A93)+('Metraj Mahal Listesi'!$B$5:$B$504=A93)&gt;0)*('Metraj Mahal Listesi'!$C$5:$C$504&lt;&gt;"")*(LEFT('Metraj Mahal Listesi'!$C$5:$C$504,1)&lt;&gt;"—")*('Metraj Mahal Listesi'!$F$5:$F$504="")))</f>
        <v/>
      </c>
      <c r="G93" s="31">
        <f>IF(A93="","",SUMPRODUCT((('Metraj Mahal Listesi'!$A$5:$A$504=A93)+('Metraj Mahal Listesi'!$B$5:$B$504=A93)&gt;0)*('Metraj Mahal Listesi'!$F$5:$F$504&lt;&gt;"")*(LEFT('Metraj Mahal Listesi'!$C$5:$C$504,1)&lt;&gt;"—")*('Metraj Mahal Listesi'!$J$5:$J$504=0)))</f>
        <v/>
      </c>
      <c r="H93" s="5" t="n"/>
    </row>
    <row r="94">
      <c r="A94" s="5" t="n"/>
      <c r="B94" s="5" t="n"/>
      <c r="C94" s="21">
        <f>IF(A94="","",SUMPRODUCT((('Metraj Mahal Listesi'!$A$5:$A$504=A94)+('Metraj Mahal Listesi'!$B$5:$B$504=A94)&gt;0)*'Metraj Mahal Listesi'!$K$5:$K$504))</f>
        <v/>
      </c>
      <c r="D94" s="27">
        <f>IF(OR(A94="",'Metraj Mahal Listesi'!$K$3=0),"",C94/'Metraj Mahal Listesi'!$K$3*100)</f>
        <v/>
      </c>
      <c r="E94" s="31">
        <f>IF(A94="","",SUMPRODUCT((('Metraj Mahal Listesi'!$A$5:$A$504=A94)+('Metraj Mahal Listesi'!$B$5:$B$504=A94)&gt;0)*('Metraj Mahal Listesi'!$C$5:$C$504&lt;&gt;"")))</f>
        <v/>
      </c>
      <c r="F94" s="31">
        <f>IF(A94="","",SUMPRODUCT((('Metraj Mahal Listesi'!$A$5:$A$504=A94)+('Metraj Mahal Listesi'!$B$5:$B$504=A94)&gt;0)*('Metraj Mahal Listesi'!$C$5:$C$504&lt;&gt;"")*(LEFT('Metraj Mahal Listesi'!$C$5:$C$504,1)&lt;&gt;"—")*('Metraj Mahal Listesi'!$F$5:$F$504="")))</f>
        <v/>
      </c>
      <c r="G94" s="31">
        <f>IF(A94="","",SUMPRODUCT((('Metraj Mahal Listesi'!$A$5:$A$504=A94)+('Metraj Mahal Listesi'!$B$5:$B$504=A94)&gt;0)*('Metraj Mahal Listesi'!$F$5:$F$504&lt;&gt;"")*(LEFT('Metraj Mahal Listesi'!$C$5:$C$504,1)&lt;&gt;"—")*('Metraj Mahal Listesi'!$J$5:$J$504=0)))</f>
        <v/>
      </c>
      <c r="H94" s="5" t="n"/>
    </row>
    <row r="95">
      <c r="A95" s="5" t="n"/>
      <c r="B95" s="5" t="n"/>
      <c r="C95" s="21">
        <f>IF(A95="","",SUMPRODUCT((('Metraj Mahal Listesi'!$A$5:$A$504=A95)+('Metraj Mahal Listesi'!$B$5:$B$504=A95)&gt;0)*'Metraj Mahal Listesi'!$K$5:$K$504))</f>
        <v/>
      </c>
      <c r="D95" s="27">
        <f>IF(OR(A95="",'Metraj Mahal Listesi'!$K$3=0),"",C95/'Metraj Mahal Listesi'!$K$3*100)</f>
        <v/>
      </c>
      <c r="E95" s="31">
        <f>IF(A95="","",SUMPRODUCT((('Metraj Mahal Listesi'!$A$5:$A$504=A95)+('Metraj Mahal Listesi'!$B$5:$B$504=A95)&gt;0)*('Metraj Mahal Listesi'!$C$5:$C$504&lt;&gt;"")))</f>
        <v/>
      </c>
      <c r="F95" s="31">
        <f>IF(A95="","",SUMPRODUCT((('Metraj Mahal Listesi'!$A$5:$A$504=A95)+('Metraj Mahal Listesi'!$B$5:$B$504=A95)&gt;0)*('Metraj Mahal Listesi'!$C$5:$C$504&lt;&gt;"")*(LEFT('Metraj Mahal Listesi'!$C$5:$C$504,1)&lt;&gt;"—")*('Metraj Mahal Listesi'!$F$5:$F$504="")))</f>
        <v/>
      </c>
      <c r="G95" s="31">
        <f>IF(A95="","",SUMPRODUCT((('Metraj Mahal Listesi'!$A$5:$A$504=A95)+('Metraj Mahal Listesi'!$B$5:$B$504=A95)&gt;0)*('Metraj Mahal Listesi'!$F$5:$F$504&lt;&gt;"")*(LEFT('Metraj Mahal Listesi'!$C$5:$C$504,1)&lt;&gt;"—")*('Metraj Mahal Listesi'!$J$5:$J$504=0)))</f>
        <v/>
      </c>
      <c r="H95" s="5" t="n"/>
    </row>
    <row r="96">
      <c r="A96" s="5" t="n"/>
      <c r="B96" s="5" t="n"/>
      <c r="C96" s="21">
        <f>IF(A96="","",SUMPRODUCT((('Metraj Mahal Listesi'!$A$5:$A$504=A96)+('Metraj Mahal Listesi'!$B$5:$B$504=A96)&gt;0)*'Metraj Mahal Listesi'!$K$5:$K$504))</f>
        <v/>
      </c>
      <c r="D96" s="27">
        <f>IF(OR(A96="",'Metraj Mahal Listesi'!$K$3=0),"",C96/'Metraj Mahal Listesi'!$K$3*100)</f>
        <v/>
      </c>
      <c r="E96" s="31">
        <f>IF(A96="","",SUMPRODUCT((('Metraj Mahal Listesi'!$A$5:$A$504=A96)+('Metraj Mahal Listesi'!$B$5:$B$504=A96)&gt;0)*('Metraj Mahal Listesi'!$C$5:$C$504&lt;&gt;"")))</f>
        <v/>
      </c>
      <c r="F96" s="31">
        <f>IF(A96="","",SUMPRODUCT((('Metraj Mahal Listesi'!$A$5:$A$504=A96)+('Metraj Mahal Listesi'!$B$5:$B$504=A96)&gt;0)*('Metraj Mahal Listesi'!$C$5:$C$504&lt;&gt;"")*(LEFT('Metraj Mahal Listesi'!$C$5:$C$504,1)&lt;&gt;"—")*('Metraj Mahal Listesi'!$F$5:$F$504="")))</f>
        <v/>
      </c>
      <c r="G96" s="31">
        <f>IF(A96="","",SUMPRODUCT((('Metraj Mahal Listesi'!$A$5:$A$504=A96)+('Metraj Mahal Listesi'!$B$5:$B$504=A96)&gt;0)*('Metraj Mahal Listesi'!$F$5:$F$504&lt;&gt;"")*(LEFT('Metraj Mahal Listesi'!$C$5:$C$504,1)&lt;&gt;"—")*('Metraj Mahal Listesi'!$J$5:$J$504=0)))</f>
        <v/>
      </c>
      <c r="H96" s="5" t="n"/>
    </row>
    <row r="97">
      <c r="A97" s="5" t="n"/>
      <c r="B97" s="5" t="n"/>
      <c r="C97" s="21">
        <f>IF(A97="","",SUMPRODUCT((('Metraj Mahal Listesi'!$A$5:$A$504=A97)+('Metraj Mahal Listesi'!$B$5:$B$504=A97)&gt;0)*'Metraj Mahal Listesi'!$K$5:$K$504))</f>
        <v/>
      </c>
      <c r="D97" s="27">
        <f>IF(OR(A97="",'Metraj Mahal Listesi'!$K$3=0),"",C97/'Metraj Mahal Listesi'!$K$3*100)</f>
        <v/>
      </c>
      <c r="E97" s="31">
        <f>IF(A97="","",SUMPRODUCT((('Metraj Mahal Listesi'!$A$5:$A$504=A97)+('Metraj Mahal Listesi'!$B$5:$B$504=A97)&gt;0)*('Metraj Mahal Listesi'!$C$5:$C$504&lt;&gt;"")))</f>
        <v/>
      </c>
      <c r="F97" s="31">
        <f>IF(A97="","",SUMPRODUCT((('Metraj Mahal Listesi'!$A$5:$A$504=A97)+('Metraj Mahal Listesi'!$B$5:$B$504=A97)&gt;0)*('Metraj Mahal Listesi'!$C$5:$C$504&lt;&gt;"")*(LEFT('Metraj Mahal Listesi'!$C$5:$C$504,1)&lt;&gt;"—")*('Metraj Mahal Listesi'!$F$5:$F$504="")))</f>
        <v/>
      </c>
      <c r="G97" s="31">
        <f>IF(A97="","",SUMPRODUCT((('Metraj Mahal Listesi'!$A$5:$A$504=A97)+('Metraj Mahal Listesi'!$B$5:$B$504=A97)&gt;0)*('Metraj Mahal Listesi'!$F$5:$F$504&lt;&gt;"")*(LEFT('Metraj Mahal Listesi'!$C$5:$C$504,1)&lt;&gt;"—")*('Metraj Mahal Listesi'!$J$5:$J$504=0)))</f>
        <v/>
      </c>
      <c r="H97" s="5" t="n"/>
    </row>
    <row r="98">
      <c r="A98" s="5" t="n"/>
      <c r="B98" s="5" t="n"/>
      <c r="C98" s="21">
        <f>IF(A98="","",SUMPRODUCT((('Metraj Mahal Listesi'!$A$5:$A$504=A98)+('Metraj Mahal Listesi'!$B$5:$B$504=A98)&gt;0)*'Metraj Mahal Listesi'!$K$5:$K$504))</f>
        <v/>
      </c>
      <c r="D98" s="27">
        <f>IF(OR(A98="",'Metraj Mahal Listesi'!$K$3=0),"",C98/'Metraj Mahal Listesi'!$K$3*100)</f>
        <v/>
      </c>
      <c r="E98" s="31">
        <f>IF(A98="","",SUMPRODUCT((('Metraj Mahal Listesi'!$A$5:$A$504=A98)+('Metraj Mahal Listesi'!$B$5:$B$504=A98)&gt;0)*('Metraj Mahal Listesi'!$C$5:$C$504&lt;&gt;"")))</f>
        <v/>
      </c>
      <c r="F98" s="31">
        <f>IF(A98="","",SUMPRODUCT((('Metraj Mahal Listesi'!$A$5:$A$504=A98)+('Metraj Mahal Listesi'!$B$5:$B$504=A98)&gt;0)*('Metraj Mahal Listesi'!$C$5:$C$504&lt;&gt;"")*(LEFT('Metraj Mahal Listesi'!$C$5:$C$504,1)&lt;&gt;"—")*('Metraj Mahal Listesi'!$F$5:$F$504="")))</f>
        <v/>
      </c>
      <c r="G98" s="31">
        <f>IF(A98="","",SUMPRODUCT((('Metraj Mahal Listesi'!$A$5:$A$504=A98)+('Metraj Mahal Listesi'!$B$5:$B$504=A98)&gt;0)*('Metraj Mahal Listesi'!$F$5:$F$504&lt;&gt;"")*(LEFT('Metraj Mahal Listesi'!$C$5:$C$504,1)&lt;&gt;"—")*('Metraj Mahal Listesi'!$J$5:$J$504=0)))</f>
        <v/>
      </c>
      <c r="H98" s="5" t="n"/>
    </row>
    <row r="99">
      <c r="A99" s="5" t="n"/>
      <c r="B99" s="5" t="n"/>
      <c r="C99" s="21">
        <f>IF(A99="","",SUMPRODUCT((('Metraj Mahal Listesi'!$A$5:$A$504=A99)+('Metraj Mahal Listesi'!$B$5:$B$504=A99)&gt;0)*'Metraj Mahal Listesi'!$K$5:$K$504))</f>
        <v/>
      </c>
      <c r="D99" s="27">
        <f>IF(OR(A99="",'Metraj Mahal Listesi'!$K$3=0),"",C99/'Metraj Mahal Listesi'!$K$3*100)</f>
        <v/>
      </c>
      <c r="E99" s="31">
        <f>IF(A99="","",SUMPRODUCT((('Metraj Mahal Listesi'!$A$5:$A$504=A99)+('Metraj Mahal Listesi'!$B$5:$B$504=A99)&gt;0)*('Metraj Mahal Listesi'!$C$5:$C$504&lt;&gt;"")))</f>
        <v/>
      </c>
      <c r="F99" s="31">
        <f>IF(A99="","",SUMPRODUCT((('Metraj Mahal Listesi'!$A$5:$A$504=A99)+('Metraj Mahal Listesi'!$B$5:$B$504=A99)&gt;0)*('Metraj Mahal Listesi'!$C$5:$C$504&lt;&gt;"")*(LEFT('Metraj Mahal Listesi'!$C$5:$C$504,1)&lt;&gt;"—")*('Metraj Mahal Listesi'!$F$5:$F$504="")))</f>
        <v/>
      </c>
      <c r="G99" s="31">
        <f>IF(A99="","",SUMPRODUCT((('Metraj Mahal Listesi'!$A$5:$A$504=A99)+('Metraj Mahal Listesi'!$B$5:$B$504=A99)&gt;0)*('Metraj Mahal Listesi'!$F$5:$F$504&lt;&gt;"")*(LEFT('Metraj Mahal Listesi'!$C$5:$C$504,1)&lt;&gt;"—")*('Metraj Mahal Listesi'!$J$5:$J$504=0)))</f>
        <v/>
      </c>
      <c r="H99" s="5" t="n"/>
    </row>
    <row r="100">
      <c r="A100" s="5" t="n"/>
      <c r="B100" s="5" t="n"/>
      <c r="C100" s="21">
        <f>IF(A100="","",SUMPRODUCT((('Metraj Mahal Listesi'!$A$5:$A$504=A100)+('Metraj Mahal Listesi'!$B$5:$B$504=A100)&gt;0)*'Metraj Mahal Listesi'!$K$5:$K$504))</f>
        <v/>
      </c>
      <c r="D100" s="27">
        <f>IF(OR(A100="",'Metraj Mahal Listesi'!$K$3=0),"",C100/'Metraj Mahal Listesi'!$K$3*100)</f>
        <v/>
      </c>
      <c r="E100" s="31">
        <f>IF(A100="","",SUMPRODUCT((('Metraj Mahal Listesi'!$A$5:$A$504=A100)+('Metraj Mahal Listesi'!$B$5:$B$504=A100)&gt;0)*('Metraj Mahal Listesi'!$C$5:$C$504&lt;&gt;"")))</f>
        <v/>
      </c>
      <c r="F100" s="31">
        <f>IF(A100="","",SUMPRODUCT((('Metraj Mahal Listesi'!$A$5:$A$504=A100)+('Metraj Mahal Listesi'!$B$5:$B$504=A100)&gt;0)*('Metraj Mahal Listesi'!$C$5:$C$504&lt;&gt;"")*(LEFT('Metraj Mahal Listesi'!$C$5:$C$504,1)&lt;&gt;"—")*('Metraj Mahal Listesi'!$F$5:$F$504="")))</f>
        <v/>
      </c>
      <c r="G100" s="31">
        <f>IF(A100="","",SUMPRODUCT((('Metraj Mahal Listesi'!$A$5:$A$504=A100)+('Metraj Mahal Listesi'!$B$5:$B$504=A100)&gt;0)*('Metraj Mahal Listesi'!$F$5:$F$504&lt;&gt;"")*(LEFT('Metraj Mahal Listesi'!$C$5:$C$504,1)&lt;&gt;"—")*('Metraj Mahal Listesi'!$J$5:$J$504=0)))</f>
        <v/>
      </c>
      <c r="H100" s="5" t="n"/>
    </row>
    <row r="101">
      <c r="A101" s="5" t="n"/>
      <c r="B101" s="5" t="n"/>
      <c r="C101" s="21">
        <f>IF(A101="","",SUMPRODUCT((('Metraj Mahal Listesi'!$A$5:$A$504=A101)+('Metraj Mahal Listesi'!$B$5:$B$504=A101)&gt;0)*'Metraj Mahal Listesi'!$K$5:$K$504))</f>
        <v/>
      </c>
      <c r="D101" s="27">
        <f>IF(OR(A101="",'Metraj Mahal Listesi'!$K$3=0),"",C101/'Metraj Mahal Listesi'!$K$3*100)</f>
        <v/>
      </c>
      <c r="E101" s="31">
        <f>IF(A101="","",SUMPRODUCT((('Metraj Mahal Listesi'!$A$5:$A$504=A101)+('Metraj Mahal Listesi'!$B$5:$B$504=A101)&gt;0)*('Metraj Mahal Listesi'!$C$5:$C$504&lt;&gt;"")))</f>
        <v/>
      </c>
      <c r="F101" s="31">
        <f>IF(A101="","",SUMPRODUCT((('Metraj Mahal Listesi'!$A$5:$A$504=A101)+('Metraj Mahal Listesi'!$B$5:$B$504=A101)&gt;0)*('Metraj Mahal Listesi'!$C$5:$C$504&lt;&gt;"")*(LEFT('Metraj Mahal Listesi'!$C$5:$C$504,1)&lt;&gt;"—")*('Metraj Mahal Listesi'!$F$5:$F$504="")))</f>
        <v/>
      </c>
      <c r="G101" s="31">
        <f>IF(A101="","",SUMPRODUCT((('Metraj Mahal Listesi'!$A$5:$A$504=A101)+('Metraj Mahal Listesi'!$B$5:$B$504=A101)&gt;0)*('Metraj Mahal Listesi'!$F$5:$F$504&lt;&gt;"")*(LEFT('Metraj Mahal Listesi'!$C$5:$C$504,1)&lt;&gt;"—")*('Metraj Mahal Listesi'!$J$5:$J$504=0)))</f>
        <v/>
      </c>
      <c r="H101" s="5" t="n"/>
    </row>
    <row r="102">
      <c r="A102" s="5" t="n"/>
      <c r="B102" s="5" t="n"/>
      <c r="C102" s="21">
        <f>IF(A102="","",SUMPRODUCT((('Metraj Mahal Listesi'!$A$5:$A$504=A102)+('Metraj Mahal Listesi'!$B$5:$B$504=A102)&gt;0)*'Metraj Mahal Listesi'!$K$5:$K$504))</f>
        <v/>
      </c>
      <c r="D102" s="27">
        <f>IF(OR(A102="",'Metraj Mahal Listesi'!$K$3=0),"",C102/'Metraj Mahal Listesi'!$K$3*100)</f>
        <v/>
      </c>
      <c r="E102" s="31">
        <f>IF(A102="","",SUMPRODUCT((('Metraj Mahal Listesi'!$A$5:$A$504=A102)+('Metraj Mahal Listesi'!$B$5:$B$504=A102)&gt;0)*('Metraj Mahal Listesi'!$C$5:$C$504&lt;&gt;"")))</f>
        <v/>
      </c>
      <c r="F102" s="31">
        <f>IF(A102="","",SUMPRODUCT((('Metraj Mahal Listesi'!$A$5:$A$504=A102)+('Metraj Mahal Listesi'!$B$5:$B$504=A102)&gt;0)*('Metraj Mahal Listesi'!$C$5:$C$504&lt;&gt;"")*(LEFT('Metraj Mahal Listesi'!$C$5:$C$504,1)&lt;&gt;"—")*('Metraj Mahal Listesi'!$F$5:$F$504="")))</f>
        <v/>
      </c>
      <c r="G102" s="31">
        <f>IF(A102="","",SUMPRODUCT((('Metraj Mahal Listesi'!$A$5:$A$504=A102)+('Metraj Mahal Listesi'!$B$5:$B$504=A102)&gt;0)*('Metraj Mahal Listesi'!$F$5:$F$504&lt;&gt;"")*(LEFT('Metraj Mahal Listesi'!$C$5:$C$504,1)&lt;&gt;"—")*('Metraj Mahal Listesi'!$J$5:$J$504=0)))</f>
        <v/>
      </c>
      <c r="H102" s="5" t="n"/>
    </row>
    <row r="103">
      <c r="A103" s="5" t="n"/>
      <c r="B103" s="5" t="n"/>
      <c r="C103" s="21">
        <f>IF(A103="","",SUMPRODUCT((('Metraj Mahal Listesi'!$A$5:$A$504=A103)+('Metraj Mahal Listesi'!$B$5:$B$504=A103)&gt;0)*'Metraj Mahal Listesi'!$K$5:$K$504))</f>
        <v/>
      </c>
      <c r="D103" s="27">
        <f>IF(OR(A103="",'Metraj Mahal Listesi'!$K$3=0),"",C103/'Metraj Mahal Listesi'!$K$3*100)</f>
        <v/>
      </c>
      <c r="E103" s="31">
        <f>IF(A103="","",SUMPRODUCT((('Metraj Mahal Listesi'!$A$5:$A$504=A103)+('Metraj Mahal Listesi'!$B$5:$B$504=A103)&gt;0)*('Metraj Mahal Listesi'!$C$5:$C$504&lt;&gt;"")))</f>
        <v/>
      </c>
      <c r="F103" s="31">
        <f>IF(A103="","",SUMPRODUCT((('Metraj Mahal Listesi'!$A$5:$A$504=A103)+('Metraj Mahal Listesi'!$B$5:$B$504=A103)&gt;0)*('Metraj Mahal Listesi'!$C$5:$C$504&lt;&gt;"")*(LEFT('Metraj Mahal Listesi'!$C$5:$C$504,1)&lt;&gt;"—")*('Metraj Mahal Listesi'!$F$5:$F$504="")))</f>
        <v/>
      </c>
      <c r="G103" s="31">
        <f>IF(A103="","",SUMPRODUCT((('Metraj Mahal Listesi'!$A$5:$A$504=A103)+('Metraj Mahal Listesi'!$B$5:$B$504=A103)&gt;0)*('Metraj Mahal Listesi'!$F$5:$F$504&lt;&gt;"")*(LEFT('Metraj Mahal Listesi'!$C$5:$C$504,1)&lt;&gt;"—")*('Metraj Mahal Listesi'!$J$5:$J$504=0)))</f>
        <v/>
      </c>
      <c r="H103" s="5" t="n"/>
    </row>
    <row r="104">
      <c r="A104" s="5" t="n"/>
      <c r="B104" s="5" t="n"/>
      <c r="C104" s="21">
        <f>IF(A104="","",SUMPRODUCT((('Metraj Mahal Listesi'!$A$5:$A$504=A104)+('Metraj Mahal Listesi'!$B$5:$B$504=A104)&gt;0)*'Metraj Mahal Listesi'!$K$5:$K$504))</f>
        <v/>
      </c>
      <c r="D104" s="27">
        <f>IF(OR(A104="",'Metraj Mahal Listesi'!$K$3=0),"",C104/'Metraj Mahal Listesi'!$K$3*100)</f>
        <v/>
      </c>
      <c r="E104" s="31">
        <f>IF(A104="","",SUMPRODUCT((('Metraj Mahal Listesi'!$A$5:$A$504=A104)+('Metraj Mahal Listesi'!$B$5:$B$504=A104)&gt;0)*('Metraj Mahal Listesi'!$C$5:$C$504&lt;&gt;"")))</f>
        <v/>
      </c>
      <c r="F104" s="31">
        <f>IF(A104="","",SUMPRODUCT((('Metraj Mahal Listesi'!$A$5:$A$504=A104)+('Metraj Mahal Listesi'!$B$5:$B$504=A104)&gt;0)*('Metraj Mahal Listesi'!$C$5:$C$504&lt;&gt;"")*(LEFT('Metraj Mahal Listesi'!$C$5:$C$504,1)&lt;&gt;"—")*('Metraj Mahal Listesi'!$F$5:$F$504="")))</f>
        <v/>
      </c>
      <c r="G104" s="31">
        <f>IF(A104="","",SUMPRODUCT((('Metraj Mahal Listesi'!$A$5:$A$504=A104)+('Metraj Mahal Listesi'!$B$5:$B$504=A104)&gt;0)*('Metraj Mahal Listesi'!$F$5:$F$504&lt;&gt;"")*(LEFT('Metraj Mahal Listesi'!$C$5:$C$504,1)&lt;&gt;"—")*('Metraj Mahal Listesi'!$J$5:$J$504=0)))</f>
        <v/>
      </c>
      <c r="H104" s="5" t="n"/>
    </row>
    <row r="105">
      <c r="A105" s="5" t="n"/>
      <c r="B105" s="5" t="n"/>
      <c r="C105" s="21">
        <f>IF(A105="","",SUMPRODUCT((('Metraj Mahal Listesi'!$A$5:$A$504=A105)+('Metraj Mahal Listesi'!$B$5:$B$504=A105)&gt;0)*'Metraj Mahal Listesi'!$K$5:$K$504))</f>
        <v/>
      </c>
      <c r="D105" s="27">
        <f>IF(OR(A105="",'Metraj Mahal Listesi'!$K$3=0),"",C105/'Metraj Mahal Listesi'!$K$3*100)</f>
        <v/>
      </c>
      <c r="E105" s="31">
        <f>IF(A105="","",SUMPRODUCT((('Metraj Mahal Listesi'!$A$5:$A$504=A105)+('Metraj Mahal Listesi'!$B$5:$B$504=A105)&gt;0)*('Metraj Mahal Listesi'!$C$5:$C$504&lt;&gt;"")))</f>
        <v/>
      </c>
      <c r="F105" s="31">
        <f>IF(A105="","",SUMPRODUCT((('Metraj Mahal Listesi'!$A$5:$A$504=A105)+('Metraj Mahal Listesi'!$B$5:$B$504=A105)&gt;0)*('Metraj Mahal Listesi'!$C$5:$C$504&lt;&gt;"")*(LEFT('Metraj Mahal Listesi'!$C$5:$C$504,1)&lt;&gt;"—")*('Metraj Mahal Listesi'!$F$5:$F$504="")))</f>
        <v/>
      </c>
      <c r="G105" s="31">
        <f>IF(A105="","",SUMPRODUCT((('Metraj Mahal Listesi'!$A$5:$A$504=A105)+('Metraj Mahal Listesi'!$B$5:$B$504=A105)&gt;0)*('Metraj Mahal Listesi'!$F$5:$F$504&lt;&gt;"")*(LEFT('Metraj Mahal Listesi'!$C$5:$C$504,1)&lt;&gt;"—")*('Metraj Mahal Listesi'!$J$5:$J$504=0)))</f>
        <v/>
      </c>
      <c r="H105" s="5" t="n"/>
    </row>
    <row r="106">
      <c r="A106" s="5" t="n"/>
      <c r="B106" s="5" t="n"/>
      <c r="C106" s="21">
        <f>IF(A106="","",SUMPRODUCT((('Metraj Mahal Listesi'!$A$5:$A$504=A106)+('Metraj Mahal Listesi'!$B$5:$B$504=A106)&gt;0)*'Metraj Mahal Listesi'!$K$5:$K$504))</f>
        <v/>
      </c>
      <c r="D106" s="27">
        <f>IF(OR(A106="",'Metraj Mahal Listesi'!$K$3=0),"",C106/'Metraj Mahal Listesi'!$K$3*100)</f>
        <v/>
      </c>
      <c r="E106" s="31">
        <f>IF(A106="","",SUMPRODUCT((('Metraj Mahal Listesi'!$A$5:$A$504=A106)+('Metraj Mahal Listesi'!$B$5:$B$504=A106)&gt;0)*('Metraj Mahal Listesi'!$C$5:$C$504&lt;&gt;"")))</f>
        <v/>
      </c>
      <c r="F106" s="31">
        <f>IF(A106="","",SUMPRODUCT((('Metraj Mahal Listesi'!$A$5:$A$504=A106)+('Metraj Mahal Listesi'!$B$5:$B$504=A106)&gt;0)*('Metraj Mahal Listesi'!$C$5:$C$504&lt;&gt;"")*(LEFT('Metraj Mahal Listesi'!$C$5:$C$504,1)&lt;&gt;"—")*('Metraj Mahal Listesi'!$F$5:$F$504="")))</f>
        <v/>
      </c>
      <c r="G106" s="31">
        <f>IF(A106="","",SUMPRODUCT((('Metraj Mahal Listesi'!$A$5:$A$504=A106)+('Metraj Mahal Listesi'!$B$5:$B$504=A106)&gt;0)*('Metraj Mahal Listesi'!$F$5:$F$504&lt;&gt;"")*(LEFT('Metraj Mahal Listesi'!$C$5:$C$504,1)&lt;&gt;"—")*('Metraj Mahal Listesi'!$J$5:$J$504=0)))</f>
        <v/>
      </c>
      <c r="H106" s="5" t="n"/>
    </row>
    <row r="107">
      <c r="A107" s="5" t="n"/>
      <c r="B107" s="5" t="n"/>
      <c r="C107" s="21">
        <f>IF(A107="","",SUMPRODUCT((('Metraj Mahal Listesi'!$A$5:$A$504=A107)+('Metraj Mahal Listesi'!$B$5:$B$504=A107)&gt;0)*'Metraj Mahal Listesi'!$K$5:$K$504))</f>
        <v/>
      </c>
      <c r="D107" s="27">
        <f>IF(OR(A107="",'Metraj Mahal Listesi'!$K$3=0),"",C107/'Metraj Mahal Listesi'!$K$3*100)</f>
        <v/>
      </c>
      <c r="E107" s="31">
        <f>IF(A107="","",SUMPRODUCT((('Metraj Mahal Listesi'!$A$5:$A$504=A107)+('Metraj Mahal Listesi'!$B$5:$B$504=A107)&gt;0)*('Metraj Mahal Listesi'!$C$5:$C$504&lt;&gt;"")))</f>
        <v/>
      </c>
      <c r="F107" s="31">
        <f>IF(A107="","",SUMPRODUCT((('Metraj Mahal Listesi'!$A$5:$A$504=A107)+('Metraj Mahal Listesi'!$B$5:$B$504=A107)&gt;0)*('Metraj Mahal Listesi'!$C$5:$C$504&lt;&gt;"")*(LEFT('Metraj Mahal Listesi'!$C$5:$C$504,1)&lt;&gt;"—")*('Metraj Mahal Listesi'!$F$5:$F$504="")))</f>
        <v/>
      </c>
      <c r="G107" s="31">
        <f>IF(A107="","",SUMPRODUCT((('Metraj Mahal Listesi'!$A$5:$A$504=A107)+('Metraj Mahal Listesi'!$B$5:$B$504=A107)&gt;0)*('Metraj Mahal Listesi'!$F$5:$F$504&lt;&gt;"")*(LEFT('Metraj Mahal Listesi'!$C$5:$C$504,1)&lt;&gt;"—")*('Metraj Mahal Listesi'!$J$5:$J$504=0)))</f>
        <v/>
      </c>
      <c r="H107" s="5" t="n"/>
    </row>
    <row r="108">
      <c r="A108" s="5" t="n"/>
      <c r="B108" s="5" t="n"/>
      <c r="C108" s="21">
        <f>IF(A108="","",SUMPRODUCT((('Metraj Mahal Listesi'!$A$5:$A$504=A108)+('Metraj Mahal Listesi'!$B$5:$B$504=A108)&gt;0)*'Metraj Mahal Listesi'!$K$5:$K$504))</f>
        <v/>
      </c>
      <c r="D108" s="27">
        <f>IF(OR(A108="",'Metraj Mahal Listesi'!$K$3=0),"",C108/'Metraj Mahal Listesi'!$K$3*100)</f>
        <v/>
      </c>
      <c r="E108" s="31">
        <f>IF(A108="","",SUMPRODUCT((('Metraj Mahal Listesi'!$A$5:$A$504=A108)+('Metraj Mahal Listesi'!$B$5:$B$504=A108)&gt;0)*('Metraj Mahal Listesi'!$C$5:$C$504&lt;&gt;"")))</f>
        <v/>
      </c>
      <c r="F108" s="31">
        <f>IF(A108="","",SUMPRODUCT((('Metraj Mahal Listesi'!$A$5:$A$504=A108)+('Metraj Mahal Listesi'!$B$5:$B$504=A108)&gt;0)*('Metraj Mahal Listesi'!$C$5:$C$504&lt;&gt;"")*(LEFT('Metraj Mahal Listesi'!$C$5:$C$504,1)&lt;&gt;"—")*('Metraj Mahal Listesi'!$F$5:$F$504="")))</f>
        <v/>
      </c>
      <c r="G108" s="31">
        <f>IF(A108="","",SUMPRODUCT((('Metraj Mahal Listesi'!$A$5:$A$504=A108)+('Metraj Mahal Listesi'!$B$5:$B$504=A108)&gt;0)*('Metraj Mahal Listesi'!$F$5:$F$504&lt;&gt;"")*(LEFT('Metraj Mahal Listesi'!$C$5:$C$504,1)&lt;&gt;"—")*('Metraj Mahal Listesi'!$J$5:$J$504=0)))</f>
        <v/>
      </c>
      <c r="H108" s="5" t="n"/>
    </row>
    <row r="109">
      <c r="A109" s="5" t="n"/>
      <c r="B109" s="5" t="n"/>
      <c r="C109" s="21">
        <f>IF(A109="","",SUMPRODUCT((('Metraj Mahal Listesi'!$A$5:$A$504=A109)+('Metraj Mahal Listesi'!$B$5:$B$504=A109)&gt;0)*'Metraj Mahal Listesi'!$K$5:$K$504))</f>
        <v/>
      </c>
      <c r="D109" s="27">
        <f>IF(OR(A109="",'Metraj Mahal Listesi'!$K$3=0),"",C109/'Metraj Mahal Listesi'!$K$3*100)</f>
        <v/>
      </c>
      <c r="E109" s="31">
        <f>IF(A109="","",SUMPRODUCT((('Metraj Mahal Listesi'!$A$5:$A$504=A109)+('Metraj Mahal Listesi'!$B$5:$B$504=A109)&gt;0)*('Metraj Mahal Listesi'!$C$5:$C$504&lt;&gt;"")))</f>
        <v/>
      </c>
      <c r="F109" s="31">
        <f>IF(A109="","",SUMPRODUCT((('Metraj Mahal Listesi'!$A$5:$A$504=A109)+('Metraj Mahal Listesi'!$B$5:$B$504=A109)&gt;0)*('Metraj Mahal Listesi'!$C$5:$C$504&lt;&gt;"")*(LEFT('Metraj Mahal Listesi'!$C$5:$C$504,1)&lt;&gt;"—")*('Metraj Mahal Listesi'!$F$5:$F$504="")))</f>
        <v/>
      </c>
      <c r="G109" s="31">
        <f>IF(A109="","",SUMPRODUCT((('Metraj Mahal Listesi'!$A$5:$A$504=A109)+('Metraj Mahal Listesi'!$B$5:$B$504=A109)&gt;0)*('Metraj Mahal Listesi'!$F$5:$F$504&lt;&gt;"")*(LEFT('Metraj Mahal Listesi'!$C$5:$C$504,1)&lt;&gt;"—")*('Metraj Mahal Listesi'!$J$5:$J$504=0)))</f>
        <v/>
      </c>
      <c r="H109" s="5" t="n"/>
    </row>
    <row r="110">
      <c r="A110" s="5" t="n"/>
      <c r="B110" s="5" t="n"/>
      <c r="C110" s="21">
        <f>IF(A110="","",SUMPRODUCT((('Metraj Mahal Listesi'!$A$5:$A$504=A110)+('Metraj Mahal Listesi'!$B$5:$B$504=A110)&gt;0)*'Metraj Mahal Listesi'!$K$5:$K$504))</f>
        <v/>
      </c>
      <c r="D110" s="27">
        <f>IF(OR(A110="",'Metraj Mahal Listesi'!$K$3=0),"",C110/'Metraj Mahal Listesi'!$K$3*100)</f>
        <v/>
      </c>
      <c r="E110" s="31">
        <f>IF(A110="","",SUMPRODUCT((('Metraj Mahal Listesi'!$A$5:$A$504=A110)+('Metraj Mahal Listesi'!$B$5:$B$504=A110)&gt;0)*('Metraj Mahal Listesi'!$C$5:$C$504&lt;&gt;"")))</f>
        <v/>
      </c>
      <c r="F110" s="31">
        <f>IF(A110="","",SUMPRODUCT((('Metraj Mahal Listesi'!$A$5:$A$504=A110)+('Metraj Mahal Listesi'!$B$5:$B$504=A110)&gt;0)*('Metraj Mahal Listesi'!$C$5:$C$504&lt;&gt;"")*(LEFT('Metraj Mahal Listesi'!$C$5:$C$504,1)&lt;&gt;"—")*('Metraj Mahal Listesi'!$F$5:$F$504="")))</f>
        <v/>
      </c>
      <c r="G110" s="31">
        <f>IF(A110="","",SUMPRODUCT((('Metraj Mahal Listesi'!$A$5:$A$504=A110)+('Metraj Mahal Listesi'!$B$5:$B$504=A110)&gt;0)*('Metraj Mahal Listesi'!$F$5:$F$504&lt;&gt;"")*(LEFT('Metraj Mahal Listesi'!$C$5:$C$504,1)&lt;&gt;"—")*('Metraj Mahal Listesi'!$J$5:$J$504=0)))</f>
        <v/>
      </c>
      <c r="H110" s="5" t="n"/>
    </row>
    <row r="111">
      <c r="A111" s="5" t="n"/>
      <c r="B111" s="5" t="n"/>
      <c r="C111" s="21">
        <f>IF(A111="","",SUMPRODUCT((('Metraj Mahal Listesi'!$A$5:$A$504=A111)+('Metraj Mahal Listesi'!$B$5:$B$504=A111)&gt;0)*'Metraj Mahal Listesi'!$K$5:$K$504))</f>
        <v/>
      </c>
      <c r="D111" s="27">
        <f>IF(OR(A111="",'Metraj Mahal Listesi'!$K$3=0),"",C111/'Metraj Mahal Listesi'!$K$3*100)</f>
        <v/>
      </c>
      <c r="E111" s="31">
        <f>IF(A111="","",SUMPRODUCT((('Metraj Mahal Listesi'!$A$5:$A$504=A111)+('Metraj Mahal Listesi'!$B$5:$B$504=A111)&gt;0)*('Metraj Mahal Listesi'!$C$5:$C$504&lt;&gt;"")))</f>
        <v/>
      </c>
      <c r="F111" s="31">
        <f>IF(A111="","",SUMPRODUCT((('Metraj Mahal Listesi'!$A$5:$A$504=A111)+('Metraj Mahal Listesi'!$B$5:$B$504=A111)&gt;0)*('Metraj Mahal Listesi'!$C$5:$C$504&lt;&gt;"")*(LEFT('Metraj Mahal Listesi'!$C$5:$C$504,1)&lt;&gt;"—")*('Metraj Mahal Listesi'!$F$5:$F$504="")))</f>
        <v/>
      </c>
      <c r="G111" s="31">
        <f>IF(A111="","",SUMPRODUCT((('Metraj Mahal Listesi'!$A$5:$A$504=A111)+('Metraj Mahal Listesi'!$B$5:$B$504=A111)&gt;0)*('Metraj Mahal Listesi'!$F$5:$F$504&lt;&gt;"")*(LEFT('Metraj Mahal Listesi'!$C$5:$C$504,1)&lt;&gt;"—")*('Metraj Mahal Listesi'!$J$5:$J$504=0)))</f>
        <v/>
      </c>
      <c r="H111" s="5" t="n"/>
    </row>
    <row r="112">
      <c r="A112" s="5" t="n"/>
      <c r="B112" s="5" t="n"/>
      <c r="C112" s="21">
        <f>IF(A112="","",SUMPRODUCT((('Metraj Mahal Listesi'!$A$5:$A$504=A112)+('Metraj Mahal Listesi'!$B$5:$B$504=A112)&gt;0)*'Metraj Mahal Listesi'!$K$5:$K$504))</f>
        <v/>
      </c>
      <c r="D112" s="27">
        <f>IF(OR(A112="",'Metraj Mahal Listesi'!$K$3=0),"",C112/'Metraj Mahal Listesi'!$K$3*100)</f>
        <v/>
      </c>
      <c r="E112" s="31">
        <f>IF(A112="","",SUMPRODUCT((('Metraj Mahal Listesi'!$A$5:$A$504=A112)+('Metraj Mahal Listesi'!$B$5:$B$504=A112)&gt;0)*('Metraj Mahal Listesi'!$C$5:$C$504&lt;&gt;"")))</f>
        <v/>
      </c>
      <c r="F112" s="31">
        <f>IF(A112="","",SUMPRODUCT((('Metraj Mahal Listesi'!$A$5:$A$504=A112)+('Metraj Mahal Listesi'!$B$5:$B$504=A112)&gt;0)*('Metraj Mahal Listesi'!$C$5:$C$504&lt;&gt;"")*(LEFT('Metraj Mahal Listesi'!$C$5:$C$504,1)&lt;&gt;"—")*('Metraj Mahal Listesi'!$F$5:$F$504="")))</f>
        <v/>
      </c>
      <c r="G112" s="31">
        <f>IF(A112="","",SUMPRODUCT((('Metraj Mahal Listesi'!$A$5:$A$504=A112)+('Metraj Mahal Listesi'!$B$5:$B$504=A112)&gt;0)*('Metraj Mahal Listesi'!$F$5:$F$504&lt;&gt;"")*(LEFT('Metraj Mahal Listesi'!$C$5:$C$504,1)&lt;&gt;"—")*('Metraj Mahal Listesi'!$J$5:$J$504=0)))</f>
        <v/>
      </c>
      <c r="H112" s="5" t="n"/>
    </row>
    <row r="113">
      <c r="A113" s="5" t="n"/>
      <c r="B113" s="5" t="n"/>
      <c r="C113" s="21">
        <f>IF(A113="","",SUMPRODUCT((('Metraj Mahal Listesi'!$A$5:$A$504=A113)+('Metraj Mahal Listesi'!$B$5:$B$504=A113)&gt;0)*'Metraj Mahal Listesi'!$K$5:$K$504))</f>
        <v/>
      </c>
      <c r="D113" s="27">
        <f>IF(OR(A113="",'Metraj Mahal Listesi'!$K$3=0),"",C113/'Metraj Mahal Listesi'!$K$3*100)</f>
        <v/>
      </c>
      <c r="E113" s="31">
        <f>IF(A113="","",SUMPRODUCT((('Metraj Mahal Listesi'!$A$5:$A$504=A113)+('Metraj Mahal Listesi'!$B$5:$B$504=A113)&gt;0)*('Metraj Mahal Listesi'!$C$5:$C$504&lt;&gt;"")))</f>
        <v/>
      </c>
      <c r="F113" s="31">
        <f>IF(A113="","",SUMPRODUCT((('Metraj Mahal Listesi'!$A$5:$A$504=A113)+('Metraj Mahal Listesi'!$B$5:$B$504=A113)&gt;0)*('Metraj Mahal Listesi'!$C$5:$C$504&lt;&gt;"")*(LEFT('Metraj Mahal Listesi'!$C$5:$C$504,1)&lt;&gt;"—")*('Metraj Mahal Listesi'!$F$5:$F$504="")))</f>
        <v/>
      </c>
      <c r="G113" s="31">
        <f>IF(A113="","",SUMPRODUCT((('Metraj Mahal Listesi'!$A$5:$A$504=A113)+('Metraj Mahal Listesi'!$B$5:$B$504=A113)&gt;0)*('Metraj Mahal Listesi'!$F$5:$F$504&lt;&gt;"")*(LEFT('Metraj Mahal Listesi'!$C$5:$C$504,1)&lt;&gt;"—")*('Metraj Mahal Listesi'!$J$5:$J$504=0)))</f>
        <v/>
      </c>
      <c r="H113" s="5" t="n"/>
    </row>
    <row r="114">
      <c r="A114" s="5" t="n"/>
      <c r="B114" s="5" t="n"/>
      <c r="C114" s="21">
        <f>IF(A114="","",SUMPRODUCT((('Metraj Mahal Listesi'!$A$5:$A$504=A114)+('Metraj Mahal Listesi'!$B$5:$B$504=A114)&gt;0)*'Metraj Mahal Listesi'!$K$5:$K$504))</f>
        <v/>
      </c>
      <c r="D114" s="27">
        <f>IF(OR(A114="",'Metraj Mahal Listesi'!$K$3=0),"",C114/'Metraj Mahal Listesi'!$K$3*100)</f>
        <v/>
      </c>
      <c r="E114" s="31">
        <f>IF(A114="","",SUMPRODUCT((('Metraj Mahal Listesi'!$A$5:$A$504=A114)+('Metraj Mahal Listesi'!$B$5:$B$504=A114)&gt;0)*('Metraj Mahal Listesi'!$C$5:$C$504&lt;&gt;"")))</f>
        <v/>
      </c>
      <c r="F114" s="31">
        <f>IF(A114="","",SUMPRODUCT((('Metraj Mahal Listesi'!$A$5:$A$504=A114)+('Metraj Mahal Listesi'!$B$5:$B$504=A114)&gt;0)*('Metraj Mahal Listesi'!$C$5:$C$504&lt;&gt;"")*(LEFT('Metraj Mahal Listesi'!$C$5:$C$504,1)&lt;&gt;"—")*('Metraj Mahal Listesi'!$F$5:$F$504="")))</f>
        <v/>
      </c>
      <c r="G114" s="31">
        <f>IF(A114="","",SUMPRODUCT((('Metraj Mahal Listesi'!$A$5:$A$504=A114)+('Metraj Mahal Listesi'!$B$5:$B$504=A114)&gt;0)*('Metraj Mahal Listesi'!$F$5:$F$504&lt;&gt;"")*(LEFT('Metraj Mahal Listesi'!$C$5:$C$504,1)&lt;&gt;"—")*('Metraj Mahal Listesi'!$J$5:$J$504=0)))</f>
        <v/>
      </c>
      <c r="H114" s="5" t="n"/>
    </row>
    <row r="115">
      <c r="A115" s="5" t="n"/>
      <c r="B115" s="5" t="n"/>
      <c r="C115" s="21">
        <f>IF(A115="","",SUMPRODUCT((('Metraj Mahal Listesi'!$A$5:$A$504=A115)+('Metraj Mahal Listesi'!$B$5:$B$504=A115)&gt;0)*'Metraj Mahal Listesi'!$K$5:$K$504))</f>
        <v/>
      </c>
      <c r="D115" s="27">
        <f>IF(OR(A115="",'Metraj Mahal Listesi'!$K$3=0),"",C115/'Metraj Mahal Listesi'!$K$3*100)</f>
        <v/>
      </c>
      <c r="E115" s="31">
        <f>IF(A115="","",SUMPRODUCT((('Metraj Mahal Listesi'!$A$5:$A$504=A115)+('Metraj Mahal Listesi'!$B$5:$B$504=A115)&gt;0)*('Metraj Mahal Listesi'!$C$5:$C$504&lt;&gt;"")))</f>
        <v/>
      </c>
      <c r="F115" s="31">
        <f>IF(A115="","",SUMPRODUCT((('Metraj Mahal Listesi'!$A$5:$A$504=A115)+('Metraj Mahal Listesi'!$B$5:$B$504=A115)&gt;0)*('Metraj Mahal Listesi'!$C$5:$C$504&lt;&gt;"")*(LEFT('Metraj Mahal Listesi'!$C$5:$C$504,1)&lt;&gt;"—")*('Metraj Mahal Listesi'!$F$5:$F$504="")))</f>
        <v/>
      </c>
      <c r="G115" s="31">
        <f>IF(A115="","",SUMPRODUCT((('Metraj Mahal Listesi'!$A$5:$A$504=A115)+('Metraj Mahal Listesi'!$B$5:$B$504=A115)&gt;0)*('Metraj Mahal Listesi'!$F$5:$F$504&lt;&gt;"")*(LEFT('Metraj Mahal Listesi'!$C$5:$C$504,1)&lt;&gt;"—")*('Metraj Mahal Listesi'!$J$5:$J$504=0)))</f>
        <v/>
      </c>
      <c r="H115" s="5" t="n"/>
    </row>
    <row r="116">
      <c r="A116" s="5" t="n"/>
      <c r="B116" s="5" t="n"/>
      <c r="C116" s="21">
        <f>IF(A116="","",SUMPRODUCT((('Metraj Mahal Listesi'!$A$5:$A$504=A116)+('Metraj Mahal Listesi'!$B$5:$B$504=A116)&gt;0)*'Metraj Mahal Listesi'!$K$5:$K$504))</f>
        <v/>
      </c>
      <c r="D116" s="27">
        <f>IF(OR(A116="",'Metraj Mahal Listesi'!$K$3=0),"",C116/'Metraj Mahal Listesi'!$K$3*100)</f>
        <v/>
      </c>
      <c r="E116" s="31">
        <f>IF(A116="","",SUMPRODUCT((('Metraj Mahal Listesi'!$A$5:$A$504=A116)+('Metraj Mahal Listesi'!$B$5:$B$504=A116)&gt;0)*('Metraj Mahal Listesi'!$C$5:$C$504&lt;&gt;"")))</f>
        <v/>
      </c>
      <c r="F116" s="31">
        <f>IF(A116="","",SUMPRODUCT((('Metraj Mahal Listesi'!$A$5:$A$504=A116)+('Metraj Mahal Listesi'!$B$5:$B$504=A116)&gt;0)*('Metraj Mahal Listesi'!$C$5:$C$504&lt;&gt;"")*(LEFT('Metraj Mahal Listesi'!$C$5:$C$504,1)&lt;&gt;"—")*('Metraj Mahal Listesi'!$F$5:$F$504="")))</f>
        <v/>
      </c>
      <c r="G116" s="31">
        <f>IF(A116="","",SUMPRODUCT((('Metraj Mahal Listesi'!$A$5:$A$504=A116)+('Metraj Mahal Listesi'!$B$5:$B$504=A116)&gt;0)*('Metraj Mahal Listesi'!$F$5:$F$504&lt;&gt;"")*(LEFT('Metraj Mahal Listesi'!$C$5:$C$504,1)&lt;&gt;"—")*('Metraj Mahal Listesi'!$J$5:$J$504=0)))</f>
        <v/>
      </c>
      <c r="H116" s="5" t="n"/>
    </row>
    <row r="117">
      <c r="A117" s="5" t="n"/>
      <c r="B117" s="5" t="n"/>
      <c r="C117" s="21">
        <f>IF(A117="","",SUMPRODUCT((('Metraj Mahal Listesi'!$A$5:$A$504=A117)+('Metraj Mahal Listesi'!$B$5:$B$504=A117)&gt;0)*'Metraj Mahal Listesi'!$K$5:$K$504))</f>
        <v/>
      </c>
      <c r="D117" s="27">
        <f>IF(OR(A117="",'Metraj Mahal Listesi'!$K$3=0),"",C117/'Metraj Mahal Listesi'!$K$3*100)</f>
        <v/>
      </c>
      <c r="E117" s="31">
        <f>IF(A117="","",SUMPRODUCT((('Metraj Mahal Listesi'!$A$5:$A$504=A117)+('Metraj Mahal Listesi'!$B$5:$B$504=A117)&gt;0)*('Metraj Mahal Listesi'!$C$5:$C$504&lt;&gt;"")))</f>
        <v/>
      </c>
      <c r="F117" s="31">
        <f>IF(A117="","",SUMPRODUCT((('Metraj Mahal Listesi'!$A$5:$A$504=A117)+('Metraj Mahal Listesi'!$B$5:$B$504=A117)&gt;0)*('Metraj Mahal Listesi'!$C$5:$C$504&lt;&gt;"")*(LEFT('Metraj Mahal Listesi'!$C$5:$C$504,1)&lt;&gt;"—")*('Metraj Mahal Listesi'!$F$5:$F$504="")))</f>
        <v/>
      </c>
      <c r="G117" s="31">
        <f>IF(A117="","",SUMPRODUCT((('Metraj Mahal Listesi'!$A$5:$A$504=A117)+('Metraj Mahal Listesi'!$B$5:$B$504=A117)&gt;0)*('Metraj Mahal Listesi'!$F$5:$F$504&lt;&gt;"")*(LEFT('Metraj Mahal Listesi'!$C$5:$C$504,1)&lt;&gt;"—")*('Metraj Mahal Listesi'!$J$5:$J$504=0)))</f>
        <v/>
      </c>
      <c r="H117" s="5" t="n"/>
    </row>
    <row r="118">
      <c r="A118" s="5" t="n"/>
      <c r="B118" s="5" t="n"/>
      <c r="C118" s="21">
        <f>IF(A118="","",SUMPRODUCT((('Metraj Mahal Listesi'!$A$5:$A$504=A118)+('Metraj Mahal Listesi'!$B$5:$B$504=A118)&gt;0)*'Metraj Mahal Listesi'!$K$5:$K$504))</f>
        <v/>
      </c>
      <c r="D118" s="27">
        <f>IF(OR(A118="",'Metraj Mahal Listesi'!$K$3=0),"",C118/'Metraj Mahal Listesi'!$K$3*100)</f>
        <v/>
      </c>
      <c r="E118" s="31">
        <f>IF(A118="","",SUMPRODUCT((('Metraj Mahal Listesi'!$A$5:$A$504=A118)+('Metraj Mahal Listesi'!$B$5:$B$504=A118)&gt;0)*('Metraj Mahal Listesi'!$C$5:$C$504&lt;&gt;"")))</f>
        <v/>
      </c>
      <c r="F118" s="31">
        <f>IF(A118="","",SUMPRODUCT((('Metraj Mahal Listesi'!$A$5:$A$504=A118)+('Metraj Mahal Listesi'!$B$5:$B$504=A118)&gt;0)*('Metraj Mahal Listesi'!$C$5:$C$504&lt;&gt;"")*(LEFT('Metraj Mahal Listesi'!$C$5:$C$504,1)&lt;&gt;"—")*('Metraj Mahal Listesi'!$F$5:$F$504="")))</f>
        <v/>
      </c>
      <c r="G118" s="31">
        <f>IF(A118="","",SUMPRODUCT((('Metraj Mahal Listesi'!$A$5:$A$504=A118)+('Metraj Mahal Listesi'!$B$5:$B$504=A118)&gt;0)*('Metraj Mahal Listesi'!$F$5:$F$504&lt;&gt;"")*(LEFT('Metraj Mahal Listesi'!$C$5:$C$504,1)&lt;&gt;"—")*('Metraj Mahal Listesi'!$J$5:$J$504=0)))</f>
        <v/>
      </c>
      <c r="H118" s="5" t="n"/>
    </row>
    <row r="119">
      <c r="A119" s="5" t="n"/>
      <c r="B119" s="5" t="n"/>
      <c r="C119" s="21">
        <f>IF(A119="","",SUMPRODUCT((('Metraj Mahal Listesi'!$A$5:$A$504=A119)+('Metraj Mahal Listesi'!$B$5:$B$504=A119)&gt;0)*'Metraj Mahal Listesi'!$K$5:$K$504))</f>
        <v/>
      </c>
      <c r="D119" s="27">
        <f>IF(OR(A119="",'Metraj Mahal Listesi'!$K$3=0),"",C119/'Metraj Mahal Listesi'!$K$3*100)</f>
        <v/>
      </c>
      <c r="E119" s="31">
        <f>IF(A119="","",SUMPRODUCT((('Metraj Mahal Listesi'!$A$5:$A$504=A119)+('Metraj Mahal Listesi'!$B$5:$B$504=A119)&gt;0)*('Metraj Mahal Listesi'!$C$5:$C$504&lt;&gt;"")))</f>
        <v/>
      </c>
      <c r="F119" s="31">
        <f>IF(A119="","",SUMPRODUCT((('Metraj Mahal Listesi'!$A$5:$A$504=A119)+('Metraj Mahal Listesi'!$B$5:$B$504=A119)&gt;0)*('Metraj Mahal Listesi'!$C$5:$C$504&lt;&gt;"")*(LEFT('Metraj Mahal Listesi'!$C$5:$C$504,1)&lt;&gt;"—")*('Metraj Mahal Listesi'!$F$5:$F$504="")))</f>
        <v/>
      </c>
      <c r="G119" s="31">
        <f>IF(A119="","",SUMPRODUCT((('Metraj Mahal Listesi'!$A$5:$A$504=A119)+('Metraj Mahal Listesi'!$B$5:$B$504=A119)&gt;0)*('Metraj Mahal Listesi'!$F$5:$F$504&lt;&gt;"")*(LEFT('Metraj Mahal Listesi'!$C$5:$C$504,1)&lt;&gt;"—")*('Metraj Mahal Listesi'!$J$5:$J$504=0)))</f>
        <v/>
      </c>
      <c r="H119" s="5" t="n"/>
    </row>
    <row r="120">
      <c r="A120" s="5" t="n"/>
      <c r="B120" s="5" t="n"/>
      <c r="C120" s="21">
        <f>IF(A120="","",SUMPRODUCT((('Metraj Mahal Listesi'!$A$5:$A$504=A120)+('Metraj Mahal Listesi'!$B$5:$B$504=A120)&gt;0)*'Metraj Mahal Listesi'!$K$5:$K$504))</f>
        <v/>
      </c>
      <c r="D120" s="27">
        <f>IF(OR(A120="",'Metraj Mahal Listesi'!$K$3=0),"",C120/'Metraj Mahal Listesi'!$K$3*100)</f>
        <v/>
      </c>
      <c r="E120" s="31">
        <f>IF(A120="","",SUMPRODUCT((('Metraj Mahal Listesi'!$A$5:$A$504=A120)+('Metraj Mahal Listesi'!$B$5:$B$504=A120)&gt;0)*('Metraj Mahal Listesi'!$C$5:$C$504&lt;&gt;"")))</f>
        <v/>
      </c>
      <c r="F120" s="31">
        <f>IF(A120="","",SUMPRODUCT((('Metraj Mahal Listesi'!$A$5:$A$504=A120)+('Metraj Mahal Listesi'!$B$5:$B$504=A120)&gt;0)*('Metraj Mahal Listesi'!$C$5:$C$504&lt;&gt;"")*(LEFT('Metraj Mahal Listesi'!$C$5:$C$504,1)&lt;&gt;"—")*('Metraj Mahal Listesi'!$F$5:$F$504="")))</f>
        <v/>
      </c>
      <c r="G120" s="31">
        <f>IF(A120="","",SUMPRODUCT((('Metraj Mahal Listesi'!$A$5:$A$504=A120)+('Metraj Mahal Listesi'!$B$5:$B$504=A120)&gt;0)*('Metraj Mahal Listesi'!$F$5:$F$504&lt;&gt;"")*(LEFT('Metraj Mahal Listesi'!$C$5:$C$504,1)&lt;&gt;"—")*('Metraj Mahal Listesi'!$J$5:$J$504=0)))</f>
        <v/>
      </c>
      <c r="H120" s="5" t="n"/>
    </row>
    <row r="121">
      <c r="A121" s="5" t="n"/>
      <c r="B121" s="5" t="n"/>
      <c r="C121" s="21">
        <f>IF(A121="","",SUMPRODUCT((('Metraj Mahal Listesi'!$A$5:$A$504=A121)+('Metraj Mahal Listesi'!$B$5:$B$504=A121)&gt;0)*'Metraj Mahal Listesi'!$K$5:$K$504))</f>
        <v/>
      </c>
      <c r="D121" s="27">
        <f>IF(OR(A121="",'Metraj Mahal Listesi'!$K$3=0),"",C121/'Metraj Mahal Listesi'!$K$3*100)</f>
        <v/>
      </c>
      <c r="E121" s="31">
        <f>IF(A121="","",SUMPRODUCT((('Metraj Mahal Listesi'!$A$5:$A$504=A121)+('Metraj Mahal Listesi'!$B$5:$B$504=A121)&gt;0)*('Metraj Mahal Listesi'!$C$5:$C$504&lt;&gt;"")))</f>
        <v/>
      </c>
      <c r="F121" s="31">
        <f>IF(A121="","",SUMPRODUCT((('Metraj Mahal Listesi'!$A$5:$A$504=A121)+('Metraj Mahal Listesi'!$B$5:$B$504=A121)&gt;0)*('Metraj Mahal Listesi'!$C$5:$C$504&lt;&gt;"")*(LEFT('Metraj Mahal Listesi'!$C$5:$C$504,1)&lt;&gt;"—")*('Metraj Mahal Listesi'!$F$5:$F$504="")))</f>
        <v/>
      </c>
      <c r="G121" s="31">
        <f>IF(A121="","",SUMPRODUCT((('Metraj Mahal Listesi'!$A$5:$A$504=A121)+('Metraj Mahal Listesi'!$B$5:$B$504=A121)&gt;0)*('Metraj Mahal Listesi'!$F$5:$F$504&lt;&gt;"")*(LEFT('Metraj Mahal Listesi'!$C$5:$C$504,1)&lt;&gt;"—")*('Metraj Mahal Listesi'!$J$5:$J$504=0)))</f>
        <v/>
      </c>
      <c r="H121" s="5" t="n"/>
    </row>
    <row r="122">
      <c r="A122" s="5" t="n"/>
      <c r="B122" s="5" t="n"/>
      <c r="C122" s="21">
        <f>IF(A122="","",SUMPRODUCT((('Metraj Mahal Listesi'!$A$5:$A$504=A122)+('Metraj Mahal Listesi'!$B$5:$B$504=A122)&gt;0)*'Metraj Mahal Listesi'!$K$5:$K$504))</f>
        <v/>
      </c>
      <c r="D122" s="27">
        <f>IF(OR(A122="",'Metraj Mahal Listesi'!$K$3=0),"",C122/'Metraj Mahal Listesi'!$K$3*100)</f>
        <v/>
      </c>
      <c r="E122" s="31">
        <f>IF(A122="","",SUMPRODUCT((('Metraj Mahal Listesi'!$A$5:$A$504=A122)+('Metraj Mahal Listesi'!$B$5:$B$504=A122)&gt;0)*('Metraj Mahal Listesi'!$C$5:$C$504&lt;&gt;"")))</f>
        <v/>
      </c>
      <c r="F122" s="31">
        <f>IF(A122="","",SUMPRODUCT((('Metraj Mahal Listesi'!$A$5:$A$504=A122)+('Metraj Mahal Listesi'!$B$5:$B$504=A122)&gt;0)*('Metraj Mahal Listesi'!$C$5:$C$504&lt;&gt;"")*(LEFT('Metraj Mahal Listesi'!$C$5:$C$504,1)&lt;&gt;"—")*('Metraj Mahal Listesi'!$F$5:$F$504="")))</f>
        <v/>
      </c>
      <c r="G122" s="31">
        <f>IF(A122="","",SUMPRODUCT((('Metraj Mahal Listesi'!$A$5:$A$504=A122)+('Metraj Mahal Listesi'!$B$5:$B$504=A122)&gt;0)*('Metraj Mahal Listesi'!$F$5:$F$504&lt;&gt;"")*(LEFT('Metraj Mahal Listesi'!$C$5:$C$504,1)&lt;&gt;"—")*('Metraj Mahal Listesi'!$J$5:$J$504=0)))</f>
        <v/>
      </c>
      <c r="H122" s="5" t="n"/>
    </row>
    <row r="123">
      <c r="A123" s="5" t="n"/>
      <c r="B123" s="5" t="n"/>
      <c r="C123" s="21">
        <f>IF(A123="","",SUMPRODUCT((('Metraj Mahal Listesi'!$A$5:$A$504=A123)+('Metraj Mahal Listesi'!$B$5:$B$504=A123)&gt;0)*'Metraj Mahal Listesi'!$K$5:$K$504))</f>
        <v/>
      </c>
      <c r="D123" s="27">
        <f>IF(OR(A123="",'Metraj Mahal Listesi'!$K$3=0),"",C123/'Metraj Mahal Listesi'!$K$3*100)</f>
        <v/>
      </c>
      <c r="E123" s="31">
        <f>IF(A123="","",SUMPRODUCT((('Metraj Mahal Listesi'!$A$5:$A$504=A123)+('Metraj Mahal Listesi'!$B$5:$B$504=A123)&gt;0)*('Metraj Mahal Listesi'!$C$5:$C$504&lt;&gt;"")))</f>
        <v/>
      </c>
      <c r="F123" s="31">
        <f>IF(A123="","",SUMPRODUCT((('Metraj Mahal Listesi'!$A$5:$A$504=A123)+('Metraj Mahal Listesi'!$B$5:$B$504=A123)&gt;0)*('Metraj Mahal Listesi'!$C$5:$C$504&lt;&gt;"")*(LEFT('Metraj Mahal Listesi'!$C$5:$C$504,1)&lt;&gt;"—")*('Metraj Mahal Listesi'!$F$5:$F$504="")))</f>
        <v/>
      </c>
      <c r="G123" s="31">
        <f>IF(A123="","",SUMPRODUCT((('Metraj Mahal Listesi'!$A$5:$A$504=A123)+('Metraj Mahal Listesi'!$B$5:$B$504=A123)&gt;0)*('Metraj Mahal Listesi'!$F$5:$F$504&lt;&gt;"")*(LEFT('Metraj Mahal Listesi'!$C$5:$C$504,1)&lt;&gt;"—")*('Metraj Mahal Listesi'!$J$5:$J$504=0)))</f>
        <v/>
      </c>
      <c r="H123" s="5" t="n"/>
    </row>
    <row r="124">
      <c r="A124" s="5" t="n"/>
      <c r="B124" s="5" t="n"/>
      <c r="C124" s="21">
        <f>IF(A124="","",SUMPRODUCT((('Metraj Mahal Listesi'!$A$5:$A$504=A124)+('Metraj Mahal Listesi'!$B$5:$B$504=A124)&gt;0)*'Metraj Mahal Listesi'!$K$5:$K$504))</f>
        <v/>
      </c>
      <c r="D124" s="27">
        <f>IF(OR(A124="",'Metraj Mahal Listesi'!$K$3=0),"",C124/'Metraj Mahal Listesi'!$K$3*100)</f>
        <v/>
      </c>
      <c r="E124" s="31">
        <f>IF(A124="","",SUMPRODUCT((('Metraj Mahal Listesi'!$A$5:$A$504=A124)+('Metraj Mahal Listesi'!$B$5:$B$504=A124)&gt;0)*('Metraj Mahal Listesi'!$C$5:$C$504&lt;&gt;"")))</f>
        <v/>
      </c>
      <c r="F124" s="31">
        <f>IF(A124="","",SUMPRODUCT((('Metraj Mahal Listesi'!$A$5:$A$504=A124)+('Metraj Mahal Listesi'!$B$5:$B$504=A124)&gt;0)*('Metraj Mahal Listesi'!$C$5:$C$504&lt;&gt;"")*(LEFT('Metraj Mahal Listesi'!$C$5:$C$504,1)&lt;&gt;"—")*('Metraj Mahal Listesi'!$F$5:$F$504="")))</f>
        <v/>
      </c>
      <c r="G124" s="31">
        <f>IF(A124="","",SUMPRODUCT((('Metraj Mahal Listesi'!$A$5:$A$504=A124)+('Metraj Mahal Listesi'!$B$5:$B$504=A124)&gt;0)*('Metraj Mahal Listesi'!$F$5:$F$504&lt;&gt;"")*(LEFT('Metraj Mahal Listesi'!$C$5:$C$504,1)&lt;&gt;"—")*('Metraj Mahal Listesi'!$J$5:$J$504=0)))</f>
        <v/>
      </c>
      <c r="H124" s="5" t="n"/>
    </row>
    <row r="125">
      <c r="A125" s="5" t="n"/>
      <c r="B125" s="5" t="n"/>
      <c r="C125" s="21">
        <f>IF(A125="","",SUMPRODUCT((('Metraj Mahal Listesi'!$A$5:$A$504=A125)+('Metraj Mahal Listesi'!$B$5:$B$504=A125)&gt;0)*'Metraj Mahal Listesi'!$K$5:$K$504))</f>
        <v/>
      </c>
      <c r="D125" s="27">
        <f>IF(OR(A125="",'Metraj Mahal Listesi'!$K$3=0),"",C125/'Metraj Mahal Listesi'!$K$3*100)</f>
        <v/>
      </c>
      <c r="E125" s="31">
        <f>IF(A125="","",SUMPRODUCT((('Metraj Mahal Listesi'!$A$5:$A$504=A125)+('Metraj Mahal Listesi'!$B$5:$B$504=A125)&gt;0)*('Metraj Mahal Listesi'!$C$5:$C$504&lt;&gt;"")))</f>
        <v/>
      </c>
      <c r="F125" s="31">
        <f>IF(A125="","",SUMPRODUCT((('Metraj Mahal Listesi'!$A$5:$A$504=A125)+('Metraj Mahal Listesi'!$B$5:$B$504=A125)&gt;0)*('Metraj Mahal Listesi'!$C$5:$C$504&lt;&gt;"")*(LEFT('Metraj Mahal Listesi'!$C$5:$C$504,1)&lt;&gt;"—")*('Metraj Mahal Listesi'!$F$5:$F$504="")))</f>
        <v/>
      </c>
      <c r="G125" s="31">
        <f>IF(A125="","",SUMPRODUCT((('Metraj Mahal Listesi'!$A$5:$A$504=A125)+('Metraj Mahal Listesi'!$B$5:$B$504=A125)&gt;0)*('Metraj Mahal Listesi'!$F$5:$F$504&lt;&gt;"")*(LEFT('Metraj Mahal Listesi'!$C$5:$C$504,1)&lt;&gt;"—")*('Metraj Mahal Listesi'!$J$5:$J$504=0)))</f>
        <v/>
      </c>
      <c r="H125" s="5" t="n"/>
    </row>
    <row r="126">
      <c r="A126" s="5" t="n"/>
      <c r="B126" s="5" t="n"/>
      <c r="C126" s="21">
        <f>IF(A126="","",SUMPRODUCT((('Metraj Mahal Listesi'!$A$5:$A$504=A126)+('Metraj Mahal Listesi'!$B$5:$B$504=A126)&gt;0)*'Metraj Mahal Listesi'!$K$5:$K$504))</f>
        <v/>
      </c>
      <c r="D126" s="27">
        <f>IF(OR(A126="",'Metraj Mahal Listesi'!$K$3=0),"",C126/'Metraj Mahal Listesi'!$K$3*100)</f>
        <v/>
      </c>
      <c r="E126" s="31">
        <f>IF(A126="","",SUMPRODUCT((('Metraj Mahal Listesi'!$A$5:$A$504=A126)+('Metraj Mahal Listesi'!$B$5:$B$504=A126)&gt;0)*('Metraj Mahal Listesi'!$C$5:$C$504&lt;&gt;"")))</f>
        <v/>
      </c>
      <c r="F126" s="31">
        <f>IF(A126="","",SUMPRODUCT((('Metraj Mahal Listesi'!$A$5:$A$504=A126)+('Metraj Mahal Listesi'!$B$5:$B$504=A126)&gt;0)*('Metraj Mahal Listesi'!$C$5:$C$504&lt;&gt;"")*(LEFT('Metraj Mahal Listesi'!$C$5:$C$504,1)&lt;&gt;"—")*('Metraj Mahal Listesi'!$F$5:$F$504="")))</f>
        <v/>
      </c>
      <c r="G126" s="31">
        <f>IF(A126="","",SUMPRODUCT((('Metraj Mahal Listesi'!$A$5:$A$504=A126)+('Metraj Mahal Listesi'!$B$5:$B$504=A126)&gt;0)*('Metraj Mahal Listesi'!$F$5:$F$504&lt;&gt;"")*(LEFT('Metraj Mahal Listesi'!$C$5:$C$504,1)&lt;&gt;"—")*('Metraj Mahal Listesi'!$J$5:$J$504=0)))</f>
        <v/>
      </c>
      <c r="H126" s="5" t="n"/>
    </row>
    <row r="127">
      <c r="A127" s="5" t="n"/>
      <c r="B127" s="5" t="n"/>
      <c r="C127" s="21">
        <f>IF(A127="","",SUMPRODUCT((('Metraj Mahal Listesi'!$A$5:$A$504=A127)+('Metraj Mahal Listesi'!$B$5:$B$504=A127)&gt;0)*'Metraj Mahal Listesi'!$K$5:$K$504))</f>
        <v/>
      </c>
      <c r="D127" s="27">
        <f>IF(OR(A127="",'Metraj Mahal Listesi'!$K$3=0),"",C127/'Metraj Mahal Listesi'!$K$3*100)</f>
        <v/>
      </c>
      <c r="E127" s="31">
        <f>IF(A127="","",SUMPRODUCT((('Metraj Mahal Listesi'!$A$5:$A$504=A127)+('Metraj Mahal Listesi'!$B$5:$B$504=A127)&gt;0)*('Metraj Mahal Listesi'!$C$5:$C$504&lt;&gt;"")))</f>
        <v/>
      </c>
      <c r="F127" s="31">
        <f>IF(A127="","",SUMPRODUCT((('Metraj Mahal Listesi'!$A$5:$A$504=A127)+('Metraj Mahal Listesi'!$B$5:$B$504=A127)&gt;0)*('Metraj Mahal Listesi'!$C$5:$C$504&lt;&gt;"")*(LEFT('Metraj Mahal Listesi'!$C$5:$C$504,1)&lt;&gt;"—")*('Metraj Mahal Listesi'!$F$5:$F$504="")))</f>
        <v/>
      </c>
      <c r="G127" s="31">
        <f>IF(A127="","",SUMPRODUCT((('Metraj Mahal Listesi'!$A$5:$A$504=A127)+('Metraj Mahal Listesi'!$B$5:$B$504=A127)&gt;0)*('Metraj Mahal Listesi'!$F$5:$F$504&lt;&gt;"")*(LEFT('Metraj Mahal Listesi'!$C$5:$C$504,1)&lt;&gt;"—")*('Metraj Mahal Listesi'!$J$5:$J$504=0)))</f>
        <v/>
      </c>
      <c r="H127" s="5" t="n"/>
    </row>
    <row r="128">
      <c r="A128" s="5" t="n"/>
      <c r="B128" s="5" t="n"/>
      <c r="C128" s="21">
        <f>IF(A128="","",SUMPRODUCT((('Metraj Mahal Listesi'!$A$5:$A$504=A128)+('Metraj Mahal Listesi'!$B$5:$B$504=A128)&gt;0)*'Metraj Mahal Listesi'!$K$5:$K$504))</f>
        <v/>
      </c>
      <c r="D128" s="27">
        <f>IF(OR(A128="",'Metraj Mahal Listesi'!$K$3=0),"",C128/'Metraj Mahal Listesi'!$K$3*100)</f>
        <v/>
      </c>
      <c r="E128" s="31">
        <f>IF(A128="","",SUMPRODUCT((('Metraj Mahal Listesi'!$A$5:$A$504=A128)+('Metraj Mahal Listesi'!$B$5:$B$504=A128)&gt;0)*('Metraj Mahal Listesi'!$C$5:$C$504&lt;&gt;"")))</f>
        <v/>
      </c>
      <c r="F128" s="31">
        <f>IF(A128="","",SUMPRODUCT((('Metraj Mahal Listesi'!$A$5:$A$504=A128)+('Metraj Mahal Listesi'!$B$5:$B$504=A128)&gt;0)*('Metraj Mahal Listesi'!$C$5:$C$504&lt;&gt;"")*(LEFT('Metraj Mahal Listesi'!$C$5:$C$504,1)&lt;&gt;"—")*('Metraj Mahal Listesi'!$F$5:$F$504="")))</f>
        <v/>
      </c>
      <c r="G128" s="31">
        <f>IF(A128="","",SUMPRODUCT((('Metraj Mahal Listesi'!$A$5:$A$504=A128)+('Metraj Mahal Listesi'!$B$5:$B$504=A128)&gt;0)*('Metraj Mahal Listesi'!$F$5:$F$504&lt;&gt;"")*(LEFT('Metraj Mahal Listesi'!$C$5:$C$504,1)&lt;&gt;"—")*('Metraj Mahal Listesi'!$J$5:$J$504=0)))</f>
        <v/>
      </c>
      <c r="H128" s="5" t="n"/>
    </row>
    <row r="129">
      <c r="A129" s="5" t="n"/>
      <c r="B129" s="5" t="n"/>
      <c r="C129" s="21">
        <f>IF(A129="","",SUMPRODUCT((('Metraj Mahal Listesi'!$A$5:$A$504=A129)+('Metraj Mahal Listesi'!$B$5:$B$504=A129)&gt;0)*'Metraj Mahal Listesi'!$K$5:$K$504))</f>
        <v/>
      </c>
      <c r="D129" s="27">
        <f>IF(OR(A129="",'Metraj Mahal Listesi'!$K$3=0),"",C129/'Metraj Mahal Listesi'!$K$3*100)</f>
        <v/>
      </c>
      <c r="E129" s="31">
        <f>IF(A129="","",SUMPRODUCT((('Metraj Mahal Listesi'!$A$5:$A$504=A129)+('Metraj Mahal Listesi'!$B$5:$B$504=A129)&gt;0)*('Metraj Mahal Listesi'!$C$5:$C$504&lt;&gt;"")))</f>
        <v/>
      </c>
      <c r="F129" s="31">
        <f>IF(A129="","",SUMPRODUCT((('Metraj Mahal Listesi'!$A$5:$A$504=A129)+('Metraj Mahal Listesi'!$B$5:$B$504=A129)&gt;0)*('Metraj Mahal Listesi'!$C$5:$C$504&lt;&gt;"")*(LEFT('Metraj Mahal Listesi'!$C$5:$C$504,1)&lt;&gt;"—")*('Metraj Mahal Listesi'!$F$5:$F$504="")))</f>
        <v/>
      </c>
      <c r="G129" s="31">
        <f>IF(A129="","",SUMPRODUCT((('Metraj Mahal Listesi'!$A$5:$A$504=A129)+('Metraj Mahal Listesi'!$B$5:$B$504=A129)&gt;0)*('Metraj Mahal Listesi'!$F$5:$F$504&lt;&gt;"")*(LEFT('Metraj Mahal Listesi'!$C$5:$C$504,1)&lt;&gt;"—")*('Metraj Mahal Listesi'!$J$5:$J$504=0)))</f>
        <v/>
      </c>
      <c r="H129" s="5" t="n"/>
    </row>
    <row r="130">
      <c r="A130" s="5" t="n"/>
      <c r="B130" s="5" t="n"/>
      <c r="C130" s="21">
        <f>IF(A130="","",SUMPRODUCT((('Metraj Mahal Listesi'!$A$5:$A$504=A130)+('Metraj Mahal Listesi'!$B$5:$B$504=A130)&gt;0)*'Metraj Mahal Listesi'!$K$5:$K$504))</f>
        <v/>
      </c>
      <c r="D130" s="27">
        <f>IF(OR(A130="",'Metraj Mahal Listesi'!$K$3=0),"",C130/'Metraj Mahal Listesi'!$K$3*100)</f>
        <v/>
      </c>
      <c r="E130" s="31">
        <f>IF(A130="","",SUMPRODUCT((('Metraj Mahal Listesi'!$A$5:$A$504=A130)+('Metraj Mahal Listesi'!$B$5:$B$504=A130)&gt;0)*('Metraj Mahal Listesi'!$C$5:$C$504&lt;&gt;"")))</f>
        <v/>
      </c>
      <c r="F130" s="31">
        <f>IF(A130="","",SUMPRODUCT((('Metraj Mahal Listesi'!$A$5:$A$504=A130)+('Metraj Mahal Listesi'!$B$5:$B$504=A130)&gt;0)*('Metraj Mahal Listesi'!$C$5:$C$504&lt;&gt;"")*(LEFT('Metraj Mahal Listesi'!$C$5:$C$504,1)&lt;&gt;"—")*('Metraj Mahal Listesi'!$F$5:$F$504="")))</f>
        <v/>
      </c>
      <c r="G130" s="31">
        <f>IF(A130="","",SUMPRODUCT((('Metraj Mahal Listesi'!$A$5:$A$504=A130)+('Metraj Mahal Listesi'!$B$5:$B$504=A130)&gt;0)*('Metraj Mahal Listesi'!$F$5:$F$504&lt;&gt;"")*(LEFT('Metraj Mahal Listesi'!$C$5:$C$504,1)&lt;&gt;"—")*('Metraj Mahal Listesi'!$J$5:$J$504=0)))</f>
        <v/>
      </c>
      <c r="H130" s="5" t="n"/>
    </row>
    <row r="131">
      <c r="A131" s="5" t="n"/>
      <c r="B131" s="5" t="n"/>
      <c r="C131" s="21">
        <f>IF(A131="","",SUMPRODUCT((('Metraj Mahal Listesi'!$A$5:$A$504=A131)+('Metraj Mahal Listesi'!$B$5:$B$504=A131)&gt;0)*'Metraj Mahal Listesi'!$K$5:$K$504))</f>
        <v/>
      </c>
      <c r="D131" s="27">
        <f>IF(OR(A131="",'Metraj Mahal Listesi'!$K$3=0),"",C131/'Metraj Mahal Listesi'!$K$3*100)</f>
        <v/>
      </c>
      <c r="E131" s="31">
        <f>IF(A131="","",SUMPRODUCT((('Metraj Mahal Listesi'!$A$5:$A$504=A131)+('Metraj Mahal Listesi'!$B$5:$B$504=A131)&gt;0)*('Metraj Mahal Listesi'!$C$5:$C$504&lt;&gt;"")))</f>
        <v/>
      </c>
      <c r="F131" s="31">
        <f>IF(A131="","",SUMPRODUCT((('Metraj Mahal Listesi'!$A$5:$A$504=A131)+('Metraj Mahal Listesi'!$B$5:$B$504=A131)&gt;0)*('Metraj Mahal Listesi'!$C$5:$C$504&lt;&gt;"")*(LEFT('Metraj Mahal Listesi'!$C$5:$C$504,1)&lt;&gt;"—")*('Metraj Mahal Listesi'!$F$5:$F$504="")))</f>
        <v/>
      </c>
      <c r="G131" s="31">
        <f>IF(A131="","",SUMPRODUCT((('Metraj Mahal Listesi'!$A$5:$A$504=A131)+('Metraj Mahal Listesi'!$B$5:$B$504=A131)&gt;0)*('Metraj Mahal Listesi'!$F$5:$F$504&lt;&gt;"")*(LEFT('Metraj Mahal Listesi'!$C$5:$C$504,1)&lt;&gt;"—")*('Metraj Mahal Listesi'!$J$5:$J$504=0)))</f>
        <v/>
      </c>
      <c r="H131" s="5" t="n"/>
    </row>
    <row r="132">
      <c r="A132" s="5" t="n"/>
      <c r="B132" s="5" t="n"/>
      <c r="C132" s="21">
        <f>IF(A132="","",SUMPRODUCT((('Metraj Mahal Listesi'!$A$5:$A$504=A132)+('Metraj Mahal Listesi'!$B$5:$B$504=A132)&gt;0)*'Metraj Mahal Listesi'!$K$5:$K$504))</f>
        <v/>
      </c>
      <c r="D132" s="27">
        <f>IF(OR(A132="",'Metraj Mahal Listesi'!$K$3=0),"",C132/'Metraj Mahal Listesi'!$K$3*100)</f>
        <v/>
      </c>
      <c r="E132" s="31">
        <f>IF(A132="","",SUMPRODUCT((('Metraj Mahal Listesi'!$A$5:$A$504=A132)+('Metraj Mahal Listesi'!$B$5:$B$504=A132)&gt;0)*('Metraj Mahal Listesi'!$C$5:$C$504&lt;&gt;"")))</f>
        <v/>
      </c>
      <c r="F132" s="31">
        <f>IF(A132="","",SUMPRODUCT((('Metraj Mahal Listesi'!$A$5:$A$504=A132)+('Metraj Mahal Listesi'!$B$5:$B$504=A132)&gt;0)*('Metraj Mahal Listesi'!$C$5:$C$504&lt;&gt;"")*(LEFT('Metraj Mahal Listesi'!$C$5:$C$504,1)&lt;&gt;"—")*('Metraj Mahal Listesi'!$F$5:$F$504="")))</f>
        <v/>
      </c>
      <c r="G132" s="31">
        <f>IF(A132="","",SUMPRODUCT((('Metraj Mahal Listesi'!$A$5:$A$504=A132)+('Metraj Mahal Listesi'!$B$5:$B$504=A132)&gt;0)*('Metraj Mahal Listesi'!$F$5:$F$504&lt;&gt;"")*(LEFT('Metraj Mahal Listesi'!$C$5:$C$504,1)&lt;&gt;"—")*('Metraj Mahal Listesi'!$J$5:$J$504=0)))</f>
        <v/>
      </c>
      <c r="H132" s="5" t="n"/>
    </row>
    <row r="133">
      <c r="A133" s="5" t="n"/>
      <c r="B133" s="5" t="n"/>
      <c r="C133" s="21">
        <f>IF(A133="","",SUMPRODUCT((('Metraj Mahal Listesi'!$A$5:$A$504=A133)+('Metraj Mahal Listesi'!$B$5:$B$504=A133)&gt;0)*'Metraj Mahal Listesi'!$K$5:$K$504))</f>
        <v/>
      </c>
      <c r="D133" s="27">
        <f>IF(OR(A133="",'Metraj Mahal Listesi'!$K$3=0),"",C133/'Metraj Mahal Listesi'!$K$3*100)</f>
        <v/>
      </c>
      <c r="E133" s="31">
        <f>IF(A133="","",SUMPRODUCT((('Metraj Mahal Listesi'!$A$5:$A$504=A133)+('Metraj Mahal Listesi'!$B$5:$B$504=A133)&gt;0)*('Metraj Mahal Listesi'!$C$5:$C$504&lt;&gt;"")))</f>
        <v/>
      </c>
      <c r="F133" s="31">
        <f>IF(A133="","",SUMPRODUCT((('Metraj Mahal Listesi'!$A$5:$A$504=A133)+('Metraj Mahal Listesi'!$B$5:$B$504=A133)&gt;0)*('Metraj Mahal Listesi'!$C$5:$C$504&lt;&gt;"")*(LEFT('Metraj Mahal Listesi'!$C$5:$C$504,1)&lt;&gt;"—")*('Metraj Mahal Listesi'!$F$5:$F$504="")))</f>
        <v/>
      </c>
      <c r="G133" s="31">
        <f>IF(A133="","",SUMPRODUCT((('Metraj Mahal Listesi'!$A$5:$A$504=A133)+('Metraj Mahal Listesi'!$B$5:$B$504=A133)&gt;0)*('Metraj Mahal Listesi'!$F$5:$F$504&lt;&gt;"")*(LEFT('Metraj Mahal Listesi'!$C$5:$C$504,1)&lt;&gt;"—")*('Metraj Mahal Listesi'!$J$5:$J$504=0)))</f>
        <v/>
      </c>
      <c r="H133" s="5" t="n"/>
    </row>
    <row r="134">
      <c r="A134" s="5" t="n"/>
      <c r="B134" s="5" t="n"/>
      <c r="C134" s="21">
        <f>IF(A134="","",SUMPRODUCT((('Metraj Mahal Listesi'!$A$5:$A$504=A134)+('Metraj Mahal Listesi'!$B$5:$B$504=A134)&gt;0)*'Metraj Mahal Listesi'!$K$5:$K$504))</f>
        <v/>
      </c>
      <c r="D134" s="27">
        <f>IF(OR(A134="",'Metraj Mahal Listesi'!$K$3=0),"",C134/'Metraj Mahal Listesi'!$K$3*100)</f>
        <v/>
      </c>
      <c r="E134" s="31">
        <f>IF(A134="","",SUMPRODUCT((('Metraj Mahal Listesi'!$A$5:$A$504=A134)+('Metraj Mahal Listesi'!$B$5:$B$504=A134)&gt;0)*('Metraj Mahal Listesi'!$C$5:$C$504&lt;&gt;"")))</f>
        <v/>
      </c>
      <c r="F134" s="31">
        <f>IF(A134="","",SUMPRODUCT((('Metraj Mahal Listesi'!$A$5:$A$504=A134)+('Metraj Mahal Listesi'!$B$5:$B$504=A134)&gt;0)*('Metraj Mahal Listesi'!$C$5:$C$504&lt;&gt;"")*(LEFT('Metraj Mahal Listesi'!$C$5:$C$504,1)&lt;&gt;"—")*('Metraj Mahal Listesi'!$F$5:$F$504="")))</f>
        <v/>
      </c>
      <c r="G134" s="31">
        <f>IF(A134="","",SUMPRODUCT((('Metraj Mahal Listesi'!$A$5:$A$504=A134)+('Metraj Mahal Listesi'!$B$5:$B$504=A134)&gt;0)*('Metraj Mahal Listesi'!$F$5:$F$504&lt;&gt;"")*(LEFT('Metraj Mahal Listesi'!$C$5:$C$504,1)&lt;&gt;"—")*('Metraj Mahal Listesi'!$J$5:$J$504=0)))</f>
        <v/>
      </c>
      <c r="H134" s="5" t="n"/>
    </row>
    <row r="135">
      <c r="A135" s="5" t="n"/>
      <c r="B135" s="5" t="n"/>
      <c r="C135" s="21">
        <f>IF(A135="","",SUMPRODUCT((('Metraj Mahal Listesi'!$A$5:$A$504=A135)+('Metraj Mahal Listesi'!$B$5:$B$504=A135)&gt;0)*'Metraj Mahal Listesi'!$K$5:$K$504))</f>
        <v/>
      </c>
      <c r="D135" s="27">
        <f>IF(OR(A135="",'Metraj Mahal Listesi'!$K$3=0),"",C135/'Metraj Mahal Listesi'!$K$3*100)</f>
        <v/>
      </c>
      <c r="E135" s="31">
        <f>IF(A135="","",SUMPRODUCT((('Metraj Mahal Listesi'!$A$5:$A$504=A135)+('Metraj Mahal Listesi'!$B$5:$B$504=A135)&gt;0)*('Metraj Mahal Listesi'!$C$5:$C$504&lt;&gt;"")))</f>
        <v/>
      </c>
      <c r="F135" s="31">
        <f>IF(A135="","",SUMPRODUCT((('Metraj Mahal Listesi'!$A$5:$A$504=A135)+('Metraj Mahal Listesi'!$B$5:$B$504=A135)&gt;0)*('Metraj Mahal Listesi'!$C$5:$C$504&lt;&gt;"")*(LEFT('Metraj Mahal Listesi'!$C$5:$C$504,1)&lt;&gt;"—")*('Metraj Mahal Listesi'!$F$5:$F$504="")))</f>
        <v/>
      </c>
      <c r="G135" s="31">
        <f>IF(A135="","",SUMPRODUCT((('Metraj Mahal Listesi'!$A$5:$A$504=A135)+('Metraj Mahal Listesi'!$B$5:$B$504=A135)&gt;0)*('Metraj Mahal Listesi'!$F$5:$F$504&lt;&gt;"")*(LEFT('Metraj Mahal Listesi'!$C$5:$C$504,1)&lt;&gt;"—")*('Metraj Mahal Listesi'!$J$5:$J$504=0)))</f>
        <v/>
      </c>
      <c r="H135" s="5" t="n"/>
    </row>
    <row r="136">
      <c r="A136" s="5" t="n"/>
      <c r="B136" s="5" t="n"/>
      <c r="C136" s="21">
        <f>IF(A136="","",SUMPRODUCT((('Metraj Mahal Listesi'!$A$5:$A$504=A136)+('Metraj Mahal Listesi'!$B$5:$B$504=A136)&gt;0)*'Metraj Mahal Listesi'!$K$5:$K$504))</f>
        <v/>
      </c>
      <c r="D136" s="27">
        <f>IF(OR(A136="",'Metraj Mahal Listesi'!$K$3=0),"",C136/'Metraj Mahal Listesi'!$K$3*100)</f>
        <v/>
      </c>
      <c r="E136" s="31">
        <f>IF(A136="","",SUMPRODUCT((('Metraj Mahal Listesi'!$A$5:$A$504=A136)+('Metraj Mahal Listesi'!$B$5:$B$504=A136)&gt;0)*('Metraj Mahal Listesi'!$C$5:$C$504&lt;&gt;"")))</f>
        <v/>
      </c>
      <c r="F136" s="31">
        <f>IF(A136="","",SUMPRODUCT((('Metraj Mahal Listesi'!$A$5:$A$504=A136)+('Metraj Mahal Listesi'!$B$5:$B$504=A136)&gt;0)*('Metraj Mahal Listesi'!$C$5:$C$504&lt;&gt;"")*(LEFT('Metraj Mahal Listesi'!$C$5:$C$504,1)&lt;&gt;"—")*('Metraj Mahal Listesi'!$F$5:$F$504="")))</f>
        <v/>
      </c>
      <c r="G136" s="31">
        <f>IF(A136="","",SUMPRODUCT((('Metraj Mahal Listesi'!$A$5:$A$504=A136)+('Metraj Mahal Listesi'!$B$5:$B$504=A136)&gt;0)*('Metraj Mahal Listesi'!$F$5:$F$504&lt;&gt;"")*(LEFT('Metraj Mahal Listesi'!$C$5:$C$504,1)&lt;&gt;"—")*('Metraj Mahal Listesi'!$J$5:$J$504=0)))</f>
        <v/>
      </c>
      <c r="H136" s="5" t="n"/>
    </row>
    <row r="137">
      <c r="A137" s="5" t="n"/>
      <c r="B137" s="5" t="n"/>
      <c r="C137" s="21">
        <f>IF(A137="","",SUMPRODUCT((('Metraj Mahal Listesi'!$A$5:$A$504=A137)+('Metraj Mahal Listesi'!$B$5:$B$504=A137)&gt;0)*'Metraj Mahal Listesi'!$K$5:$K$504))</f>
        <v/>
      </c>
      <c r="D137" s="27">
        <f>IF(OR(A137="",'Metraj Mahal Listesi'!$K$3=0),"",C137/'Metraj Mahal Listesi'!$K$3*100)</f>
        <v/>
      </c>
      <c r="E137" s="31">
        <f>IF(A137="","",SUMPRODUCT((('Metraj Mahal Listesi'!$A$5:$A$504=A137)+('Metraj Mahal Listesi'!$B$5:$B$504=A137)&gt;0)*('Metraj Mahal Listesi'!$C$5:$C$504&lt;&gt;"")))</f>
        <v/>
      </c>
      <c r="F137" s="31">
        <f>IF(A137="","",SUMPRODUCT((('Metraj Mahal Listesi'!$A$5:$A$504=A137)+('Metraj Mahal Listesi'!$B$5:$B$504=A137)&gt;0)*('Metraj Mahal Listesi'!$C$5:$C$504&lt;&gt;"")*(LEFT('Metraj Mahal Listesi'!$C$5:$C$504,1)&lt;&gt;"—")*('Metraj Mahal Listesi'!$F$5:$F$504="")))</f>
        <v/>
      </c>
      <c r="G137" s="31">
        <f>IF(A137="","",SUMPRODUCT((('Metraj Mahal Listesi'!$A$5:$A$504=A137)+('Metraj Mahal Listesi'!$B$5:$B$504=A137)&gt;0)*('Metraj Mahal Listesi'!$F$5:$F$504&lt;&gt;"")*(LEFT('Metraj Mahal Listesi'!$C$5:$C$504,1)&lt;&gt;"—")*('Metraj Mahal Listesi'!$J$5:$J$504=0)))</f>
        <v/>
      </c>
      <c r="H137" s="5" t="n"/>
    </row>
    <row r="138">
      <c r="A138" s="5" t="n"/>
      <c r="B138" s="5" t="n"/>
      <c r="C138" s="21">
        <f>IF(A138="","",SUMPRODUCT((('Metraj Mahal Listesi'!$A$5:$A$504=A138)+('Metraj Mahal Listesi'!$B$5:$B$504=A138)&gt;0)*'Metraj Mahal Listesi'!$K$5:$K$504))</f>
        <v/>
      </c>
      <c r="D138" s="27">
        <f>IF(OR(A138="",'Metraj Mahal Listesi'!$K$3=0),"",C138/'Metraj Mahal Listesi'!$K$3*100)</f>
        <v/>
      </c>
      <c r="E138" s="31">
        <f>IF(A138="","",SUMPRODUCT((('Metraj Mahal Listesi'!$A$5:$A$504=A138)+('Metraj Mahal Listesi'!$B$5:$B$504=A138)&gt;0)*('Metraj Mahal Listesi'!$C$5:$C$504&lt;&gt;"")))</f>
        <v/>
      </c>
      <c r="F138" s="31">
        <f>IF(A138="","",SUMPRODUCT((('Metraj Mahal Listesi'!$A$5:$A$504=A138)+('Metraj Mahal Listesi'!$B$5:$B$504=A138)&gt;0)*('Metraj Mahal Listesi'!$C$5:$C$504&lt;&gt;"")*(LEFT('Metraj Mahal Listesi'!$C$5:$C$504,1)&lt;&gt;"—")*('Metraj Mahal Listesi'!$F$5:$F$504="")))</f>
        <v/>
      </c>
      <c r="G138" s="31">
        <f>IF(A138="","",SUMPRODUCT((('Metraj Mahal Listesi'!$A$5:$A$504=A138)+('Metraj Mahal Listesi'!$B$5:$B$504=A138)&gt;0)*('Metraj Mahal Listesi'!$F$5:$F$504&lt;&gt;"")*(LEFT('Metraj Mahal Listesi'!$C$5:$C$504,1)&lt;&gt;"—")*('Metraj Mahal Listesi'!$J$5:$J$504=0)))</f>
        <v/>
      </c>
      <c r="H138" s="5" t="n"/>
    </row>
    <row r="139">
      <c r="A139" s="5" t="n"/>
      <c r="B139" s="5" t="n"/>
      <c r="C139" s="21">
        <f>IF(A139="","",SUMPRODUCT((('Metraj Mahal Listesi'!$A$5:$A$504=A139)+('Metraj Mahal Listesi'!$B$5:$B$504=A139)&gt;0)*'Metraj Mahal Listesi'!$K$5:$K$504))</f>
        <v/>
      </c>
      <c r="D139" s="27">
        <f>IF(OR(A139="",'Metraj Mahal Listesi'!$K$3=0),"",C139/'Metraj Mahal Listesi'!$K$3*100)</f>
        <v/>
      </c>
      <c r="E139" s="31">
        <f>IF(A139="","",SUMPRODUCT((('Metraj Mahal Listesi'!$A$5:$A$504=A139)+('Metraj Mahal Listesi'!$B$5:$B$504=A139)&gt;0)*('Metraj Mahal Listesi'!$C$5:$C$504&lt;&gt;"")))</f>
        <v/>
      </c>
      <c r="F139" s="31">
        <f>IF(A139="","",SUMPRODUCT((('Metraj Mahal Listesi'!$A$5:$A$504=A139)+('Metraj Mahal Listesi'!$B$5:$B$504=A139)&gt;0)*('Metraj Mahal Listesi'!$C$5:$C$504&lt;&gt;"")*(LEFT('Metraj Mahal Listesi'!$C$5:$C$504,1)&lt;&gt;"—")*('Metraj Mahal Listesi'!$F$5:$F$504="")))</f>
        <v/>
      </c>
      <c r="G139" s="31">
        <f>IF(A139="","",SUMPRODUCT((('Metraj Mahal Listesi'!$A$5:$A$504=A139)+('Metraj Mahal Listesi'!$B$5:$B$504=A139)&gt;0)*('Metraj Mahal Listesi'!$F$5:$F$504&lt;&gt;"")*(LEFT('Metraj Mahal Listesi'!$C$5:$C$504,1)&lt;&gt;"—")*('Metraj Mahal Listesi'!$J$5:$J$504=0)))</f>
        <v/>
      </c>
      <c r="H139" s="5" t="n"/>
    </row>
    <row r="140">
      <c r="A140" s="5" t="n"/>
      <c r="B140" s="5" t="n"/>
      <c r="C140" s="21">
        <f>IF(A140="","",SUMPRODUCT((('Metraj Mahal Listesi'!$A$5:$A$504=A140)+('Metraj Mahal Listesi'!$B$5:$B$504=A140)&gt;0)*'Metraj Mahal Listesi'!$K$5:$K$504))</f>
        <v/>
      </c>
      <c r="D140" s="27">
        <f>IF(OR(A140="",'Metraj Mahal Listesi'!$K$3=0),"",C140/'Metraj Mahal Listesi'!$K$3*100)</f>
        <v/>
      </c>
      <c r="E140" s="31">
        <f>IF(A140="","",SUMPRODUCT((('Metraj Mahal Listesi'!$A$5:$A$504=A140)+('Metraj Mahal Listesi'!$B$5:$B$504=A140)&gt;0)*('Metraj Mahal Listesi'!$C$5:$C$504&lt;&gt;"")))</f>
        <v/>
      </c>
      <c r="F140" s="31">
        <f>IF(A140="","",SUMPRODUCT((('Metraj Mahal Listesi'!$A$5:$A$504=A140)+('Metraj Mahal Listesi'!$B$5:$B$504=A140)&gt;0)*('Metraj Mahal Listesi'!$C$5:$C$504&lt;&gt;"")*(LEFT('Metraj Mahal Listesi'!$C$5:$C$504,1)&lt;&gt;"—")*('Metraj Mahal Listesi'!$F$5:$F$504="")))</f>
        <v/>
      </c>
      <c r="G140" s="31">
        <f>IF(A140="","",SUMPRODUCT((('Metraj Mahal Listesi'!$A$5:$A$504=A140)+('Metraj Mahal Listesi'!$B$5:$B$504=A140)&gt;0)*('Metraj Mahal Listesi'!$F$5:$F$504&lt;&gt;"")*(LEFT('Metraj Mahal Listesi'!$C$5:$C$504,1)&lt;&gt;"—")*('Metraj Mahal Listesi'!$J$5:$J$504=0)))</f>
        <v/>
      </c>
      <c r="H140" s="5" t="n"/>
    </row>
    <row r="141">
      <c r="A141" s="5" t="n"/>
      <c r="B141" s="5" t="n"/>
      <c r="C141" s="21">
        <f>IF(A141="","",SUMPRODUCT((('Metraj Mahal Listesi'!$A$5:$A$504=A141)+('Metraj Mahal Listesi'!$B$5:$B$504=A141)&gt;0)*'Metraj Mahal Listesi'!$K$5:$K$504))</f>
        <v/>
      </c>
      <c r="D141" s="27">
        <f>IF(OR(A141="",'Metraj Mahal Listesi'!$K$3=0),"",C141/'Metraj Mahal Listesi'!$K$3*100)</f>
        <v/>
      </c>
      <c r="E141" s="31">
        <f>IF(A141="","",SUMPRODUCT((('Metraj Mahal Listesi'!$A$5:$A$504=A141)+('Metraj Mahal Listesi'!$B$5:$B$504=A141)&gt;0)*('Metraj Mahal Listesi'!$C$5:$C$504&lt;&gt;"")))</f>
        <v/>
      </c>
      <c r="F141" s="31">
        <f>IF(A141="","",SUMPRODUCT((('Metraj Mahal Listesi'!$A$5:$A$504=A141)+('Metraj Mahal Listesi'!$B$5:$B$504=A141)&gt;0)*('Metraj Mahal Listesi'!$C$5:$C$504&lt;&gt;"")*(LEFT('Metraj Mahal Listesi'!$C$5:$C$504,1)&lt;&gt;"—")*('Metraj Mahal Listesi'!$F$5:$F$504="")))</f>
        <v/>
      </c>
      <c r="G141" s="31">
        <f>IF(A141="","",SUMPRODUCT((('Metraj Mahal Listesi'!$A$5:$A$504=A141)+('Metraj Mahal Listesi'!$B$5:$B$504=A141)&gt;0)*('Metraj Mahal Listesi'!$F$5:$F$504&lt;&gt;"")*(LEFT('Metraj Mahal Listesi'!$C$5:$C$504,1)&lt;&gt;"—")*('Metraj Mahal Listesi'!$J$5:$J$504=0)))</f>
        <v/>
      </c>
      <c r="H141" s="5" t="n"/>
    </row>
    <row r="142">
      <c r="A142" s="5" t="n"/>
      <c r="B142" s="5" t="n"/>
      <c r="C142" s="21">
        <f>IF(A142="","",SUMPRODUCT((('Metraj Mahal Listesi'!$A$5:$A$504=A142)+('Metraj Mahal Listesi'!$B$5:$B$504=A142)&gt;0)*'Metraj Mahal Listesi'!$K$5:$K$504))</f>
        <v/>
      </c>
      <c r="D142" s="27">
        <f>IF(OR(A142="",'Metraj Mahal Listesi'!$K$3=0),"",C142/'Metraj Mahal Listesi'!$K$3*100)</f>
        <v/>
      </c>
      <c r="E142" s="31">
        <f>IF(A142="","",SUMPRODUCT((('Metraj Mahal Listesi'!$A$5:$A$504=A142)+('Metraj Mahal Listesi'!$B$5:$B$504=A142)&gt;0)*('Metraj Mahal Listesi'!$C$5:$C$504&lt;&gt;"")))</f>
        <v/>
      </c>
      <c r="F142" s="31">
        <f>IF(A142="","",SUMPRODUCT((('Metraj Mahal Listesi'!$A$5:$A$504=A142)+('Metraj Mahal Listesi'!$B$5:$B$504=A142)&gt;0)*('Metraj Mahal Listesi'!$C$5:$C$504&lt;&gt;"")*(LEFT('Metraj Mahal Listesi'!$C$5:$C$504,1)&lt;&gt;"—")*('Metraj Mahal Listesi'!$F$5:$F$504="")))</f>
        <v/>
      </c>
      <c r="G142" s="31">
        <f>IF(A142="","",SUMPRODUCT((('Metraj Mahal Listesi'!$A$5:$A$504=A142)+('Metraj Mahal Listesi'!$B$5:$B$504=A142)&gt;0)*('Metraj Mahal Listesi'!$F$5:$F$504&lt;&gt;"")*(LEFT('Metraj Mahal Listesi'!$C$5:$C$504,1)&lt;&gt;"—")*('Metraj Mahal Listesi'!$J$5:$J$504=0)))</f>
        <v/>
      </c>
      <c r="H142" s="5" t="n"/>
    </row>
    <row r="143">
      <c r="A143" s="5" t="n"/>
      <c r="B143" s="5" t="n"/>
      <c r="C143" s="21">
        <f>IF(A143="","",SUMPRODUCT((('Metraj Mahal Listesi'!$A$5:$A$504=A143)+('Metraj Mahal Listesi'!$B$5:$B$504=A143)&gt;0)*'Metraj Mahal Listesi'!$K$5:$K$504))</f>
        <v/>
      </c>
      <c r="D143" s="27">
        <f>IF(OR(A143="",'Metraj Mahal Listesi'!$K$3=0),"",C143/'Metraj Mahal Listesi'!$K$3*100)</f>
        <v/>
      </c>
      <c r="E143" s="31">
        <f>IF(A143="","",SUMPRODUCT((('Metraj Mahal Listesi'!$A$5:$A$504=A143)+('Metraj Mahal Listesi'!$B$5:$B$504=A143)&gt;0)*('Metraj Mahal Listesi'!$C$5:$C$504&lt;&gt;"")))</f>
        <v/>
      </c>
      <c r="F143" s="31">
        <f>IF(A143="","",SUMPRODUCT((('Metraj Mahal Listesi'!$A$5:$A$504=A143)+('Metraj Mahal Listesi'!$B$5:$B$504=A143)&gt;0)*('Metraj Mahal Listesi'!$C$5:$C$504&lt;&gt;"")*(LEFT('Metraj Mahal Listesi'!$C$5:$C$504,1)&lt;&gt;"—")*('Metraj Mahal Listesi'!$F$5:$F$504="")))</f>
        <v/>
      </c>
      <c r="G143" s="31">
        <f>IF(A143="","",SUMPRODUCT((('Metraj Mahal Listesi'!$A$5:$A$504=A143)+('Metraj Mahal Listesi'!$B$5:$B$504=A143)&gt;0)*('Metraj Mahal Listesi'!$F$5:$F$504&lt;&gt;"")*(LEFT('Metraj Mahal Listesi'!$C$5:$C$504,1)&lt;&gt;"—")*('Metraj Mahal Listesi'!$J$5:$J$504=0)))</f>
        <v/>
      </c>
      <c r="H143" s="5" t="n"/>
    </row>
    <row r="144">
      <c r="A144" s="5" t="n"/>
      <c r="B144" s="5" t="n"/>
      <c r="C144" s="21">
        <f>IF(A144="","",SUMPRODUCT((('Metraj Mahal Listesi'!$A$5:$A$504=A144)+('Metraj Mahal Listesi'!$B$5:$B$504=A144)&gt;0)*'Metraj Mahal Listesi'!$K$5:$K$504))</f>
        <v/>
      </c>
      <c r="D144" s="27">
        <f>IF(OR(A144="",'Metraj Mahal Listesi'!$K$3=0),"",C144/'Metraj Mahal Listesi'!$K$3*100)</f>
        <v/>
      </c>
      <c r="E144" s="31">
        <f>IF(A144="","",SUMPRODUCT((('Metraj Mahal Listesi'!$A$5:$A$504=A144)+('Metraj Mahal Listesi'!$B$5:$B$504=A144)&gt;0)*('Metraj Mahal Listesi'!$C$5:$C$504&lt;&gt;"")))</f>
        <v/>
      </c>
      <c r="F144" s="31">
        <f>IF(A144="","",SUMPRODUCT((('Metraj Mahal Listesi'!$A$5:$A$504=A144)+('Metraj Mahal Listesi'!$B$5:$B$504=A144)&gt;0)*('Metraj Mahal Listesi'!$C$5:$C$504&lt;&gt;"")*(LEFT('Metraj Mahal Listesi'!$C$5:$C$504,1)&lt;&gt;"—")*('Metraj Mahal Listesi'!$F$5:$F$504="")))</f>
        <v/>
      </c>
      <c r="G144" s="31">
        <f>IF(A144="","",SUMPRODUCT((('Metraj Mahal Listesi'!$A$5:$A$504=A144)+('Metraj Mahal Listesi'!$B$5:$B$504=A144)&gt;0)*('Metraj Mahal Listesi'!$F$5:$F$504&lt;&gt;"")*(LEFT('Metraj Mahal Listesi'!$C$5:$C$504,1)&lt;&gt;"—")*('Metraj Mahal Listesi'!$J$5:$J$504=0)))</f>
        <v/>
      </c>
      <c r="H144" s="5" t="n"/>
    </row>
    <row r="145">
      <c r="A145" s="5" t="n"/>
      <c r="B145" s="5" t="n"/>
      <c r="C145" s="21">
        <f>IF(A145="","",SUMPRODUCT((('Metraj Mahal Listesi'!$A$5:$A$504=A145)+('Metraj Mahal Listesi'!$B$5:$B$504=A145)&gt;0)*'Metraj Mahal Listesi'!$K$5:$K$504))</f>
        <v/>
      </c>
      <c r="D145" s="27">
        <f>IF(OR(A145="",'Metraj Mahal Listesi'!$K$3=0),"",C145/'Metraj Mahal Listesi'!$K$3*100)</f>
        <v/>
      </c>
      <c r="E145" s="31">
        <f>IF(A145="","",SUMPRODUCT((('Metraj Mahal Listesi'!$A$5:$A$504=A145)+('Metraj Mahal Listesi'!$B$5:$B$504=A145)&gt;0)*('Metraj Mahal Listesi'!$C$5:$C$504&lt;&gt;"")))</f>
        <v/>
      </c>
      <c r="F145" s="31">
        <f>IF(A145="","",SUMPRODUCT((('Metraj Mahal Listesi'!$A$5:$A$504=A145)+('Metraj Mahal Listesi'!$B$5:$B$504=A145)&gt;0)*('Metraj Mahal Listesi'!$C$5:$C$504&lt;&gt;"")*(LEFT('Metraj Mahal Listesi'!$C$5:$C$504,1)&lt;&gt;"—")*('Metraj Mahal Listesi'!$F$5:$F$504="")))</f>
        <v/>
      </c>
      <c r="G145" s="31">
        <f>IF(A145="","",SUMPRODUCT((('Metraj Mahal Listesi'!$A$5:$A$504=A145)+('Metraj Mahal Listesi'!$B$5:$B$504=A145)&gt;0)*('Metraj Mahal Listesi'!$F$5:$F$504&lt;&gt;"")*(LEFT('Metraj Mahal Listesi'!$C$5:$C$504,1)&lt;&gt;"—")*('Metraj Mahal Listesi'!$J$5:$J$504=0)))</f>
        <v/>
      </c>
      <c r="H145" s="5" t="n"/>
    </row>
    <row r="146">
      <c r="A146" s="5" t="n"/>
      <c r="B146" s="5" t="n"/>
      <c r="C146" s="21">
        <f>IF(A146="","",SUMPRODUCT((('Metraj Mahal Listesi'!$A$5:$A$504=A146)+('Metraj Mahal Listesi'!$B$5:$B$504=A146)&gt;0)*'Metraj Mahal Listesi'!$K$5:$K$504))</f>
        <v/>
      </c>
      <c r="D146" s="27">
        <f>IF(OR(A146="",'Metraj Mahal Listesi'!$K$3=0),"",C146/'Metraj Mahal Listesi'!$K$3*100)</f>
        <v/>
      </c>
      <c r="E146" s="31">
        <f>IF(A146="","",SUMPRODUCT((('Metraj Mahal Listesi'!$A$5:$A$504=A146)+('Metraj Mahal Listesi'!$B$5:$B$504=A146)&gt;0)*('Metraj Mahal Listesi'!$C$5:$C$504&lt;&gt;"")))</f>
        <v/>
      </c>
      <c r="F146" s="31">
        <f>IF(A146="","",SUMPRODUCT((('Metraj Mahal Listesi'!$A$5:$A$504=A146)+('Metraj Mahal Listesi'!$B$5:$B$504=A146)&gt;0)*('Metraj Mahal Listesi'!$C$5:$C$504&lt;&gt;"")*(LEFT('Metraj Mahal Listesi'!$C$5:$C$504,1)&lt;&gt;"—")*('Metraj Mahal Listesi'!$F$5:$F$504="")))</f>
        <v/>
      </c>
      <c r="G146" s="31">
        <f>IF(A146="","",SUMPRODUCT((('Metraj Mahal Listesi'!$A$5:$A$504=A146)+('Metraj Mahal Listesi'!$B$5:$B$504=A146)&gt;0)*('Metraj Mahal Listesi'!$F$5:$F$504&lt;&gt;"")*(LEFT('Metraj Mahal Listesi'!$C$5:$C$504,1)&lt;&gt;"—")*('Metraj Mahal Listesi'!$J$5:$J$504=0)))</f>
        <v/>
      </c>
      <c r="H146" s="5" t="n"/>
    </row>
    <row r="147">
      <c r="A147" s="5" t="n"/>
      <c r="B147" s="5" t="n"/>
      <c r="C147" s="21">
        <f>IF(A147="","",SUMPRODUCT((('Metraj Mahal Listesi'!$A$5:$A$504=A147)+('Metraj Mahal Listesi'!$B$5:$B$504=A147)&gt;0)*'Metraj Mahal Listesi'!$K$5:$K$504))</f>
        <v/>
      </c>
      <c r="D147" s="27">
        <f>IF(OR(A147="",'Metraj Mahal Listesi'!$K$3=0),"",C147/'Metraj Mahal Listesi'!$K$3*100)</f>
        <v/>
      </c>
      <c r="E147" s="31">
        <f>IF(A147="","",SUMPRODUCT((('Metraj Mahal Listesi'!$A$5:$A$504=A147)+('Metraj Mahal Listesi'!$B$5:$B$504=A147)&gt;0)*('Metraj Mahal Listesi'!$C$5:$C$504&lt;&gt;"")))</f>
        <v/>
      </c>
      <c r="F147" s="31">
        <f>IF(A147="","",SUMPRODUCT((('Metraj Mahal Listesi'!$A$5:$A$504=A147)+('Metraj Mahal Listesi'!$B$5:$B$504=A147)&gt;0)*('Metraj Mahal Listesi'!$C$5:$C$504&lt;&gt;"")*(LEFT('Metraj Mahal Listesi'!$C$5:$C$504,1)&lt;&gt;"—")*('Metraj Mahal Listesi'!$F$5:$F$504="")))</f>
        <v/>
      </c>
      <c r="G147" s="31">
        <f>IF(A147="","",SUMPRODUCT((('Metraj Mahal Listesi'!$A$5:$A$504=A147)+('Metraj Mahal Listesi'!$B$5:$B$504=A147)&gt;0)*('Metraj Mahal Listesi'!$F$5:$F$504&lt;&gt;"")*(LEFT('Metraj Mahal Listesi'!$C$5:$C$504,1)&lt;&gt;"—")*('Metraj Mahal Listesi'!$J$5:$J$504=0)))</f>
        <v/>
      </c>
      <c r="H147" s="5" t="n"/>
    </row>
    <row r="148">
      <c r="A148" s="5" t="n"/>
      <c r="B148" s="5" t="n"/>
      <c r="C148" s="21">
        <f>IF(A148="","",SUMPRODUCT((('Metraj Mahal Listesi'!$A$5:$A$504=A148)+('Metraj Mahal Listesi'!$B$5:$B$504=A148)&gt;0)*'Metraj Mahal Listesi'!$K$5:$K$504))</f>
        <v/>
      </c>
      <c r="D148" s="27">
        <f>IF(OR(A148="",'Metraj Mahal Listesi'!$K$3=0),"",C148/'Metraj Mahal Listesi'!$K$3*100)</f>
        <v/>
      </c>
      <c r="E148" s="31">
        <f>IF(A148="","",SUMPRODUCT((('Metraj Mahal Listesi'!$A$5:$A$504=A148)+('Metraj Mahal Listesi'!$B$5:$B$504=A148)&gt;0)*('Metraj Mahal Listesi'!$C$5:$C$504&lt;&gt;"")))</f>
        <v/>
      </c>
      <c r="F148" s="31">
        <f>IF(A148="","",SUMPRODUCT((('Metraj Mahal Listesi'!$A$5:$A$504=A148)+('Metraj Mahal Listesi'!$B$5:$B$504=A148)&gt;0)*('Metraj Mahal Listesi'!$C$5:$C$504&lt;&gt;"")*(LEFT('Metraj Mahal Listesi'!$C$5:$C$504,1)&lt;&gt;"—")*('Metraj Mahal Listesi'!$F$5:$F$504="")))</f>
        <v/>
      </c>
      <c r="G148" s="31">
        <f>IF(A148="","",SUMPRODUCT((('Metraj Mahal Listesi'!$A$5:$A$504=A148)+('Metraj Mahal Listesi'!$B$5:$B$504=A148)&gt;0)*('Metraj Mahal Listesi'!$F$5:$F$504&lt;&gt;"")*(LEFT('Metraj Mahal Listesi'!$C$5:$C$504,1)&lt;&gt;"—")*('Metraj Mahal Listesi'!$J$5:$J$504=0)))</f>
        <v/>
      </c>
      <c r="H148" s="5" t="n"/>
    </row>
    <row r="149">
      <c r="A149" s="5" t="n"/>
      <c r="B149" s="5" t="n"/>
      <c r="C149" s="21">
        <f>IF(A149="","",SUMPRODUCT((('Metraj Mahal Listesi'!$A$5:$A$504=A149)+('Metraj Mahal Listesi'!$B$5:$B$504=A149)&gt;0)*'Metraj Mahal Listesi'!$K$5:$K$504))</f>
        <v/>
      </c>
      <c r="D149" s="27">
        <f>IF(OR(A149="",'Metraj Mahal Listesi'!$K$3=0),"",C149/'Metraj Mahal Listesi'!$K$3*100)</f>
        <v/>
      </c>
      <c r="E149" s="31">
        <f>IF(A149="","",SUMPRODUCT((('Metraj Mahal Listesi'!$A$5:$A$504=A149)+('Metraj Mahal Listesi'!$B$5:$B$504=A149)&gt;0)*('Metraj Mahal Listesi'!$C$5:$C$504&lt;&gt;"")))</f>
        <v/>
      </c>
      <c r="F149" s="31">
        <f>IF(A149="","",SUMPRODUCT((('Metraj Mahal Listesi'!$A$5:$A$504=A149)+('Metraj Mahal Listesi'!$B$5:$B$504=A149)&gt;0)*('Metraj Mahal Listesi'!$C$5:$C$504&lt;&gt;"")*(LEFT('Metraj Mahal Listesi'!$C$5:$C$504,1)&lt;&gt;"—")*('Metraj Mahal Listesi'!$F$5:$F$504="")))</f>
        <v/>
      </c>
      <c r="G149" s="31">
        <f>IF(A149="","",SUMPRODUCT((('Metraj Mahal Listesi'!$A$5:$A$504=A149)+('Metraj Mahal Listesi'!$B$5:$B$504=A149)&gt;0)*('Metraj Mahal Listesi'!$F$5:$F$504&lt;&gt;"")*(LEFT('Metraj Mahal Listesi'!$C$5:$C$504,1)&lt;&gt;"—")*('Metraj Mahal Listesi'!$J$5:$J$504=0)))</f>
        <v/>
      </c>
      <c r="H149" s="5" t="n"/>
    </row>
    <row r="150">
      <c r="A150" s="5" t="n"/>
      <c r="B150" s="5" t="n"/>
      <c r="C150" s="21">
        <f>IF(A150="","",SUMPRODUCT((('Metraj Mahal Listesi'!$A$5:$A$504=A150)+('Metraj Mahal Listesi'!$B$5:$B$504=A150)&gt;0)*'Metraj Mahal Listesi'!$K$5:$K$504))</f>
        <v/>
      </c>
      <c r="D150" s="27">
        <f>IF(OR(A150="",'Metraj Mahal Listesi'!$K$3=0),"",C150/'Metraj Mahal Listesi'!$K$3*100)</f>
        <v/>
      </c>
      <c r="E150" s="31">
        <f>IF(A150="","",SUMPRODUCT((('Metraj Mahal Listesi'!$A$5:$A$504=A150)+('Metraj Mahal Listesi'!$B$5:$B$504=A150)&gt;0)*('Metraj Mahal Listesi'!$C$5:$C$504&lt;&gt;"")))</f>
        <v/>
      </c>
      <c r="F150" s="31">
        <f>IF(A150="","",SUMPRODUCT((('Metraj Mahal Listesi'!$A$5:$A$504=A150)+('Metraj Mahal Listesi'!$B$5:$B$504=A150)&gt;0)*('Metraj Mahal Listesi'!$C$5:$C$504&lt;&gt;"")*(LEFT('Metraj Mahal Listesi'!$C$5:$C$504,1)&lt;&gt;"—")*('Metraj Mahal Listesi'!$F$5:$F$504="")))</f>
        <v/>
      </c>
      <c r="G150" s="31">
        <f>IF(A150="","",SUMPRODUCT((('Metraj Mahal Listesi'!$A$5:$A$504=A150)+('Metraj Mahal Listesi'!$B$5:$B$504=A150)&gt;0)*('Metraj Mahal Listesi'!$F$5:$F$504&lt;&gt;"")*(LEFT('Metraj Mahal Listesi'!$C$5:$C$504,1)&lt;&gt;"—")*('Metraj Mahal Listesi'!$J$5:$J$504=0)))</f>
        <v/>
      </c>
      <c r="H150" s="5" t="n"/>
    </row>
    <row r="151">
      <c r="A151" s="5" t="n"/>
      <c r="B151" s="5" t="n"/>
      <c r="C151" s="21">
        <f>IF(A151="","",SUMPRODUCT((('Metraj Mahal Listesi'!$A$5:$A$504=A151)+('Metraj Mahal Listesi'!$B$5:$B$504=A151)&gt;0)*'Metraj Mahal Listesi'!$K$5:$K$504))</f>
        <v/>
      </c>
      <c r="D151" s="27">
        <f>IF(OR(A151="",'Metraj Mahal Listesi'!$K$3=0),"",C151/'Metraj Mahal Listesi'!$K$3*100)</f>
        <v/>
      </c>
      <c r="E151" s="31">
        <f>IF(A151="","",SUMPRODUCT((('Metraj Mahal Listesi'!$A$5:$A$504=A151)+('Metraj Mahal Listesi'!$B$5:$B$504=A151)&gt;0)*('Metraj Mahal Listesi'!$C$5:$C$504&lt;&gt;"")))</f>
        <v/>
      </c>
      <c r="F151" s="31">
        <f>IF(A151="","",SUMPRODUCT((('Metraj Mahal Listesi'!$A$5:$A$504=A151)+('Metraj Mahal Listesi'!$B$5:$B$504=A151)&gt;0)*('Metraj Mahal Listesi'!$C$5:$C$504&lt;&gt;"")*(LEFT('Metraj Mahal Listesi'!$C$5:$C$504,1)&lt;&gt;"—")*('Metraj Mahal Listesi'!$F$5:$F$504="")))</f>
        <v/>
      </c>
      <c r="G151" s="31">
        <f>IF(A151="","",SUMPRODUCT((('Metraj Mahal Listesi'!$A$5:$A$504=A151)+('Metraj Mahal Listesi'!$B$5:$B$504=A151)&gt;0)*('Metraj Mahal Listesi'!$F$5:$F$504&lt;&gt;"")*(LEFT('Metraj Mahal Listesi'!$C$5:$C$504,1)&lt;&gt;"—")*('Metraj Mahal Listesi'!$J$5:$J$504=0)))</f>
        <v/>
      </c>
      <c r="H151" s="5" t="n"/>
    </row>
    <row r="152">
      <c r="A152" s="5" t="n"/>
      <c r="B152" s="5" t="n"/>
      <c r="C152" s="21">
        <f>IF(A152="","",SUMPRODUCT((('Metraj Mahal Listesi'!$A$5:$A$504=A152)+('Metraj Mahal Listesi'!$B$5:$B$504=A152)&gt;0)*'Metraj Mahal Listesi'!$K$5:$K$504))</f>
        <v/>
      </c>
      <c r="D152" s="27">
        <f>IF(OR(A152="",'Metraj Mahal Listesi'!$K$3=0),"",C152/'Metraj Mahal Listesi'!$K$3*100)</f>
        <v/>
      </c>
      <c r="E152" s="31">
        <f>IF(A152="","",SUMPRODUCT((('Metraj Mahal Listesi'!$A$5:$A$504=A152)+('Metraj Mahal Listesi'!$B$5:$B$504=A152)&gt;0)*('Metraj Mahal Listesi'!$C$5:$C$504&lt;&gt;"")))</f>
        <v/>
      </c>
      <c r="F152" s="31">
        <f>IF(A152="","",SUMPRODUCT((('Metraj Mahal Listesi'!$A$5:$A$504=A152)+('Metraj Mahal Listesi'!$B$5:$B$504=A152)&gt;0)*('Metraj Mahal Listesi'!$C$5:$C$504&lt;&gt;"")*(LEFT('Metraj Mahal Listesi'!$C$5:$C$504,1)&lt;&gt;"—")*('Metraj Mahal Listesi'!$F$5:$F$504="")))</f>
        <v/>
      </c>
      <c r="G152" s="31">
        <f>IF(A152="","",SUMPRODUCT((('Metraj Mahal Listesi'!$A$5:$A$504=A152)+('Metraj Mahal Listesi'!$B$5:$B$504=A152)&gt;0)*('Metraj Mahal Listesi'!$F$5:$F$504&lt;&gt;"")*(LEFT('Metraj Mahal Listesi'!$C$5:$C$504,1)&lt;&gt;"—")*('Metraj Mahal Listesi'!$J$5:$J$504=0)))</f>
        <v/>
      </c>
      <c r="H152" s="5" t="n"/>
    </row>
    <row r="153">
      <c r="A153" s="5" t="n"/>
      <c r="B153" s="5" t="n"/>
      <c r="C153" s="21">
        <f>IF(A153="","",SUMPRODUCT((('Metraj Mahal Listesi'!$A$5:$A$504=A153)+('Metraj Mahal Listesi'!$B$5:$B$504=A153)&gt;0)*'Metraj Mahal Listesi'!$K$5:$K$504))</f>
        <v/>
      </c>
      <c r="D153" s="27">
        <f>IF(OR(A153="",'Metraj Mahal Listesi'!$K$3=0),"",C153/'Metraj Mahal Listesi'!$K$3*100)</f>
        <v/>
      </c>
      <c r="E153" s="31">
        <f>IF(A153="","",SUMPRODUCT((('Metraj Mahal Listesi'!$A$5:$A$504=A153)+('Metraj Mahal Listesi'!$B$5:$B$504=A153)&gt;0)*('Metraj Mahal Listesi'!$C$5:$C$504&lt;&gt;"")))</f>
        <v/>
      </c>
      <c r="F153" s="31">
        <f>IF(A153="","",SUMPRODUCT((('Metraj Mahal Listesi'!$A$5:$A$504=A153)+('Metraj Mahal Listesi'!$B$5:$B$504=A153)&gt;0)*('Metraj Mahal Listesi'!$C$5:$C$504&lt;&gt;"")*(LEFT('Metraj Mahal Listesi'!$C$5:$C$504,1)&lt;&gt;"—")*('Metraj Mahal Listesi'!$F$5:$F$504="")))</f>
        <v/>
      </c>
      <c r="G153" s="31">
        <f>IF(A153="","",SUMPRODUCT((('Metraj Mahal Listesi'!$A$5:$A$504=A153)+('Metraj Mahal Listesi'!$B$5:$B$504=A153)&gt;0)*('Metraj Mahal Listesi'!$F$5:$F$504&lt;&gt;"")*(LEFT('Metraj Mahal Listesi'!$C$5:$C$504,1)&lt;&gt;"—")*('Metraj Mahal Listesi'!$J$5:$J$504=0)))</f>
        <v/>
      </c>
      <c r="H153" s="5" t="n"/>
    </row>
    <row r="154">
      <c r="A154" s="5" t="n"/>
      <c r="B154" s="5" t="n"/>
      <c r="C154" s="21">
        <f>IF(A154="","",SUMPRODUCT((('Metraj Mahal Listesi'!$A$5:$A$504=A154)+('Metraj Mahal Listesi'!$B$5:$B$504=A154)&gt;0)*'Metraj Mahal Listesi'!$K$5:$K$504))</f>
        <v/>
      </c>
      <c r="D154" s="27">
        <f>IF(OR(A154="",'Metraj Mahal Listesi'!$K$3=0),"",C154/'Metraj Mahal Listesi'!$K$3*100)</f>
        <v/>
      </c>
      <c r="E154" s="31">
        <f>IF(A154="","",SUMPRODUCT((('Metraj Mahal Listesi'!$A$5:$A$504=A154)+('Metraj Mahal Listesi'!$B$5:$B$504=A154)&gt;0)*('Metraj Mahal Listesi'!$C$5:$C$504&lt;&gt;"")))</f>
        <v/>
      </c>
      <c r="F154" s="31">
        <f>IF(A154="","",SUMPRODUCT((('Metraj Mahal Listesi'!$A$5:$A$504=A154)+('Metraj Mahal Listesi'!$B$5:$B$504=A154)&gt;0)*('Metraj Mahal Listesi'!$C$5:$C$504&lt;&gt;"")*(LEFT('Metraj Mahal Listesi'!$C$5:$C$504,1)&lt;&gt;"—")*('Metraj Mahal Listesi'!$F$5:$F$504="")))</f>
        <v/>
      </c>
      <c r="G154" s="31">
        <f>IF(A154="","",SUMPRODUCT((('Metraj Mahal Listesi'!$A$5:$A$504=A154)+('Metraj Mahal Listesi'!$B$5:$B$504=A154)&gt;0)*('Metraj Mahal Listesi'!$F$5:$F$504&lt;&gt;"")*(LEFT('Metraj Mahal Listesi'!$C$5:$C$504,1)&lt;&gt;"—")*('Metraj Mahal Listesi'!$J$5:$J$504=0)))</f>
        <v/>
      </c>
      <c r="H154" s="5" t="n"/>
    </row>
    <row r="155">
      <c r="A155" s="5" t="n"/>
      <c r="B155" s="5" t="n"/>
      <c r="C155" s="21">
        <f>IF(A155="","",SUMPRODUCT((('Metraj Mahal Listesi'!$A$5:$A$504=A155)+('Metraj Mahal Listesi'!$B$5:$B$504=A155)&gt;0)*'Metraj Mahal Listesi'!$K$5:$K$504))</f>
        <v/>
      </c>
      <c r="D155" s="27">
        <f>IF(OR(A155="",'Metraj Mahal Listesi'!$K$3=0),"",C155/'Metraj Mahal Listesi'!$K$3*100)</f>
        <v/>
      </c>
      <c r="E155" s="31">
        <f>IF(A155="","",SUMPRODUCT((('Metraj Mahal Listesi'!$A$5:$A$504=A155)+('Metraj Mahal Listesi'!$B$5:$B$504=A155)&gt;0)*('Metraj Mahal Listesi'!$C$5:$C$504&lt;&gt;"")))</f>
        <v/>
      </c>
      <c r="F155" s="31">
        <f>IF(A155="","",SUMPRODUCT((('Metraj Mahal Listesi'!$A$5:$A$504=A155)+('Metraj Mahal Listesi'!$B$5:$B$504=A155)&gt;0)*('Metraj Mahal Listesi'!$C$5:$C$504&lt;&gt;"")*(LEFT('Metraj Mahal Listesi'!$C$5:$C$504,1)&lt;&gt;"—")*('Metraj Mahal Listesi'!$F$5:$F$504="")))</f>
        <v/>
      </c>
      <c r="G155" s="31">
        <f>IF(A155="","",SUMPRODUCT((('Metraj Mahal Listesi'!$A$5:$A$504=A155)+('Metraj Mahal Listesi'!$B$5:$B$504=A155)&gt;0)*('Metraj Mahal Listesi'!$F$5:$F$504&lt;&gt;"")*(LEFT('Metraj Mahal Listesi'!$C$5:$C$504,1)&lt;&gt;"—")*('Metraj Mahal Listesi'!$J$5:$J$504=0)))</f>
        <v/>
      </c>
      <c r="H155" s="5" t="n"/>
    </row>
    <row r="156">
      <c r="A156" s="5" t="n"/>
      <c r="B156" s="5" t="n"/>
      <c r="C156" s="21">
        <f>IF(A156="","",SUMPRODUCT((('Metraj Mahal Listesi'!$A$5:$A$504=A156)+('Metraj Mahal Listesi'!$B$5:$B$504=A156)&gt;0)*'Metraj Mahal Listesi'!$K$5:$K$504))</f>
        <v/>
      </c>
      <c r="D156" s="27">
        <f>IF(OR(A156="",'Metraj Mahal Listesi'!$K$3=0),"",C156/'Metraj Mahal Listesi'!$K$3*100)</f>
        <v/>
      </c>
      <c r="E156" s="31">
        <f>IF(A156="","",SUMPRODUCT((('Metraj Mahal Listesi'!$A$5:$A$504=A156)+('Metraj Mahal Listesi'!$B$5:$B$504=A156)&gt;0)*('Metraj Mahal Listesi'!$C$5:$C$504&lt;&gt;"")))</f>
        <v/>
      </c>
      <c r="F156" s="31">
        <f>IF(A156="","",SUMPRODUCT((('Metraj Mahal Listesi'!$A$5:$A$504=A156)+('Metraj Mahal Listesi'!$B$5:$B$504=A156)&gt;0)*('Metraj Mahal Listesi'!$C$5:$C$504&lt;&gt;"")*(LEFT('Metraj Mahal Listesi'!$C$5:$C$504,1)&lt;&gt;"—")*('Metraj Mahal Listesi'!$F$5:$F$504="")))</f>
        <v/>
      </c>
      <c r="G156" s="31">
        <f>IF(A156="","",SUMPRODUCT((('Metraj Mahal Listesi'!$A$5:$A$504=A156)+('Metraj Mahal Listesi'!$B$5:$B$504=A156)&gt;0)*('Metraj Mahal Listesi'!$F$5:$F$504&lt;&gt;"")*(LEFT('Metraj Mahal Listesi'!$C$5:$C$504,1)&lt;&gt;"—")*('Metraj Mahal Listesi'!$J$5:$J$504=0)))</f>
        <v/>
      </c>
      <c r="H156" s="5" t="n"/>
    </row>
    <row r="157">
      <c r="A157" s="5" t="n"/>
      <c r="B157" s="5" t="n"/>
      <c r="C157" s="21">
        <f>IF(A157="","",SUMPRODUCT((('Metraj Mahal Listesi'!$A$5:$A$504=A157)+('Metraj Mahal Listesi'!$B$5:$B$504=A157)&gt;0)*'Metraj Mahal Listesi'!$K$5:$K$504))</f>
        <v/>
      </c>
      <c r="D157" s="27">
        <f>IF(OR(A157="",'Metraj Mahal Listesi'!$K$3=0),"",C157/'Metraj Mahal Listesi'!$K$3*100)</f>
        <v/>
      </c>
      <c r="E157" s="31">
        <f>IF(A157="","",SUMPRODUCT((('Metraj Mahal Listesi'!$A$5:$A$504=A157)+('Metraj Mahal Listesi'!$B$5:$B$504=A157)&gt;0)*('Metraj Mahal Listesi'!$C$5:$C$504&lt;&gt;"")))</f>
        <v/>
      </c>
      <c r="F157" s="31">
        <f>IF(A157="","",SUMPRODUCT((('Metraj Mahal Listesi'!$A$5:$A$504=A157)+('Metraj Mahal Listesi'!$B$5:$B$504=A157)&gt;0)*('Metraj Mahal Listesi'!$C$5:$C$504&lt;&gt;"")*(LEFT('Metraj Mahal Listesi'!$C$5:$C$504,1)&lt;&gt;"—")*('Metraj Mahal Listesi'!$F$5:$F$504="")))</f>
        <v/>
      </c>
      <c r="G157" s="31">
        <f>IF(A157="","",SUMPRODUCT((('Metraj Mahal Listesi'!$A$5:$A$504=A157)+('Metraj Mahal Listesi'!$B$5:$B$504=A157)&gt;0)*('Metraj Mahal Listesi'!$F$5:$F$504&lt;&gt;"")*(LEFT('Metraj Mahal Listesi'!$C$5:$C$504,1)&lt;&gt;"—")*('Metraj Mahal Listesi'!$J$5:$J$504=0)))</f>
        <v/>
      </c>
      <c r="H157" s="5" t="n"/>
    </row>
    <row r="158">
      <c r="A158" s="5" t="n"/>
      <c r="B158" s="5" t="n"/>
      <c r="C158" s="21">
        <f>IF(A158="","",SUMPRODUCT((('Metraj Mahal Listesi'!$A$5:$A$504=A158)+('Metraj Mahal Listesi'!$B$5:$B$504=A158)&gt;0)*'Metraj Mahal Listesi'!$K$5:$K$504))</f>
        <v/>
      </c>
      <c r="D158" s="27">
        <f>IF(OR(A158="",'Metraj Mahal Listesi'!$K$3=0),"",C158/'Metraj Mahal Listesi'!$K$3*100)</f>
        <v/>
      </c>
      <c r="E158" s="31">
        <f>IF(A158="","",SUMPRODUCT((('Metraj Mahal Listesi'!$A$5:$A$504=A158)+('Metraj Mahal Listesi'!$B$5:$B$504=A158)&gt;0)*('Metraj Mahal Listesi'!$C$5:$C$504&lt;&gt;"")))</f>
        <v/>
      </c>
      <c r="F158" s="31">
        <f>IF(A158="","",SUMPRODUCT((('Metraj Mahal Listesi'!$A$5:$A$504=A158)+('Metraj Mahal Listesi'!$B$5:$B$504=A158)&gt;0)*('Metraj Mahal Listesi'!$C$5:$C$504&lt;&gt;"")*(LEFT('Metraj Mahal Listesi'!$C$5:$C$504,1)&lt;&gt;"—")*('Metraj Mahal Listesi'!$F$5:$F$504="")))</f>
        <v/>
      </c>
      <c r="G158" s="31">
        <f>IF(A158="","",SUMPRODUCT((('Metraj Mahal Listesi'!$A$5:$A$504=A158)+('Metraj Mahal Listesi'!$B$5:$B$504=A158)&gt;0)*('Metraj Mahal Listesi'!$F$5:$F$504&lt;&gt;"")*(LEFT('Metraj Mahal Listesi'!$C$5:$C$504,1)&lt;&gt;"—")*('Metraj Mahal Listesi'!$J$5:$J$504=0)))</f>
        <v/>
      </c>
      <c r="H158" s="5" t="n"/>
    </row>
    <row r="159">
      <c r="A159" s="5" t="n"/>
      <c r="B159" s="5" t="n"/>
      <c r="C159" s="21">
        <f>IF(A159="","",SUMPRODUCT((('Metraj Mahal Listesi'!$A$5:$A$504=A159)+('Metraj Mahal Listesi'!$B$5:$B$504=A159)&gt;0)*'Metraj Mahal Listesi'!$K$5:$K$504))</f>
        <v/>
      </c>
      <c r="D159" s="27">
        <f>IF(OR(A159="",'Metraj Mahal Listesi'!$K$3=0),"",C159/'Metraj Mahal Listesi'!$K$3*100)</f>
        <v/>
      </c>
      <c r="E159" s="31">
        <f>IF(A159="","",SUMPRODUCT((('Metraj Mahal Listesi'!$A$5:$A$504=A159)+('Metraj Mahal Listesi'!$B$5:$B$504=A159)&gt;0)*('Metraj Mahal Listesi'!$C$5:$C$504&lt;&gt;"")))</f>
        <v/>
      </c>
      <c r="F159" s="31">
        <f>IF(A159="","",SUMPRODUCT((('Metraj Mahal Listesi'!$A$5:$A$504=A159)+('Metraj Mahal Listesi'!$B$5:$B$504=A159)&gt;0)*('Metraj Mahal Listesi'!$C$5:$C$504&lt;&gt;"")*(LEFT('Metraj Mahal Listesi'!$C$5:$C$504,1)&lt;&gt;"—")*('Metraj Mahal Listesi'!$F$5:$F$504="")))</f>
        <v/>
      </c>
      <c r="G159" s="31">
        <f>IF(A159="","",SUMPRODUCT((('Metraj Mahal Listesi'!$A$5:$A$504=A159)+('Metraj Mahal Listesi'!$B$5:$B$504=A159)&gt;0)*('Metraj Mahal Listesi'!$F$5:$F$504&lt;&gt;"")*(LEFT('Metraj Mahal Listesi'!$C$5:$C$504,1)&lt;&gt;"—")*('Metraj Mahal Listesi'!$J$5:$J$504=0)))</f>
        <v/>
      </c>
      <c r="H159" s="5" t="n"/>
    </row>
    <row r="160">
      <c r="A160" s="5" t="n"/>
      <c r="B160" s="5" t="n"/>
      <c r="C160" s="21">
        <f>IF(A160="","",SUMPRODUCT((('Metraj Mahal Listesi'!$A$5:$A$504=A160)+('Metraj Mahal Listesi'!$B$5:$B$504=A160)&gt;0)*'Metraj Mahal Listesi'!$K$5:$K$504))</f>
        <v/>
      </c>
      <c r="D160" s="27">
        <f>IF(OR(A160="",'Metraj Mahal Listesi'!$K$3=0),"",C160/'Metraj Mahal Listesi'!$K$3*100)</f>
        <v/>
      </c>
      <c r="E160" s="31">
        <f>IF(A160="","",SUMPRODUCT((('Metraj Mahal Listesi'!$A$5:$A$504=A160)+('Metraj Mahal Listesi'!$B$5:$B$504=A160)&gt;0)*('Metraj Mahal Listesi'!$C$5:$C$504&lt;&gt;"")))</f>
        <v/>
      </c>
      <c r="F160" s="31">
        <f>IF(A160="","",SUMPRODUCT((('Metraj Mahal Listesi'!$A$5:$A$504=A160)+('Metraj Mahal Listesi'!$B$5:$B$504=A160)&gt;0)*('Metraj Mahal Listesi'!$C$5:$C$504&lt;&gt;"")*(LEFT('Metraj Mahal Listesi'!$C$5:$C$504,1)&lt;&gt;"—")*('Metraj Mahal Listesi'!$F$5:$F$504="")))</f>
        <v/>
      </c>
      <c r="G160" s="31">
        <f>IF(A160="","",SUMPRODUCT((('Metraj Mahal Listesi'!$A$5:$A$504=A160)+('Metraj Mahal Listesi'!$B$5:$B$504=A160)&gt;0)*('Metraj Mahal Listesi'!$F$5:$F$504&lt;&gt;"")*(LEFT('Metraj Mahal Listesi'!$C$5:$C$504,1)&lt;&gt;"—")*('Metraj Mahal Listesi'!$J$5:$J$504=0)))</f>
        <v/>
      </c>
      <c r="H160" s="5" t="n"/>
    </row>
    <row r="161">
      <c r="A161" s="5" t="n"/>
      <c r="B161" s="5" t="n"/>
      <c r="C161" s="21">
        <f>IF(A161="","",SUMPRODUCT((('Metraj Mahal Listesi'!$A$5:$A$504=A161)+('Metraj Mahal Listesi'!$B$5:$B$504=A161)&gt;0)*'Metraj Mahal Listesi'!$K$5:$K$504))</f>
        <v/>
      </c>
      <c r="D161" s="27">
        <f>IF(OR(A161="",'Metraj Mahal Listesi'!$K$3=0),"",C161/'Metraj Mahal Listesi'!$K$3*100)</f>
        <v/>
      </c>
      <c r="E161" s="31">
        <f>IF(A161="","",SUMPRODUCT((('Metraj Mahal Listesi'!$A$5:$A$504=A161)+('Metraj Mahal Listesi'!$B$5:$B$504=A161)&gt;0)*('Metraj Mahal Listesi'!$C$5:$C$504&lt;&gt;"")))</f>
        <v/>
      </c>
      <c r="F161" s="31">
        <f>IF(A161="","",SUMPRODUCT((('Metraj Mahal Listesi'!$A$5:$A$504=A161)+('Metraj Mahal Listesi'!$B$5:$B$504=A161)&gt;0)*('Metraj Mahal Listesi'!$C$5:$C$504&lt;&gt;"")*(LEFT('Metraj Mahal Listesi'!$C$5:$C$504,1)&lt;&gt;"—")*('Metraj Mahal Listesi'!$F$5:$F$504="")))</f>
        <v/>
      </c>
      <c r="G161" s="31">
        <f>IF(A161="","",SUMPRODUCT((('Metraj Mahal Listesi'!$A$5:$A$504=A161)+('Metraj Mahal Listesi'!$B$5:$B$504=A161)&gt;0)*('Metraj Mahal Listesi'!$F$5:$F$504&lt;&gt;"")*(LEFT('Metraj Mahal Listesi'!$C$5:$C$504,1)&lt;&gt;"—")*('Metraj Mahal Listesi'!$J$5:$J$504=0)))</f>
        <v/>
      </c>
      <c r="H161" s="5" t="n"/>
    </row>
    <row r="162">
      <c r="A162" s="5" t="n"/>
      <c r="B162" s="5" t="n"/>
      <c r="C162" s="21">
        <f>IF(A162="","",SUMPRODUCT((('Metraj Mahal Listesi'!$A$5:$A$504=A162)+('Metraj Mahal Listesi'!$B$5:$B$504=A162)&gt;0)*'Metraj Mahal Listesi'!$K$5:$K$504))</f>
        <v/>
      </c>
      <c r="D162" s="27">
        <f>IF(OR(A162="",'Metraj Mahal Listesi'!$K$3=0),"",C162/'Metraj Mahal Listesi'!$K$3*100)</f>
        <v/>
      </c>
      <c r="E162" s="31">
        <f>IF(A162="","",SUMPRODUCT((('Metraj Mahal Listesi'!$A$5:$A$504=A162)+('Metraj Mahal Listesi'!$B$5:$B$504=A162)&gt;0)*('Metraj Mahal Listesi'!$C$5:$C$504&lt;&gt;"")))</f>
        <v/>
      </c>
      <c r="F162" s="31">
        <f>IF(A162="","",SUMPRODUCT((('Metraj Mahal Listesi'!$A$5:$A$504=A162)+('Metraj Mahal Listesi'!$B$5:$B$504=A162)&gt;0)*('Metraj Mahal Listesi'!$C$5:$C$504&lt;&gt;"")*(LEFT('Metraj Mahal Listesi'!$C$5:$C$504,1)&lt;&gt;"—")*('Metraj Mahal Listesi'!$F$5:$F$504="")))</f>
        <v/>
      </c>
      <c r="G162" s="31">
        <f>IF(A162="","",SUMPRODUCT((('Metraj Mahal Listesi'!$A$5:$A$504=A162)+('Metraj Mahal Listesi'!$B$5:$B$504=A162)&gt;0)*('Metraj Mahal Listesi'!$F$5:$F$504&lt;&gt;"")*(LEFT('Metraj Mahal Listesi'!$C$5:$C$504,1)&lt;&gt;"—")*('Metraj Mahal Listesi'!$J$5:$J$504=0)))</f>
        <v/>
      </c>
      <c r="H162" s="5" t="n"/>
    </row>
    <row r="163">
      <c r="A163" s="5" t="n"/>
      <c r="B163" s="5" t="n"/>
      <c r="C163" s="21">
        <f>IF(A163="","",SUMPRODUCT((('Metraj Mahal Listesi'!$A$5:$A$504=A163)+('Metraj Mahal Listesi'!$B$5:$B$504=A163)&gt;0)*'Metraj Mahal Listesi'!$K$5:$K$504))</f>
        <v/>
      </c>
      <c r="D163" s="27">
        <f>IF(OR(A163="",'Metraj Mahal Listesi'!$K$3=0),"",C163/'Metraj Mahal Listesi'!$K$3*100)</f>
        <v/>
      </c>
      <c r="E163" s="31">
        <f>IF(A163="","",SUMPRODUCT((('Metraj Mahal Listesi'!$A$5:$A$504=A163)+('Metraj Mahal Listesi'!$B$5:$B$504=A163)&gt;0)*('Metraj Mahal Listesi'!$C$5:$C$504&lt;&gt;"")))</f>
        <v/>
      </c>
      <c r="F163" s="31">
        <f>IF(A163="","",SUMPRODUCT((('Metraj Mahal Listesi'!$A$5:$A$504=A163)+('Metraj Mahal Listesi'!$B$5:$B$504=A163)&gt;0)*('Metraj Mahal Listesi'!$C$5:$C$504&lt;&gt;"")*(LEFT('Metraj Mahal Listesi'!$C$5:$C$504,1)&lt;&gt;"—")*('Metraj Mahal Listesi'!$F$5:$F$504="")))</f>
        <v/>
      </c>
      <c r="G163" s="31">
        <f>IF(A163="","",SUMPRODUCT((('Metraj Mahal Listesi'!$A$5:$A$504=A163)+('Metraj Mahal Listesi'!$B$5:$B$504=A163)&gt;0)*('Metraj Mahal Listesi'!$F$5:$F$504&lt;&gt;"")*(LEFT('Metraj Mahal Listesi'!$C$5:$C$504,1)&lt;&gt;"—")*('Metraj Mahal Listesi'!$J$5:$J$504=0)))</f>
        <v/>
      </c>
      <c r="H163" s="5" t="n"/>
    </row>
    <row r="164">
      <c r="A164" s="5" t="n"/>
      <c r="B164" s="5" t="n"/>
      <c r="C164" s="21">
        <f>IF(A164="","",SUMPRODUCT((('Metraj Mahal Listesi'!$A$5:$A$504=A164)+('Metraj Mahal Listesi'!$B$5:$B$504=A164)&gt;0)*'Metraj Mahal Listesi'!$K$5:$K$504))</f>
        <v/>
      </c>
      <c r="D164" s="27">
        <f>IF(OR(A164="",'Metraj Mahal Listesi'!$K$3=0),"",C164/'Metraj Mahal Listesi'!$K$3*100)</f>
        <v/>
      </c>
      <c r="E164" s="31">
        <f>IF(A164="","",SUMPRODUCT((('Metraj Mahal Listesi'!$A$5:$A$504=A164)+('Metraj Mahal Listesi'!$B$5:$B$504=A164)&gt;0)*('Metraj Mahal Listesi'!$C$5:$C$504&lt;&gt;"")))</f>
        <v/>
      </c>
      <c r="F164" s="31">
        <f>IF(A164="","",SUMPRODUCT((('Metraj Mahal Listesi'!$A$5:$A$504=A164)+('Metraj Mahal Listesi'!$B$5:$B$504=A164)&gt;0)*('Metraj Mahal Listesi'!$C$5:$C$504&lt;&gt;"")*(LEFT('Metraj Mahal Listesi'!$C$5:$C$504,1)&lt;&gt;"—")*('Metraj Mahal Listesi'!$F$5:$F$504="")))</f>
        <v/>
      </c>
      <c r="G164" s="31">
        <f>IF(A164="","",SUMPRODUCT((('Metraj Mahal Listesi'!$A$5:$A$504=A164)+('Metraj Mahal Listesi'!$B$5:$B$504=A164)&gt;0)*('Metraj Mahal Listesi'!$F$5:$F$504&lt;&gt;"")*(LEFT('Metraj Mahal Listesi'!$C$5:$C$504,1)&lt;&gt;"—")*('Metraj Mahal Listesi'!$J$5:$J$504=0)))</f>
        <v/>
      </c>
      <c r="H164" s="5" t="n"/>
    </row>
    <row r="165">
      <c r="A165" s="5" t="n"/>
      <c r="B165" s="5" t="n"/>
      <c r="C165" s="21">
        <f>IF(A165="","",SUMPRODUCT((('Metraj Mahal Listesi'!$A$5:$A$504=A165)+('Metraj Mahal Listesi'!$B$5:$B$504=A165)&gt;0)*'Metraj Mahal Listesi'!$K$5:$K$504))</f>
        <v/>
      </c>
      <c r="D165" s="27">
        <f>IF(OR(A165="",'Metraj Mahal Listesi'!$K$3=0),"",C165/'Metraj Mahal Listesi'!$K$3*100)</f>
        <v/>
      </c>
      <c r="E165" s="31">
        <f>IF(A165="","",SUMPRODUCT((('Metraj Mahal Listesi'!$A$5:$A$504=A165)+('Metraj Mahal Listesi'!$B$5:$B$504=A165)&gt;0)*('Metraj Mahal Listesi'!$C$5:$C$504&lt;&gt;"")))</f>
        <v/>
      </c>
      <c r="F165" s="31">
        <f>IF(A165="","",SUMPRODUCT((('Metraj Mahal Listesi'!$A$5:$A$504=A165)+('Metraj Mahal Listesi'!$B$5:$B$504=A165)&gt;0)*('Metraj Mahal Listesi'!$C$5:$C$504&lt;&gt;"")*(LEFT('Metraj Mahal Listesi'!$C$5:$C$504,1)&lt;&gt;"—")*('Metraj Mahal Listesi'!$F$5:$F$504="")))</f>
        <v/>
      </c>
      <c r="G165" s="31">
        <f>IF(A165="","",SUMPRODUCT((('Metraj Mahal Listesi'!$A$5:$A$504=A165)+('Metraj Mahal Listesi'!$B$5:$B$504=A165)&gt;0)*('Metraj Mahal Listesi'!$F$5:$F$504&lt;&gt;"")*(LEFT('Metraj Mahal Listesi'!$C$5:$C$504,1)&lt;&gt;"—")*('Metraj Mahal Listesi'!$J$5:$J$504=0)))</f>
        <v/>
      </c>
      <c r="H165" s="5" t="n"/>
    </row>
    <row r="166">
      <c r="A166" s="5" t="n"/>
      <c r="B166" s="5" t="n"/>
      <c r="C166" s="21">
        <f>IF(A166="","",SUMPRODUCT((('Metraj Mahal Listesi'!$A$5:$A$504=A166)+('Metraj Mahal Listesi'!$B$5:$B$504=A166)&gt;0)*'Metraj Mahal Listesi'!$K$5:$K$504))</f>
        <v/>
      </c>
      <c r="D166" s="27">
        <f>IF(OR(A166="",'Metraj Mahal Listesi'!$K$3=0),"",C166/'Metraj Mahal Listesi'!$K$3*100)</f>
        <v/>
      </c>
      <c r="E166" s="31">
        <f>IF(A166="","",SUMPRODUCT((('Metraj Mahal Listesi'!$A$5:$A$504=A166)+('Metraj Mahal Listesi'!$B$5:$B$504=A166)&gt;0)*('Metraj Mahal Listesi'!$C$5:$C$504&lt;&gt;"")))</f>
        <v/>
      </c>
      <c r="F166" s="31">
        <f>IF(A166="","",SUMPRODUCT((('Metraj Mahal Listesi'!$A$5:$A$504=A166)+('Metraj Mahal Listesi'!$B$5:$B$504=A166)&gt;0)*('Metraj Mahal Listesi'!$C$5:$C$504&lt;&gt;"")*(LEFT('Metraj Mahal Listesi'!$C$5:$C$504,1)&lt;&gt;"—")*('Metraj Mahal Listesi'!$F$5:$F$504="")))</f>
        <v/>
      </c>
      <c r="G166" s="31">
        <f>IF(A166="","",SUMPRODUCT((('Metraj Mahal Listesi'!$A$5:$A$504=A166)+('Metraj Mahal Listesi'!$B$5:$B$504=A166)&gt;0)*('Metraj Mahal Listesi'!$F$5:$F$504&lt;&gt;"")*(LEFT('Metraj Mahal Listesi'!$C$5:$C$504,1)&lt;&gt;"—")*('Metraj Mahal Listesi'!$J$5:$J$504=0)))</f>
        <v/>
      </c>
      <c r="H166" s="5" t="n"/>
    </row>
    <row r="167">
      <c r="A167" s="5" t="n"/>
      <c r="B167" s="5" t="n"/>
      <c r="C167" s="21">
        <f>IF(A167="","",SUMPRODUCT((('Metraj Mahal Listesi'!$A$5:$A$504=A167)+('Metraj Mahal Listesi'!$B$5:$B$504=A167)&gt;0)*'Metraj Mahal Listesi'!$K$5:$K$504))</f>
        <v/>
      </c>
      <c r="D167" s="27">
        <f>IF(OR(A167="",'Metraj Mahal Listesi'!$K$3=0),"",C167/'Metraj Mahal Listesi'!$K$3*100)</f>
        <v/>
      </c>
      <c r="E167" s="31">
        <f>IF(A167="","",SUMPRODUCT((('Metraj Mahal Listesi'!$A$5:$A$504=A167)+('Metraj Mahal Listesi'!$B$5:$B$504=A167)&gt;0)*('Metraj Mahal Listesi'!$C$5:$C$504&lt;&gt;"")))</f>
        <v/>
      </c>
      <c r="F167" s="31">
        <f>IF(A167="","",SUMPRODUCT((('Metraj Mahal Listesi'!$A$5:$A$504=A167)+('Metraj Mahal Listesi'!$B$5:$B$504=A167)&gt;0)*('Metraj Mahal Listesi'!$C$5:$C$504&lt;&gt;"")*(LEFT('Metraj Mahal Listesi'!$C$5:$C$504,1)&lt;&gt;"—")*('Metraj Mahal Listesi'!$F$5:$F$504="")))</f>
        <v/>
      </c>
      <c r="G167" s="31">
        <f>IF(A167="","",SUMPRODUCT((('Metraj Mahal Listesi'!$A$5:$A$504=A167)+('Metraj Mahal Listesi'!$B$5:$B$504=A167)&gt;0)*('Metraj Mahal Listesi'!$F$5:$F$504&lt;&gt;"")*(LEFT('Metraj Mahal Listesi'!$C$5:$C$504,1)&lt;&gt;"—")*('Metraj Mahal Listesi'!$J$5:$J$504=0)))</f>
        <v/>
      </c>
      <c r="H167" s="5" t="n"/>
    </row>
    <row r="168">
      <c r="A168" s="5" t="n"/>
      <c r="B168" s="5" t="n"/>
      <c r="C168" s="21">
        <f>IF(A168="","",SUMPRODUCT((('Metraj Mahal Listesi'!$A$5:$A$504=A168)+('Metraj Mahal Listesi'!$B$5:$B$504=A168)&gt;0)*'Metraj Mahal Listesi'!$K$5:$K$504))</f>
        <v/>
      </c>
      <c r="D168" s="27">
        <f>IF(OR(A168="",'Metraj Mahal Listesi'!$K$3=0),"",C168/'Metraj Mahal Listesi'!$K$3*100)</f>
        <v/>
      </c>
      <c r="E168" s="31">
        <f>IF(A168="","",SUMPRODUCT((('Metraj Mahal Listesi'!$A$5:$A$504=A168)+('Metraj Mahal Listesi'!$B$5:$B$504=A168)&gt;0)*('Metraj Mahal Listesi'!$C$5:$C$504&lt;&gt;"")))</f>
        <v/>
      </c>
      <c r="F168" s="31">
        <f>IF(A168="","",SUMPRODUCT((('Metraj Mahal Listesi'!$A$5:$A$504=A168)+('Metraj Mahal Listesi'!$B$5:$B$504=A168)&gt;0)*('Metraj Mahal Listesi'!$C$5:$C$504&lt;&gt;"")*(LEFT('Metraj Mahal Listesi'!$C$5:$C$504,1)&lt;&gt;"—")*('Metraj Mahal Listesi'!$F$5:$F$504="")))</f>
        <v/>
      </c>
      <c r="G168" s="31">
        <f>IF(A168="","",SUMPRODUCT((('Metraj Mahal Listesi'!$A$5:$A$504=A168)+('Metraj Mahal Listesi'!$B$5:$B$504=A168)&gt;0)*('Metraj Mahal Listesi'!$F$5:$F$504&lt;&gt;"")*(LEFT('Metraj Mahal Listesi'!$C$5:$C$504,1)&lt;&gt;"—")*('Metraj Mahal Listesi'!$J$5:$J$504=0)))</f>
        <v/>
      </c>
      <c r="H168" s="5" t="n"/>
    </row>
    <row r="169">
      <c r="A169" s="5" t="n"/>
      <c r="B169" s="5" t="n"/>
      <c r="C169" s="21">
        <f>IF(A169="","",SUMPRODUCT((('Metraj Mahal Listesi'!$A$5:$A$504=A169)+('Metraj Mahal Listesi'!$B$5:$B$504=A169)&gt;0)*'Metraj Mahal Listesi'!$K$5:$K$504))</f>
        <v/>
      </c>
      <c r="D169" s="27">
        <f>IF(OR(A169="",'Metraj Mahal Listesi'!$K$3=0),"",C169/'Metraj Mahal Listesi'!$K$3*100)</f>
        <v/>
      </c>
      <c r="E169" s="31">
        <f>IF(A169="","",SUMPRODUCT((('Metraj Mahal Listesi'!$A$5:$A$504=A169)+('Metraj Mahal Listesi'!$B$5:$B$504=A169)&gt;0)*('Metraj Mahal Listesi'!$C$5:$C$504&lt;&gt;"")))</f>
        <v/>
      </c>
      <c r="F169" s="31">
        <f>IF(A169="","",SUMPRODUCT((('Metraj Mahal Listesi'!$A$5:$A$504=A169)+('Metraj Mahal Listesi'!$B$5:$B$504=A169)&gt;0)*('Metraj Mahal Listesi'!$C$5:$C$504&lt;&gt;"")*(LEFT('Metraj Mahal Listesi'!$C$5:$C$504,1)&lt;&gt;"—")*('Metraj Mahal Listesi'!$F$5:$F$504="")))</f>
        <v/>
      </c>
      <c r="G169" s="31">
        <f>IF(A169="","",SUMPRODUCT((('Metraj Mahal Listesi'!$A$5:$A$504=A169)+('Metraj Mahal Listesi'!$B$5:$B$504=A169)&gt;0)*('Metraj Mahal Listesi'!$F$5:$F$504&lt;&gt;"")*(LEFT('Metraj Mahal Listesi'!$C$5:$C$504,1)&lt;&gt;"—")*('Metraj Mahal Listesi'!$J$5:$J$504=0)))</f>
        <v/>
      </c>
      <c r="H169" s="5" t="n"/>
    </row>
    <row r="170">
      <c r="A170" s="5" t="n"/>
      <c r="B170" s="5" t="n"/>
      <c r="C170" s="21">
        <f>IF(A170="","",SUMPRODUCT((('Metraj Mahal Listesi'!$A$5:$A$504=A170)+('Metraj Mahal Listesi'!$B$5:$B$504=A170)&gt;0)*'Metraj Mahal Listesi'!$K$5:$K$504))</f>
        <v/>
      </c>
      <c r="D170" s="27">
        <f>IF(OR(A170="",'Metraj Mahal Listesi'!$K$3=0),"",C170/'Metraj Mahal Listesi'!$K$3*100)</f>
        <v/>
      </c>
      <c r="E170" s="31">
        <f>IF(A170="","",SUMPRODUCT((('Metraj Mahal Listesi'!$A$5:$A$504=A170)+('Metraj Mahal Listesi'!$B$5:$B$504=A170)&gt;0)*('Metraj Mahal Listesi'!$C$5:$C$504&lt;&gt;"")))</f>
        <v/>
      </c>
      <c r="F170" s="31">
        <f>IF(A170="","",SUMPRODUCT((('Metraj Mahal Listesi'!$A$5:$A$504=A170)+('Metraj Mahal Listesi'!$B$5:$B$504=A170)&gt;0)*('Metraj Mahal Listesi'!$C$5:$C$504&lt;&gt;"")*(LEFT('Metraj Mahal Listesi'!$C$5:$C$504,1)&lt;&gt;"—")*('Metraj Mahal Listesi'!$F$5:$F$504="")))</f>
        <v/>
      </c>
      <c r="G170" s="31">
        <f>IF(A170="","",SUMPRODUCT((('Metraj Mahal Listesi'!$A$5:$A$504=A170)+('Metraj Mahal Listesi'!$B$5:$B$504=A170)&gt;0)*('Metraj Mahal Listesi'!$F$5:$F$504&lt;&gt;"")*(LEFT('Metraj Mahal Listesi'!$C$5:$C$504,1)&lt;&gt;"—")*('Metraj Mahal Listesi'!$J$5:$J$504=0)))</f>
        <v/>
      </c>
      <c r="H170" s="5" t="n"/>
    </row>
    <row r="171">
      <c r="A171" s="5" t="n"/>
      <c r="B171" s="5" t="n"/>
      <c r="C171" s="21">
        <f>IF(A171="","",SUMPRODUCT((('Metraj Mahal Listesi'!$A$5:$A$504=A171)+('Metraj Mahal Listesi'!$B$5:$B$504=A171)&gt;0)*'Metraj Mahal Listesi'!$K$5:$K$504))</f>
        <v/>
      </c>
      <c r="D171" s="27">
        <f>IF(OR(A171="",'Metraj Mahal Listesi'!$K$3=0),"",C171/'Metraj Mahal Listesi'!$K$3*100)</f>
        <v/>
      </c>
      <c r="E171" s="31">
        <f>IF(A171="","",SUMPRODUCT((('Metraj Mahal Listesi'!$A$5:$A$504=A171)+('Metraj Mahal Listesi'!$B$5:$B$504=A171)&gt;0)*('Metraj Mahal Listesi'!$C$5:$C$504&lt;&gt;"")))</f>
        <v/>
      </c>
      <c r="F171" s="31">
        <f>IF(A171="","",SUMPRODUCT((('Metraj Mahal Listesi'!$A$5:$A$504=A171)+('Metraj Mahal Listesi'!$B$5:$B$504=A171)&gt;0)*('Metraj Mahal Listesi'!$C$5:$C$504&lt;&gt;"")*(LEFT('Metraj Mahal Listesi'!$C$5:$C$504,1)&lt;&gt;"—")*('Metraj Mahal Listesi'!$F$5:$F$504="")))</f>
        <v/>
      </c>
      <c r="G171" s="31">
        <f>IF(A171="","",SUMPRODUCT((('Metraj Mahal Listesi'!$A$5:$A$504=A171)+('Metraj Mahal Listesi'!$B$5:$B$504=A171)&gt;0)*('Metraj Mahal Listesi'!$F$5:$F$504&lt;&gt;"")*(LEFT('Metraj Mahal Listesi'!$C$5:$C$504,1)&lt;&gt;"—")*('Metraj Mahal Listesi'!$J$5:$J$504=0)))</f>
        <v/>
      </c>
      <c r="H171" s="5" t="n"/>
    </row>
    <row r="172">
      <c r="A172" s="5" t="n"/>
      <c r="B172" s="5" t="n"/>
      <c r="C172" s="21">
        <f>IF(A172="","",SUMPRODUCT((('Metraj Mahal Listesi'!$A$5:$A$504=A172)+('Metraj Mahal Listesi'!$B$5:$B$504=A172)&gt;0)*'Metraj Mahal Listesi'!$K$5:$K$504))</f>
        <v/>
      </c>
      <c r="D172" s="27">
        <f>IF(OR(A172="",'Metraj Mahal Listesi'!$K$3=0),"",C172/'Metraj Mahal Listesi'!$K$3*100)</f>
        <v/>
      </c>
      <c r="E172" s="31">
        <f>IF(A172="","",SUMPRODUCT((('Metraj Mahal Listesi'!$A$5:$A$504=A172)+('Metraj Mahal Listesi'!$B$5:$B$504=A172)&gt;0)*('Metraj Mahal Listesi'!$C$5:$C$504&lt;&gt;"")))</f>
        <v/>
      </c>
      <c r="F172" s="31">
        <f>IF(A172="","",SUMPRODUCT((('Metraj Mahal Listesi'!$A$5:$A$504=A172)+('Metraj Mahal Listesi'!$B$5:$B$504=A172)&gt;0)*('Metraj Mahal Listesi'!$C$5:$C$504&lt;&gt;"")*(LEFT('Metraj Mahal Listesi'!$C$5:$C$504,1)&lt;&gt;"—")*('Metraj Mahal Listesi'!$F$5:$F$504="")))</f>
        <v/>
      </c>
      <c r="G172" s="31">
        <f>IF(A172="","",SUMPRODUCT((('Metraj Mahal Listesi'!$A$5:$A$504=A172)+('Metraj Mahal Listesi'!$B$5:$B$504=A172)&gt;0)*('Metraj Mahal Listesi'!$F$5:$F$504&lt;&gt;"")*(LEFT('Metraj Mahal Listesi'!$C$5:$C$504,1)&lt;&gt;"—")*('Metraj Mahal Listesi'!$J$5:$J$504=0)))</f>
        <v/>
      </c>
      <c r="H172" s="5" t="n"/>
    </row>
    <row r="173">
      <c r="A173" s="5" t="n"/>
      <c r="B173" s="5" t="n"/>
      <c r="C173" s="21">
        <f>IF(A173="","",SUMPRODUCT((('Metraj Mahal Listesi'!$A$5:$A$504=A173)+('Metraj Mahal Listesi'!$B$5:$B$504=A173)&gt;0)*'Metraj Mahal Listesi'!$K$5:$K$504))</f>
        <v/>
      </c>
      <c r="D173" s="27">
        <f>IF(OR(A173="",'Metraj Mahal Listesi'!$K$3=0),"",C173/'Metraj Mahal Listesi'!$K$3*100)</f>
        <v/>
      </c>
      <c r="E173" s="31">
        <f>IF(A173="","",SUMPRODUCT((('Metraj Mahal Listesi'!$A$5:$A$504=A173)+('Metraj Mahal Listesi'!$B$5:$B$504=A173)&gt;0)*('Metraj Mahal Listesi'!$C$5:$C$504&lt;&gt;"")))</f>
        <v/>
      </c>
      <c r="F173" s="31">
        <f>IF(A173="","",SUMPRODUCT((('Metraj Mahal Listesi'!$A$5:$A$504=A173)+('Metraj Mahal Listesi'!$B$5:$B$504=A173)&gt;0)*('Metraj Mahal Listesi'!$C$5:$C$504&lt;&gt;"")*(LEFT('Metraj Mahal Listesi'!$C$5:$C$504,1)&lt;&gt;"—")*('Metraj Mahal Listesi'!$F$5:$F$504="")))</f>
        <v/>
      </c>
      <c r="G173" s="31">
        <f>IF(A173="","",SUMPRODUCT((('Metraj Mahal Listesi'!$A$5:$A$504=A173)+('Metraj Mahal Listesi'!$B$5:$B$504=A173)&gt;0)*('Metraj Mahal Listesi'!$F$5:$F$504&lt;&gt;"")*(LEFT('Metraj Mahal Listesi'!$C$5:$C$504,1)&lt;&gt;"—")*('Metraj Mahal Listesi'!$J$5:$J$504=0)))</f>
        <v/>
      </c>
      <c r="H173" s="5" t="n"/>
    </row>
    <row r="174">
      <c r="A174" s="5" t="n"/>
      <c r="B174" s="5" t="n"/>
      <c r="C174" s="21">
        <f>IF(A174="","",SUMPRODUCT((('Metraj Mahal Listesi'!$A$5:$A$504=A174)+('Metraj Mahal Listesi'!$B$5:$B$504=A174)&gt;0)*'Metraj Mahal Listesi'!$K$5:$K$504))</f>
        <v/>
      </c>
      <c r="D174" s="27">
        <f>IF(OR(A174="",'Metraj Mahal Listesi'!$K$3=0),"",C174/'Metraj Mahal Listesi'!$K$3*100)</f>
        <v/>
      </c>
      <c r="E174" s="31">
        <f>IF(A174="","",SUMPRODUCT((('Metraj Mahal Listesi'!$A$5:$A$504=A174)+('Metraj Mahal Listesi'!$B$5:$B$504=A174)&gt;0)*('Metraj Mahal Listesi'!$C$5:$C$504&lt;&gt;"")))</f>
        <v/>
      </c>
      <c r="F174" s="31">
        <f>IF(A174="","",SUMPRODUCT((('Metraj Mahal Listesi'!$A$5:$A$504=A174)+('Metraj Mahal Listesi'!$B$5:$B$504=A174)&gt;0)*('Metraj Mahal Listesi'!$C$5:$C$504&lt;&gt;"")*(LEFT('Metraj Mahal Listesi'!$C$5:$C$504,1)&lt;&gt;"—")*('Metraj Mahal Listesi'!$F$5:$F$504="")))</f>
        <v/>
      </c>
      <c r="G174" s="31">
        <f>IF(A174="","",SUMPRODUCT((('Metraj Mahal Listesi'!$A$5:$A$504=A174)+('Metraj Mahal Listesi'!$B$5:$B$504=A174)&gt;0)*('Metraj Mahal Listesi'!$F$5:$F$504&lt;&gt;"")*(LEFT('Metraj Mahal Listesi'!$C$5:$C$504,1)&lt;&gt;"—")*('Metraj Mahal Listesi'!$J$5:$J$504=0)))</f>
        <v/>
      </c>
      <c r="H174" s="5" t="n"/>
    </row>
    <row r="175">
      <c r="A175" s="5" t="n"/>
      <c r="B175" s="5" t="n"/>
      <c r="C175" s="21">
        <f>IF(A175="","",SUMPRODUCT((('Metraj Mahal Listesi'!$A$5:$A$504=A175)+('Metraj Mahal Listesi'!$B$5:$B$504=A175)&gt;0)*'Metraj Mahal Listesi'!$K$5:$K$504))</f>
        <v/>
      </c>
      <c r="D175" s="27">
        <f>IF(OR(A175="",'Metraj Mahal Listesi'!$K$3=0),"",C175/'Metraj Mahal Listesi'!$K$3*100)</f>
        <v/>
      </c>
      <c r="E175" s="31">
        <f>IF(A175="","",SUMPRODUCT((('Metraj Mahal Listesi'!$A$5:$A$504=A175)+('Metraj Mahal Listesi'!$B$5:$B$504=A175)&gt;0)*('Metraj Mahal Listesi'!$C$5:$C$504&lt;&gt;"")))</f>
        <v/>
      </c>
      <c r="F175" s="31">
        <f>IF(A175="","",SUMPRODUCT((('Metraj Mahal Listesi'!$A$5:$A$504=A175)+('Metraj Mahal Listesi'!$B$5:$B$504=A175)&gt;0)*('Metraj Mahal Listesi'!$C$5:$C$504&lt;&gt;"")*(LEFT('Metraj Mahal Listesi'!$C$5:$C$504,1)&lt;&gt;"—")*('Metraj Mahal Listesi'!$F$5:$F$504="")))</f>
        <v/>
      </c>
      <c r="G175" s="31">
        <f>IF(A175="","",SUMPRODUCT((('Metraj Mahal Listesi'!$A$5:$A$504=A175)+('Metraj Mahal Listesi'!$B$5:$B$504=A175)&gt;0)*('Metraj Mahal Listesi'!$F$5:$F$504&lt;&gt;"")*(LEFT('Metraj Mahal Listesi'!$C$5:$C$504,1)&lt;&gt;"—")*('Metraj Mahal Listesi'!$J$5:$J$504=0)))</f>
        <v/>
      </c>
      <c r="H175" s="5" t="n"/>
    </row>
    <row r="176">
      <c r="A176" s="5" t="n"/>
      <c r="B176" s="5" t="n"/>
      <c r="C176" s="21">
        <f>IF(A176="","",SUMPRODUCT((('Metraj Mahal Listesi'!$A$5:$A$504=A176)+('Metraj Mahal Listesi'!$B$5:$B$504=A176)&gt;0)*'Metraj Mahal Listesi'!$K$5:$K$504))</f>
        <v/>
      </c>
      <c r="D176" s="27">
        <f>IF(OR(A176="",'Metraj Mahal Listesi'!$K$3=0),"",C176/'Metraj Mahal Listesi'!$K$3*100)</f>
        <v/>
      </c>
      <c r="E176" s="31">
        <f>IF(A176="","",SUMPRODUCT((('Metraj Mahal Listesi'!$A$5:$A$504=A176)+('Metraj Mahal Listesi'!$B$5:$B$504=A176)&gt;0)*('Metraj Mahal Listesi'!$C$5:$C$504&lt;&gt;"")))</f>
        <v/>
      </c>
      <c r="F176" s="31">
        <f>IF(A176="","",SUMPRODUCT((('Metraj Mahal Listesi'!$A$5:$A$504=A176)+('Metraj Mahal Listesi'!$B$5:$B$504=A176)&gt;0)*('Metraj Mahal Listesi'!$C$5:$C$504&lt;&gt;"")*(LEFT('Metraj Mahal Listesi'!$C$5:$C$504,1)&lt;&gt;"—")*('Metraj Mahal Listesi'!$F$5:$F$504="")))</f>
        <v/>
      </c>
      <c r="G176" s="31">
        <f>IF(A176="","",SUMPRODUCT((('Metraj Mahal Listesi'!$A$5:$A$504=A176)+('Metraj Mahal Listesi'!$B$5:$B$504=A176)&gt;0)*('Metraj Mahal Listesi'!$F$5:$F$504&lt;&gt;"")*(LEFT('Metraj Mahal Listesi'!$C$5:$C$504,1)&lt;&gt;"—")*('Metraj Mahal Listesi'!$J$5:$J$504=0)))</f>
        <v/>
      </c>
      <c r="H176" s="5" t="n"/>
    </row>
    <row r="177">
      <c r="A177" s="5" t="n"/>
      <c r="B177" s="5" t="n"/>
      <c r="C177" s="21">
        <f>IF(A177="","",SUMPRODUCT((('Metraj Mahal Listesi'!$A$5:$A$504=A177)+('Metraj Mahal Listesi'!$B$5:$B$504=A177)&gt;0)*'Metraj Mahal Listesi'!$K$5:$K$504))</f>
        <v/>
      </c>
      <c r="D177" s="27">
        <f>IF(OR(A177="",'Metraj Mahal Listesi'!$K$3=0),"",C177/'Metraj Mahal Listesi'!$K$3*100)</f>
        <v/>
      </c>
      <c r="E177" s="31">
        <f>IF(A177="","",SUMPRODUCT((('Metraj Mahal Listesi'!$A$5:$A$504=A177)+('Metraj Mahal Listesi'!$B$5:$B$504=A177)&gt;0)*('Metraj Mahal Listesi'!$C$5:$C$504&lt;&gt;"")))</f>
        <v/>
      </c>
      <c r="F177" s="31">
        <f>IF(A177="","",SUMPRODUCT((('Metraj Mahal Listesi'!$A$5:$A$504=A177)+('Metraj Mahal Listesi'!$B$5:$B$504=A177)&gt;0)*('Metraj Mahal Listesi'!$C$5:$C$504&lt;&gt;"")*(LEFT('Metraj Mahal Listesi'!$C$5:$C$504,1)&lt;&gt;"—")*('Metraj Mahal Listesi'!$F$5:$F$504="")))</f>
        <v/>
      </c>
      <c r="G177" s="31">
        <f>IF(A177="","",SUMPRODUCT((('Metraj Mahal Listesi'!$A$5:$A$504=A177)+('Metraj Mahal Listesi'!$B$5:$B$504=A177)&gt;0)*('Metraj Mahal Listesi'!$F$5:$F$504&lt;&gt;"")*(LEFT('Metraj Mahal Listesi'!$C$5:$C$504,1)&lt;&gt;"—")*('Metraj Mahal Listesi'!$J$5:$J$504=0)))</f>
        <v/>
      </c>
      <c r="H177" s="5" t="n"/>
    </row>
    <row r="178">
      <c r="A178" s="5" t="n"/>
      <c r="B178" s="5" t="n"/>
      <c r="C178" s="21">
        <f>IF(A178="","",SUMPRODUCT((('Metraj Mahal Listesi'!$A$5:$A$504=A178)+('Metraj Mahal Listesi'!$B$5:$B$504=A178)&gt;0)*'Metraj Mahal Listesi'!$K$5:$K$504))</f>
        <v/>
      </c>
      <c r="D178" s="27">
        <f>IF(OR(A178="",'Metraj Mahal Listesi'!$K$3=0),"",C178/'Metraj Mahal Listesi'!$K$3*100)</f>
        <v/>
      </c>
      <c r="E178" s="31">
        <f>IF(A178="","",SUMPRODUCT((('Metraj Mahal Listesi'!$A$5:$A$504=A178)+('Metraj Mahal Listesi'!$B$5:$B$504=A178)&gt;0)*('Metraj Mahal Listesi'!$C$5:$C$504&lt;&gt;"")))</f>
        <v/>
      </c>
      <c r="F178" s="31">
        <f>IF(A178="","",SUMPRODUCT((('Metraj Mahal Listesi'!$A$5:$A$504=A178)+('Metraj Mahal Listesi'!$B$5:$B$504=A178)&gt;0)*('Metraj Mahal Listesi'!$C$5:$C$504&lt;&gt;"")*(LEFT('Metraj Mahal Listesi'!$C$5:$C$504,1)&lt;&gt;"—")*('Metraj Mahal Listesi'!$F$5:$F$504="")))</f>
        <v/>
      </c>
      <c r="G178" s="31">
        <f>IF(A178="","",SUMPRODUCT((('Metraj Mahal Listesi'!$A$5:$A$504=A178)+('Metraj Mahal Listesi'!$B$5:$B$504=A178)&gt;0)*('Metraj Mahal Listesi'!$F$5:$F$504&lt;&gt;"")*(LEFT('Metraj Mahal Listesi'!$C$5:$C$504,1)&lt;&gt;"—")*('Metraj Mahal Listesi'!$J$5:$J$504=0)))</f>
        <v/>
      </c>
      <c r="H178" s="5" t="n"/>
    </row>
    <row r="179">
      <c r="A179" s="5" t="n"/>
      <c r="B179" s="5" t="n"/>
      <c r="C179" s="21">
        <f>IF(A179="","",SUMPRODUCT((('Metraj Mahal Listesi'!$A$5:$A$504=A179)+('Metraj Mahal Listesi'!$B$5:$B$504=A179)&gt;0)*'Metraj Mahal Listesi'!$K$5:$K$504))</f>
        <v/>
      </c>
      <c r="D179" s="27">
        <f>IF(OR(A179="",'Metraj Mahal Listesi'!$K$3=0),"",C179/'Metraj Mahal Listesi'!$K$3*100)</f>
        <v/>
      </c>
      <c r="E179" s="31">
        <f>IF(A179="","",SUMPRODUCT((('Metraj Mahal Listesi'!$A$5:$A$504=A179)+('Metraj Mahal Listesi'!$B$5:$B$504=A179)&gt;0)*('Metraj Mahal Listesi'!$C$5:$C$504&lt;&gt;"")))</f>
        <v/>
      </c>
      <c r="F179" s="31">
        <f>IF(A179="","",SUMPRODUCT((('Metraj Mahal Listesi'!$A$5:$A$504=A179)+('Metraj Mahal Listesi'!$B$5:$B$504=A179)&gt;0)*('Metraj Mahal Listesi'!$C$5:$C$504&lt;&gt;"")*(LEFT('Metraj Mahal Listesi'!$C$5:$C$504,1)&lt;&gt;"—")*('Metraj Mahal Listesi'!$F$5:$F$504="")))</f>
        <v/>
      </c>
      <c r="G179" s="31">
        <f>IF(A179="","",SUMPRODUCT((('Metraj Mahal Listesi'!$A$5:$A$504=A179)+('Metraj Mahal Listesi'!$B$5:$B$504=A179)&gt;0)*('Metraj Mahal Listesi'!$F$5:$F$504&lt;&gt;"")*(LEFT('Metraj Mahal Listesi'!$C$5:$C$504,1)&lt;&gt;"—")*('Metraj Mahal Listesi'!$J$5:$J$504=0)))</f>
        <v/>
      </c>
      <c r="H179" s="5" t="n"/>
    </row>
    <row r="180">
      <c r="A180" s="5" t="n"/>
      <c r="B180" s="5" t="n"/>
      <c r="C180" s="21">
        <f>IF(A180="","",SUMPRODUCT((('Metraj Mahal Listesi'!$A$5:$A$504=A180)+('Metraj Mahal Listesi'!$B$5:$B$504=A180)&gt;0)*'Metraj Mahal Listesi'!$K$5:$K$504))</f>
        <v/>
      </c>
      <c r="D180" s="27">
        <f>IF(OR(A180="",'Metraj Mahal Listesi'!$K$3=0),"",C180/'Metraj Mahal Listesi'!$K$3*100)</f>
        <v/>
      </c>
      <c r="E180" s="31">
        <f>IF(A180="","",SUMPRODUCT((('Metraj Mahal Listesi'!$A$5:$A$504=A180)+('Metraj Mahal Listesi'!$B$5:$B$504=A180)&gt;0)*('Metraj Mahal Listesi'!$C$5:$C$504&lt;&gt;"")))</f>
        <v/>
      </c>
      <c r="F180" s="31">
        <f>IF(A180="","",SUMPRODUCT((('Metraj Mahal Listesi'!$A$5:$A$504=A180)+('Metraj Mahal Listesi'!$B$5:$B$504=A180)&gt;0)*('Metraj Mahal Listesi'!$C$5:$C$504&lt;&gt;"")*(LEFT('Metraj Mahal Listesi'!$C$5:$C$504,1)&lt;&gt;"—")*('Metraj Mahal Listesi'!$F$5:$F$504="")))</f>
        <v/>
      </c>
      <c r="G180" s="31">
        <f>IF(A180="","",SUMPRODUCT((('Metraj Mahal Listesi'!$A$5:$A$504=A180)+('Metraj Mahal Listesi'!$B$5:$B$504=A180)&gt;0)*('Metraj Mahal Listesi'!$F$5:$F$504&lt;&gt;"")*(LEFT('Metraj Mahal Listesi'!$C$5:$C$504,1)&lt;&gt;"—")*('Metraj Mahal Listesi'!$J$5:$J$504=0)))</f>
        <v/>
      </c>
      <c r="H180" s="5" t="n"/>
    </row>
    <row r="181">
      <c r="A181" s="5" t="n"/>
      <c r="B181" s="5" t="n"/>
      <c r="C181" s="21">
        <f>IF(A181="","",SUMPRODUCT((('Metraj Mahal Listesi'!$A$5:$A$504=A181)+('Metraj Mahal Listesi'!$B$5:$B$504=A181)&gt;0)*'Metraj Mahal Listesi'!$K$5:$K$504))</f>
        <v/>
      </c>
      <c r="D181" s="27">
        <f>IF(OR(A181="",'Metraj Mahal Listesi'!$K$3=0),"",C181/'Metraj Mahal Listesi'!$K$3*100)</f>
        <v/>
      </c>
      <c r="E181" s="31">
        <f>IF(A181="","",SUMPRODUCT((('Metraj Mahal Listesi'!$A$5:$A$504=A181)+('Metraj Mahal Listesi'!$B$5:$B$504=A181)&gt;0)*('Metraj Mahal Listesi'!$C$5:$C$504&lt;&gt;"")))</f>
        <v/>
      </c>
      <c r="F181" s="31">
        <f>IF(A181="","",SUMPRODUCT((('Metraj Mahal Listesi'!$A$5:$A$504=A181)+('Metraj Mahal Listesi'!$B$5:$B$504=A181)&gt;0)*('Metraj Mahal Listesi'!$C$5:$C$504&lt;&gt;"")*(LEFT('Metraj Mahal Listesi'!$C$5:$C$504,1)&lt;&gt;"—")*('Metraj Mahal Listesi'!$F$5:$F$504="")))</f>
        <v/>
      </c>
      <c r="G181" s="31">
        <f>IF(A181="","",SUMPRODUCT((('Metraj Mahal Listesi'!$A$5:$A$504=A181)+('Metraj Mahal Listesi'!$B$5:$B$504=A181)&gt;0)*('Metraj Mahal Listesi'!$F$5:$F$504&lt;&gt;"")*(LEFT('Metraj Mahal Listesi'!$C$5:$C$504,1)&lt;&gt;"—")*('Metraj Mahal Listesi'!$J$5:$J$504=0)))</f>
        <v/>
      </c>
      <c r="H181" s="5" t="n"/>
    </row>
    <row r="182">
      <c r="A182" s="5" t="n"/>
      <c r="B182" s="5" t="n"/>
      <c r="C182" s="21">
        <f>IF(A182="","",SUMPRODUCT((('Metraj Mahal Listesi'!$A$5:$A$504=A182)+('Metraj Mahal Listesi'!$B$5:$B$504=A182)&gt;0)*'Metraj Mahal Listesi'!$K$5:$K$504))</f>
        <v/>
      </c>
      <c r="D182" s="27">
        <f>IF(OR(A182="",'Metraj Mahal Listesi'!$K$3=0),"",C182/'Metraj Mahal Listesi'!$K$3*100)</f>
        <v/>
      </c>
      <c r="E182" s="31">
        <f>IF(A182="","",SUMPRODUCT((('Metraj Mahal Listesi'!$A$5:$A$504=A182)+('Metraj Mahal Listesi'!$B$5:$B$504=A182)&gt;0)*('Metraj Mahal Listesi'!$C$5:$C$504&lt;&gt;"")))</f>
        <v/>
      </c>
      <c r="F182" s="31">
        <f>IF(A182="","",SUMPRODUCT((('Metraj Mahal Listesi'!$A$5:$A$504=A182)+('Metraj Mahal Listesi'!$B$5:$B$504=A182)&gt;0)*('Metraj Mahal Listesi'!$C$5:$C$504&lt;&gt;"")*(LEFT('Metraj Mahal Listesi'!$C$5:$C$504,1)&lt;&gt;"—")*('Metraj Mahal Listesi'!$F$5:$F$504="")))</f>
        <v/>
      </c>
      <c r="G182" s="31">
        <f>IF(A182="","",SUMPRODUCT((('Metraj Mahal Listesi'!$A$5:$A$504=A182)+('Metraj Mahal Listesi'!$B$5:$B$504=A182)&gt;0)*('Metraj Mahal Listesi'!$F$5:$F$504&lt;&gt;"")*(LEFT('Metraj Mahal Listesi'!$C$5:$C$504,1)&lt;&gt;"—")*('Metraj Mahal Listesi'!$J$5:$J$504=0)))</f>
        <v/>
      </c>
      <c r="H182" s="5" t="n"/>
    </row>
    <row r="183">
      <c r="A183" s="5" t="n"/>
      <c r="B183" s="5" t="n"/>
      <c r="C183" s="21">
        <f>IF(A183="","",SUMPRODUCT((('Metraj Mahal Listesi'!$A$5:$A$504=A183)+('Metraj Mahal Listesi'!$B$5:$B$504=A183)&gt;0)*'Metraj Mahal Listesi'!$K$5:$K$504))</f>
        <v/>
      </c>
      <c r="D183" s="27">
        <f>IF(OR(A183="",'Metraj Mahal Listesi'!$K$3=0),"",C183/'Metraj Mahal Listesi'!$K$3*100)</f>
        <v/>
      </c>
      <c r="E183" s="31">
        <f>IF(A183="","",SUMPRODUCT((('Metraj Mahal Listesi'!$A$5:$A$504=A183)+('Metraj Mahal Listesi'!$B$5:$B$504=A183)&gt;0)*('Metraj Mahal Listesi'!$C$5:$C$504&lt;&gt;"")))</f>
        <v/>
      </c>
      <c r="F183" s="31">
        <f>IF(A183="","",SUMPRODUCT((('Metraj Mahal Listesi'!$A$5:$A$504=A183)+('Metraj Mahal Listesi'!$B$5:$B$504=A183)&gt;0)*('Metraj Mahal Listesi'!$C$5:$C$504&lt;&gt;"")*(LEFT('Metraj Mahal Listesi'!$C$5:$C$504,1)&lt;&gt;"—")*('Metraj Mahal Listesi'!$F$5:$F$504="")))</f>
        <v/>
      </c>
      <c r="G183" s="31">
        <f>IF(A183="","",SUMPRODUCT((('Metraj Mahal Listesi'!$A$5:$A$504=A183)+('Metraj Mahal Listesi'!$B$5:$B$504=A183)&gt;0)*('Metraj Mahal Listesi'!$F$5:$F$504&lt;&gt;"")*(LEFT('Metraj Mahal Listesi'!$C$5:$C$504,1)&lt;&gt;"—")*('Metraj Mahal Listesi'!$J$5:$J$504=0)))</f>
        <v/>
      </c>
      <c r="H183" s="5" t="n"/>
    </row>
    <row r="184">
      <c r="A184" s="5" t="n"/>
      <c r="B184" s="5" t="n"/>
      <c r="C184" s="21">
        <f>IF(A184="","",SUMPRODUCT((('Metraj Mahal Listesi'!$A$5:$A$504=A184)+('Metraj Mahal Listesi'!$B$5:$B$504=A184)&gt;0)*'Metraj Mahal Listesi'!$K$5:$K$504))</f>
        <v/>
      </c>
      <c r="D184" s="27">
        <f>IF(OR(A184="",'Metraj Mahal Listesi'!$K$3=0),"",C184/'Metraj Mahal Listesi'!$K$3*100)</f>
        <v/>
      </c>
      <c r="E184" s="31">
        <f>IF(A184="","",SUMPRODUCT((('Metraj Mahal Listesi'!$A$5:$A$504=A184)+('Metraj Mahal Listesi'!$B$5:$B$504=A184)&gt;0)*('Metraj Mahal Listesi'!$C$5:$C$504&lt;&gt;"")))</f>
        <v/>
      </c>
      <c r="F184" s="31">
        <f>IF(A184="","",SUMPRODUCT((('Metraj Mahal Listesi'!$A$5:$A$504=A184)+('Metraj Mahal Listesi'!$B$5:$B$504=A184)&gt;0)*('Metraj Mahal Listesi'!$C$5:$C$504&lt;&gt;"")*(LEFT('Metraj Mahal Listesi'!$C$5:$C$504,1)&lt;&gt;"—")*('Metraj Mahal Listesi'!$F$5:$F$504="")))</f>
        <v/>
      </c>
      <c r="G184" s="31">
        <f>IF(A184="","",SUMPRODUCT((('Metraj Mahal Listesi'!$A$5:$A$504=A184)+('Metraj Mahal Listesi'!$B$5:$B$504=A184)&gt;0)*('Metraj Mahal Listesi'!$F$5:$F$504&lt;&gt;"")*(LEFT('Metraj Mahal Listesi'!$C$5:$C$504,1)&lt;&gt;"—")*('Metraj Mahal Listesi'!$J$5:$J$504=0)))</f>
        <v/>
      </c>
      <c r="H184" s="5" t="n"/>
    </row>
    <row r="185">
      <c r="A185" s="5" t="n"/>
      <c r="B185" s="5" t="n"/>
      <c r="C185" s="21">
        <f>IF(A185="","",SUMPRODUCT((('Metraj Mahal Listesi'!$A$5:$A$504=A185)+('Metraj Mahal Listesi'!$B$5:$B$504=A185)&gt;0)*'Metraj Mahal Listesi'!$K$5:$K$504))</f>
        <v/>
      </c>
      <c r="D185" s="27">
        <f>IF(OR(A185="",'Metraj Mahal Listesi'!$K$3=0),"",C185/'Metraj Mahal Listesi'!$K$3*100)</f>
        <v/>
      </c>
      <c r="E185" s="31">
        <f>IF(A185="","",SUMPRODUCT((('Metraj Mahal Listesi'!$A$5:$A$504=A185)+('Metraj Mahal Listesi'!$B$5:$B$504=A185)&gt;0)*('Metraj Mahal Listesi'!$C$5:$C$504&lt;&gt;"")))</f>
        <v/>
      </c>
      <c r="F185" s="31">
        <f>IF(A185="","",SUMPRODUCT((('Metraj Mahal Listesi'!$A$5:$A$504=A185)+('Metraj Mahal Listesi'!$B$5:$B$504=A185)&gt;0)*('Metraj Mahal Listesi'!$C$5:$C$504&lt;&gt;"")*(LEFT('Metraj Mahal Listesi'!$C$5:$C$504,1)&lt;&gt;"—")*('Metraj Mahal Listesi'!$F$5:$F$504="")))</f>
        <v/>
      </c>
      <c r="G185" s="31">
        <f>IF(A185="","",SUMPRODUCT((('Metraj Mahal Listesi'!$A$5:$A$504=A185)+('Metraj Mahal Listesi'!$B$5:$B$504=A185)&gt;0)*('Metraj Mahal Listesi'!$F$5:$F$504&lt;&gt;"")*(LEFT('Metraj Mahal Listesi'!$C$5:$C$504,1)&lt;&gt;"—")*('Metraj Mahal Listesi'!$J$5:$J$504=0)))</f>
        <v/>
      </c>
      <c r="H185" s="5" t="n"/>
    </row>
    <row r="186">
      <c r="A186" s="5" t="n"/>
      <c r="B186" s="5" t="n"/>
      <c r="C186" s="21">
        <f>IF(A186="","",SUMPRODUCT((('Metraj Mahal Listesi'!$A$5:$A$504=A186)+('Metraj Mahal Listesi'!$B$5:$B$504=A186)&gt;0)*'Metraj Mahal Listesi'!$K$5:$K$504))</f>
        <v/>
      </c>
      <c r="D186" s="27">
        <f>IF(OR(A186="",'Metraj Mahal Listesi'!$K$3=0),"",C186/'Metraj Mahal Listesi'!$K$3*100)</f>
        <v/>
      </c>
      <c r="E186" s="31">
        <f>IF(A186="","",SUMPRODUCT((('Metraj Mahal Listesi'!$A$5:$A$504=A186)+('Metraj Mahal Listesi'!$B$5:$B$504=A186)&gt;0)*('Metraj Mahal Listesi'!$C$5:$C$504&lt;&gt;"")))</f>
        <v/>
      </c>
      <c r="F186" s="31">
        <f>IF(A186="","",SUMPRODUCT((('Metraj Mahal Listesi'!$A$5:$A$504=A186)+('Metraj Mahal Listesi'!$B$5:$B$504=A186)&gt;0)*('Metraj Mahal Listesi'!$C$5:$C$504&lt;&gt;"")*(LEFT('Metraj Mahal Listesi'!$C$5:$C$504,1)&lt;&gt;"—")*('Metraj Mahal Listesi'!$F$5:$F$504="")))</f>
        <v/>
      </c>
      <c r="G186" s="31">
        <f>IF(A186="","",SUMPRODUCT((('Metraj Mahal Listesi'!$A$5:$A$504=A186)+('Metraj Mahal Listesi'!$B$5:$B$504=A186)&gt;0)*('Metraj Mahal Listesi'!$F$5:$F$504&lt;&gt;"")*(LEFT('Metraj Mahal Listesi'!$C$5:$C$504,1)&lt;&gt;"—")*('Metraj Mahal Listesi'!$J$5:$J$504=0)))</f>
        <v/>
      </c>
      <c r="H186" s="5" t="n"/>
    </row>
    <row r="187">
      <c r="A187" s="5" t="n"/>
      <c r="B187" s="5" t="n"/>
      <c r="C187" s="21">
        <f>IF(A187="","",SUMPRODUCT((('Metraj Mahal Listesi'!$A$5:$A$504=A187)+('Metraj Mahal Listesi'!$B$5:$B$504=A187)&gt;0)*'Metraj Mahal Listesi'!$K$5:$K$504))</f>
        <v/>
      </c>
      <c r="D187" s="27">
        <f>IF(OR(A187="",'Metraj Mahal Listesi'!$K$3=0),"",C187/'Metraj Mahal Listesi'!$K$3*100)</f>
        <v/>
      </c>
      <c r="E187" s="31">
        <f>IF(A187="","",SUMPRODUCT((('Metraj Mahal Listesi'!$A$5:$A$504=A187)+('Metraj Mahal Listesi'!$B$5:$B$504=A187)&gt;0)*('Metraj Mahal Listesi'!$C$5:$C$504&lt;&gt;"")))</f>
        <v/>
      </c>
      <c r="F187" s="31">
        <f>IF(A187="","",SUMPRODUCT((('Metraj Mahal Listesi'!$A$5:$A$504=A187)+('Metraj Mahal Listesi'!$B$5:$B$504=A187)&gt;0)*('Metraj Mahal Listesi'!$C$5:$C$504&lt;&gt;"")*(LEFT('Metraj Mahal Listesi'!$C$5:$C$504,1)&lt;&gt;"—")*('Metraj Mahal Listesi'!$F$5:$F$504="")))</f>
        <v/>
      </c>
      <c r="G187" s="31">
        <f>IF(A187="","",SUMPRODUCT((('Metraj Mahal Listesi'!$A$5:$A$504=A187)+('Metraj Mahal Listesi'!$B$5:$B$504=A187)&gt;0)*('Metraj Mahal Listesi'!$F$5:$F$504&lt;&gt;"")*(LEFT('Metraj Mahal Listesi'!$C$5:$C$504,1)&lt;&gt;"—")*('Metraj Mahal Listesi'!$J$5:$J$504=0)))</f>
        <v/>
      </c>
      <c r="H187" s="5" t="n"/>
    </row>
    <row r="188">
      <c r="A188" s="5" t="n"/>
      <c r="B188" s="5" t="n"/>
      <c r="C188" s="21">
        <f>IF(A188="","",SUMPRODUCT((('Metraj Mahal Listesi'!$A$5:$A$504=A188)+('Metraj Mahal Listesi'!$B$5:$B$504=A188)&gt;0)*'Metraj Mahal Listesi'!$K$5:$K$504))</f>
        <v/>
      </c>
      <c r="D188" s="27">
        <f>IF(OR(A188="",'Metraj Mahal Listesi'!$K$3=0),"",C188/'Metraj Mahal Listesi'!$K$3*100)</f>
        <v/>
      </c>
      <c r="E188" s="31">
        <f>IF(A188="","",SUMPRODUCT((('Metraj Mahal Listesi'!$A$5:$A$504=A188)+('Metraj Mahal Listesi'!$B$5:$B$504=A188)&gt;0)*('Metraj Mahal Listesi'!$C$5:$C$504&lt;&gt;"")))</f>
        <v/>
      </c>
      <c r="F188" s="31">
        <f>IF(A188="","",SUMPRODUCT((('Metraj Mahal Listesi'!$A$5:$A$504=A188)+('Metraj Mahal Listesi'!$B$5:$B$504=A188)&gt;0)*('Metraj Mahal Listesi'!$C$5:$C$504&lt;&gt;"")*(LEFT('Metraj Mahal Listesi'!$C$5:$C$504,1)&lt;&gt;"—")*('Metraj Mahal Listesi'!$F$5:$F$504="")))</f>
        <v/>
      </c>
      <c r="G188" s="31">
        <f>IF(A188="","",SUMPRODUCT((('Metraj Mahal Listesi'!$A$5:$A$504=A188)+('Metraj Mahal Listesi'!$B$5:$B$504=A188)&gt;0)*('Metraj Mahal Listesi'!$F$5:$F$504&lt;&gt;"")*(LEFT('Metraj Mahal Listesi'!$C$5:$C$504,1)&lt;&gt;"—")*('Metraj Mahal Listesi'!$J$5:$J$504=0)))</f>
        <v/>
      </c>
      <c r="H188" s="5" t="n"/>
    </row>
    <row r="189">
      <c r="A189" s="5" t="n"/>
      <c r="B189" s="5" t="n"/>
      <c r="C189" s="21">
        <f>IF(A189="","",SUMPRODUCT((('Metraj Mahal Listesi'!$A$5:$A$504=A189)+('Metraj Mahal Listesi'!$B$5:$B$504=A189)&gt;0)*'Metraj Mahal Listesi'!$K$5:$K$504))</f>
        <v/>
      </c>
      <c r="D189" s="27">
        <f>IF(OR(A189="",'Metraj Mahal Listesi'!$K$3=0),"",C189/'Metraj Mahal Listesi'!$K$3*100)</f>
        <v/>
      </c>
      <c r="E189" s="31">
        <f>IF(A189="","",SUMPRODUCT((('Metraj Mahal Listesi'!$A$5:$A$504=A189)+('Metraj Mahal Listesi'!$B$5:$B$504=A189)&gt;0)*('Metraj Mahal Listesi'!$C$5:$C$504&lt;&gt;"")))</f>
        <v/>
      </c>
      <c r="F189" s="31">
        <f>IF(A189="","",SUMPRODUCT((('Metraj Mahal Listesi'!$A$5:$A$504=A189)+('Metraj Mahal Listesi'!$B$5:$B$504=A189)&gt;0)*('Metraj Mahal Listesi'!$C$5:$C$504&lt;&gt;"")*(LEFT('Metraj Mahal Listesi'!$C$5:$C$504,1)&lt;&gt;"—")*('Metraj Mahal Listesi'!$F$5:$F$504="")))</f>
        <v/>
      </c>
      <c r="G189" s="31">
        <f>IF(A189="","",SUMPRODUCT((('Metraj Mahal Listesi'!$A$5:$A$504=A189)+('Metraj Mahal Listesi'!$B$5:$B$504=A189)&gt;0)*('Metraj Mahal Listesi'!$F$5:$F$504&lt;&gt;"")*(LEFT('Metraj Mahal Listesi'!$C$5:$C$504,1)&lt;&gt;"—")*('Metraj Mahal Listesi'!$J$5:$J$504=0)))</f>
        <v/>
      </c>
      <c r="H189" s="5" t="n"/>
    </row>
    <row r="190">
      <c r="A190" s="5" t="n"/>
      <c r="B190" s="5" t="n"/>
      <c r="C190" s="21">
        <f>IF(A190="","",SUMPRODUCT((('Metraj Mahal Listesi'!$A$5:$A$504=A190)+('Metraj Mahal Listesi'!$B$5:$B$504=A190)&gt;0)*'Metraj Mahal Listesi'!$K$5:$K$504))</f>
        <v/>
      </c>
      <c r="D190" s="27">
        <f>IF(OR(A190="",'Metraj Mahal Listesi'!$K$3=0),"",C190/'Metraj Mahal Listesi'!$K$3*100)</f>
        <v/>
      </c>
      <c r="E190" s="31">
        <f>IF(A190="","",SUMPRODUCT((('Metraj Mahal Listesi'!$A$5:$A$504=A190)+('Metraj Mahal Listesi'!$B$5:$B$504=A190)&gt;0)*('Metraj Mahal Listesi'!$C$5:$C$504&lt;&gt;"")))</f>
        <v/>
      </c>
      <c r="F190" s="31">
        <f>IF(A190="","",SUMPRODUCT((('Metraj Mahal Listesi'!$A$5:$A$504=A190)+('Metraj Mahal Listesi'!$B$5:$B$504=A190)&gt;0)*('Metraj Mahal Listesi'!$C$5:$C$504&lt;&gt;"")*(LEFT('Metraj Mahal Listesi'!$C$5:$C$504,1)&lt;&gt;"—")*('Metraj Mahal Listesi'!$F$5:$F$504="")))</f>
        <v/>
      </c>
      <c r="G190" s="31">
        <f>IF(A190="","",SUMPRODUCT((('Metraj Mahal Listesi'!$A$5:$A$504=A190)+('Metraj Mahal Listesi'!$B$5:$B$504=A190)&gt;0)*('Metraj Mahal Listesi'!$F$5:$F$504&lt;&gt;"")*(LEFT('Metraj Mahal Listesi'!$C$5:$C$504,1)&lt;&gt;"—")*('Metraj Mahal Listesi'!$J$5:$J$504=0)))</f>
        <v/>
      </c>
      <c r="H190" s="5" t="n"/>
    </row>
    <row r="191">
      <c r="A191" s="5" t="n"/>
      <c r="B191" s="5" t="n"/>
      <c r="C191" s="21">
        <f>IF(A191="","",SUMPRODUCT((('Metraj Mahal Listesi'!$A$5:$A$504=A191)+('Metraj Mahal Listesi'!$B$5:$B$504=A191)&gt;0)*'Metraj Mahal Listesi'!$K$5:$K$504))</f>
        <v/>
      </c>
      <c r="D191" s="27">
        <f>IF(OR(A191="",'Metraj Mahal Listesi'!$K$3=0),"",C191/'Metraj Mahal Listesi'!$K$3*100)</f>
        <v/>
      </c>
      <c r="E191" s="31">
        <f>IF(A191="","",SUMPRODUCT((('Metraj Mahal Listesi'!$A$5:$A$504=A191)+('Metraj Mahal Listesi'!$B$5:$B$504=A191)&gt;0)*('Metraj Mahal Listesi'!$C$5:$C$504&lt;&gt;"")))</f>
        <v/>
      </c>
      <c r="F191" s="31">
        <f>IF(A191="","",SUMPRODUCT((('Metraj Mahal Listesi'!$A$5:$A$504=A191)+('Metraj Mahal Listesi'!$B$5:$B$504=A191)&gt;0)*('Metraj Mahal Listesi'!$C$5:$C$504&lt;&gt;"")*(LEFT('Metraj Mahal Listesi'!$C$5:$C$504,1)&lt;&gt;"—")*('Metraj Mahal Listesi'!$F$5:$F$504="")))</f>
        <v/>
      </c>
      <c r="G191" s="31">
        <f>IF(A191="","",SUMPRODUCT((('Metraj Mahal Listesi'!$A$5:$A$504=A191)+('Metraj Mahal Listesi'!$B$5:$B$504=A191)&gt;0)*('Metraj Mahal Listesi'!$F$5:$F$504&lt;&gt;"")*(LEFT('Metraj Mahal Listesi'!$C$5:$C$504,1)&lt;&gt;"—")*('Metraj Mahal Listesi'!$J$5:$J$504=0)))</f>
        <v/>
      </c>
      <c r="H191" s="5" t="n"/>
    </row>
    <row r="192">
      <c r="A192" s="5" t="n"/>
      <c r="B192" s="5" t="n"/>
      <c r="C192" s="21">
        <f>IF(A192="","",SUMPRODUCT((('Metraj Mahal Listesi'!$A$5:$A$504=A192)+('Metraj Mahal Listesi'!$B$5:$B$504=A192)&gt;0)*'Metraj Mahal Listesi'!$K$5:$K$504))</f>
        <v/>
      </c>
      <c r="D192" s="27">
        <f>IF(OR(A192="",'Metraj Mahal Listesi'!$K$3=0),"",C192/'Metraj Mahal Listesi'!$K$3*100)</f>
        <v/>
      </c>
      <c r="E192" s="31">
        <f>IF(A192="","",SUMPRODUCT((('Metraj Mahal Listesi'!$A$5:$A$504=A192)+('Metraj Mahal Listesi'!$B$5:$B$504=A192)&gt;0)*('Metraj Mahal Listesi'!$C$5:$C$504&lt;&gt;"")))</f>
        <v/>
      </c>
      <c r="F192" s="31">
        <f>IF(A192="","",SUMPRODUCT((('Metraj Mahal Listesi'!$A$5:$A$504=A192)+('Metraj Mahal Listesi'!$B$5:$B$504=A192)&gt;0)*('Metraj Mahal Listesi'!$C$5:$C$504&lt;&gt;"")*(LEFT('Metraj Mahal Listesi'!$C$5:$C$504,1)&lt;&gt;"—")*('Metraj Mahal Listesi'!$F$5:$F$504="")))</f>
        <v/>
      </c>
      <c r="G192" s="31">
        <f>IF(A192="","",SUMPRODUCT((('Metraj Mahal Listesi'!$A$5:$A$504=A192)+('Metraj Mahal Listesi'!$B$5:$B$504=A192)&gt;0)*('Metraj Mahal Listesi'!$F$5:$F$504&lt;&gt;"")*(LEFT('Metraj Mahal Listesi'!$C$5:$C$504,1)&lt;&gt;"—")*('Metraj Mahal Listesi'!$J$5:$J$504=0)))</f>
        <v/>
      </c>
      <c r="H192" s="5" t="n"/>
    </row>
    <row r="193">
      <c r="A193" s="5" t="n"/>
      <c r="B193" s="5" t="n"/>
      <c r="C193" s="21">
        <f>IF(A193="","",SUMPRODUCT((('Metraj Mahal Listesi'!$A$5:$A$504=A193)+('Metraj Mahal Listesi'!$B$5:$B$504=A193)&gt;0)*'Metraj Mahal Listesi'!$K$5:$K$504))</f>
        <v/>
      </c>
      <c r="D193" s="27">
        <f>IF(OR(A193="",'Metraj Mahal Listesi'!$K$3=0),"",C193/'Metraj Mahal Listesi'!$K$3*100)</f>
        <v/>
      </c>
      <c r="E193" s="31">
        <f>IF(A193="","",SUMPRODUCT((('Metraj Mahal Listesi'!$A$5:$A$504=A193)+('Metraj Mahal Listesi'!$B$5:$B$504=A193)&gt;0)*('Metraj Mahal Listesi'!$C$5:$C$504&lt;&gt;"")))</f>
        <v/>
      </c>
      <c r="F193" s="31">
        <f>IF(A193="","",SUMPRODUCT((('Metraj Mahal Listesi'!$A$5:$A$504=A193)+('Metraj Mahal Listesi'!$B$5:$B$504=A193)&gt;0)*('Metraj Mahal Listesi'!$C$5:$C$504&lt;&gt;"")*(LEFT('Metraj Mahal Listesi'!$C$5:$C$504,1)&lt;&gt;"—")*('Metraj Mahal Listesi'!$F$5:$F$504="")))</f>
        <v/>
      </c>
      <c r="G193" s="31">
        <f>IF(A193="","",SUMPRODUCT((('Metraj Mahal Listesi'!$A$5:$A$504=A193)+('Metraj Mahal Listesi'!$B$5:$B$504=A193)&gt;0)*('Metraj Mahal Listesi'!$F$5:$F$504&lt;&gt;"")*(LEFT('Metraj Mahal Listesi'!$C$5:$C$504,1)&lt;&gt;"—")*('Metraj Mahal Listesi'!$J$5:$J$504=0)))</f>
        <v/>
      </c>
      <c r="H193" s="5" t="n"/>
    </row>
    <row r="194">
      <c r="A194" s="5" t="n"/>
      <c r="B194" s="5" t="n"/>
      <c r="C194" s="21">
        <f>IF(A194="","",SUMPRODUCT((('Metraj Mahal Listesi'!$A$5:$A$504=A194)+('Metraj Mahal Listesi'!$B$5:$B$504=A194)&gt;0)*'Metraj Mahal Listesi'!$K$5:$K$504))</f>
        <v/>
      </c>
      <c r="D194" s="27">
        <f>IF(OR(A194="",'Metraj Mahal Listesi'!$K$3=0),"",C194/'Metraj Mahal Listesi'!$K$3*100)</f>
        <v/>
      </c>
      <c r="E194" s="31">
        <f>IF(A194="","",SUMPRODUCT((('Metraj Mahal Listesi'!$A$5:$A$504=A194)+('Metraj Mahal Listesi'!$B$5:$B$504=A194)&gt;0)*('Metraj Mahal Listesi'!$C$5:$C$504&lt;&gt;"")))</f>
        <v/>
      </c>
      <c r="F194" s="31">
        <f>IF(A194="","",SUMPRODUCT((('Metraj Mahal Listesi'!$A$5:$A$504=A194)+('Metraj Mahal Listesi'!$B$5:$B$504=A194)&gt;0)*('Metraj Mahal Listesi'!$C$5:$C$504&lt;&gt;"")*(LEFT('Metraj Mahal Listesi'!$C$5:$C$504,1)&lt;&gt;"—")*('Metraj Mahal Listesi'!$F$5:$F$504="")))</f>
        <v/>
      </c>
      <c r="G194" s="31">
        <f>IF(A194="","",SUMPRODUCT((('Metraj Mahal Listesi'!$A$5:$A$504=A194)+('Metraj Mahal Listesi'!$B$5:$B$504=A194)&gt;0)*('Metraj Mahal Listesi'!$F$5:$F$504&lt;&gt;"")*(LEFT('Metraj Mahal Listesi'!$C$5:$C$504,1)&lt;&gt;"—")*('Metraj Mahal Listesi'!$J$5:$J$504=0)))</f>
        <v/>
      </c>
      <c r="H194" s="5" t="n"/>
    </row>
    <row r="195">
      <c r="A195" s="5" t="n"/>
      <c r="B195" s="5" t="n"/>
      <c r="C195" s="21">
        <f>IF(A195="","",SUMPRODUCT((('Metraj Mahal Listesi'!$A$5:$A$504=A195)+('Metraj Mahal Listesi'!$B$5:$B$504=A195)&gt;0)*'Metraj Mahal Listesi'!$K$5:$K$504))</f>
        <v/>
      </c>
      <c r="D195" s="27">
        <f>IF(OR(A195="",'Metraj Mahal Listesi'!$K$3=0),"",C195/'Metraj Mahal Listesi'!$K$3*100)</f>
        <v/>
      </c>
      <c r="E195" s="31">
        <f>IF(A195="","",SUMPRODUCT((('Metraj Mahal Listesi'!$A$5:$A$504=A195)+('Metraj Mahal Listesi'!$B$5:$B$504=A195)&gt;0)*('Metraj Mahal Listesi'!$C$5:$C$504&lt;&gt;"")))</f>
        <v/>
      </c>
      <c r="F195" s="31">
        <f>IF(A195="","",SUMPRODUCT((('Metraj Mahal Listesi'!$A$5:$A$504=A195)+('Metraj Mahal Listesi'!$B$5:$B$504=A195)&gt;0)*('Metraj Mahal Listesi'!$C$5:$C$504&lt;&gt;"")*(LEFT('Metraj Mahal Listesi'!$C$5:$C$504,1)&lt;&gt;"—")*('Metraj Mahal Listesi'!$F$5:$F$504="")))</f>
        <v/>
      </c>
      <c r="G195" s="31">
        <f>IF(A195="","",SUMPRODUCT((('Metraj Mahal Listesi'!$A$5:$A$504=A195)+('Metraj Mahal Listesi'!$B$5:$B$504=A195)&gt;0)*('Metraj Mahal Listesi'!$F$5:$F$504&lt;&gt;"")*(LEFT('Metraj Mahal Listesi'!$C$5:$C$504,1)&lt;&gt;"—")*('Metraj Mahal Listesi'!$J$5:$J$504=0)))</f>
        <v/>
      </c>
      <c r="H195" s="5" t="n"/>
    </row>
    <row r="196">
      <c r="A196" s="5" t="n"/>
      <c r="B196" s="5" t="n"/>
      <c r="C196" s="21">
        <f>IF(A196="","",SUMPRODUCT((('Metraj Mahal Listesi'!$A$5:$A$504=A196)+('Metraj Mahal Listesi'!$B$5:$B$504=A196)&gt;0)*'Metraj Mahal Listesi'!$K$5:$K$504))</f>
        <v/>
      </c>
      <c r="D196" s="27">
        <f>IF(OR(A196="",'Metraj Mahal Listesi'!$K$3=0),"",C196/'Metraj Mahal Listesi'!$K$3*100)</f>
        <v/>
      </c>
      <c r="E196" s="31">
        <f>IF(A196="","",SUMPRODUCT((('Metraj Mahal Listesi'!$A$5:$A$504=A196)+('Metraj Mahal Listesi'!$B$5:$B$504=A196)&gt;0)*('Metraj Mahal Listesi'!$C$5:$C$504&lt;&gt;"")))</f>
        <v/>
      </c>
      <c r="F196" s="31">
        <f>IF(A196="","",SUMPRODUCT((('Metraj Mahal Listesi'!$A$5:$A$504=A196)+('Metraj Mahal Listesi'!$B$5:$B$504=A196)&gt;0)*('Metraj Mahal Listesi'!$C$5:$C$504&lt;&gt;"")*(LEFT('Metraj Mahal Listesi'!$C$5:$C$504,1)&lt;&gt;"—")*('Metraj Mahal Listesi'!$F$5:$F$504="")))</f>
        <v/>
      </c>
      <c r="G196" s="31">
        <f>IF(A196="","",SUMPRODUCT((('Metraj Mahal Listesi'!$A$5:$A$504=A196)+('Metraj Mahal Listesi'!$B$5:$B$504=A196)&gt;0)*('Metraj Mahal Listesi'!$F$5:$F$504&lt;&gt;"")*(LEFT('Metraj Mahal Listesi'!$C$5:$C$504,1)&lt;&gt;"—")*('Metraj Mahal Listesi'!$J$5:$J$504=0)))</f>
        <v/>
      </c>
      <c r="H196" s="5" t="n"/>
    </row>
    <row r="197">
      <c r="A197" s="5" t="n"/>
      <c r="B197" s="5" t="n"/>
      <c r="C197" s="21">
        <f>IF(A197="","",SUMPRODUCT((('Metraj Mahal Listesi'!$A$5:$A$504=A197)+('Metraj Mahal Listesi'!$B$5:$B$504=A197)&gt;0)*'Metraj Mahal Listesi'!$K$5:$K$504))</f>
        <v/>
      </c>
      <c r="D197" s="27">
        <f>IF(OR(A197="",'Metraj Mahal Listesi'!$K$3=0),"",C197/'Metraj Mahal Listesi'!$K$3*100)</f>
        <v/>
      </c>
      <c r="E197" s="31">
        <f>IF(A197="","",SUMPRODUCT((('Metraj Mahal Listesi'!$A$5:$A$504=A197)+('Metraj Mahal Listesi'!$B$5:$B$504=A197)&gt;0)*('Metraj Mahal Listesi'!$C$5:$C$504&lt;&gt;"")))</f>
        <v/>
      </c>
      <c r="F197" s="31">
        <f>IF(A197="","",SUMPRODUCT((('Metraj Mahal Listesi'!$A$5:$A$504=A197)+('Metraj Mahal Listesi'!$B$5:$B$504=A197)&gt;0)*('Metraj Mahal Listesi'!$C$5:$C$504&lt;&gt;"")*(LEFT('Metraj Mahal Listesi'!$C$5:$C$504,1)&lt;&gt;"—")*('Metraj Mahal Listesi'!$F$5:$F$504="")))</f>
        <v/>
      </c>
      <c r="G197" s="31">
        <f>IF(A197="","",SUMPRODUCT((('Metraj Mahal Listesi'!$A$5:$A$504=A197)+('Metraj Mahal Listesi'!$B$5:$B$504=A197)&gt;0)*('Metraj Mahal Listesi'!$F$5:$F$504&lt;&gt;"")*(LEFT('Metraj Mahal Listesi'!$C$5:$C$504,1)&lt;&gt;"—")*('Metraj Mahal Listesi'!$J$5:$J$504=0)))</f>
        <v/>
      </c>
      <c r="H197" s="5" t="n"/>
    </row>
    <row r="198">
      <c r="A198" s="5" t="n"/>
      <c r="B198" s="5" t="n"/>
      <c r="C198" s="21">
        <f>IF(A198="","",SUMPRODUCT((('Metraj Mahal Listesi'!$A$5:$A$504=A198)+('Metraj Mahal Listesi'!$B$5:$B$504=A198)&gt;0)*'Metraj Mahal Listesi'!$K$5:$K$504))</f>
        <v/>
      </c>
      <c r="D198" s="27">
        <f>IF(OR(A198="",'Metraj Mahal Listesi'!$K$3=0),"",C198/'Metraj Mahal Listesi'!$K$3*100)</f>
        <v/>
      </c>
      <c r="E198" s="31">
        <f>IF(A198="","",SUMPRODUCT((('Metraj Mahal Listesi'!$A$5:$A$504=A198)+('Metraj Mahal Listesi'!$B$5:$B$504=A198)&gt;0)*('Metraj Mahal Listesi'!$C$5:$C$504&lt;&gt;"")))</f>
        <v/>
      </c>
      <c r="F198" s="31">
        <f>IF(A198="","",SUMPRODUCT((('Metraj Mahal Listesi'!$A$5:$A$504=A198)+('Metraj Mahal Listesi'!$B$5:$B$504=A198)&gt;0)*('Metraj Mahal Listesi'!$C$5:$C$504&lt;&gt;"")*(LEFT('Metraj Mahal Listesi'!$C$5:$C$504,1)&lt;&gt;"—")*('Metraj Mahal Listesi'!$F$5:$F$504="")))</f>
        <v/>
      </c>
      <c r="G198" s="31">
        <f>IF(A198="","",SUMPRODUCT((('Metraj Mahal Listesi'!$A$5:$A$504=A198)+('Metraj Mahal Listesi'!$B$5:$B$504=A198)&gt;0)*('Metraj Mahal Listesi'!$F$5:$F$504&lt;&gt;"")*(LEFT('Metraj Mahal Listesi'!$C$5:$C$504,1)&lt;&gt;"—")*('Metraj Mahal Listesi'!$J$5:$J$504=0)))</f>
        <v/>
      </c>
      <c r="H198" s="5" t="n"/>
    </row>
    <row r="199">
      <c r="A199" s="5" t="n"/>
      <c r="B199" s="5" t="n"/>
      <c r="C199" s="21">
        <f>IF(A199="","",SUMPRODUCT((('Metraj Mahal Listesi'!$A$5:$A$504=A199)+('Metraj Mahal Listesi'!$B$5:$B$504=A199)&gt;0)*'Metraj Mahal Listesi'!$K$5:$K$504))</f>
        <v/>
      </c>
      <c r="D199" s="27">
        <f>IF(OR(A199="",'Metraj Mahal Listesi'!$K$3=0),"",C199/'Metraj Mahal Listesi'!$K$3*100)</f>
        <v/>
      </c>
      <c r="E199" s="31">
        <f>IF(A199="","",SUMPRODUCT((('Metraj Mahal Listesi'!$A$5:$A$504=A199)+('Metraj Mahal Listesi'!$B$5:$B$504=A199)&gt;0)*('Metraj Mahal Listesi'!$C$5:$C$504&lt;&gt;"")))</f>
        <v/>
      </c>
      <c r="F199" s="31">
        <f>IF(A199="","",SUMPRODUCT((('Metraj Mahal Listesi'!$A$5:$A$504=A199)+('Metraj Mahal Listesi'!$B$5:$B$504=A199)&gt;0)*('Metraj Mahal Listesi'!$C$5:$C$504&lt;&gt;"")*(LEFT('Metraj Mahal Listesi'!$C$5:$C$504,1)&lt;&gt;"—")*('Metraj Mahal Listesi'!$F$5:$F$504="")))</f>
        <v/>
      </c>
      <c r="G199" s="31">
        <f>IF(A199="","",SUMPRODUCT((('Metraj Mahal Listesi'!$A$5:$A$504=A199)+('Metraj Mahal Listesi'!$B$5:$B$504=A199)&gt;0)*('Metraj Mahal Listesi'!$F$5:$F$504&lt;&gt;"")*(LEFT('Metraj Mahal Listesi'!$C$5:$C$504,1)&lt;&gt;"—")*('Metraj Mahal Listesi'!$J$5:$J$504=0)))</f>
        <v/>
      </c>
      <c r="H199" s="5" t="n"/>
    </row>
    <row r="200">
      <c r="A200" s="5" t="n"/>
      <c r="B200" s="5" t="n"/>
      <c r="C200" s="21">
        <f>IF(A200="","",SUMPRODUCT((('Metraj Mahal Listesi'!$A$5:$A$504=A200)+('Metraj Mahal Listesi'!$B$5:$B$504=A200)&gt;0)*'Metraj Mahal Listesi'!$K$5:$K$504))</f>
        <v/>
      </c>
      <c r="D200" s="27">
        <f>IF(OR(A200="",'Metraj Mahal Listesi'!$K$3=0),"",C200/'Metraj Mahal Listesi'!$K$3*100)</f>
        <v/>
      </c>
      <c r="E200" s="31">
        <f>IF(A200="","",SUMPRODUCT((('Metraj Mahal Listesi'!$A$5:$A$504=A200)+('Metraj Mahal Listesi'!$B$5:$B$504=A200)&gt;0)*('Metraj Mahal Listesi'!$C$5:$C$504&lt;&gt;"")))</f>
        <v/>
      </c>
      <c r="F200" s="31">
        <f>IF(A200="","",SUMPRODUCT((('Metraj Mahal Listesi'!$A$5:$A$504=A200)+('Metraj Mahal Listesi'!$B$5:$B$504=A200)&gt;0)*('Metraj Mahal Listesi'!$C$5:$C$504&lt;&gt;"")*(LEFT('Metraj Mahal Listesi'!$C$5:$C$504,1)&lt;&gt;"—")*('Metraj Mahal Listesi'!$F$5:$F$504="")))</f>
        <v/>
      </c>
      <c r="G200" s="31">
        <f>IF(A200="","",SUMPRODUCT((('Metraj Mahal Listesi'!$A$5:$A$504=A200)+('Metraj Mahal Listesi'!$B$5:$B$504=A200)&gt;0)*('Metraj Mahal Listesi'!$F$5:$F$504&lt;&gt;"")*(LEFT('Metraj Mahal Listesi'!$C$5:$C$504,1)&lt;&gt;"—")*('Metraj Mahal Listesi'!$J$5:$J$504=0)))</f>
        <v/>
      </c>
      <c r="H200" s="5" t="n"/>
    </row>
    <row r="201">
      <c r="A201" s="5" t="n"/>
      <c r="B201" s="5" t="n"/>
      <c r="C201" s="21">
        <f>IF(A201="","",SUMPRODUCT((('Metraj Mahal Listesi'!$A$5:$A$504=A201)+('Metraj Mahal Listesi'!$B$5:$B$504=A201)&gt;0)*'Metraj Mahal Listesi'!$K$5:$K$504))</f>
        <v/>
      </c>
      <c r="D201" s="27">
        <f>IF(OR(A201="",'Metraj Mahal Listesi'!$K$3=0),"",C201/'Metraj Mahal Listesi'!$K$3*100)</f>
        <v/>
      </c>
      <c r="E201" s="31">
        <f>IF(A201="","",SUMPRODUCT((('Metraj Mahal Listesi'!$A$5:$A$504=A201)+('Metraj Mahal Listesi'!$B$5:$B$504=A201)&gt;0)*('Metraj Mahal Listesi'!$C$5:$C$504&lt;&gt;"")))</f>
        <v/>
      </c>
      <c r="F201" s="31">
        <f>IF(A201="","",SUMPRODUCT((('Metraj Mahal Listesi'!$A$5:$A$504=A201)+('Metraj Mahal Listesi'!$B$5:$B$504=A201)&gt;0)*('Metraj Mahal Listesi'!$C$5:$C$504&lt;&gt;"")*(LEFT('Metraj Mahal Listesi'!$C$5:$C$504,1)&lt;&gt;"—")*('Metraj Mahal Listesi'!$F$5:$F$504="")))</f>
        <v/>
      </c>
      <c r="G201" s="31">
        <f>IF(A201="","",SUMPRODUCT((('Metraj Mahal Listesi'!$A$5:$A$504=A201)+('Metraj Mahal Listesi'!$B$5:$B$504=A201)&gt;0)*('Metraj Mahal Listesi'!$F$5:$F$504&lt;&gt;"")*(LEFT('Metraj Mahal Listesi'!$C$5:$C$504,1)&lt;&gt;"—")*('Metraj Mahal Listesi'!$J$5:$J$504=0)))</f>
        <v/>
      </c>
      <c r="H201" s="5" t="n"/>
    </row>
    <row r="202">
      <c r="A202" s="5" t="n"/>
      <c r="B202" s="5" t="n"/>
      <c r="C202" s="21">
        <f>IF(A202="","",SUMPRODUCT((('Metraj Mahal Listesi'!$A$5:$A$504=A202)+('Metraj Mahal Listesi'!$B$5:$B$504=A202)&gt;0)*'Metraj Mahal Listesi'!$K$5:$K$504))</f>
        <v/>
      </c>
      <c r="D202" s="27">
        <f>IF(OR(A202="",'Metraj Mahal Listesi'!$K$3=0),"",C202/'Metraj Mahal Listesi'!$K$3*100)</f>
        <v/>
      </c>
      <c r="E202" s="31">
        <f>IF(A202="","",SUMPRODUCT((('Metraj Mahal Listesi'!$A$5:$A$504=A202)+('Metraj Mahal Listesi'!$B$5:$B$504=A202)&gt;0)*('Metraj Mahal Listesi'!$C$5:$C$504&lt;&gt;"")))</f>
        <v/>
      </c>
      <c r="F202" s="31">
        <f>IF(A202="","",SUMPRODUCT((('Metraj Mahal Listesi'!$A$5:$A$504=A202)+('Metraj Mahal Listesi'!$B$5:$B$504=A202)&gt;0)*('Metraj Mahal Listesi'!$C$5:$C$504&lt;&gt;"")*(LEFT('Metraj Mahal Listesi'!$C$5:$C$504,1)&lt;&gt;"—")*('Metraj Mahal Listesi'!$F$5:$F$504="")))</f>
        <v/>
      </c>
      <c r="G202" s="31">
        <f>IF(A202="","",SUMPRODUCT((('Metraj Mahal Listesi'!$A$5:$A$504=A202)+('Metraj Mahal Listesi'!$B$5:$B$504=A202)&gt;0)*('Metraj Mahal Listesi'!$F$5:$F$504&lt;&gt;"")*(LEFT('Metraj Mahal Listesi'!$C$5:$C$504,1)&lt;&gt;"—")*('Metraj Mahal Listesi'!$J$5:$J$504=0)))</f>
        <v/>
      </c>
      <c r="H202" s="5" t="n"/>
    </row>
    <row r="203">
      <c r="A203" s="5" t="n"/>
      <c r="B203" s="5" t="n"/>
      <c r="C203" s="21">
        <f>IF(A203="","",SUMPRODUCT((('Metraj Mahal Listesi'!$A$5:$A$504=A203)+('Metraj Mahal Listesi'!$B$5:$B$504=A203)&gt;0)*'Metraj Mahal Listesi'!$K$5:$K$504))</f>
        <v/>
      </c>
      <c r="D203" s="27">
        <f>IF(OR(A203="",'Metraj Mahal Listesi'!$K$3=0),"",C203/'Metraj Mahal Listesi'!$K$3*100)</f>
        <v/>
      </c>
      <c r="E203" s="31">
        <f>IF(A203="","",SUMPRODUCT((('Metraj Mahal Listesi'!$A$5:$A$504=A203)+('Metraj Mahal Listesi'!$B$5:$B$504=A203)&gt;0)*('Metraj Mahal Listesi'!$C$5:$C$504&lt;&gt;"")))</f>
        <v/>
      </c>
      <c r="F203" s="31">
        <f>IF(A203="","",SUMPRODUCT((('Metraj Mahal Listesi'!$A$5:$A$504=A203)+('Metraj Mahal Listesi'!$B$5:$B$504=A203)&gt;0)*('Metraj Mahal Listesi'!$C$5:$C$504&lt;&gt;"")*(LEFT('Metraj Mahal Listesi'!$C$5:$C$504,1)&lt;&gt;"—")*('Metraj Mahal Listesi'!$F$5:$F$504="")))</f>
        <v/>
      </c>
      <c r="G203" s="31">
        <f>IF(A203="","",SUMPRODUCT((('Metraj Mahal Listesi'!$A$5:$A$504=A203)+('Metraj Mahal Listesi'!$B$5:$B$504=A203)&gt;0)*('Metraj Mahal Listesi'!$F$5:$F$504&lt;&gt;"")*(LEFT('Metraj Mahal Listesi'!$C$5:$C$504,1)&lt;&gt;"—")*('Metraj Mahal Listesi'!$J$5:$J$504=0)))</f>
        <v/>
      </c>
      <c r="H203" s="5" t="n"/>
    </row>
    <row r="204">
      <c r="A204" s="5" t="n"/>
      <c r="B204" s="5" t="n"/>
      <c r="C204" s="21">
        <f>IF(A204="","",SUMPRODUCT((('Metraj Mahal Listesi'!$A$5:$A$504=A204)+('Metraj Mahal Listesi'!$B$5:$B$504=A204)&gt;0)*'Metraj Mahal Listesi'!$K$5:$K$504))</f>
        <v/>
      </c>
      <c r="D204" s="27">
        <f>IF(OR(A204="",'Metraj Mahal Listesi'!$K$3=0),"",C204/'Metraj Mahal Listesi'!$K$3*100)</f>
        <v/>
      </c>
      <c r="E204" s="31">
        <f>IF(A204="","",SUMPRODUCT((('Metraj Mahal Listesi'!$A$5:$A$504=A204)+('Metraj Mahal Listesi'!$B$5:$B$504=A204)&gt;0)*('Metraj Mahal Listesi'!$C$5:$C$504&lt;&gt;"")))</f>
        <v/>
      </c>
      <c r="F204" s="31">
        <f>IF(A204="","",SUMPRODUCT((('Metraj Mahal Listesi'!$A$5:$A$504=A204)+('Metraj Mahal Listesi'!$B$5:$B$504=A204)&gt;0)*('Metraj Mahal Listesi'!$C$5:$C$504&lt;&gt;"")*(LEFT('Metraj Mahal Listesi'!$C$5:$C$504,1)&lt;&gt;"—")*('Metraj Mahal Listesi'!$F$5:$F$504="")))</f>
        <v/>
      </c>
      <c r="G204" s="31">
        <f>IF(A204="","",SUMPRODUCT((('Metraj Mahal Listesi'!$A$5:$A$504=A204)+('Metraj Mahal Listesi'!$B$5:$B$504=A204)&gt;0)*('Metraj Mahal Listesi'!$F$5:$F$504&lt;&gt;"")*(LEFT('Metraj Mahal Listesi'!$C$5:$C$504,1)&lt;&gt;"—")*('Metraj Mahal Listesi'!$J$5:$J$504=0)))</f>
        <v/>
      </c>
      <c r="H204" s="5" t="n"/>
    </row>
    <row r="205">
      <c r="A205" s="5" t="n"/>
      <c r="B205" s="5" t="n"/>
      <c r="C205" s="21">
        <f>IF(A205="","",SUMPRODUCT((('Metraj Mahal Listesi'!$A$5:$A$504=A205)+('Metraj Mahal Listesi'!$B$5:$B$504=A205)&gt;0)*'Metraj Mahal Listesi'!$K$5:$K$504))</f>
        <v/>
      </c>
      <c r="D205" s="27">
        <f>IF(OR(A205="",'Metraj Mahal Listesi'!$K$3=0),"",C205/'Metraj Mahal Listesi'!$K$3*100)</f>
        <v/>
      </c>
      <c r="E205" s="31">
        <f>IF(A205="","",SUMPRODUCT((('Metraj Mahal Listesi'!$A$5:$A$504=A205)+('Metraj Mahal Listesi'!$B$5:$B$504=A205)&gt;0)*('Metraj Mahal Listesi'!$C$5:$C$504&lt;&gt;"")))</f>
        <v/>
      </c>
      <c r="F205" s="31">
        <f>IF(A205="","",SUMPRODUCT((('Metraj Mahal Listesi'!$A$5:$A$504=A205)+('Metraj Mahal Listesi'!$B$5:$B$504=A205)&gt;0)*('Metraj Mahal Listesi'!$C$5:$C$504&lt;&gt;"")*(LEFT('Metraj Mahal Listesi'!$C$5:$C$504,1)&lt;&gt;"—")*('Metraj Mahal Listesi'!$F$5:$F$504="")))</f>
        <v/>
      </c>
      <c r="G205" s="31">
        <f>IF(A205="","",SUMPRODUCT((('Metraj Mahal Listesi'!$A$5:$A$504=A205)+('Metraj Mahal Listesi'!$B$5:$B$504=A205)&gt;0)*('Metraj Mahal Listesi'!$F$5:$F$504&lt;&gt;"")*(LEFT('Metraj Mahal Listesi'!$C$5:$C$504,1)&lt;&gt;"—")*('Metraj Mahal Listesi'!$J$5:$J$504=0)))</f>
        <v/>
      </c>
      <c r="H205" s="5" t="n"/>
    </row>
    <row r="206">
      <c r="A206" s="5" t="n"/>
      <c r="B206" s="5" t="n"/>
      <c r="C206" s="21">
        <f>IF(A206="","",SUMPRODUCT((('Metraj Mahal Listesi'!$A$5:$A$504=A206)+('Metraj Mahal Listesi'!$B$5:$B$504=A206)&gt;0)*'Metraj Mahal Listesi'!$K$5:$K$504))</f>
        <v/>
      </c>
      <c r="D206" s="27">
        <f>IF(OR(A206="",'Metraj Mahal Listesi'!$K$3=0),"",C206/'Metraj Mahal Listesi'!$K$3*100)</f>
        <v/>
      </c>
      <c r="E206" s="31">
        <f>IF(A206="","",SUMPRODUCT((('Metraj Mahal Listesi'!$A$5:$A$504=A206)+('Metraj Mahal Listesi'!$B$5:$B$504=A206)&gt;0)*('Metraj Mahal Listesi'!$C$5:$C$504&lt;&gt;"")))</f>
        <v/>
      </c>
      <c r="F206" s="31">
        <f>IF(A206="","",SUMPRODUCT((('Metraj Mahal Listesi'!$A$5:$A$504=A206)+('Metraj Mahal Listesi'!$B$5:$B$504=A206)&gt;0)*('Metraj Mahal Listesi'!$C$5:$C$504&lt;&gt;"")*(LEFT('Metraj Mahal Listesi'!$C$5:$C$504,1)&lt;&gt;"—")*('Metraj Mahal Listesi'!$F$5:$F$504="")))</f>
        <v/>
      </c>
      <c r="G206" s="31">
        <f>IF(A206="","",SUMPRODUCT((('Metraj Mahal Listesi'!$A$5:$A$504=A206)+('Metraj Mahal Listesi'!$B$5:$B$504=A206)&gt;0)*('Metraj Mahal Listesi'!$F$5:$F$504&lt;&gt;"")*(LEFT('Metraj Mahal Listesi'!$C$5:$C$504,1)&lt;&gt;"—")*('Metraj Mahal Listesi'!$J$5:$J$504=0)))</f>
        <v/>
      </c>
      <c r="H206" s="5" t="n"/>
    </row>
    <row r="207">
      <c r="A207" s="5" t="n"/>
      <c r="B207" s="5" t="n"/>
      <c r="C207" s="21">
        <f>IF(A207="","",SUMPRODUCT((('Metraj Mahal Listesi'!$A$5:$A$504=A207)+('Metraj Mahal Listesi'!$B$5:$B$504=A207)&gt;0)*'Metraj Mahal Listesi'!$K$5:$K$504))</f>
        <v/>
      </c>
      <c r="D207" s="27">
        <f>IF(OR(A207="",'Metraj Mahal Listesi'!$K$3=0),"",C207/'Metraj Mahal Listesi'!$K$3*100)</f>
        <v/>
      </c>
      <c r="E207" s="31">
        <f>IF(A207="","",SUMPRODUCT((('Metraj Mahal Listesi'!$A$5:$A$504=A207)+('Metraj Mahal Listesi'!$B$5:$B$504=A207)&gt;0)*('Metraj Mahal Listesi'!$C$5:$C$504&lt;&gt;"")))</f>
        <v/>
      </c>
      <c r="F207" s="31">
        <f>IF(A207="","",SUMPRODUCT((('Metraj Mahal Listesi'!$A$5:$A$504=A207)+('Metraj Mahal Listesi'!$B$5:$B$504=A207)&gt;0)*('Metraj Mahal Listesi'!$C$5:$C$504&lt;&gt;"")*(LEFT('Metraj Mahal Listesi'!$C$5:$C$504,1)&lt;&gt;"—")*('Metraj Mahal Listesi'!$F$5:$F$504="")))</f>
        <v/>
      </c>
      <c r="G207" s="31">
        <f>IF(A207="","",SUMPRODUCT((('Metraj Mahal Listesi'!$A$5:$A$504=A207)+('Metraj Mahal Listesi'!$B$5:$B$504=A207)&gt;0)*('Metraj Mahal Listesi'!$F$5:$F$504&lt;&gt;"")*(LEFT('Metraj Mahal Listesi'!$C$5:$C$504,1)&lt;&gt;"—")*('Metraj Mahal Listesi'!$J$5:$J$504=0)))</f>
        <v/>
      </c>
      <c r="H207" s="5" t="n"/>
    </row>
    <row r="208">
      <c r="A208" s="5" t="n"/>
      <c r="B208" s="5" t="n"/>
      <c r="C208" s="21">
        <f>IF(A208="","",SUMPRODUCT((('Metraj Mahal Listesi'!$A$5:$A$504=A208)+('Metraj Mahal Listesi'!$B$5:$B$504=A208)&gt;0)*'Metraj Mahal Listesi'!$K$5:$K$504))</f>
        <v/>
      </c>
      <c r="D208" s="27">
        <f>IF(OR(A208="",'Metraj Mahal Listesi'!$K$3=0),"",C208/'Metraj Mahal Listesi'!$K$3*100)</f>
        <v/>
      </c>
      <c r="E208" s="31">
        <f>IF(A208="","",SUMPRODUCT((('Metraj Mahal Listesi'!$A$5:$A$504=A208)+('Metraj Mahal Listesi'!$B$5:$B$504=A208)&gt;0)*('Metraj Mahal Listesi'!$C$5:$C$504&lt;&gt;"")))</f>
        <v/>
      </c>
      <c r="F208" s="31">
        <f>IF(A208="","",SUMPRODUCT((('Metraj Mahal Listesi'!$A$5:$A$504=A208)+('Metraj Mahal Listesi'!$B$5:$B$504=A208)&gt;0)*('Metraj Mahal Listesi'!$C$5:$C$504&lt;&gt;"")*(LEFT('Metraj Mahal Listesi'!$C$5:$C$504,1)&lt;&gt;"—")*('Metraj Mahal Listesi'!$F$5:$F$504="")))</f>
        <v/>
      </c>
      <c r="G208" s="31">
        <f>IF(A208="","",SUMPRODUCT((('Metraj Mahal Listesi'!$A$5:$A$504=A208)+('Metraj Mahal Listesi'!$B$5:$B$504=A208)&gt;0)*('Metraj Mahal Listesi'!$F$5:$F$504&lt;&gt;"")*(LEFT('Metraj Mahal Listesi'!$C$5:$C$504,1)&lt;&gt;"—")*('Metraj Mahal Listesi'!$J$5:$J$504=0)))</f>
        <v/>
      </c>
      <c r="H208" s="5" t="n"/>
    </row>
    <row r="209">
      <c r="A209" s="5" t="n"/>
      <c r="B209" s="5" t="n"/>
      <c r="C209" s="21">
        <f>IF(A209="","",SUMPRODUCT((('Metraj Mahal Listesi'!$A$5:$A$504=A209)+('Metraj Mahal Listesi'!$B$5:$B$504=A209)&gt;0)*'Metraj Mahal Listesi'!$K$5:$K$504))</f>
        <v/>
      </c>
      <c r="D209" s="27">
        <f>IF(OR(A209="",'Metraj Mahal Listesi'!$K$3=0),"",C209/'Metraj Mahal Listesi'!$K$3*100)</f>
        <v/>
      </c>
      <c r="E209" s="31">
        <f>IF(A209="","",SUMPRODUCT((('Metraj Mahal Listesi'!$A$5:$A$504=A209)+('Metraj Mahal Listesi'!$B$5:$B$504=A209)&gt;0)*('Metraj Mahal Listesi'!$C$5:$C$504&lt;&gt;"")))</f>
        <v/>
      </c>
      <c r="F209" s="31">
        <f>IF(A209="","",SUMPRODUCT((('Metraj Mahal Listesi'!$A$5:$A$504=A209)+('Metraj Mahal Listesi'!$B$5:$B$504=A209)&gt;0)*('Metraj Mahal Listesi'!$C$5:$C$504&lt;&gt;"")*(LEFT('Metraj Mahal Listesi'!$C$5:$C$504,1)&lt;&gt;"—")*('Metraj Mahal Listesi'!$F$5:$F$504="")))</f>
        <v/>
      </c>
      <c r="G209" s="31">
        <f>IF(A209="","",SUMPRODUCT((('Metraj Mahal Listesi'!$A$5:$A$504=A209)+('Metraj Mahal Listesi'!$B$5:$B$504=A209)&gt;0)*('Metraj Mahal Listesi'!$F$5:$F$504&lt;&gt;"")*(LEFT('Metraj Mahal Listesi'!$C$5:$C$504,1)&lt;&gt;"—")*('Metraj Mahal Listesi'!$J$5:$J$504=0)))</f>
        <v/>
      </c>
      <c r="H209" s="5" t="n"/>
    </row>
    <row r="210">
      <c r="A210" s="5" t="n"/>
      <c r="B210" s="5" t="n"/>
      <c r="C210" s="21">
        <f>IF(A210="","",SUMPRODUCT((('Metraj Mahal Listesi'!$A$5:$A$504=A210)+('Metraj Mahal Listesi'!$B$5:$B$504=A210)&gt;0)*'Metraj Mahal Listesi'!$K$5:$K$504))</f>
        <v/>
      </c>
      <c r="D210" s="27">
        <f>IF(OR(A210="",'Metraj Mahal Listesi'!$K$3=0),"",C210/'Metraj Mahal Listesi'!$K$3*100)</f>
        <v/>
      </c>
      <c r="E210" s="31">
        <f>IF(A210="","",SUMPRODUCT((('Metraj Mahal Listesi'!$A$5:$A$504=A210)+('Metraj Mahal Listesi'!$B$5:$B$504=A210)&gt;0)*('Metraj Mahal Listesi'!$C$5:$C$504&lt;&gt;"")))</f>
        <v/>
      </c>
      <c r="F210" s="31">
        <f>IF(A210="","",SUMPRODUCT((('Metraj Mahal Listesi'!$A$5:$A$504=A210)+('Metraj Mahal Listesi'!$B$5:$B$504=A210)&gt;0)*('Metraj Mahal Listesi'!$C$5:$C$504&lt;&gt;"")*(LEFT('Metraj Mahal Listesi'!$C$5:$C$504,1)&lt;&gt;"—")*('Metraj Mahal Listesi'!$F$5:$F$504="")))</f>
        <v/>
      </c>
      <c r="G210" s="31">
        <f>IF(A210="","",SUMPRODUCT((('Metraj Mahal Listesi'!$A$5:$A$504=A210)+('Metraj Mahal Listesi'!$B$5:$B$504=A210)&gt;0)*('Metraj Mahal Listesi'!$F$5:$F$504&lt;&gt;"")*(LEFT('Metraj Mahal Listesi'!$C$5:$C$504,1)&lt;&gt;"—")*('Metraj Mahal Listesi'!$J$5:$J$504=0)))</f>
        <v/>
      </c>
      <c r="H210" s="5" t="n"/>
    </row>
    <row r="211">
      <c r="A211" s="5" t="n"/>
      <c r="B211" s="5" t="n"/>
      <c r="C211" s="21">
        <f>IF(A211="","",SUMPRODUCT((('Metraj Mahal Listesi'!$A$5:$A$504=A211)+('Metraj Mahal Listesi'!$B$5:$B$504=A211)&gt;0)*'Metraj Mahal Listesi'!$K$5:$K$504))</f>
        <v/>
      </c>
      <c r="D211" s="27">
        <f>IF(OR(A211="",'Metraj Mahal Listesi'!$K$3=0),"",C211/'Metraj Mahal Listesi'!$K$3*100)</f>
        <v/>
      </c>
      <c r="E211" s="31">
        <f>IF(A211="","",SUMPRODUCT((('Metraj Mahal Listesi'!$A$5:$A$504=A211)+('Metraj Mahal Listesi'!$B$5:$B$504=A211)&gt;0)*('Metraj Mahal Listesi'!$C$5:$C$504&lt;&gt;"")))</f>
        <v/>
      </c>
      <c r="F211" s="31">
        <f>IF(A211="","",SUMPRODUCT((('Metraj Mahal Listesi'!$A$5:$A$504=A211)+('Metraj Mahal Listesi'!$B$5:$B$504=A211)&gt;0)*('Metraj Mahal Listesi'!$C$5:$C$504&lt;&gt;"")*(LEFT('Metraj Mahal Listesi'!$C$5:$C$504,1)&lt;&gt;"—")*('Metraj Mahal Listesi'!$F$5:$F$504="")))</f>
        <v/>
      </c>
      <c r="G211" s="31">
        <f>IF(A211="","",SUMPRODUCT((('Metraj Mahal Listesi'!$A$5:$A$504=A211)+('Metraj Mahal Listesi'!$B$5:$B$504=A211)&gt;0)*('Metraj Mahal Listesi'!$F$5:$F$504&lt;&gt;"")*(LEFT('Metraj Mahal Listesi'!$C$5:$C$504,1)&lt;&gt;"—")*('Metraj Mahal Listesi'!$J$5:$J$504=0)))</f>
        <v/>
      </c>
      <c r="H211" s="5" t="n"/>
    </row>
    <row r="212">
      <c r="A212" s="5" t="n"/>
      <c r="B212" s="5" t="n"/>
      <c r="C212" s="21">
        <f>IF(A212="","",SUMPRODUCT((('Metraj Mahal Listesi'!$A$5:$A$504=A212)+('Metraj Mahal Listesi'!$B$5:$B$504=A212)&gt;0)*'Metraj Mahal Listesi'!$K$5:$K$504))</f>
        <v/>
      </c>
      <c r="D212" s="27">
        <f>IF(OR(A212="",'Metraj Mahal Listesi'!$K$3=0),"",C212/'Metraj Mahal Listesi'!$K$3*100)</f>
        <v/>
      </c>
      <c r="E212" s="31">
        <f>IF(A212="","",SUMPRODUCT((('Metraj Mahal Listesi'!$A$5:$A$504=A212)+('Metraj Mahal Listesi'!$B$5:$B$504=A212)&gt;0)*('Metraj Mahal Listesi'!$C$5:$C$504&lt;&gt;"")))</f>
        <v/>
      </c>
      <c r="F212" s="31">
        <f>IF(A212="","",SUMPRODUCT((('Metraj Mahal Listesi'!$A$5:$A$504=A212)+('Metraj Mahal Listesi'!$B$5:$B$504=A212)&gt;0)*('Metraj Mahal Listesi'!$C$5:$C$504&lt;&gt;"")*(LEFT('Metraj Mahal Listesi'!$C$5:$C$504,1)&lt;&gt;"—")*('Metraj Mahal Listesi'!$F$5:$F$504="")))</f>
        <v/>
      </c>
      <c r="G212" s="31">
        <f>IF(A212="","",SUMPRODUCT((('Metraj Mahal Listesi'!$A$5:$A$504=A212)+('Metraj Mahal Listesi'!$B$5:$B$504=A212)&gt;0)*('Metraj Mahal Listesi'!$F$5:$F$504&lt;&gt;"")*(LEFT('Metraj Mahal Listesi'!$C$5:$C$504,1)&lt;&gt;"—")*('Metraj Mahal Listesi'!$J$5:$J$504=0)))</f>
        <v/>
      </c>
      <c r="H212" s="5" t="n"/>
    </row>
    <row r="213">
      <c r="A213" s="5" t="n"/>
      <c r="B213" s="5" t="n"/>
      <c r="C213" s="21">
        <f>IF(A213="","",SUMPRODUCT((('Metraj Mahal Listesi'!$A$5:$A$504=A213)+('Metraj Mahal Listesi'!$B$5:$B$504=A213)&gt;0)*'Metraj Mahal Listesi'!$K$5:$K$504))</f>
        <v/>
      </c>
      <c r="D213" s="27">
        <f>IF(OR(A213="",'Metraj Mahal Listesi'!$K$3=0),"",C213/'Metraj Mahal Listesi'!$K$3*100)</f>
        <v/>
      </c>
      <c r="E213" s="31">
        <f>IF(A213="","",SUMPRODUCT((('Metraj Mahal Listesi'!$A$5:$A$504=A213)+('Metraj Mahal Listesi'!$B$5:$B$504=A213)&gt;0)*('Metraj Mahal Listesi'!$C$5:$C$504&lt;&gt;"")))</f>
        <v/>
      </c>
      <c r="F213" s="31">
        <f>IF(A213="","",SUMPRODUCT((('Metraj Mahal Listesi'!$A$5:$A$504=A213)+('Metraj Mahal Listesi'!$B$5:$B$504=A213)&gt;0)*('Metraj Mahal Listesi'!$C$5:$C$504&lt;&gt;"")*(LEFT('Metraj Mahal Listesi'!$C$5:$C$504,1)&lt;&gt;"—")*('Metraj Mahal Listesi'!$F$5:$F$504="")))</f>
        <v/>
      </c>
      <c r="G213" s="31">
        <f>IF(A213="","",SUMPRODUCT((('Metraj Mahal Listesi'!$A$5:$A$504=A213)+('Metraj Mahal Listesi'!$B$5:$B$504=A213)&gt;0)*('Metraj Mahal Listesi'!$F$5:$F$504&lt;&gt;"")*(LEFT('Metraj Mahal Listesi'!$C$5:$C$504,1)&lt;&gt;"—")*('Metraj Mahal Listesi'!$J$5:$J$504=0)))</f>
        <v/>
      </c>
      <c r="H213" s="5" t="n"/>
    </row>
    <row r="214">
      <c r="A214" s="5" t="n"/>
      <c r="B214" s="5" t="n"/>
      <c r="C214" s="21">
        <f>IF(A214="","",SUMPRODUCT((('Metraj Mahal Listesi'!$A$5:$A$504=A214)+('Metraj Mahal Listesi'!$B$5:$B$504=A214)&gt;0)*'Metraj Mahal Listesi'!$K$5:$K$504))</f>
        <v/>
      </c>
      <c r="D214" s="27">
        <f>IF(OR(A214="",'Metraj Mahal Listesi'!$K$3=0),"",C214/'Metraj Mahal Listesi'!$K$3*100)</f>
        <v/>
      </c>
      <c r="E214" s="31">
        <f>IF(A214="","",SUMPRODUCT((('Metraj Mahal Listesi'!$A$5:$A$504=A214)+('Metraj Mahal Listesi'!$B$5:$B$504=A214)&gt;0)*('Metraj Mahal Listesi'!$C$5:$C$504&lt;&gt;"")))</f>
        <v/>
      </c>
      <c r="F214" s="31">
        <f>IF(A214="","",SUMPRODUCT((('Metraj Mahal Listesi'!$A$5:$A$504=A214)+('Metraj Mahal Listesi'!$B$5:$B$504=A214)&gt;0)*('Metraj Mahal Listesi'!$C$5:$C$504&lt;&gt;"")*(LEFT('Metraj Mahal Listesi'!$C$5:$C$504,1)&lt;&gt;"—")*('Metraj Mahal Listesi'!$F$5:$F$504="")))</f>
        <v/>
      </c>
      <c r="G214" s="31">
        <f>IF(A214="","",SUMPRODUCT((('Metraj Mahal Listesi'!$A$5:$A$504=A214)+('Metraj Mahal Listesi'!$B$5:$B$504=A214)&gt;0)*('Metraj Mahal Listesi'!$F$5:$F$504&lt;&gt;"")*(LEFT('Metraj Mahal Listesi'!$C$5:$C$504,1)&lt;&gt;"—")*('Metraj Mahal Listesi'!$J$5:$J$504=0)))</f>
        <v/>
      </c>
      <c r="H214" s="5" t="n"/>
    </row>
    <row r="215">
      <c r="A215" s="5" t="n"/>
      <c r="B215" s="5" t="n"/>
      <c r="C215" s="21">
        <f>IF(A215="","",SUMPRODUCT((('Metraj Mahal Listesi'!$A$5:$A$504=A215)+('Metraj Mahal Listesi'!$B$5:$B$504=A215)&gt;0)*'Metraj Mahal Listesi'!$K$5:$K$504))</f>
        <v/>
      </c>
      <c r="D215" s="27">
        <f>IF(OR(A215="",'Metraj Mahal Listesi'!$K$3=0),"",C215/'Metraj Mahal Listesi'!$K$3*100)</f>
        <v/>
      </c>
      <c r="E215" s="31">
        <f>IF(A215="","",SUMPRODUCT((('Metraj Mahal Listesi'!$A$5:$A$504=A215)+('Metraj Mahal Listesi'!$B$5:$B$504=A215)&gt;0)*('Metraj Mahal Listesi'!$C$5:$C$504&lt;&gt;"")))</f>
        <v/>
      </c>
      <c r="F215" s="31">
        <f>IF(A215="","",SUMPRODUCT((('Metraj Mahal Listesi'!$A$5:$A$504=A215)+('Metraj Mahal Listesi'!$B$5:$B$504=A215)&gt;0)*('Metraj Mahal Listesi'!$C$5:$C$504&lt;&gt;"")*(LEFT('Metraj Mahal Listesi'!$C$5:$C$504,1)&lt;&gt;"—")*('Metraj Mahal Listesi'!$F$5:$F$504="")))</f>
        <v/>
      </c>
      <c r="G215" s="31">
        <f>IF(A215="","",SUMPRODUCT((('Metraj Mahal Listesi'!$A$5:$A$504=A215)+('Metraj Mahal Listesi'!$B$5:$B$504=A215)&gt;0)*('Metraj Mahal Listesi'!$F$5:$F$504&lt;&gt;"")*(LEFT('Metraj Mahal Listesi'!$C$5:$C$504,1)&lt;&gt;"—")*('Metraj Mahal Listesi'!$J$5:$J$504=0)))</f>
        <v/>
      </c>
      <c r="H215" s="5" t="n"/>
    </row>
    <row r="216">
      <c r="A216" s="5" t="n"/>
      <c r="B216" s="5" t="n"/>
      <c r="C216" s="21">
        <f>IF(A216="","",SUMPRODUCT((('Metraj Mahal Listesi'!$A$5:$A$504=A216)+('Metraj Mahal Listesi'!$B$5:$B$504=A216)&gt;0)*'Metraj Mahal Listesi'!$K$5:$K$504))</f>
        <v/>
      </c>
      <c r="D216" s="27">
        <f>IF(OR(A216="",'Metraj Mahal Listesi'!$K$3=0),"",C216/'Metraj Mahal Listesi'!$K$3*100)</f>
        <v/>
      </c>
      <c r="E216" s="31">
        <f>IF(A216="","",SUMPRODUCT((('Metraj Mahal Listesi'!$A$5:$A$504=A216)+('Metraj Mahal Listesi'!$B$5:$B$504=A216)&gt;0)*('Metraj Mahal Listesi'!$C$5:$C$504&lt;&gt;"")))</f>
        <v/>
      </c>
      <c r="F216" s="31">
        <f>IF(A216="","",SUMPRODUCT((('Metraj Mahal Listesi'!$A$5:$A$504=A216)+('Metraj Mahal Listesi'!$B$5:$B$504=A216)&gt;0)*('Metraj Mahal Listesi'!$C$5:$C$504&lt;&gt;"")*(LEFT('Metraj Mahal Listesi'!$C$5:$C$504,1)&lt;&gt;"—")*('Metraj Mahal Listesi'!$F$5:$F$504="")))</f>
        <v/>
      </c>
      <c r="G216" s="31">
        <f>IF(A216="","",SUMPRODUCT((('Metraj Mahal Listesi'!$A$5:$A$504=A216)+('Metraj Mahal Listesi'!$B$5:$B$504=A216)&gt;0)*('Metraj Mahal Listesi'!$F$5:$F$504&lt;&gt;"")*(LEFT('Metraj Mahal Listesi'!$C$5:$C$504,1)&lt;&gt;"—")*('Metraj Mahal Listesi'!$J$5:$J$504=0)))</f>
        <v/>
      </c>
      <c r="H216" s="5" t="n"/>
    </row>
    <row r="217">
      <c r="A217" s="5" t="n"/>
      <c r="B217" s="5" t="n"/>
      <c r="C217" s="21">
        <f>IF(A217="","",SUMPRODUCT((('Metraj Mahal Listesi'!$A$5:$A$504=A217)+('Metraj Mahal Listesi'!$B$5:$B$504=A217)&gt;0)*'Metraj Mahal Listesi'!$K$5:$K$504))</f>
        <v/>
      </c>
      <c r="D217" s="27">
        <f>IF(OR(A217="",'Metraj Mahal Listesi'!$K$3=0),"",C217/'Metraj Mahal Listesi'!$K$3*100)</f>
        <v/>
      </c>
      <c r="E217" s="31">
        <f>IF(A217="","",SUMPRODUCT((('Metraj Mahal Listesi'!$A$5:$A$504=A217)+('Metraj Mahal Listesi'!$B$5:$B$504=A217)&gt;0)*('Metraj Mahal Listesi'!$C$5:$C$504&lt;&gt;"")))</f>
        <v/>
      </c>
      <c r="F217" s="31">
        <f>IF(A217="","",SUMPRODUCT((('Metraj Mahal Listesi'!$A$5:$A$504=A217)+('Metraj Mahal Listesi'!$B$5:$B$504=A217)&gt;0)*('Metraj Mahal Listesi'!$C$5:$C$504&lt;&gt;"")*(LEFT('Metraj Mahal Listesi'!$C$5:$C$504,1)&lt;&gt;"—")*('Metraj Mahal Listesi'!$F$5:$F$504="")))</f>
        <v/>
      </c>
      <c r="G217" s="31">
        <f>IF(A217="","",SUMPRODUCT((('Metraj Mahal Listesi'!$A$5:$A$504=A217)+('Metraj Mahal Listesi'!$B$5:$B$504=A217)&gt;0)*('Metraj Mahal Listesi'!$F$5:$F$504&lt;&gt;"")*(LEFT('Metraj Mahal Listesi'!$C$5:$C$504,1)&lt;&gt;"—")*('Metraj Mahal Listesi'!$J$5:$J$504=0)))</f>
        <v/>
      </c>
      <c r="H217" s="5" t="n"/>
    </row>
    <row r="218">
      <c r="A218" s="5" t="n"/>
      <c r="B218" s="5" t="n"/>
      <c r="C218" s="21">
        <f>IF(A218="","",SUMPRODUCT((('Metraj Mahal Listesi'!$A$5:$A$504=A218)+('Metraj Mahal Listesi'!$B$5:$B$504=A218)&gt;0)*'Metraj Mahal Listesi'!$K$5:$K$504))</f>
        <v/>
      </c>
      <c r="D218" s="27">
        <f>IF(OR(A218="",'Metraj Mahal Listesi'!$K$3=0),"",C218/'Metraj Mahal Listesi'!$K$3*100)</f>
        <v/>
      </c>
      <c r="E218" s="31">
        <f>IF(A218="","",SUMPRODUCT((('Metraj Mahal Listesi'!$A$5:$A$504=A218)+('Metraj Mahal Listesi'!$B$5:$B$504=A218)&gt;0)*('Metraj Mahal Listesi'!$C$5:$C$504&lt;&gt;"")))</f>
        <v/>
      </c>
      <c r="F218" s="31">
        <f>IF(A218="","",SUMPRODUCT((('Metraj Mahal Listesi'!$A$5:$A$504=A218)+('Metraj Mahal Listesi'!$B$5:$B$504=A218)&gt;0)*('Metraj Mahal Listesi'!$C$5:$C$504&lt;&gt;"")*(LEFT('Metraj Mahal Listesi'!$C$5:$C$504,1)&lt;&gt;"—")*('Metraj Mahal Listesi'!$F$5:$F$504="")))</f>
        <v/>
      </c>
      <c r="G218" s="31">
        <f>IF(A218="","",SUMPRODUCT((('Metraj Mahal Listesi'!$A$5:$A$504=A218)+('Metraj Mahal Listesi'!$B$5:$B$504=A218)&gt;0)*('Metraj Mahal Listesi'!$F$5:$F$504&lt;&gt;"")*(LEFT('Metraj Mahal Listesi'!$C$5:$C$504,1)&lt;&gt;"—")*('Metraj Mahal Listesi'!$J$5:$J$504=0)))</f>
        <v/>
      </c>
      <c r="H218" s="5" t="n"/>
    </row>
    <row r="219">
      <c r="A219" s="5" t="n"/>
      <c r="B219" s="5" t="n"/>
      <c r="C219" s="21">
        <f>IF(A219="","",SUMPRODUCT((('Metraj Mahal Listesi'!$A$5:$A$504=A219)+('Metraj Mahal Listesi'!$B$5:$B$504=A219)&gt;0)*'Metraj Mahal Listesi'!$K$5:$K$504))</f>
        <v/>
      </c>
      <c r="D219" s="27">
        <f>IF(OR(A219="",'Metraj Mahal Listesi'!$K$3=0),"",C219/'Metraj Mahal Listesi'!$K$3*100)</f>
        <v/>
      </c>
      <c r="E219" s="31">
        <f>IF(A219="","",SUMPRODUCT((('Metraj Mahal Listesi'!$A$5:$A$504=A219)+('Metraj Mahal Listesi'!$B$5:$B$504=A219)&gt;0)*('Metraj Mahal Listesi'!$C$5:$C$504&lt;&gt;"")))</f>
        <v/>
      </c>
      <c r="F219" s="31">
        <f>IF(A219="","",SUMPRODUCT((('Metraj Mahal Listesi'!$A$5:$A$504=A219)+('Metraj Mahal Listesi'!$B$5:$B$504=A219)&gt;0)*('Metraj Mahal Listesi'!$C$5:$C$504&lt;&gt;"")*(LEFT('Metraj Mahal Listesi'!$C$5:$C$504,1)&lt;&gt;"—")*('Metraj Mahal Listesi'!$F$5:$F$504="")))</f>
        <v/>
      </c>
      <c r="G219" s="31">
        <f>IF(A219="","",SUMPRODUCT((('Metraj Mahal Listesi'!$A$5:$A$504=A219)+('Metraj Mahal Listesi'!$B$5:$B$504=A219)&gt;0)*('Metraj Mahal Listesi'!$F$5:$F$504&lt;&gt;"")*(LEFT('Metraj Mahal Listesi'!$C$5:$C$504,1)&lt;&gt;"—")*('Metraj Mahal Listesi'!$J$5:$J$504=0)))</f>
        <v/>
      </c>
      <c r="H219" s="5" t="n"/>
    </row>
    <row r="220">
      <c r="A220" s="5" t="n"/>
      <c r="B220" s="5" t="n"/>
      <c r="C220" s="21">
        <f>IF(A220="","",SUMPRODUCT((('Metraj Mahal Listesi'!$A$5:$A$504=A220)+('Metraj Mahal Listesi'!$B$5:$B$504=A220)&gt;0)*'Metraj Mahal Listesi'!$K$5:$K$504))</f>
        <v/>
      </c>
      <c r="D220" s="27">
        <f>IF(OR(A220="",'Metraj Mahal Listesi'!$K$3=0),"",C220/'Metraj Mahal Listesi'!$K$3*100)</f>
        <v/>
      </c>
      <c r="E220" s="31">
        <f>IF(A220="","",SUMPRODUCT((('Metraj Mahal Listesi'!$A$5:$A$504=A220)+('Metraj Mahal Listesi'!$B$5:$B$504=A220)&gt;0)*('Metraj Mahal Listesi'!$C$5:$C$504&lt;&gt;"")))</f>
        <v/>
      </c>
      <c r="F220" s="31">
        <f>IF(A220="","",SUMPRODUCT((('Metraj Mahal Listesi'!$A$5:$A$504=A220)+('Metraj Mahal Listesi'!$B$5:$B$504=A220)&gt;0)*('Metraj Mahal Listesi'!$C$5:$C$504&lt;&gt;"")*(LEFT('Metraj Mahal Listesi'!$C$5:$C$504,1)&lt;&gt;"—")*('Metraj Mahal Listesi'!$F$5:$F$504="")))</f>
        <v/>
      </c>
      <c r="G220" s="31">
        <f>IF(A220="","",SUMPRODUCT((('Metraj Mahal Listesi'!$A$5:$A$504=A220)+('Metraj Mahal Listesi'!$B$5:$B$504=A220)&gt;0)*('Metraj Mahal Listesi'!$F$5:$F$504&lt;&gt;"")*(LEFT('Metraj Mahal Listesi'!$C$5:$C$504,1)&lt;&gt;"—")*('Metraj Mahal Listesi'!$J$5:$J$504=0)))</f>
        <v/>
      </c>
      <c r="H220" s="5" t="n"/>
    </row>
    <row r="221">
      <c r="A221" s="5" t="n"/>
      <c r="B221" s="5" t="n"/>
      <c r="C221" s="21">
        <f>IF(A221="","",SUMPRODUCT((('Metraj Mahal Listesi'!$A$5:$A$504=A221)+('Metraj Mahal Listesi'!$B$5:$B$504=A221)&gt;0)*'Metraj Mahal Listesi'!$K$5:$K$504))</f>
        <v/>
      </c>
      <c r="D221" s="27">
        <f>IF(OR(A221="",'Metraj Mahal Listesi'!$K$3=0),"",C221/'Metraj Mahal Listesi'!$K$3*100)</f>
        <v/>
      </c>
      <c r="E221" s="31">
        <f>IF(A221="","",SUMPRODUCT((('Metraj Mahal Listesi'!$A$5:$A$504=A221)+('Metraj Mahal Listesi'!$B$5:$B$504=A221)&gt;0)*('Metraj Mahal Listesi'!$C$5:$C$504&lt;&gt;"")))</f>
        <v/>
      </c>
      <c r="F221" s="31">
        <f>IF(A221="","",SUMPRODUCT((('Metraj Mahal Listesi'!$A$5:$A$504=A221)+('Metraj Mahal Listesi'!$B$5:$B$504=A221)&gt;0)*('Metraj Mahal Listesi'!$C$5:$C$504&lt;&gt;"")*(LEFT('Metraj Mahal Listesi'!$C$5:$C$504,1)&lt;&gt;"—")*('Metraj Mahal Listesi'!$F$5:$F$504="")))</f>
        <v/>
      </c>
      <c r="G221" s="31">
        <f>IF(A221="","",SUMPRODUCT((('Metraj Mahal Listesi'!$A$5:$A$504=A221)+('Metraj Mahal Listesi'!$B$5:$B$504=A221)&gt;0)*('Metraj Mahal Listesi'!$F$5:$F$504&lt;&gt;"")*(LEFT('Metraj Mahal Listesi'!$C$5:$C$504,1)&lt;&gt;"—")*('Metraj Mahal Listesi'!$J$5:$J$504=0)))</f>
        <v/>
      </c>
      <c r="H221" s="5" t="n"/>
    </row>
    <row r="222">
      <c r="A222" s="5" t="n"/>
      <c r="B222" s="5" t="n"/>
      <c r="C222" s="21">
        <f>IF(A222="","",SUMPRODUCT((('Metraj Mahal Listesi'!$A$5:$A$504=A222)+('Metraj Mahal Listesi'!$B$5:$B$504=A222)&gt;0)*'Metraj Mahal Listesi'!$K$5:$K$504))</f>
        <v/>
      </c>
      <c r="D222" s="27">
        <f>IF(OR(A222="",'Metraj Mahal Listesi'!$K$3=0),"",C222/'Metraj Mahal Listesi'!$K$3*100)</f>
        <v/>
      </c>
      <c r="E222" s="31">
        <f>IF(A222="","",SUMPRODUCT((('Metraj Mahal Listesi'!$A$5:$A$504=A222)+('Metraj Mahal Listesi'!$B$5:$B$504=A222)&gt;0)*('Metraj Mahal Listesi'!$C$5:$C$504&lt;&gt;"")))</f>
        <v/>
      </c>
      <c r="F222" s="31">
        <f>IF(A222="","",SUMPRODUCT((('Metraj Mahal Listesi'!$A$5:$A$504=A222)+('Metraj Mahal Listesi'!$B$5:$B$504=A222)&gt;0)*('Metraj Mahal Listesi'!$C$5:$C$504&lt;&gt;"")*(LEFT('Metraj Mahal Listesi'!$C$5:$C$504,1)&lt;&gt;"—")*('Metraj Mahal Listesi'!$F$5:$F$504="")))</f>
        <v/>
      </c>
      <c r="G222" s="31">
        <f>IF(A222="","",SUMPRODUCT((('Metraj Mahal Listesi'!$A$5:$A$504=A222)+('Metraj Mahal Listesi'!$B$5:$B$504=A222)&gt;0)*('Metraj Mahal Listesi'!$F$5:$F$504&lt;&gt;"")*(LEFT('Metraj Mahal Listesi'!$C$5:$C$504,1)&lt;&gt;"—")*('Metraj Mahal Listesi'!$J$5:$J$504=0)))</f>
        <v/>
      </c>
      <c r="H222" s="5" t="n"/>
    </row>
    <row r="223">
      <c r="A223" s="5" t="n"/>
      <c r="B223" s="5" t="n"/>
      <c r="C223" s="21">
        <f>IF(A223="","",SUMPRODUCT((('Metraj Mahal Listesi'!$A$5:$A$504=A223)+('Metraj Mahal Listesi'!$B$5:$B$504=A223)&gt;0)*'Metraj Mahal Listesi'!$K$5:$K$504))</f>
        <v/>
      </c>
      <c r="D223" s="27">
        <f>IF(OR(A223="",'Metraj Mahal Listesi'!$K$3=0),"",C223/'Metraj Mahal Listesi'!$K$3*100)</f>
        <v/>
      </c>
      <c r="E223" s="31">
        <f>IF(A223="","",SUMPRODUCT((('Metraj Mahal Listesi'!$A$5:$A$504=A223)+('Metraj Mahal Listesi'!$B$5:$B$504=A223)&gt;0)*('Metraj Mahal Listesi'!$C$5:$C$504&lt;&gt;"")))</f>
        <v/>
      </c>
      <c r="F223" s="31">
        <f>IF(A223="","",SUMPRODUCT((('Metraj Mahal Listesi'!$A$5:$A$504=A223)+('Metraj Mahal Listesi'!$B$5:$B$504=A223)&gt;0)*('Metraj Mahal Listesi'!$C$5:$C$504&lt;&gt;"")*(LEFT('Metraj Mahal Listesi'!$C$5:$C$504,1)&lt;&gt;"—")*('Metraj Mahal Listesi'!$F$5:$F$504="")))</f>
        <v/>
      </c>
      <c r="G223" s="31">
        <f>IF(A223="","",SUMPRODUCT((('Metraj Mahal Listesi'!$A$5:$A$504=A223)+('Metraj Mahal Listesi'!$B$5:$B$504=A223)&gt;0)*('Metraj Mahal Listesi'!$F$5:$F$504&lt;&gt;"")*(LEFT('Metraj Mahal Listesi'!$C$5:$C$504,1)&lt;&gt;"—")*('Metraj Mahal Listesi'!$J$5:$J$504=0)))</f>
        <v/>
      </c>
      <c r="H223" s="5" t="n"/>
    </row>
    <row r="224">
      <c r="A224" s="5" t="n"/>
      <c r="B224" s="5" t="n"/>
      <c r="C224" s="21">
        <f>IF(A224="","",SUMPRODUCT((('Metraj Mahal Listesi'!$A$5:$A$504=A224)+('Metraj Mahal Listesi'!$B$5:$B$504=A224)&gt;0)*'Metraj Mahal Listesi'!$K$5:$K$504))</f>
        <v/>
      </c>
      <c r="D224" s="27">
        <f>IF(OR(A224="",'Metraj Mahal Listesi'!$K$3=0),"",C224/'Metraj Mahal Listesi'!$K$3*100)</f>
        <v/>
      </c>
      <c r="E224" s="31">
        <f>IF(A224="","",SUMPRODUCT((('Metraj Mahal Listesi'!$A$5:$A$504=A224)+('Metraj Mahal Listesi'!$B$5:$B$504=A224)&gt;0)*('Metraj Mahal Listesi'!$C$5:$C$504&lt;&gt;"")))</f>
        <v/>
      </c>
      <c r="F224" s="31">
        <f>IF(A224="","",SUMPRODUCT((('Metraj Mahal Listesi'!$A$5:$A$504=A224)+('Metraj Mahal Listesi'!$B$5:$B$504=A224)&gt;0)*('Metraj Mahal Listesi'!$C$5:$C$504&lt;&gt;"")*(LEFT('Metraj Mahal Listesi'!$C$5:$C$504,1)&lt;&gt;"—")*('Metraj Mahal Listesi'!$F$5:$F$504="")))</f>
        <v/>
      </c>
      <c r="G224" s="31">
        <f>IF(A224="","",SUMPRODUCT((('Metraj Mahal Listesi'!$A$5:$A$504=A224)+('Metraj Mahal Listesi'!$B$5:$B$504=A224)&gt;0)*('Metraj Mahal Listesi'!$F$5:$F$504&lt;&gt;"")*(LEFT('Metraj Mahal Listesi'!$C$5:$C$504,1)&lt;&gt;"—")*('Metraj Mahal Listesi'!$J$5:$J$504=0)))</f>
        <v/>
      </c>
      <c r="H224" s="5" t="n"/>
    </row>
    <row r="225">
      <c r="A225" s="5" t="n"/>
      <c r="B225" s="5" t="n"/>
      <c r="C225" s="21">
        <f>IF(A225="","",SUMPRODUCT((('Metraj Mahal Listesi'!$A$5:$A$504=A225)+('Metraj Mahal Listesi'!$B$5:$B$504=A225)&gt;0)*'Metraj Mahal Listesi'!$K$5:$K$504))</f>
        <v/>
      </c>
      <c r="D225" s="27">
        <f>IF(OR(A225="",'Metraj Mahal Listesi'!$K$3=0),"",C225/'Metraj Mahal Listesi'!$K$3*100)</f>
        <v/>
      </c>
      <c r="E225" s="31">
        <f>IF(A225="","",SUMPRODUCT((('Metraj Mahal Listesi'!$A$5:$A$504=A225)+('Metraj Mahal Listesi'!$B$5:$B$504=A225)&gt;0)*('Metraj Mahal Listesi'!$C$5:$C$504&lt;&gt;"")))</f>
        <v/>
      </c>
      <c r="F225" s="31">
        <f>IF(A225="","",SUMPRODUCT((('Metraj Mahal Listesi'!$A$5:$A$504=A225)+('Metraj Mahal Listesi'!$B$5:$B$504=A225)&gt;0)*('Metraj Mahal Listesi'!$C$5:$C$504&lt;&gt;"")*(LEFT('Metraj Mahal Listesi'!$C$5:$C$504,1)&lt;&gt;"—")*('Metraj Mahal Listesi'!$F$5:$F$504="")))</f>
        <v/>
      </c>
      <c r="G225" s="31">
        <f>IF(A225="","",SUMPRODUCT((('Metraj Mahal Listesi'!$A$5:$A$504=A225)+('Metraj Mahal Listesi'!$B$5:$B$504=A225)&gt;0)*('Metraj Mahal Listesi'!$F$5:$F$504&lt;&gt;"")*(LEFT('Metraj Mahal Listesi'!$C$5:$C$504,1)&lt;&gt;"—")*('Metraj Mahal Listesi'!$J$5:$J$504=0)))</f>
        <v/>
      </c>
      <c r="H225" s="5" t="n"/>
    </row>
    <row r="226">
      <c r="A226" s="5" t="n"/>
      <c r="B226" s="5" t="n"/>
      <c r="C226" s="21">
        <f>IF(A226="","",SUMPRODUCT((('Metraj Mahal Listesi'!$A$5:$A$504=A226)+('Metraj Mahal Listesi'!$B$5:$B$504=A226)&gt;0)*'Metraj Mahal Listesi'!$K$5:$K$504))</f>
        <v/>
      </c>
      <c r="D226" s="27">
        <f>IF(OR(A226="",'Metraj Mahal Listesi'!$K$3=0),"",C226/'Metraj Mahal Listesi'!$K$3*100)</f>
        <v/>
      </c>
      <c r="E226" s="31">
        <f>IF(A226="","",SUMPRODUCT((('Metraj Mahal Listesi'!$A$5:$A$504=A226)+('Metraj Mahal Listesi'!$B$5:$B$504=A226)&gt;0)*('Metraj Mahal Listesi'!$C$5:$C$504&lt;&gt;"")))</f>
        <v/>
      </c>
      <c r="F226" s="31">
        <f>IF(A226="","",SUMPRODUCT((('Metraj Mahal Listesi'!$A$5:$A$504=A226)+('Metraj Mahal Listesi'!$B$5:$B$504=A226)&gt;0)*('Metraj Mahal Listesi'!$C$5:$C$504&lt;&gt;"")*(LEFT('Metraj Mahal Listesi'!$C$5:$C$504,1)&lt;&gt;"—")*('Metraj Mahal Listesi'!$F$5:$F$504="")))</f>
        <v/>
      </c>
      <c r="G226" s="31">
        <f>IF(A226="","",SUMPRODUCT((('Metraj Mahal Listesi'!$A$5:$A$504=A226)+('Metraj Mahal Listesi'!$B$5:$B$504=A226)&gt;0)*('Metraj Mahal Listesi'!$F$5:$F$504&lt;&gt;"")*(LEFT('Metraj Mahal Listesi'!$C$5:$C$504,1)&lt;&gt;"—")*('Metraj Mahal Listesi'!$J$5:$J$504=0)))</f>
        <v/>
      </c>
      <c r="H226" s="5" t="n"/>
    </row>
    <row r="227">
      <c r="A227" s="5" t="n"/>
      <c r="B227" s="5" t="n"/>
      <c r="C227" s="21">
        <f>IF(A227="","",SUMPRODUCT((('Metraj Mahal Listesi'!$A$5:$A$504=A227)+('Metraj Mahal Listesi'!$B$5:$B$504=A227)&gt;0)*'Metraj Mahal Listesi'!$K$5:$K$504))</f>
        <v/>
      </c>
      <c r="D227" s="27">
        <f>IF(OR(A227="",'Metraj Mahal Listesi'!$K$3=0),"",C227/'Metraj Mahal Listesi'!$K$3*100)</f>
        <v/>
      </c>
      <c r="E227" s="31">
        <f>IF(A227="","",SUMPRODUCT((('Metraj Mahal Listesi'!$A$5:$A$504=A227)+('Metraj Mahal Listesi'!$B$5:$B$504=A227)&gt;0)*('Metraj Mahal Listesi'!$C$5:$C$504&lt;&gt;"")))</f>
        <v/>
      </c>
      <c r="F227" s="31">
        <f>IF(A227="","",SUMPRODUCT((('Metraj Mahal Listesi'!$A$5:$A$504=A227)+('Metraj Mahal Listesi'!$B$5:$B$504=A227)&gt;0)*('Metraj Mahal Listesi'!$C$5:$C$504&lt;&gt;"")*(LEFT('Metraj Mahal Listesi'!$C$5:$C$504,1)&lt;&gt;"—")*('Metraj Mahal Listesi'!$F$5:$F$504="")))</f>
        <v/>
      </c>
      <c r="G227" s="31">
        <f>IF(A227="","",SUMPRODUCT((('Metraj Mahal Listesi'!$A$5:$A$504=A227)+('Metraj Mahal Listesi'!$B$5:$B$504=A227)&gt;0)*('Metraj Mahal Listesi'!$F$5:$F$504&lt;&gt;"")*(LEFT('Metraj Mahal Listesi'!$C$5:$C$504,1)&lt;&gt;"—")*('Metraj Mahal Listesi'!$J$5:$J$504=0)))</f>
        <v/>
      </c>
      <c r="H227" s="5" t="n"/>
    </row>
    <row r="228">
      <c r="A228" s="5" t="n"/>
      <c r="B228" s="5" t="n"/>
      <c r="C228" s="21">
        <f>IF(A228="","",SUMPRODUCT((('Metraj Mahal Listesi'!$A$5:$A$504=A228)+('Metraj Mahal Listesi'!$B$5:$B$504=A228)&gt;0)*'Metraj Mahal Listesi'!$K$5:$K$504))</f>
        <v/>
      </c>
      <c r="D228" s="27">
        <f>IF(OR(A228="",'Metraj Mahal Listesi'!$K$3=0),"",C228/'Metraj Mahal Listesi'!$K$3*100)</f>
        <v/>
      </c>
      <c r="E228" s="31">
        <f>IF(A228="","",SUMPRODUCT((('Metraj Mahal Listesi'!$A$5:$A$504=A228)+('Metraj Mahal Listesi'!$B$5:$B$504=A228)&gt;0)*('Metraj Mahal Listesi'!$C$5:$C$504&lt;&gt;"")))</f>
        <v/>
      </c>
      <c r="F228" s="31">
        <f>IF(A228="","",SUMPRODUCT((('Metraj Mahal Listesi'!$A$5:$A$504=A228)+('Metraj Mahal Listesi'!$B$5:$B$504=A228)&gt;0)*('Metraj Mahal Listesi'!$C$5:$C$504&lt;&gt;"")*(LEFT('Metraj Mahal Listesi'!$C$5:$C$504,1)&lt;&gt;"—")*('Metraj Mahal Listesi'!$F$5:$F$504="")))</f>
        <v/>
      </c>
      <c r="G228" s="31">
        <f>IF(A228="","",SUMPRODUCT((('Metraj Mahal Listesi'!$A$5:$A$504=A228)+('Metraj Mahal Listesi'!$B$5:$B$504=A228)&gt;0)*('Metraj Mahal Listesi'!$F$5:$F$504&lt;&gt;"")*(LEFT('Metraj Mahal Listesi'!$C$5:$C$504,1)&lt;&gt;"—")*('Metraj Mahal Listesi'!$J$5:$J$504=0)))</f>
        <v/>
      </c>
      <c r="H228" s="5" t="n"/>
    </row>
    <row r="229">
      <c r="A229" s="5" t="n"/>
      <c r="B229" s="5" t="n"/>
      <c r="C229" s="21">
        <f>IF(A229="","",SUMPRODUCT((('Metraj Mahal Listesi'!$A$5:$A$504=A229)+('Metraj Mahal Listesi'!$B$5:$B$504=A229)&gt;0)*'Metraj Mahal Listesi'!$K$5:$K$504))</f>
        <v/>
      </c>
      <c r="D229" s="27">
        <f>IF(OR(A229="",'Metraj Mahal Listesi'!$K$3=0),"",C229/'Metraj Mahal Listesi'!$K$3*100)</f>
        <v/>
      </c>
      <c r="E229" s="31">
        <f>IF(A229="","",SUMPRODUCT((('Metraj Mahal Listesi'!$A$5:$A$504=A229)+('Metraj Mahal Listesi'!$B$5:$B$504=A229)&gt;0)*('Metraj Mahal Listesi'!$C$5:$C$504&lt;&gt;"")))</f>
        <v/>
      </c>
      <c r="F229" s="31">
        <f>IF(A229="","",SUMPRODUCT((('Metraj Mahal Listesi'!$A$5:$A$504=A229)+('Metraj Mahal Listesi'!$B$5:$B$504=A229)&gt;0)*('Metraj Mahal Listesi'!$C$5:$C$504&lt;&gt;"")*(LEFT('Metraj Mahal Listesi'!$C$5:$C$504,1)&lt;&gt;"—")*('Metraj Mahal Listesi'!$F$5:$F$504="")))</f>
        <v/>
      </c>
      <c r="G229" s="31">
        <f>IF(A229="","",SUMPRODUCT((('Metraj Mahal Listesi'!$A$5:$A$504=A229)+('Metraj Mahal Listesi'!$B$5:$B$504=A229)&gt;0)*('Metraj Mahal Listesi'!$F$5:$F$504&lt;&gt;"")*(LEFT('Metraj Mahal Listesi'!$C$5:$C$504,1)&lt;&gt;"—")*('Metraj Mahal Listesi'!$J$5:$J$504=0)))</f>
        <v/>
      </c>
      <c r="H229" s="5" t="n"/>
    </row>
    <row r="230">
      <c r="A230" s="5" t="n"/>
      <c r="B230" s="5" t="n"/>
      <c r="C230" s="21">
        <f>IF(A230="","",SUMPRODUCT((('Metraj Mahal Listesi'!$A$5:$A$504=A230)+('Metraj Mahal Listesi'!$B$5:$B$504=A230)&gt;0)*'Metraj Mahal Listesi'!$K$5:$K$504))</f>
        <v/>
      </c>
      <c r="D230" s="27">
        <f>IF(OR(A230="",'Metraj Mahal Listesi'!$K$3=0),"",C230/'Metraj Mahal Listesi'!$K$3*100)</f>
        <v/>
      </c>
      <c r="E230" s="31">
        <f>IF(A230="","",SUMPRODUCT((('Metraj Mahal Listesi'!$A$5:$A$504=A230)+('Metraj Mahal Listesi'!$B$5:$B$504=A230)&gt;0)*('Metraj Mahal Listesi'!$C$5:$C$504&lt;&gt;"")))</f>
        <v/>
      </c>
      <c r="F230" s="31">
        <f>IF(A230="","",SUMPRODUCT((('Metraj Mahal Listesi'!$A$5:$A$504=A230)+('Metraj Mahal Listesi'!$B$5:$B$504=A230)&gt;0)*('Metraj Mahal Listesi'!$C$5:$C$504&lt;&gt;"")*(LEFT('Metraj Mahal Listesi'!$C$5:$C$504,1)&lt;&gt;"—")*('Metraj Mahal Listesi'!$F$5:$F$504="")))</f>
        <v/>
      </c>
      <c r="G230" s="31">
        <f>IF(A230="","",SUMPRODUCT((('Metraj Mahal Listesi'!$A$5:$A$504=A230)+('Metraj Mahal Listesi'!$B$5:$B$504=A230)&gt;0)*('Metraj Mahal Listesi'!$F$5:$F$504&lt;&gt;"")*(LEFT('Metraj Mahal Listesi'!$C$5:$C$504,1)&lt;&gt;"—")*('Metraj Mahal Listesi'!$J$5:$J$504=0)))</f>
        <v/>
      </c>
      <c r="H230" s="5" t="n"/>
    </row>
    <row r="231">
      <c r="A231" s="5" t="n"/>
      <c r="B231" s="5" t="n"/>
      <c r="C231" s="21">
        <f>IF(A231="","",SUMPRODUCT((('Metraj Mahal Listesi'!$A$5:$A$504=A231)+('Metraj Mahal Listesi'!$B$5:$B$504=A231)&gt;0)*'Metraj Mahal Listesi'!$K$5:$K$504))</f>
        <v/>
      </c>
      <c r="D231" s="27">
        <f>IF(OR(A231="",'Metraj Mahal Listesi'!$K$3=0),"",C231/'Metraj Mahal Listesi'!$K$3*100)</f>
        <v/>
      </c>
      <c r="E231" s="31">
        <f>IF(A231="","",SUMPRODUCT((('Metraj Mahal Listesi'!$A$5:$A$504=A231)+('Metraj Mahal Listesi'!$B$5:$B$504=A231)&gt;0)*('Metraj Mahal Listesi'!$C$5:$C$504&lt;&gt;"")))</f>
        <v/>
      </c>
      <c r="F231" s="31">
        <f>IF(A231="","",SUMPRODUCT((('Metraj Mahal Listesi'!$A$5:$A$504=A231)+('Metraj Mahal Listesi'!$B$5:$B$504=A231)&gt;0)*('Metraj Mahal Listesi'!$C$5:$C$504&lt;&gt;"")*(LEFT('Metraj Mahal Listesi'!$C$5:$C$504,1)&lt;&gt;"—")*('Metraj Mahal Listesi'!$F$5:$F$504="")))</f>
        <v/>
      </c>
      <c r="G231" s="31">
        <f>IF(A231="","",SUMPRODUCT((('Metraj Mahal Listesi'!$A$5:$A$504=A231)+('Metraj Mahal Listesi'!$B$5:$B$504=A231)&gt;0)*('Metraj Mahal Listesi'!$F$5:$F$504&lt;&gt;"")*(LEFT('Metraj Mahal Listesi'!$C$5:$C$504,1)&lt;&gt;"—")*('Metraj Mahal Listesi'!$J$5:$J$504=0)))</f>
        <v/>
      </c>
      <c r="H231" s="5" t="n"/>
    </row>
    <row r="232">
      <c r="A232" s="5" t="n"/>
      <c r="B232" s="5" t="n"/>
      <c r="C232" s="21">
        <f>IF(A232="","",SUMPRODUCT((('Metraj Mahal Listesi'!$A$5:$A$504=A232)+('Metraj Mahal Listesi'!$B$5:$B$504=A232)&gt;0)*'Metraj Mahal Listesi'!$K$5:$K$504))</f>
        <v/>
      </c>
      <c r="D232" s="27">
        <f>IF(OR(A232="",'Metraj Mahal Listesi'!$K$3=0),"",C232/'Metraj Mahal Listesi'!$K$3*100)</f>
        <v/>
      </c>
      <c r="E232" s="31">
        <f>IF(A232="","",SUMPRODUCT((('Metraj Mahal Listesi'!$A$5:$A$504=A232)+('Metraj Mahal Listesi'!$B$5:$B$504=A232)&gt;0)*('Metraj Mahal Listesi'!$C$5:$C$504&lt;&gt;"")))</f>
        <v/>
      </c>
      <c r="F232" s="31">
        <f>IF(A232="","",SUMPRODUCT((('Metraj Mahal Listesi'!$A$5:$A$504=A232)+('Metraj Mahal Listesi'!$B$5:$B$504=A232)&gt;0)*('Metraj Mahal Listesi'!$C$5:$C$504&lt;&gt;"")*(LEFT('Metraj Mahal Listesi'!$C$5:$C$504,1)&lt;&gt;"—")*('Metraj Mahal Listesi'!$F$5:$F$504="")))</f>
        <v/>
      </c>
      <c r="G232" s="31">
        <f>IF(A232="","",SUMPRODUCT((('Metraj Mahal Listesi'!$A$5:$A$504=A232)+('Metraj Mahal Listesi'!$B$5:$B$504=A232)&gt;0)*('Metraj Mahal Listesi'!$F$5:$F$504&lt;&gt;"")*(LEFT('Metraj Mahal Listesi'!$C$5:$C$504,1)&lt;&gt;"—")*('Metraj Mahal Listesi'!$J$5:$J$504=0)))</f>
        <v/>
      </c>
      <c r="H232" s="5" t="n"/>
    </row>
    <row r="233">
      <c r="A233" s="5" t="n"/>
      <c r="B233" s="5" t="n"/>
      <c r="C233" s="21">
        <f>IF(A233="","",SUMPRODUCT((('Metraj Mahal Listesi'!$A$5:$A$504=A233)+('Metraj Mahal Listesi'!$B$5:$B$504=A233)&gt;0)*'Metraj Mahal Listesi'!$K$5:$K$504))</f>
        <v/>
      </c>
      <c r="D233" s="27">
        <f>IF(OR(A233="",'Metraj Mahal Listesi'!$K$3=0),"",C233/'Metraj Mahal Listesi'!$K$3*100)</f>
        <v/>
      </c>
      <c r="E233" s="31">
        <f>IF(A233="","",SUMPRODUCT((('Metraj Mahal Listesi'!$A$5:$A$504=A233)+('Metraj Mahal Listesi'!$B$5:$B$504=A233)&gt;0)*('Metraj Mahal Listesi'!$C$5:$C$504&lt;&gt;"")))</f>
        <v/>
      </c>
      <c r="F233" s="31">
        <f>IF(A233="","",SUMPRODUCT((('Metraj Mahal Listesi'!$A$5:$A$504=A233)+('Metraj Mahal Listesi'!$B$5:$B$504=A233)&gt;0)*('Metraj Mahal Listesi'!$C$5:$C$504&lt;&gt;"")*(LEFT('Metraj Mahal Listesi'!$C$5:$C$504,1)&lt;&gt;"—")*('Metraj Mahal Listesi'!$F$5:$F$504="")))</f>
        <v/>
      </c>
      <c r="G233" s="31">
        <f>IF(A233="","",SUMPRODUCT((('Metraj Mahal Listesi'!$A$5:$A$504=A233)+('Metraj Mahal Listesi'!$B$5:$B$504=A233)&gt;0)*('Metraj Mahal Listesi'!$F$5:$F$504&lt;&gt;"")*(LEFT('Metraj Mahal Listesi'!$C$5:$C$504,1)&lt;&gt;"—")*('Metraj Mahal Listesi'!$J$5:$J$504=0)))</f>
        <v/>
      </c>
      <c r="H233" s="5" t="n"/>
    </row>
    <row r="234">
      <c r="A234" s="5" t="n"/>
      <c r="B234" s="5" t="n"/>
      <c r="C234" s="21">
        <f>IF(A234="","",SUMPRODUCT((('Metraj Mahal Listesi'!$A$5:$A$504=A234)+('Metraj Mahal Listesi'!$B$5:$B$504=A234)&gt;0)*'Metraj Mahal Listesi'!$K$5:$K$504))</f>
        <v/>
      </c>
      <c r="D234" s="27">
        <f>IF(OR(A234="",'Metraj Mahal Listesi'!$K$3=0),"",C234/'Metraj Mahal Listesi'!$K$3*100)</f>
        <v/>
      </c>
      <c r="E234" s="31">
        <f>IF(A234="","",SUMPRODUCT((('Metraj Mahal Listesi'!$A$5:$A$504=A234)+('Metraj Mahal Listesi'!$B$5:$B$504=A234)&gt;0)*('Metraj Mahal Listesi'!$C$5:$C$504&lt;&gt;"")))</f>
        <v/>
      </c>
      <c r="F234" s="31">
        <f>IF(A234="","",SUMPRODUCT((('Metraj Mahal Listesi'!$A$5:$A$504=A234)+('Metraj Mahal Listesi'!$B$5:$B$504=A234)&gt;0)*('Metraj Mahal Listesi'!$C$5:$C$504&lt;&gt;"")*(LEFT('Metraj Mahal Listesi'!$C$5:$C$504,1)&lt;&gt;"—")*('Metraj Mahal Listesi'!$F$5:$F$504="")))</f>
        <v/>
      </c>
      <c r="G234" s="31">
        <f>IF(A234="","",SUMPRODUCT((('Metraj Mahal Listesi'!$A$5:$A$504=A234)+('Metraj Mahal Listesi'!$B$5:$B$504=A234)&gt;0)*('Metraj Mahal Listesi'!$F$5:$F$504&lt;&gt;"")*(LEFT('Metraj Mahal Listesi'!$C$5:$C$504,1)&lt;&gt;"—")*('Metraj Mahal Listesi'!$J$5:$J$504=0)))</f>
        <v/>
      </c>
      <c r="H234" s="5" t="n"/>
    </row>
    <row r="235">
      <c r="A235" s="5" t="n"/>
      <c r="B235" s="5" t="n"/>
      <c r="C235" s="21">
        <f>IF(A235="","",SUMPRODUCT((('Metraj Mahal Listesi'!$A$5:$A$504=A235)+('Metraj Mahal Listesi'!$B$5:$B$504=A235)&gt;0)*'Metraj Mahal Listesi'!$K$5:$K$504))</f>
        <v/>
      </c>
      <c r="D235" s="27">
        <f>IF(OR(A235="",'Metraj Mahal Listesi'!$K$3=0),"",C235/'Metraj Mahal Listesi'!$K$3*100)</f>
        <v/>
      </c>
      <c r="E235" s="31">
        <f>IF(A235="","",SUMPRODUCT((('Metraj Mahal Listesi'!$A$5:$A$504=A235)+('Metraj Mahal Listesi'!$B$5:$B$504=A235)&gt;0)*('Metraj Mahal Listesi'!$C$5:$C$504&lt;&gt;"")))</f>
        <v/>
      </c>
      <c r="F235" s="31">
        <f>IF(A235="","",SUMPRODUCT((('Metraj Mahal Listesi'!$A$5:$A$504=A235)+('Metraj Mahal Listesi'!$B$5:$B$504=A235)&gt;0)*('Metraj Mahal Listesi'!$C$5:$C$504&lt;&gt;"")*(LEFT('Metraj Mahal Listesi'!$C$5:$C$504,1)&lt;&gt;"—")*('Metraj Mahal Listesi'!$F$5:$F$504="")))</f>
        <v/>
      </c>
      <c r="G235" s="31">
        <f>IF(A235="","",SUMPRODUCT((('Metraj Mahal Listesi'!$A$5:$A$504=A235)+('Metraj Mahal Listesi'!$B$5:$B$504=A235)&gt;0)*('Metraj Mahal Listesi'!$F$5:$F$504&lt;&gt;"")*(LEFT('Metraj Mahal Listesi'!$C$5:$C$504,1)&lt;&gt;"—")*('Metraj Mahal Listesi'!$J$5:$J$504=0)))</f>
        <v/>
      </c>
      <c r="H235" s="5" t="n"/>
    </row>
    <row r="236">
      <c r="A236" s="5" t="n"/>
      <c r="B236" s="5" t="n"/>
      <c r="C236" s="21">
        <f>IF(A236="","",SUMPRODUCT((('Metraj Mahal Listesi'!$A$5:$A$504=A236)+('Metraj Mahal Listesi'!$B$5:$B$504=A236)&gt;0)*'Metraj Mahal Listesi'!$K$5:$K$504))</f>
        <v/>
      </c>
      <c r="D236" s="27">
        <f>IF(OR(A236="",'Metraj Mahal Listesi'!$K$3=0),"",C236/'Metraj Mahal Listesi'!$K$3*100)</f>
        <v/>
      </c>
      <c r="E236" s="31">
        <f>IF(A236="","",SUMPRODUCT((('Metraj Mahal Listesi'!$A$5:$A$504=A236)+('Metraj Mahal Listesi'!$B$5:$B$504=A236)&gt;0)*('Metraj Mahal Listesi'!$C$5:$C$504&lt;&gt;"")))</f>
        <v/>
      </c>
      <c r="F236" s="31">
        <f>IF(A236="","",SUMPRODUCT((('Metraj Mahal Listesi'!$A$5:$A$504=A236)+('Metraj Mahal Listesi'!$B$5:$B$504=A236)&gt;0)*('Metraj Mahal Listesi'!$C$5:$C$504&lt;&gt;"")*(LEFT('Metraj Mahal Listesi'!$C$5:$C$504,1)&lt;&gt;"—")*('Metraj Mahal Listesi'!$F$5:$F$504="")))</f>
        <v/>
      </c>
      <c r="G236" s="31">
        <f>IF(A236="","",SUMPRODUCT((('Metraj Mahal Listesi'!$A$5:$A$504=A236)+('Metraj Mahal Listesi'!$B$5:$B$504=A236)&gt;0)*('Metraj Mahal Listesi'!$F$5:$F$504&lt;&gt;"")*(LEFT('Metraj Mahal Listesi'!$C$5:$C$504,1)&lt;&gt;"—")*('Metraj Mahal Listesi'!$J$5:$J$504=0)))</f>
        <v/>
      </c>
      <c r="H236" s="5" t="n"/>
    </row>
    <row r="237">
      <c r="A237" s="5" t="n"/>
      <c r="B237" s="5" t="n"/>
      <c r="C237" s="21">
        <f>IF(A237="","",SUMPRODUCT((('Metraj Mahal Listesi'!$A$5:$A$504=A237)+('Metraj Mahal Listesi'!$B$5:$B$504=A237)&gt;0)*'Metraj Mahal Listesi'!$K$5:$K$504))</f>
        <v/>
      </c>
      <c r="D237" s="27">
        <f>IF(OR(A237="",'Metraj Mahal Listesi'!$K$3=0),"",C237/'Metraj Mahal Listesi'!$K$3*100)</f>
        <v/>
      </c>
      <c r="E237" s="31">
        <f>IF(A237="","",SUMPRODUCT((('Metraj Mahal Listesi'!$A$5:$A$504=A237)+('Metraj Mahal Listesi'!$B$5:$B$504=A237)&gt;0)*('Metraj Mahal Listesi'!$C$5:$C$504&lt;&gt;"")))</f>
        <v/>
      </c>
      <c r="F237" s="31">
        <f>IF(A237="","",SUMPRODUCT((('Metraj Mahal Listesi'!$A$5:$A$504=A237)+('Metraj Mahal Listesi'!$B$5:$B$504=A237)&gt;0)*('Metraj Mahal Listesi'!$C$5:$C$504&lt;&gt;"")*(LEFT('Metraj Mahal Listesi'!$C$5:$C$504,1)&lt;&gt;"—")*('Metraj Mahal Listesi'!$F$5:$F$504="")))</f>
        <v/>
      </c>
      <c r="G237" s="31">
        <f>IF(A237="","",SUMPRODUCT((('Metraj Mahal Listesi'!$A$5:$A$504=A237)+('Metraj Mahal Listesi'!$B$5:$B$504=A237)&gt;0)*('Metraj Mahal Listesi'!$F$5:$F$504&lt;&gt;"")*(LEFT('Metraj Mahal Listesi'!$C$5:$C$504,1)&lt;&gt;"—")*('Metraj Mahal Listesi'!$J$5:$J$504=0)))</f>
        <v/>
      </c>
      <c r="H237" s="5" t="n"/>
    </row>
    <row r="238">
      <c r="A238" s="5" t="n"/>
      <c r="B238" s="5" t="n"/>
      <c r="C238" s="21">
        <f>IF(A238="","",SUMPRODUCT((('Metraj Mahal Listesi'!$A$5:$A$504=A238)+('Metraj Mahal Listesi'!$B$5:$B$504=A238)&gt;0)*'Metraj Mahal Listesi'!$K$5:$K$504))</f>
        <v/>
      </c>
      <c r="D238" s="27">
        <f>IF(OR(A238="",'Metraj Mahal Listesi'!$K$3=0),"",C238/'Metraj Mahal Listesi'!$K$3*100)</f>
        <v/>
      </c>
      <c r="E238" s="31">
        <f>IF(A238="","",SUMPRODUCT((('Metraj Mahal Listesi'!$A$5:$A$504=A238)+('Metraj Mahal Listesi'!$B$5:$B$504=A238)&gt;0)*('Metraj Mahal Listesi'!$C$5:$C$504&lt;&gt;"")))</f>
        <v/>
      </c>
      <c r="F238" s="31">
        <f>IF(A238="","",SUMPRODUCT((('Metraj Mahal Listesi'!$A$5:$A$504=A238)+('Metraj Mahal Listesi'!$B$5:$B$504=A238)&gt;0)*('Metraj Mahal Listesi'!$C$5:$C$504&lt;&gt;"")*(LEFT('Metraj Mahal Listesi'!$C$5:$C$504,1)&lt;&gt;"—")*('Metraj Mahal Listesi'!$F$5:$F$504="")))</f>
        <v/>
      </c>
      <c r="G238" s="31">
        <f>IF(A238="","",SUMPRODUCT((('Metraj Mahal Listesi'!$A$5:$A$504=A238)+('Metraj Mahal Listesi'!$B$5:$B$504=A238)&gt;0)*('Metraj Mahal Listesi'!$F$5:$F$504&lt;&gt;"")*(LEFT('Metraj Mahal Listesi'!$C$5:$C$504,1)&lt;&gt;"—")*('Metraj Mahal Listesi'!$J$5:$J$504=0)))</f>
        <v/>
      </c>
      <c r="H238" s="5" t="n"/>
    </row>
    <row r="239">
      <c r="A239" s="5" t="n"/>
      <c r="B239" s="5" t="n"/>
      <c r="C239" s="21">
        <f>IF(A239="","",SUMPRODUCT((('Metraj Mahal Listesi'!$A$5:$A$504=A239)+('Metraj Mahal Listesi'!$B$5:$B$504=A239)&gt;0)*'Metraj Mahal Listesi'!$K$5:$K$504))</f>
        <v/>
      </c>
      <c r="D239" s="27">
        <f>IF(OR(A239="",'Metraj Mahal Listesi'!$K$3=0),"",C239/'Metraj Mahal Listesi'!$K$3*100)</f>
        <v/>
      </c>
      <c r="E239" s="31">
        <f>IF(A239="","",SUMPRODUCT((('Metraj Mahal Listesi'!$A$5:$A$504=A239)+('Metraj Mahal Listesi'!$B$5:$B$504=A239)&gt;0)*('Metraj Mahal Listesi'!$C$5:$C$504&lt;&gt;"")))</f>
        <v/>
      </c>
      <c r="F239" s="31">
        <f>IF(A239="","",SUMPRODUCT((('Metraj Mahal Listesi'!$A$5:$A$504=A239)+('Metraj Mahal Listesi'!$B$5:$B$504=A239)&gt;0)*('Metraj Mahal Listesi'!$C$5:$C$504&lt;&gt;"")*(LEFT('Metraj Mahal Listesi'!$C$5:$C$504,1)&lt;&gt;"—")*('Metraj Mahal Listesi'!$F$5:$F$504="")))</f>
        <v/>
      </c>
      <c r="G239" s="31">
        <f>IF(A239="","",SUMPRODUCT((('Metraj Mahal Listesi'!$A$5:$A$504=A239)+('Metraj Mahal Listesi'!$B$5:$B$504=A239)&gt;0)*('Metraj Mahal Listesi'!$F$5:$F$504&lt;&gt;"")*(LEFT('Metraj Mahal Listesi'!$C$5:$C$504,1)&lt;&gt;"—")*('Metraj Mahal Listesi'!$J$5:$J$504=0)))</f>
        <v/>
      </c>
      <c r="H239" s="5" t="n"/>
    </row>
    <row r="240">
      <c r="A240" s="5" t="n"/>
      <c r="B240" s="5" t="n"/>
      <c r="C240" s="21">
        <f>IF(A240="","",SUMPRODUCT((('Metraj Mahal Listesi'!$A$5:$A$504=A240)+('Metraj Mahal Listesi'!$B$5:$B$504=A240)&gt;0)*'Metraj Mahal Listesi'!$K$5:$K$504))</f>
        <v/>
      </c>
      <c r="D240" s="27">
        <f>IF(OR(A240="",'Metraj Mahal Listesi'!$K$3=0),"",C240/'Metraj Mahal Listesi'!$K$3*100)</f>
        <v/>
      </c>
      <c r="E240" s="31">
        <f>IF(A240="","",SUMPRODUCT((('Metraj Mahal Listesi'!$A$5:$A$504=A240)+('Metraj Mahal Listesi'!$B$5:$B$504=A240)&gt;0)*('Metraj Mahal Listesi'!$C$5:$C$504&lt;&gt;"")))</f>
        <v/>
      </c>
      <c r="F240" s="31">
        <f>IF(A240="","",SUMPRODUCT((('Metraj Mahal Listesi'!$A$5:$A$504=A240)+('Metraj Mahal Listesi'!$B$5:$B$504=A240)&gt;0)*('Metraj Mahal Listesi'!$C$5:$C$504&lt;&gt;"")*(LEFT('Metraj Mahal Listesi'!$C$5:$C$504,1)&lt;&gt;"—")*('Metraj Mahal Listesi'!$F$5:$F$504="")))</f>
        <v/>
      </c>
      <c r="G240" s="31">
        <f>IF(A240="","",SUMPRODUCT((('Metraj Mahal Listesi'!$A$5:$A$504=A240)+('Metraj Mahal Listesi'!$B$5:$B$504=A240)&gt;0)*('Metraj Mahal Listesi'!$F$5:$F$504&lt;&gt;"")*(LEFT('Metraj Mahal Listesi'!$C$5:$C$504,1)&lt;&gt;"—")*('Metraj Mahal Listesi'!$J$5:$J$504=0)))</f>
        <v/>
      </c>
      <c r="H240" s="5" t="n"/>
    </row>
    <row r="241">
      <c r="A241" s="5" t="n"/>
      <c r="B241" s="5" t="n"/>
      <c r="C241" s="21">
        <f>IF(A241="","",SUMPRODUCT((('Metraj Mahal Listesi'!$A$5:$A$504=A241)+('Metraj Mahal Listesi'!$B$5:$B$504=A241)&gt;0)*'Metraj Mahal Listesi'!$K$5:$K$504))</f>
        <v/>
      </c>
      <c r="D241" s="27">
        <f>IF(OR(A241="",'Metraj Mahal Listesi'!$K$3=0),"",C241/'Metraj Mahal Listesi'!$K$3*100)</f>
        <v/>
      </c>
      <c r="E241" s="31">
        <f>IF(A241="","",SUMPRODUCT((('Metraj Mahal Listesi'!$A$5:$A$504=A241)+('Metraj Mahal Listesi'!$B$5:$B$504=A241)&gt;0)*('Metraj Mahal Listesi'!$C$5:$C$504&lt;&gt;"")))</f>
        <v/>
      </c>
      <c r="F241" s="31">
        <f>IF(A241="","",SUMPRODUCT((('Metraj Mahal Listesi'!$A$5:$A$504=A241)+('Metraj Mahal Listesi'!$B$5:$B$504=A241)&gt;0)*('Metraj Mahal Listesi'!$C$5:$C$504&lt;&gt;"")*(LEFT('Metraj Mahal Listesi'!$C$5:$C$504,1)&lt;&gt;"—")*('Metraj Mahal Listesi'!$F$5:$F$504="")))</f>
        <v/>
      </c>
      <c r="G241" s="31">
        <f>IF(A241="","",SUMPRODUCT((('Metraj Mahal Listesi'!$A$5:$A$504=A241)+('Metraj Mahal Listesi'!$B$5:$B$504=A241)&gt;0)*('Metraj Mahal Listesi'!$F$5:$F$504&lt;&gt;"")*(LEFT('Metraj Mahal Listesi'!$C$5:$C$504,1)&lt;&gt;"—")*('Metraj Mahal Listesi'!$J$5:$J$504=0)))</f>
        <v/>
      </c>
      <c r="H241" s="5" t="n"/>
    </row>
    <row r="242">
      <c r="A242" s="5" t="n"/>
      <c r="B242" s="5" t="n"/>
      <c r="C242" s="21">
        <f>IF(A242="","",SUMPRODUCT((('Metraj Mahal Listesi'!$A$5:$A$504=A242)+('Metraj Mahal Listesi'!$B$5:$B$504=A242)&gt;0)*'Metraj Mahal Listesi'!$K$5:$K$504))</f>
        <v/>
      </c>
      <c r="D242" s="27">
        <f>IF(OR(A242="",'Metraj Mahal Listesi'!$K$3=0),"",C242/'Metraj Mahal Listesi'!$K$3*100)</f>
        <v/>
      </c>
      <c r="E242" s="31">
        <f>IF(A242="","",SUMPRODUCT((('Metraj Mahal Listesi'!$A$5:$A$504=A242)+('Metraj Mahal Listesi'!$B$5:$B$504=A242)&gt;0)*('Metraj Mahal Listesi'!$C$5:$C$504&lt;&gt;"")))</f>
        <v/>
      </c>
      <c r="F242" s="31">
        <f>IF(A242="","",SUMPRODUCT((('Metraj Mahal Listesi'!$A$5:$A$504=A242)+('Metraj Mahal Listesi'!$B$5:$B$504=A242)&gt;0)*('Metraj Mahal Listesi'!$C$5:$C$504&lt;&gt;"")*(LEFT('Metraj Mahal Listesi'!$C$5:$C$504,1)&lt;&gt;"—")*('Metraj Mahal Listesi'!$F$5:$F$504="")))</f>
        <v/>
      </c>
      <c r="G242" s="31">
        <f>IF(A242="","",SUMPRODUCT((('Metraj Mahal Listesi'!$A$5:$A$504=A242)+('Metraj Mahal Listesi'!$B$5:$B$504=A242)&gt;0)*('Metraj Mahal Listesi'!$F$5:$F$504&lt;&gt;"")*(LEFT('Metraj Mahal Listesi'!$C$5:$C$504,1)&lt;&gt;"—")*('Metraj Mahal Listesi'!$J$5:$J$504=0)))</f>
        <v/>
      </c>
      <c r="H242" s="5" t="n"/>
    </row>
    <row r="243">
      <c r="A243" s="5" t="n"/>
      <c r="B243" s="5" t="n"/>
      <c r="C243" s="21">
        <f>IF(A243="","",SUMPRODUCT((('Metraj Mahal Listesi'!$A$5:$A$504=A243)+('Metraj Mahal Listesi'!$B$5:$B$504=A243)&gt;0)*'Metraj Mahal Listesi'!$K$5:$K$504))</f>
        <v/>
      </c>
      <c r="D243" s="27">
        <f>IF(OR(A243="",'Metraj Mahal Listesi'!$K$3=0),"",C243/'Metraj Mahal Listesi'!$K$3*100)</f>
        <v/>
      </c>
      <c r="E243" s="31">
        <f>IF(A243="","",SUMPRODUCT((('Metraj Mahal Listesi'!$A$5:$A$504=A243)+('Metraj Mahal Listesi'!$B$5:$B$504=A243)&gt;0)*('Metraj Mahal Listesi'!$C$5:$C$504&lt;&gt;"")))</f>
        <v/>
      </c>
      <c r="F243" s="31">
        <f>IF(A243="","",SUMPRODUCT((('Metraj Mahal Listesi'!$A$5:$A$504=A243)+('Metraj Mahal Listesi'!$B$5:$B$504=A243)&gt;0)*('Metraj Mahal Listesi'!$C$5:$C$504&lt;&gt;"")*(LEFT('Metraj Mahal Listesi'!$C$5:$C$504,1)&lt;&gt;"—")*('Metraj Mahal Listesi'!$F$5:$F$504="")))</f>
        <v/>
      </c>
      <c r="G243" s="31">
        <f>IF(A243="","",SUMPRODUCT((('Metraj Mahal Listesi'!$A$5:$A$504=A243)+('Metraj Mahal Listesi'!$B$5:$B$504=A243)&gt;0)*('Metraj Mahal Listesi'!$F$5:$F$504&lt;&gt;"")*(LEFT('Metraj Mahal Listesi'!$C$5:$C$504,1)&lt;&gt;"—")*('Metraj Mahal Listesi'!$J$5:$J$504=0)))</f>
        <v/>
      </c>
      <c r="H243" s="5" t="n"/>
    </row>
    <row r="244">
      <c r="A244" s="5" t="n"/>
      <c r="B244" s="5" t="n"/>
      <c r="C244" s="21">
        <f>IF(A244="","",SUMPRODUCT((('Metraj Mahal Listesi'!$A$5:$A$504=A244)+('Metraj Mahal Listesi'!$B$5:$B$504=A244)&gt;0)*'Metraj Mahal Listesi'!$K$5:$K$504))</f>
        <v/>
      </c>
      <c r="D244" s="27">
        <f>IF(OR(A244="",'Metraj Mahal Listesi'!$K$3=0),"",C244/'Metraj Mahal Listesi'!$K$3*100)</f>
        <v/>
      </c>
      <c r="E244" s="31">
        <f>IF(A244="","",SUMPRODUCT((('Metraj Mahal Listesi'!$A$5:$A$504=A244)+('Metraj Mahal Listesi'!$B$5:$B$504=A244)&gt;0)*('Metraj Mahal Listesi'!$C$5:$C$504&lt;&gt;"")))</f>
        <v/>
      </c>
      <c r="F244" s="31">
        <f>IF(A244="","",SUMPRODUCT((('Metraj Mahal Listesi'!$A$5:$A$504=A244)+('Metraj Mahal Listesi'!$B$5:$B$504=A244)&gt;0)*('Metraj Mahal Listesi'!$C$5:$C$504&lt;&gt;"")*(LEFT('Metraj Mahal Listesi'!$C$5:$C$504,1)&lt;&gt;"—")*('Metraj Mahal Listesi'!$F$5:$F$504="")))</f>
        <v/>
      </c>
      <c r="G244" s="31">
        <f>IF(A244="","",SUMPRODUCT((('Metraj Mahal Listesi'!$A$5:$A$504=A244)+('Metraj Mahal Listesi'!$B$5:$B$504=A244)&gt;0)*('Metraj Mahal Listesi'!$F$5:$F$504&lt;&gt;"")*(LEFT('Metraj Mahal Listesi'!$C$5:$C$504,1)&lt;&gt;"—")*('Metraj Mahal Listesi'!$J$5:$J$504=0)))</f>
        <v/>
      </c>
      <c r="H244" s="5" t="n"/>
    </row>
    <row r="245">
      <c r="A245" s="5" t="n"/>
      <c r="B245" s="5" t="n"/>
      <c r="C245" s="21">
        <f>IF(A245="","",SUMPRODUCT((('Metraj Mahal Listesi'!$A$5:$A$504=A245)+('Metraj Mahal Listesi'!$B$5:$B$504=A245)&gt;0)*'Metraj Mahal Listesi'!$K$5:$K$504))</f>
        <v/>
      </c>
      <c r="D245" s="27">
        <f>IF(OR(A245="",'Metraj Mahal Listesi'!$K$3=0),"",C245/'Metraj Mahal Listesi'!$K$3*100)</f>
        <v/>
      </c>
      <c r="E245" s="31">
        <f>IF(A245="","",SUMPRODUCT((('Metraj Mahal Listesi'!$A$5:$A$504=A245)+('Metraj Mahal Listesi'!$B$5:$B$504=A245)&gt;0)*('Metraj Mahal Listesi'!$C$5:$C$504&lt;&gt;"")))</f>
        <v/>
      </c>
      <c r="F245" s="31">
        <f>IF(A245="","",SUMPRODUCT((('Metraj Mahal Listesi'!$A$5:$A$504=A245)+('Metraj Mahal Listesi'!$B$5:$B$504=A245)&gt;0)*('Metraj Mahal Listesi'!$C$5:$C$504&lt;&gt;"")*(LEFT('Metraj Mahal Listesi'!$C$5:$C$504,1)&lt;&gt;"—")*('Metraj Mahal Listesi'!$F$5:$F$504="")))</f>
        <v/>
      </c>
      <c r="G245" s="31">
        <f>IF(A245="","",SUMPRODUCT((('Metraj Mahal Listesi'!$A$5:$A$504=A245)+('Metraj Mahal Listesi'!$B$5:$B$504=A245)&gt;0)*('Metraj Mahal Listesi'!$F$5:$F$504&lt;&gt;"")*(LEFT('Metraj Mahal Listesi'!$C$5:$C$504,1)&lt;&gt;"—")*('Metraj Mahal Listesi'!$J$5:$J$504=0)))</f>
        <v/>
      </c>
      <c r="H245" s="5" t="n"/>
    </row>
    <row r="246">
      <c r="A246" s="5" t="n"/>
      <c r="B246" s="5" t="n"/>
      <c r="C246" s="21">
        <f>IF(A246="","",SUMPRODUCT((('Metraj Mahal Listesi'!$A$5:$A$504=A246)+('Metraj Mahal Listesi'!$B$5:$B$504=A246)&gt;0)*'Metraj Mahal Listesi'!$K$5:$K$504))</f>
        <v/>
      </c>
      <c r="D246" s="27">
        <f>IF(OR(A246="",'Metraj Mahal Listesi'!$K$3=0),"",C246/'Metraj Mahal Listesi'!$K$3*100)</f>
        <v/>
      </c>
      <c r="E246" s="31">
        <f>IF(A246="","",SUMPRODUCT((('Metraj Mahal Listesi'!$A$5:$A$504=A246)+('Metraj Mahal Listesi'!$B$5:$B$504=A246)&gt;0)*('Metraj Mahal Listesi'!$C$5:$C$504&lt;&gt;"")))</f>
        <v/>
      </c>
      <c r="F246" s="31">
        <f>IF(A246="","",SUMPRODUCT((('Metraj Mahal Listesi'!$A$5:$A$504=A246)+('Metraj Mahal Listesi'!$B$5:$B$504=A246)&gt;0)*('Metraj Mahal Listesi'!$C$5:$C$504&lt;&gt;"")*(LEFT('Metraj Mahal Listesi'!$C$5:$C$504,1)&lt;&gt;"—")*('Metraj Mahal Listesi'!$F$5:$F$504="")))</f>
        <v/>
      </c>
      <c r="G246" s="31">
        <f>IF(A246="","",SUMPRODUCT((('Metraj Mahal Listesi'!$A$5:$A$504=A246)+('Metraj Mahal Listesi'!$B$5:$B$504=A246)&gt;0)*('Metraj Mahal Listesi'!$F$5:$F$504&lt;&gt;"")*(LEFT('Metraj Mahal Listesi'!$C$5:$C$504,1)&lt;&gt;"—")*('Metraj Mahal Listesi'!$J$5:$J$504=0)))</f>
        <v/>
      </c>
      <c r="H246" s="5" t="n"/>
    </row>
    <row r="247">
      <c r="A247" s="5" t="n"/>
      <c r="B247" s="5" t="n"/>
      <c r="C247" s="21">
        <f>IF(A247="","",SUMPRODUCT((('Metraj Mahal Listesi'!$A$5:$A$504=A247)+('Metraj Mahal Listesi'!$B$5:$B$504=A247)&gt;0)*'Metraj Mahal Listesi'!$K$5:$K$504))</f>
        <v/>
      </c>
      <c r="D247" s="27">
        <f>IF(OR(A247="",'Metraj Mahal Listesi'!$K$3=0),"",C247/'Metraj Mahal Listesi'!$K$3*100)</f>
        <v/>
      </c>
      <c r="E247" s="31">
        <f>IF(A247="","",SUMPRODUCT((('Metraj Mahal Listesi'!$A$5:$A$504=A247)+('Metraj Mahal Listesi'!$B$5:$B$504=A247)&gt;0)*('Metraj Mahal Listesi'!$C$5:$C$504&lt;&gt;"")))</f>
        <v/>
      </c>
      <c r="F247" s="31">
        <f>IF(A247="","",SUMPRODUCT((('Metraj Mahal Listesi'!$A$5:$A$504=A247)+('Metraj Mahal Listesi'!$B$5:$B$504=A247)&gt;0)*('Metraj Mahal Listesi'!$C$5:$C$504&lt;&gt;"")*(LEFT('Metraj Mahal Listesi'!$C$5:$C$504,1)&lt;&gt;"—")*('Metraj Mahal Listesi'!$F$5:$F$504="")))</f>
        <v/>
      </c>
      <c r="G247" s="31">
        <f>IF(A247="","",SUMPRODUCT((('Metraj Mahal Listesi'!$A$5:$A$504=A247)+('Metraj Mahal Listesi'!$B$5:$B$504=A247)&gt;0)*('Metraj Mahal Listesi'!$F$5:$F$504&lt;&gt;"")*(LEFT('Metraj Mahal Listesi'!$C$5:$C$504,1)&lt;&gt;"—")*('Metraj Mahal Listesi'!$J$5:$J$504=0)))</f>
        <v/>
      </c>
      <c r="H247" s="5" t="n"/>
    </row>
    <row r="248">
      <c r="A248" s="5" t="n"/>
      <c r="B248" s="5" t="n"/>
      <c r="C248" s="21">
        <f>IF(A248="","",SUMPRODUCT((('Metraj Mahal Listesi'!$A$5:$A$504=A248)+('Metraj Mahal Listesi'!$B$5:$B$504=A248)&gt;0)*'Metraj Mahal Listesi'!$K$5:$K$504))</f>
        <v/>
      </c>
      <c r="D248" s="27">
        <f>IF(OR(A248="",'Metraj Mahal Listesi'!$K$3=0),"",C248/'Metraj Mahal Listesi'!$K$3*100)</f>
        <v/>
      </c>
      <c r="E248" s="31">
        <f>IF(A248="","",SUMPRODUCT((('Metraj Mahal Listesi'!$A$5:$A$504=A248)+('Metraj Mahal Listesi'!$B$5:$B$504=A248)&gt;0)*('Metraj Mahal Listesi'!$C$5:$C$504&lt;&gt;"")))</f>
        <v/>
      </c>
      <c r="F248" s="31">
        <f>IF(A248="","",SUMPRODUCT((('Metraj Mahal Listesi'!$A$5:$A$504=A248)+('Metraj Mahal Listesi'!$B$5:$B$504=A248)&gt;0)*('Metraj Mahal Listesi'!$C$5:$C$504&lt;&gt;"")*(LEFT('Metraj Mahal Listesi'!$C$5:$C$504,1)&lt;&gt;"—")*('Metraj Mahal Listesi'!$F$5:$F$504="")))</f>
        <v/>
      </c>
      <c r="G248" s="31">
        <f>IF(A248="","",SUMPRODUCT((('Metraj Mahal Listesi'!$A$5:$A$504=A248)+('Metraj Mahal Listesi'!$B$5:$B$504=A248)&gt;0)*('Metraj Mahal Listesi'!$F$5:$F$504&lt;&gt;"")*(LEFT('Metraj Mahal Listesi'!$C$5:$C$504,1)&lt;&gt;"—")*('Metraj Mahal Listesi'!$J$5:$J$504=0)))</f>
        <v/>
      </c>
      <c r="H248" s="5" t="n"/>
    </row>
    <row r="249">
      <c r="A249" s="5" t="n"/>
      <c r="B249" s="5" t="n"/>
      <c r="C249" s="21">
        <f>IF(A249="","",SUMPRODUCT((('Metraj Mahal Listesi'!$A$5:$A$504=A249)+('Metraj Mahal Listesi'!$B$5:$B$504=A249)&gt;0)*'Metraj Mahal Listesi'!$K$5:$K$504))</f>
        <v/>
      </c>
      <c r="D249" s="27">
        <f>IF(OR(A249="",'Metraj Mahal Listesi'!$K$3=0),"",C249/'Metraj Mahal Listesi'!$K$3*100)</f>
        <v/>
      </c>
      <c r="E249" s="31">
        <f>IF(A249="","",SUMPRODUCT((('Metraj Mahal Listesi'!$A$5:$A$504=A249)+('Metraj Mahal Listesi'!$B$5:$B$504=A249)&gt;0)*('Metraj Mahal Listesi'!$C$5:$C$504&lt;&gt;"")))</f>
        <v/>
      </c>
      <c r="F249" s="31">
        <f>IF(A249="","",SUMPRODUCT((('Metraj Mahal Listesi'!$A$5:$A$504=A249)+('Metraj Mahal Listesi'!$B$5:$B$504=A249)&gt;0)*('Metraj Mahal Listesi'!$C$5:$C$504&lt;&gt;"")*(LEFT('Metraj Mahal Listesi'!$C$5:$C$504,1)&lt;&gt;"—")*('Metraj Mahal Listesi'!$F$5:$F$504="")))</f>
        <v/>
      </c>
      <c r="G249" s="31">
        <f>IF(A249="","",SUMPRODUCT((('Metraj Mahal Listesi'!$A$5:$A$504=A249)+('Metraj Mahal Listesi'!$B$5:$B$504=A249)&gt;0)*('Metraj Mahal Listesi'!$F$5:$F$504&lt;&gt;"")*(LEFT('Metraj Mahal Listesi'!$C$5:$C$504,1)&lt;&gt;"—")*('Metraj Mahal Listesi'!$J$5:$J$504=0)))</f>
        <v/>
      </c>
      <c r="H249" s="5" t="n"/>
    </row>
    <row r="250">
      <c r="A250" s="5" t="n"/>
      <c r="B250" s="5" t="n"/>
      <c r="C250" s="21">
        <f>IF(A250="","",SUMPRODUCT((('Metraj Mahal Listesi'!$A$5:$A$504=A250)+('Metraj Mahal Listesi'!$B$5:$B$504=A250)&gt;0)*'Metraj Mahal Listesi'!$K$5:$K$504))</f>
        <v/>
      </c>
      <c r="D250" s="27">
        <f>IF(OR(A250="",'Metraj Mahal Listesi'!$K$3=0),"",C250/'Metraj Mahal Listesi'!$K$3*100)</f>
        <v/>
      </c>
      <c r="E250" s="31">
        <f>IF(A250="","",SUMPRODUCT((('Metraj Mahal Listesi'!$A$5:$A$504=A250)+('Metraj Mahal Listesi'!$B$5:$B$504=A250)&gt;0)*('Metraj Mahal Listesi'!$C$5:$C$504&lt;&gt;"")))</f>
        <v/>
      </c>
      <c r="F250" s="31">
        <f>IF(A250="","",SUMPRODUCT((('Metraj Mahal Listesi'!$A$5:$A$504=A250)+('Metraj Mahal Listesi'!$B$5:$B$504=A250)&gt;0)*('Metraj Mahal Listesi'!$C$5:$C$504&lt;&gt;"")*(LEFT('Metraj Mahal Listesi'!$C$5:$C$504,1)&lt;&gt;"—")*('Metraj Mahal Listesi'!$F$5:$F$504="")))</f>
        <v/>
      </c>
      <c r="G250" s="31">
        <f>IF(A250="","",SUMPRODUCT((('Metraj Mahal Listesi'!$A$5:$A$504=A250)+('Metraj Mahal Listesi'!$B$5:$B$504=A250)&gt;0)*('Metraj Mahal Listesi'!$F$5:$F$504&lt;&gt;"")*(LEFT('Metraj Mahal Listesi'!$C$5:$C$504,1)&lt;&gt;"—")*('Metraj Mahal Listesi'!$J$5:$J$504=0)))</f>
        <v/>
      </c>
      <c r="H250" s="5" t="n"/>
    </row>
    <row r="251">
      <c r="A251" s="5" t="n"/>
      <c r="B251" s="5" t="n"/>
      <c r="C251" s="21">
        <f>IF(A251="","",SUMPRODUCT((('Metraj Mahal Listesi'!$A$5:$A$504=A251)+('Metraj Mahal Listesi'!$B$5:$B$504=A251)&gt;0)*'Metraj Mahal Listesi'!$K$5:$K$504))</f>
        <v/>
      </c>
      <c r="D251" s="27">
        <f>IF(OR(A251="",'Metraj Mahal Listesi'!$K$3=0),"",C251/'Metraj Mahal Listesi'!$K$3*100)</f>
        <v/>
      </c>
      <c r="E251" s="31">
        <f>IF(A251="","",SUMPRODUCT((('Metraj Mahal Listesi'!$A$5:$A$504=A251)+('Metraj Mahal Listesi'!$B$5:$B$504=A251)&gt;0)*('Metraj Mahal Listesi'!$C$5:$C$504&lt;&gt;"")))</f>
        <v/>
      </c>
      <c r="F251" s="31">
        <f>IF(A251="","",SUMPRODUCT((('Metraj Mahal Listesi'!$A$5:$A$504=A251)+('Metraj Mahal Listesi'!$B$5:$B$504=A251)&gt;0)*('Metraj Mahal Listesi'!$C$5:$C$504&lt;&gt;"")*(LEFT('Metraj Mahal Listesi'!$C$5:$C$504,1)&lt;&gt;"—")*('Metraj Mahal Listesi'!$F$5:$F$504="")))</f>
        <v/>
      </c>
      <c r="G251" s="31">
        <f>IF(A251="","",SUMPRODUCT((('Metraj Mahal Listesi'!$A$5:$A$504=A251)+('Metraj Mahal Listesi'!$B$5:$B$504=A251)&gt;0)*('Metraj Mahal Listesi'!$F$5:$F$504&lt;&gt;"")*(LEFT('Metraj Mahal Listesi'!$C$5:$C$504,1)&lt;&gt;"—")*('Metraj Mahal Listesi'!$J$5:$J$504=0)))</f>
        <v/>
      </c>
      <c r="H251" s="5" t="n"/>
    </row>
    <row r="252">
      <c r="A252" s="5" t="n"/>
      <c r="B252" s="5" t="n"/>
      <c r="C252" s="21">
        <f>IF(A252="","",SUMPRODUCT((('Metraj Mahal Listesi'!$A$5:$A$504=A252)+('Metraj Mahal Listesi'!$B$5:$B$504=A252)&gt;0)*'Metraj Mahal Listesi'!$K$5:$K$504))</f>
        <v/>
      </c>
      <c r="D252" s="27">
        <f>IF(OR(A252="",'Metraj Mahal Listesi'!$K$3=0),"",C252/'Metraj Mahal Listesi'!$K$3*100)</f>
        <v/>
      </c>
      <c r="E252" s="31">
        <f>IF(A252="","",SUMPRODUCT((('Metraj Mahal Listesi'!$A$5:$A$504=A252)+('Metraj Mahal Listesi'!$B$5:$B$504=A252)&gt;0)*('Metraj Mahal Listesi'!$C$5:$C$504&lt;&gt;"")))</f>
        <v/>
      </c>
      <c r="F252" s="31">
        <f>IF(A252="","",SUMPRODUCT((('Metraj Mahal Listesi'!$A$5:$A$504=A252)+('Metraj Mahal Listesi'!$B$5:$B$504=A252)&gt;0)*('Metraj Mahal Listesi'!$C$5:$C$504&lt;&gt;"")*(LEFT('Metraj Mahal Listesi'!$C$5:$C$504,1)&lt;&gt;"—")*('Metraj Mahal Listesi'!$F$5:$F$504="")))</f>
        <v/>
      </c>
      <c r="G252" s="31">
        <f>IF(A252="","",SUMPRODUCT((('Metraj Mahal Listesi'!$A$5:$A$504=A252)+('Metraj Mahal Listesi'!$B$5:$B$504=A252)&gt;0)*('Metraj Mahal Listesi'!$F$5:$F$504&lt;&gt;"")*(LEFT('Metraj Mahal Listesi'!$C$5:$C$504,1)&lt;&gt;"—")*('Metraj Mahal Listesi'!$J$5:$J$504=0)))</f>
        <v/>
      </c>
      <c r="H252" s="5" t="n"/>
    </row>
    <row r="253">
      <c r="A253" s="5" t="n"/>
      <c r="B253" s="5" t="n"/>
      <c r="C253" s="21">
        <f>IF(A253="","",SUMPRODUCT((('Metraj Mahal Listesi'!$A$5:$A$504=A253)+('Metraj Mahal Listesi'!$B$5:$B$504=A253)&gt;0)*'Metraj Mahal Listesi'!$K$5:$K$504))</f>
        <v/>
      </c>
      <c r="D253" s="27">
        <f>IF(OR(A253="",'Metraj Mahal Listesi'!$K$3=0),"",C253/'Metraj Mahal Listesi'!$K$3*100)</f>
        <v/>
      </c>
      <c r="E253" s="31">
        <f>IF(A253="","",SUMPRODUCT((('Metraj Mahal Listesi'!$A$5:$A$504=A253)+('Metraj Mahal Listesi'!$B$5:$B$504=A253)&gt;0)*('Metraj Mahal Listesi'!$C$5:$C$504&lt;&gt;"")))</f>
        <v/>
      </c>
      <c r="F253" s="31">
        <f>IF(A253="","",SUMPRODUCT((('Metraj Mahal Listesi'!$A$5:$A$504=A253)+('Metraj Mahal Listesi'!$B$5:$B$504=A253)&gt;0)*('Metraj Mahal Listesi'!$C$5:$C$504&lt;&gt;"")*(LEFT('Metraj Mahal Listesi'!$C$5:$C$504,1)&lt;&gt;"—")*('Metraj Mahal Listesi'!$F$5:$F$504="")))</f>
        <v/>
      </c>
      <c r="G253" s="31">
        <f>IF(A253="","",SUMPRODUCT((('Metraj Mahal Listesi'!$A$5:$A$504=A253)+('Metraj Mahal Listesi'!$B$5:$B$504=A253)&gt;0)*('Metraj Mahal Listesi'!$F$5:$F$504&lt;&gt;"")*(LEFT('Metraj Mahal Listesi'!$C$5:$C$504,1)&lt;&gt;"—")*('Metraj Mahal Listesi'!$J$5:$J$504=0)))</f>
        <v/>
      </c>
      <c r="H253" s="5" t="n"/>
    </row>
    <row r="254">
      <c r="A254" s="5" t="n"/>
      <c r="B254" s="5" t="n"/>
      <c r="C254" s="21">
        <f>IF(A254="","",SUMPRODUCT((('Metraj Mahal Listesi'!$A$5:$A$504=A254)+('Metraj Mahal Listesi'!$B$5:$B$504=A254)&gt;0)*'Metraj Mahal Listesi'!$K$5:$K$504))</f>
        <v/>
      </c>
      <c r="D254" s="27">
        <f>IF(OR(A254="",'Metraj Mahal Listesi'!$K$3=0),"",C254/'Metraj Mahal Listesi'!$K$3*100)</f>
        <v/>
      </c>
      <c r="E254" s="31">
        <f>IF(A254="","",SUMPRODUCT((('Metraj Mahal Listesi'!$A$5:$A$504=A254)+('Metraj Mahal Listesi'!$B$5:$B$504=A254)&gt;0)*('Metraj Mahal Listesi'!$C$5:$C$504&lt;&gt;"")))</f>
        <v/>
      </c>
      <c r="F254" s="31">
        <f>IF(A254="","",SUMPRODUCT((('Metraj Mahal Listesi'!$A$5:$A$504=A254)+('Metraj Mahal Listesi'!$B$5:$B$504=A254)&gt;0)*('Metraj Mahal Listesi'!$C$5:$C$504&lt;&gt;"")*(LEFT('Metraj Mahal Listesi'!$C$5:$C$504,1)&lt;&gt;"—")*('Metraj Mahal Listesi'!$F$5:$F$504="")))</f>
        <v/>
      </c>
      <c r="G254" s="31">
        <f>IF(A254="","",SUMPRODUCT((('Metraj Mahal Listesi'!$A$5:$A$504=A254)+('Metraj Mahal Listesi'!$B$5:$B$504=A254)&gt;0)*('Metraj Mahal Listesi'!$F$5:$F$504&lt;&gt;"")*(LEFT('Metraj Mahal Listesi'!$C$5:$C$504,1)&lt;&gt;"—")*('Metraj Mahal Listesi'!$J$5:$J$504=0)))</f>
        <v/>
      </c>
      <c r="H254" s="5" t="n"/>
    </row>
    <row r="255">
      <c r="A255" s="5" t="n"/>
      <c r="B255" s="5" t="n"/>
      <c r="C255" s="21">
        <f>IF(A255="","",SUMPRODUCT((('Metraj Mahal Listesi'!$A$5:$A$504=A255)+('Metraj Mahal Listesi'!$B$5:$B$504=A255)&gt;0)*'Metraj Mahal Listesi'!$K$5:$K$504))</f>
        <v/>
      </c>
      <c r="D255" s="27">
        <f>IF(OR(A255="",'Metraj Mahal Listesi'!$K$3=0),"",C255/'Metraj Mahal Listesi'!$K$3*100)</f>
        <v/>
      </c>
      <c r="E255" s="31">
        <f>IF(A255="","",SUMPRODUCT((('Metraj Mahal Listesi'!$A$5:$A$504=A255)+('Metraj Mahal Listesi'!$B$5:$B$504=A255)&gt;0)*('Metraj Mahal Listesi'!$C$5:$C$504&lt;&gt;"")))</f>
        <v/>
      </c>
      <c r="F255" s="31">
        <f>IF(A255="","",SUMPRODUCT((('Metraj Mahal Listesi'!$A$5:$A$504=A255)+('Metraj Mahal Listesi'!$B$5:$B$504=A255)&gt;0)*('Metraj Mahal Listesi'!$C$5:$C$504&lt;&gt;"")*(LEFT('Metraj Mahal Listesi'!$C$5:$C$504,1)&lt;&gt;"—")*('Metraj Mahal Listesi'!$F$5:$F$504="")))</f>
        <v/>
      </c>
      <c r="G255" s="31">
        <f>IF(A255="","",SUMPRODUCT((('Metraj Mahal Listesi'!$A$5:$A$504=A255)+('Metraj Mahal Listesi'!$B$5:$B$504=A255)&gt;0)*('Metraj Mahal Listesi'!$F$5:$F$504&lt;&gt;"")*(LEFT('Metraj Mahal Listesi'!$C$5:$C$504,1)&lt;&gt;"—")*('Metraj Mahal Listesi'!$J$5:$J$504=0)))</f>
        <v/>
      </c>
      <c r="H255" s="5" t="n"/>
    </row>
    <row r="256">
      <c r="A256" s="5" t="n"/>
      <c r="B256" s="5" t="n"/>
      <c r="C256" s="21">
        <f>IF(A256="","",SUMPRODUCT((('Metraj Mahal Listesi'!$A$5:$A$504=A256)+('Metraj Mahal Listesi'!$B$5:$B$504=A256)&gt;0)*'Metraj Mahal Listesi'!$K$5:$K$504))</f>
        <v/>
      </c>
      <c r="D256" s="27">
        <f>IF(OR(A256="",'Metraj Mahal Listesi'!$K$3=0),"",C256/'Metraj Mahal Listesi'!$K$3*100)</f>
        <v/>
      </c>
      <c r="E256" s="31">
        <f>IF(A256="","",SUMPRODUCT((('Metraj Mahal Listesi'!$A$5:$A$504=A256)+('Metraj Mahal Listesi'!$B$5:$B$504=A256)&gt;0)*('Metraj Mahal Listesi'!$C$5:$C$504&lt;&gt;"")))</f>
        <v/>
      </c>
      <c r="F256" s="31">
        <f>IF(A256="","",SUMPRODUCT((('Metraj Mahal Listesi'!$A$5:$A$504=A256)+('Metraj Mahal Listesi'!$B$5:$B$504=A256)&gt;0)*('Metraj Mahal Listesi'!$C$5:$C$504&lt;&gt;"")*(LEFT('Metraj Mahal Listesi'!$C$5:$C$504,1)&lt;&gt;"—")*('Metraj Mahal Listesi'!$F$5:$F$504="")))</f>
        <v/>
      </c>
      <c r="G256" s="31">
        <f>IF(A256="","",SUMPRODUCT((('Metraj Mahal Listesi'!$A$5:$A$504=A256)+('Metraj Mahal Listesi'!$B$5:$B$504=A256)&gt;0)*('Metraj Mahal Listesi'!$F$5:$F$504&lt;&gt;"")*(LEFT('Metraj Mahal Listesi'!$C$5:$C$504,1)&lt;&gt;"—")*('Metraj Mahal Listesi'!$J$5:$J$504=0)))</f>
        <v/>
      </c>
      <c r="H256" s="5" t="n"/>
    </row>
    <row r="257">
      <c r="A257" s="5" t="n"/>
      <c r="B257" s="5" t="n"/>
      <c r="C257" s="21">
        <f>IF(A257="","",SUMPRODUCT((('Metraj Mahal Listesi'!$A$5:$A$504=A257)+('Metraj Mahal Listesi'!$B$5:$B$504=A257)&gt;0)*'Metraj Mahal Listesi'!$K$5:$K$504))</f>
        <v/>
      </c>
      <c r="D257" s="27">
        <f>IF(OR(A257="",'Metraj Mahal Listesi'!$K$3=0),"",C257/'Metraj Mahal Listesi'!$K$3*100)</f>
        <v/>
      </c>
      <c r="E257" s="31">
        <f>IF(A257="","",SUMPRODUCT((('Metraj Mahal Listesi'!$A$5:$A$504=A257)+('Metraj Mahal Listesi'!$B$5:$B$504=A257)&gt;0)*('Metraj Mahal Listesi'!$C$5:$C$504&lt;&gt;"")))</f>
        <v/>
      </c>
      <c r="F257" s="31">
        <f>IF(A257="","",SUMPRODUCT((('Metraj Mahal Listesi'!$A$5:$A$504=A257)+('Metraj Mahal Listesi'!$B$5:$B$504=A257)&gt;0)*('Metraj Mahal Listesi'!$C$5:$C$504&lt;&gt;"")*(LEFT('Metraj Mahal Listesi'!$C$5:$C$504,1)&lt;&gt;"—")*('Metraj Mahal Listesi'!$F$5:$F$504="")))</f>
        <v/>
      </c>
      <c r="G257" s="31">
        <f>IF(A257="","",SUMPRODUCT((('Metraj Mahal Listesi'!$A$5:$A$504=A257)+('Metraj Mahal Listesi'!$B$5:$B$504=A257)&gt;0)*('Metraj Mahal Listesi'!$F$5:$F$504&lt;&gt;"")*(LEFT('Metraj Mahal Listesi'!$C$5:$C$504,1)&lt;&gt;"—")*('Metraj Mahal Listesi'!$J$5:$J$504=0)))</f>
        <v/>
      </c>
      <c r="H257" s="5" t="n"/>
    </row>
    <row r="258">
      <c r="A258" s="5" t="n"/>
      <c r="B258" s="5" t="n"/>
      <c r="C258" s="21">
        <f>IF(A258="","",SUMPRODUCT((('Metraj Mahal Listesi'!$A$5:$A$504=A258)+('Metraj Mahal Listesi'!$B$5:$B$504=A258)&gt;0)*'Metraj Mahal Listesi'!$K$5:$K$504))</f>
        <v/>
      </c>
      <c r="D258" s="27">
        <f>IF(OR(A258="",'Metraj Mahal Listesi'!$K$3=0),"",C258/'Metraj Mahal Listesi'!$K$3*100)</f>
        <v/>
      </c>
      <c r="E258" s="31">
        <f>IF(A258="","",SUMPRODUCT((('Metraj Mahal Listesi'!$A$5:$A$504=A258)+('Metraj Mahal Listesi'!$B$5:$B$504=A258)&gt;0)*('Metraj Mahal Listesi'!$C$5:$C$504&lt;&gt;"")))</f>
        <v/>
      </c>
      <c r="F258" s="31">
        <f>IF(A258="","",SUMPRODUCT((('Metraj Mahal Listesi'!$A$5:$A$504=A258)+('Metraj Mahal Listesi'!$B$5:$B$504=A258)&gt;0)*('Metraj Mahal Listesi'!$C$5:$C$504&lt;&gt;"")*(LEFT('Metraj Mahal Listesi'!$C$5:$C$504,1)&lt;&gt;"—")*('Metraj Mahal Listesi'!$F$5:$F$504="")))</f>
        <v/>
      </c>
      <c r="G258" s="31">
        <f>IF(A258="","",SUMPRODUCT((('Metraj Mahal Listesi'!$A$5:$A$504=A258)+('Metraj Mahal Listesi'!$B$5:$B$504=A258)&gt;0)*('Metraj Mahal Listesi'!$F$5:$F$504&lt;&gt;"")*(LEFT('Metraj Mahal Listesi'!$C$5:$C$504,1)&lt;&gt;"—")*('Metraj Mahal Listesi'!$J$5:$J$504=0)))</f>
        <v/>
      </c>
      <c r="H258" s="5" t="n"/>
    </row>
    <row r="259">
      <c r="A259" s="5" t="n"/>
      <c r="B259" s="5" t="n"/>
      <c r="C259" s="21">
        <f>IF(A259="","",SUMPRODUCT((('Metraj Mahal Listesi'!$A$5:$A$504=A259)+('Metraj Mahal Listesi'!$B$5:$B$504=A259)&gt;0)*'Metraj Mahal Listesi'!$K$5:$K$504))</f>
        <v/>
      </c>
      <c r="D259" s="27">
        <f>IF(OR(A259="",'Metraj Mahal Listesi'!$K$3=0),"",C259/'Metraj Mahal Listesi'!$K$3*100)</f>
        <v/>
      </c>
      <c r="E259" s="31">
        <f>IF(A259="","",SUMPRODUCT((('Metraj Mahal Listesi'!$A$5:$A$504=A259)+('Metraj Mahal Listesi'!$B$5:$B$504=A259)&gt;0)*('Metraj Mahal Listesi'!$C$5:$C$504&lt;&gt;"")))</f>
        <v/>
      </c>
      <c r="F259" s="31">
        <f>IF(A259="","",SUMPRODUCT((('Metraj Mahal Listesi'!$A$5:$A$504=A259)+('Metraj Mahal Listesi'!$B$5:$B$504=A259)&gt;0)*('Metraj Mahal Listesi'!$C$5:$C$504&lt;&gt;"")*(LEFT('Metraj Mahal Listesi'!$C$5:$C$504,1)&lt;&gt;"—")*('Metraj Mahal Listesi'!$F$5:$F$504="")))</f>
        <v/>
      </c>
      <c r="G259" s="31">
        <f>IF(A259="","",SUMPRODUCT((('Metraj Mahal Listesi'!$A$5:$A$504=A259)+('Metraj Mahal Listesi'!$B$5:$B$504=A259)&gt;0)*('Metraj Mahal Listesi'!$F$5:$F$504&lt;&gt;"")*(LEFT('Metraj Mahal Listesi'!$C$5:$C$504,1)&lt;&gt;"—")*('Metraj Mahal Listesi'!$J$5:$J$504=0)))</f>
        <v/>
      </c>
      <c r="H259" s="5" t="n"/>
    </row>
    <row r="260">
      <c r="A260" s="5" t="n"/>
      <c r="B260" s="5" t="n"/>
      <c r="C260" s="21">
        <f>IF(A260="","",SUMPRODUCT((('Metraj Mahal Listesi'!$A$5:$A$504=A260)+('Metraj Mahal Listesi'!$B$5:$B$504=A260)&gt;0)*'Metraj Mahal Listesi'!$K$5:$K$504))</f>
        <v/>
      </c>
      <c r="D260" s="27">
        <f>IF(OR(A260="",'Metraj Mahal Listesi'!$K$3=0),"",C260/'Metraj Mahal Listesi'!$K$3*100)</f>
        <v/>
      </c>
      <c r="E260" s="31">
        <f>IF(A260="","",SUMPRODUCT((('Metraj Mahal Listesi'!$A$5:$A$504=A260)+('Metraj Mahal Listesi'!$B$5:$B$504=A260)&gt;0)*('Metraj Mahal Listesi'!$C$5:$C$504&lt;&gt;"")))</f>
        <v/>
      </c>
      <c r="F260" s="31">
        <f>IF(A260="","",SUMPRODUCT((('Metraj Mahal Listesi'!$A$5:$A$504=A260)+('Metraj Mahal Listesi'!$B$5:$B$504=A260)&gt;0)*('Metraj Mahal Listesi'!$C$5:$C$504&lt;&gt;"")*(LEFT('Metraj Mahal Listesi'!$C$5:$C$504,1)&lt;&gt;"—")*('Metraj Mahal Listesi'!$F$5:$F$504="")))</f>
        <v/>
      </c>
      <c r="G260" s="31">
        <f>IF(A260="","",SUMPRODUCT((('Metraj Mahal Listesi'!$A$5:$A$504=A260)+('Metraj Mahal Listesi'!$B$5:$B$504=A260)&gt;0)*('Metraj Mahal Listesi'!$F$5:$F$504&lt;&gt;"")*(LEFT('Metraj Mahal Listesi'!$C$5:$C$504,1)&lt;&gt;"—")*('Metraj Mahal Listesi'!$J$5:$J$504=0)))</f>
        <v/>
      </c>
      <c r="H260" s="5" t="n"/>
    </row>
    <row r="261">
      <c r="A261" s="5" t="n"/>
      <c r="B261" s="5" t="n"/>
      <c r="C261" s="21">
        <f>IF(A261="","",SUMPRODUCT((('Metraj Mahal Listesi'!$A$5:$A$504=A261)+('Metraj Mahal Listesi'!$B$5:$B$504=A261)&gt;0)*'Metraj Mahal Listesi'!$K$5:$K$504))</f>
        <v/>
      </c>
      <c r="D261" s="27">
        <f>IF(OR(A261="",'Metraj Mahal Listesi'!$K$3=0),"",C261/'Metraj Mahal Listesi'!$K$3*100)</f>
        <v/>
      </c>
      <c r="E261" s="31">
        <f>IF(A261="","",SUMPRODUCT((('Metraj Mahal Listesi'!$A$5:$A$504=A261)+('Metraj Mahal Listesi'!$B$5:$B$504=A261)&gt;0)*('Metraj Mahal Listesi'!$C$5:$C$504&lt;&gt;"")))</f>
        <v/>
      </c>
      <c r="F261" s="31">
        <f>IF(A261="","",SUMPRODUCT((('Metraj Mahal Listesi'!$A$5:$A$504=A261)+('Metraj Mahal Listesi'!$B$5:$B$504=A261)&gt;0)*('Metraj Mahal Listesi'!$C$5:$C$504&lt;&gt;"")*(LEFT('Metraj Mahal Listesi'!$C$5:$C$504,1)&lt;&gt;"—")*('Metraj Mahal Listesi'!$F$5:$F$504="")))</f>
        <v/>
      </c>
      <c r="G261" s="31">
        <f>IF(A261="","",SUMPRODUCT((('Metraj Mahal Listesi'!$A$5:$A$504=A261)+('Metraj Mahal Listesi'!$B$5:$B$504=A261)&gt;0)*('Metraj Mahal Listesi'!$F$5:$F$504&lt;&gt;"")*(LEFT('Metraj Mahal Listesi'!$C$5:$C$504,1)&lt;&gt;"—")*('Metraj Mahal Listesi'!$J$5:$J$504=0)))</f>
        <v/>
      </c>
      <c r="H261" s="5" t="n"/>
    </row>
    <row r="262">
      <c r="A262" s="5" t="n"/>
      <c r="B262" s="5" t="n"/>
      <c r="C262" s="21">
        <f>IF(A262="","",SUMPRODUCT((('Metraj Mahal Listesi'!$A$5:$A$504=A262)+('Metraj Mahal Listesi'!$B$5:$B$504=A262)&gt;0)*'Metraj Mahal Listesi'!$K$5:$K$504))</f>
        <v/>
      </c>
      <c r="D262" s="27">
        <f>IF(OR(A262="",'Metraj Mahal Listesi'!$K$3=0),"",C262/'Metraj Mahal Listesi'!$K$3*100)</f>
        <v/>
      </c>
      <c r="E262" s="31">
        <f>IF(A262="","",SUMPRODUCT((('Metraj Mahal Listesi'!$A$5:$A$504=A262)+('Metraj Mahal Listesi'!$B$5:$B$504=A262)&gt;0)*('Metraj Mahal Listesi'!$C$5:$C$504&lt;&gt;"")))</f>
        <v/>
      </c>
      <c r="F262" s="31">
        <f>IF(A262="","",SUMPRODUCT((('Metraj Mahal Listesi'!$A$5:$A$504=A262)+('Metraj Mahal Listesi'!$B$5:$B$504=A262)&gt;0)*('Metraj Mahal Listesi'!$C$5:$C$504&lt;&gt;"")*(LEFT('Metraj Mahal Listesi'!$C$5:$C$504,1)&lt;&gt;"—")*('Metraj Mahal Listesi'!$F$5:$F$504="")))</f>
        <v/>
      </c>
      <c r="G262" s="31">
        <f>IF(A262="","",SUMPRODUCT((('Metraj Mahal Listesi'!$A$5:$A$504=A262)+('Metraj Mahal Listesi'!$B$5:$B$504=A262)&gt;0)*('Metraj Mahal Listesi'!$F$5:$F$504&lt;&gt;"")*(LEFT('Metraj Mahal Listesi'!$C$5:$C$504,1)&lt;&gt;"—")*('Metraj Mahal Listesi'!$J$5:$J$504=0)))</f>
        <v/>
      </c>
      <c r="H262" s="5" t="n"/>
    </row>
    <row r="263">
      <c r="A263" s="5" t="n"/>
      <c r="B263" s="5" t="n"/>
      <c r="C263" s="21">
        <f>IF(A263="","",SUMPRODUCT((('Metraj Mahal Listesi'!$A$5:$A$504=A263)+('Metraj Mahal Listesi'!$B$5:$B$504=A263)&gt;0)*'Metraj Mahal Listesi'!$K$5:$K$504))</f>
        <v/>
      </c>
      <c r="D263" s="27">
        <f>IF(OR(A263="",'Metraj Mahal Listesi'!$K$3=0),"",C263/'Metraj Mahal Listesi'!$K$3*100)</f>
        <v/>
      </c>
      <c r="E263" s="31">
        <f>IF(A263="","",SUMPRODUCT((('Metraj Mahal Listesi'!$A$5:$A$504=A263)+('Metraj Mahal Listesi'!$B$5:$B$504=A263)&gt;0)*('Metraj Mahal Listesi'!$C$5:$C$504&lt;&gt;"")))</f>
        <v/>
      </c>
      <c r="F263" s="31">
        <f>IF(A263="","",SUMPRODUCT((('Metraj Mahal Listesi'!$A$5:$A$504=A263)+('Metraj Mahal Listesi'!$B$5:$B$504=A263)&gt;0)*('Metraj Mahal Listesi'!$C$5:$C$504&lt;&gt;"")*(LEFT('Metraj Mahal Listesi'!$C$5:$C$504,1)&lt;&gt;"—")*('Metraj Mahal Listesi'!$F$5:$F$504="")))</f>
        <v/>
      </c>
      <c r="G263" s="31">
        <f>IF(A263="","",SUMPRODUCT((('Metraj Mahal Listesi'!$A$5:$A$504=A263)+('Metraj Mahal Listesi'!$B$5:$B$504=A263)&gt;0)*('Metraj Mahal Listesi'!$F$5:$F$504&lt;&gt;"")*(LEFT('Metraj Mahal Listesi'!$C$5:$C$504,1)&lt;&gt;"—")*('Metraj Mahal Listesi'!$J$5:$J$504=0)))</f>
        <v/>
      </c>
      <c r="H263" s="5" t="n"/>
    </row>
    <row r="264">
      <c r="A264" s="5" t="n"/>
      <c r="B264" s="5" t="n"/>
      <c r="C264" s="21">
        <f>IF(A264="","",SUMPRODUCT((('Metraj Mahal Listesi'!$A$5:$A$504=A264)+('Metraj Mahal Listesi'!$B$5:$B$504=A264)&gt;0)*'Metraj Mahal Listesi'!$K$5:$K$504))</f>
        <v/>
      </c>
      <c r="D264" s="27">
        <f>IF(OR(A264="",'Metraj Mahal Listesi'!$K$3=0),"",C264/'Metraj Mahal Listesi'!$K$3*100)</f>
        <v/>
      </c>
      <c r="E264" s="31">
        <f>IF(A264="","",SUMPRODUCT((('Metraj Mahal Listesi'!$A$5:$A$504=A264)+('Metraj Mahal Listesi'!$B$5:$B$504=A264)&gt;0)*('Metraj Mahal Listesi'!$C$5:$C$504&lt;&gt;"")))</f>
        <v/>
      </c>
      <c r="F264" s="31">
        <f>IF(A264="","",SUMPRODUCT((('Metraj Mahal Listesi'!$A$5:$A$504=A264)+('Metraj Mahal Listesi'!$B$5:$B$504=A264)&gt;0)*('Metraj Mahal Listesi'!$C$5:$C$504&lt;&gt;"")*(LEFT('Metraj Mahal Listesi'!$C$5:$C$504,1)&lt;&gt;"—")*('Metraj Mahal Listesi'!$F$5:$F$504="")))</f>
        <v/>
      </c>
      <c r="G264" s="31">
        <f>IF(A264="","",SUMPRODUCT((('Metraj Mahal Listesi'!$A$5:$A$504=A264)+('Metraj Mahal Listesi'!$B$5:$B$504=A264)&gt;0)*('Metraj Mahal Listesi'!$F$5:$F$504&lt;&gt;"")*(LEFT('Metraj Mahal Listesi'!$C$5:$C$504,1)&lt;&gt;"—")*('Metraj Mahal Listesi'!$J$5:$J$504=0)))</f>
        <v/>
      </c>
      <c r="H264" s="5" t="n"/>
    </row>
    <row r="265">
      <c r="A265" s="5" t="n"/>
      <c r="B265" s="5" t="n"/>
      <c r="C265" s="21">
        <f>IF(A265="","",SUMPRODUCT((('Metraj Mahal Listesi'!$A$5:$A$504=A265)+('Metraj Mahal Listesi'!$B$5:$B$504=A265)&gt;0)*'Metraj Mahal Listesi'!$K$5:$K$504))</f>
        <v/>
      </c>
      <c r="D265" s="27">
        <f>IF(OR(A265="",'Metraj Mahal Listesi'!$K$3=0),"",C265/'Metraj Mahal Listesi'!$K$3*100)</f>
        <v/>
      </c>
      <c r="E265" s="31">
        <f>IF(A265="","",SUMPRODUCT((('Metraj Mahal Listesi'!$A$5:$A$504=A265)+('Metraj Mahal Listesi'!$B$5:$B$504=A265)&gt;0)*('Metraj Mahal Listesi'!$C$5:$C$504&lt;&gt;"")))</f>
        <v/>
      </c>
      <c r="F265" s="31">
        <f>IF(A265="","",SUMPRODUCT((('Metraj Mahal Listesi'!$A$5:$A$504=A265)+('Metraj Mahal Listesi'!$B$5:$B$504=A265)&gt;0)*('Metraj Mahal Listesi'!$C$5:$C$504&lt;&gt;"")*(LEFT('Metraj Mahal Listesi'!$C$5:$C$504,1)&lt;&gt;"—")*('Metraj Mahal Listesi'!$F$5:$F$504="")))</f>
        <v/>
      </c>
      <c r="G265" s="31">
        <f>IF(A265="","",SUMPRODUCT((('Metraj Mahal Listesi'!$A$5:$A$504=A265)+('Metraj Mahal Listesi'!$B$5:$B$504=A265)&gt;0)*('Metraj Mahal Listesi'!$F$5:$F$504&lt;&gt;"")*(LEFT('Metraj Mahal Listesi'!$C$5:$C$504,1)&lt;&gt;"—")*('Metraj Mahal Listesi'!$J$5:$J$504=0)))</f>
        <v/>
      </c>
      <c r="H265" s="5" t="n"/>
    </row>
    <row r="266">
      <c r="A266" s="5" t="n"/>
      <c r="B266" s="5" t="n"/>
      <c r="C266" s="21">
        <f>IF(A266="","",SUMPRODUCT((('Metraj Mahal Listesi'!$A$5:$A$504=A266)+('Metraj Mahal Listesi'!$B$5:$B$504=A266)&gt;0)*'Metraj Mahal Listesi'!$K$5:$K$504))</f>
        <v/>
      </c>
      <c r="D266" s="27">
        <f>IF(OR(A266="",'Metraj Mahal Listesi'!$K$3=0),"",C266/'Metraj Mahal Listesi'!$K$3*100)</f>
        <v/>
      </c>
      <c r="E266" s="31">
        <f>IF(A266="","",SUMPRODUCT((('Metraj Mahal Listesi'!$A$5:$A$504=A266)+('Metraj Mahal Listesi'!$B$5:$B$504=A266)&gt;0)*('Metraj Mahal Listesi'!$C$5:$C$504&lt;&gt;"")))</f>
        <v/>
      </c>
      <c r="F266" s="31">
        <f>IF(A266="","",SUMPRODUCT((('Metraj Mahal Listesi'!$A$5:$A$504=A266)+('Metraj Mahal Listesi'!$B$5:$B$504=A266)&gt;0)*('Metraj Mahal Listesi'!$C$5:$C$504&lt;&gt;"")*(LEFT('Metraj Mahal Listesi'!$C$5:$C$504,1)&lt;&gt;"—")*('Metraj Mahal Listesi'!$F$5:$F$504="")))</f>
        <v/>
      </c>
      <c r="G266" s="31">
        <f>IF(A266="","",SUMPRODUCT((('Metraj Mahal Listesi'!$A$5:$A$504=A266)+('Metraj Mahal Listesi'!$B$5:$B$504=A266)&gt;0)*('Metraj Mahal Listesi'!$F$5:$F$504&lt;&gt;"")*(LEFT('Metraj Mahal Listesi'!$C$5:$C$504,1)&lt;&gt;"—")*('Metraj Mahal Listesi'!$J$5:$J$504=0)))</f>
        <v/>
      </c>
      <c r="H266" s="5" t="n"/>
    </row>
    <row r="267">
      <c r="A267" s="5" t="n"/>
      <c r="B267" s="5" t="n"/>
      <c r="C267" s="21">
        <f>IF(A267="","",SUMPRODUCT((('Metraj Mahal Listesi'!$A$5:$A$504=A267)+('Metraj Mahal Listesi'!$B$5:$B$504=A267)&gt;0)*'Metraj Mahal Listesi'!$K$5:$K$504))</f>
        <v/>
      </c>
      <c r="D267" s="27">
        <f>IF(OR(A267="",'Metraj Mahal Listesi'!$K$3=0),"",C267/'Metraj Mahal Listesi'!$K$3*100)</f>
        <v/>
      </c>
      <c r="E267" s="31">
        <f>IF(A267="","",SUMPRODUCT((('Metraj Mahal Listesi'!$A$5:$A$504=A267)+('Metraj Mahal Listesi'!$B$5:$B$504=A267)&gt;0)*('Metraj Mahal Listesi'!$C$5:$C$504&lt;&gt;"")))</f>
        <v/>
      </c>
      <c r="F267" s="31">
        <f>IF(A267="","",SUMPRODUCT((('Metraj Mahal Listesi'!$A$5:$A$504=A267)+('Metraj Mahal Listesi'!$B$5:$B$504=A267)&gt;0)*('Metraj Mahal Listesi'!$C$5:$C$504&lt;&gt;"")*(LEFT('Metraj Mahal Listesi'!$C$5:$C$504,1)&lt;&gt;"—")*('Metraj Mahal Listesi'!$F$5:$F$504="")))</f>
        <v/>
      </c>
      <c r="G267" s="31">
        <f>IF(A267="","",SUMPRODUCT((('Metraj Mahal Listesi'!$A$5:$A$504=A267)+('Metraj Mahal Listesi'!$B$5:$B$504=A267)&gt;0)*('Metraj Mahal Listesi'!$F$5:$F$504&lt;&gt;"")*(LEFT('Metraj Mahal Listesi'!$C$5:$C$504,1)&lt;&gt;"—")*('Metraj Mahal Listesi'!$J$5:$J$504=0)))</f>
        <v/>
      </c>
      <c r="H267" s="5" t="n"/>
    </row>
    <row r="268">
      <c r="A268" s="5" t="n"/>
      <c r="B268" s="5" t="n"/>
      <c r="C268" s="21">
        <f>IF(A268="","",SUMPRODUCT((('Metraj Mahal Listesi'!$A$5:$A$504=A268)+('Metraj Mahal Listesi'!$B$5:$B$504=A268)&gt;0)*'Metraj Mahal Listesi'!$K$5:$K$504))</f>
        <v/>
      </c>
      <c r="D268" s="27">
        <f>IF(OR(A268="",'Metraj Mahal Listesi'!$K$3=0),"",C268/'Metraj Mahal Listesi'!$K$3*100)</f>
        <v/>
      </c>
      <c r="E268" s="31">
        <f>IF(A268="","",SUMPRODUCT((('Metraj Mahal Listesi'!$A$5:$A$504=A268)+('Metraj Mahal Listesi'!$B$5:$B$504=A268)&gt;0)*('Metraj Mahal Listesi'!$C$5:$C$504&lt;&gt;"")))</f>
        <v/>
      </c>
      <c r="F268" s="31">
        <f>IF(A268="","",SUMPRODUCT((('Metraj Mahal Listesi'!$A$5:$A$504=A268)+('Metraj Mahal Listesi'!$B$5:$B$504=A268)&gt;0)*('Metraj Mahal Listesi'!$C$5:$C$504&lt;&gt;"")*(LEFT('Metraj Mahal Listesi'!$C$5:$C$504,1)&lt;&gt;"—")*('Metraj Mahal Listesi'!$F$5:$F$504="")))</f>
        <v/>
      </c>
      <c r="G268" s="31">
        <f>IF(A268="","",SUMPRODUCT((('Metraj Mahal Listesi'!$A$5:$A$504=A268)+('Metraj Mahal Listesi'!$B$5:$B$504=A268)&gt;0)*('Metraj Mahal Listesi'!$F$5:$F$504&lt;&gt;"")*(LEFT('Metraj Mahal Listesi'!$C$5:$C$504,1)&lt;&gt;"—")*('Metraj Mahal Listesi'!$J$5:$J$504=0)))</f>
        <v/>
      </c>
      <c r="H268" s="5" t="n"/>
    </row>
    <row r="269">
      <c r="A269" s="5" t="n"/>
      <c r="B269" s="5" t="n"/>
      <c r="C269" s="21">
        <f>IF(A269="","",SUMPRODUCT((('Metraj Mahal Listesi'!$A$5:$A$504=A269)+('Metraj Mahal Listesi'!$B$5:$B$504=A269)&gt;0)*'Metraj Mahal Listesi'!$K$5:$K$504))</f>
        <v/>
      </c>
      <c r="D269" s="27">
        <f>IF(OR(A269="",'Metraj Mahal Listesi'!$K$3=0),"",C269/'Metraj Mahal Listesi'!$K$3*100)</f>
        <v/>
      </c>
      <c r="E269" s="31">
        <f>IF(A269="","",SUMPRODUCT((('Metraj Mahal Listesi'!$A$5:$A$504=A269)+('Metraj Mahal Listesi'!$B$5:$B$504=A269)&gt;0)*('Metraj Mahal Listesi'!$C$5:$C$504&lt;&gt;"")))</f>
        <v/>
      </c>
      <c r="F269" s="31">
        <f>IF(A269="","",SUMPRODUCT((('Metraj Mahal Listesi'!$A$5:$A$504=A269)+('Metraj Mahal Listesi'!$B$5:$B$504=A269)&gt;0)*('Metraj Mahal Listesi'!$C$5:$C$504&lt;&gt;"")*(LEFT('Metraj Mahal Listesi'!$C$5:$C$504,1)&lt;&gt;"—")*('Metraj Mahal Listesi'!$F$5:$F$504="")))</f>
        <v/>
      </c>
      <c r="G269" s="31">
        <f>IF(A269="","",SUMPRODUCT((('Metraj Mahal Listesi'!$A$5:$A$504=A269)+('Metraj Mahal Listesi'!$B$5:$B$504=A269)&gt;0)*('Metraj Mahal Listesi'!$F$5:$F$504&lt;&gt;"")*(LEFT('Metraj Mahal Listesi'!$C$5:$C$504,1)&lt;&gt;"—")*('Metraj Mahal Listesi'!$J$5:$J$504=0)))</f>
        <v/>
      </c>
      <c r="H269" s="5" t="n"/>
    </row>
    <row r="270">
      <c r="A270" s="5" t="n"/>
      <c r="B270" s="5" t="n"/>
      <c r="C270" s="21">
        <f>IF(A270="","",SUMPRODUCT((('Metraj Mahal Listesi'!$A$5:$A$504=A270)+('Metraj Mahal Listesi'!$B$5:$B$504=A270)&gt;0)*'Metraj Mahal Listesi'!$K$5:$K$504))</f>
        <v/>
      </c>
      <c r="D270" s="27">
        <f>IF(OR(A270="",'Metraj Mahal Listesi'!$K$3=0),"",C270/'Metraj Mahal Listesi'!$K$3*100)</f>
        <v/>
      </c>
      <c r="E270" s="31">
        <f>IF(A270="","",SUMPRODUCT((('Metraj Mahal Listesi'!$A$5:$A$504=A270)+('Metraj Mahal Listesi'!$B$5:$B$504=A270)&gt;0)*('Metraj Mahal Listesi'!$C$5:$C$504&lt;&gt;"")))</f>
        <v/>
      </c>
      <c r="F270" s="31">
        <f>IF(A270="","",SUMPRODUCT((('Metraj Mahal Listesi'!$A$5:$A$504=A270)+('Metraj Mahal Listesi'!$B$5:$B$504=A270)&gt;0)*('Metraj Mahal Listesi'!$C$5:$C$504&lt;&gt;"")*(LEFT('Metraj Mahal Listesi'!$C$5:$C$504,1)&lt;&gt;"—")*('Metraj Mahal Listesi'!$F$5:$F$504="")))</f>
        <v/>
      </c>
      <c r="G270" s="31">
        <f>IF(A270="","",SUMPRODUCT((('Metraj Mahal Listesi'!$A$5:$A$504=A270)+('Metraj Mahal Listesi'!$B$5:$B$504=A270)&gt;0)*('Metraj Mahal Listesi'!$F$5:$F$504&lt;&gt;"")*(LEFT('Metraj Mahal Listesi'!$C$5:$C$504,1)&lt;&gt;"—")*('Metraj Mahal Listesi'!$J$5:$J$504=0)))</f>
        <v/>
      </c>
      <c r="H270" s="5" t="n"/>
    </row>
    <row r="271">
      <c r="A271" s="5" t="n"/>
      <c r="B271" s="5" t="n"/>
      <c r="C271" s="21">
        <f>IF(A271="","",SUMPRODUCT((('Metraj Mahal Listesi'!$A$5:$A$504=A271)+('Metraj Mahal Listesi'!$B$5:$B$504=A271)&gt;0)*'Metraj Mahal Listesi'!$K$5:$K$504))</f>
        <v/>
      </c>
      <c r="D271" s="27">
        <f>IF(OR(A271="",'Metraj Mahal Listesi'!$K$3=0),"",C271/'Metraj Mahal Listesi'!$K$3*100)</f>
        <v/>
      </c>
      <c r="E271" s="31">
        <f>IF(A271="","",SUMPRODUCT((('Metraj Mahal Listesi'!$A$5:$A$504=A271)+('Metraj Mahal Listesi'!$B$5:$B$504=A271)&gt;0)*('Metraj Mahal Listesi'!$C$5:$C$504&lt;&gt;"")))</f>
        <v/>
      </c>
      <c r="F271" s="31">
        <f>IF(A271="","",SUMPRODUCT((('Metraj Mahal Listesi'!$A$5:$A$504=A271)+('Metraj Mahal Listesi'!$B$5:$B$504=A271)&gt;0)*('Metraj Mahal Listesi'!$C$5:$C$504&lt;&gt;"")*(LEFT('Metraj Mahal Listesi'!$C$5:$C$504,1)&lt;&gt;"—")*('Metraj Mahal Listesi'!$F$5:$F$504="")))</f>
        <v/>
      </c>
      <c r="G271" s="31">
        <f>IF(A271="","",SUMPRODUCT((('Metraj Mahal Listesi'!$A$5:$A$504=A271)+('Metraj Mahal Listesi'!$B$5:$B$504=A271)&gt;0)*('Metraj Mahal Listesi'!$F$5:$F$504&lt;&gt;"")*(LEFT('Metraj Mahal Listesi'!$C$5:$C$504,1)&lt;&gt;"—")*('Metraj Mahal Listesi'!$J$5:$J$504=0)))</f>
        <v/>
      </c>
      <c r="H271" s="5" t="n"/>
    </row>
    <row r="272">
      <c r="A272" s="5" t="n"/>
      <c r="B272" s="5" t="n"/>
      <c r="C272" s="21">
        <f>IF(A272="","",SUMPRODUCT((('Metraj Mahal Listesi'!$A$5:$A$504=A272)+('Metraj Mahal Listesi'!$B$5:$B$504=A272)&gt;0)*'Metraj Mahal Listesi'!$K$5:$K$504))</f>
        <v/>
      </c>
      <c r="D272" s="27">
        <f>IF(OR(A272="",'Metraj Mahal Listesi'!$K$3=0),"",C272/'Metraj Mahal Listesi'!$K$3*100)</f>
        <v/>
      </c>
      <c r="E272" s="31">
        <f>IF(A272="","",SUMPRODUCT((('Metraj Mahal Listesi'!$A$5:$A$504=A272)+('Metraj Mahal Listesi'!$B$5:$B$504=A272)&gt;0)*('Metraj Mahal Listesi'!$C$5:$C$504&lt;&gt;"")))</f>
        <v/>
      </c>
      <c r="F272" s="31">
        <f>IF(A272="","",SUMPRODUCT((('Metraj Mahal Listesi'!$A$5:$A$504=A272)+('Metraj Mahal Listesi'!$B$5:$B$504=A272)&gt;0)*('Metraj Mahal Listesi'!$C$5:$C$504&lt;&gt;"")*(LEFT('Metraj Mahal Listesi'!$C$5:$C$504,1)&lt;&gt;"—")*('Metraj Mahal Listesi'!$F$5:$F$504="")))</f>
        <v/>
      </c>
      <c r="G272" s="31">
        <f>IF(A272="","",SUMPRODUCT((('Metraj Mahal Listesi'!$A$5:$A$504=A272)+('Metraj Mahal Listesi'!$B$5:$B$504=A272)&gt;0)*('Metraj Mahal Listesi'!$F$5:$F$504&lt;&gt;"")*(LEFT('Metraj Mahal Listesi'!$C$5:$C$504,1)&lt;&gt;"—")*('Metraj Mahal Listesi'!$J$5:$J$504=0)))</f>
        <v/>
      </c>
      <c r="H272" s="5" t="n"/>
    </row>
    <row r="273">
      <c r="A273" s="5" t="n"/>
      <c r="B273" s="5" t="n"/>
      <c r="C273" s="21">
        <f>IF(A273="","",SUMPRODUCT((('Metraj Mahal Listesi'!$A$5:$A$504=A273)+('Metraj Mahal Listesi'!$B$5:$B$504=A273)&gt;0)*'Metraj Mahal Listesi'!$K$5:$K$504))</f>
        <v/>
      </c>
      <c r="D273" s="27">
        <f>IF(OR(A273="",'Metraj Mahal Listesi'!$K$3=0),"",C273/'Metraj Mahal Listesi'!$K$3*100)</f>
        <v/>
      </c>
      <c r="E273" s="31">
        <f>IF(A273="","",SUMPRODUCT((('Metraj Mahal Listesi'!$A$5:$A$504=A273)+('Metraj Mahal Listesi'!$B$5:$B$504=A273)&gt;0)*('Metraj Mahal Listesi'!$C$5:$C$504&lt;&gt;"")))</f>
        <v/>
      </c>
      <c r="F273" s="31">
        <f>IF(A273="","",SUMPRODUCT((('Metraj Mahal Listesi'!$A$5:$A$504=A273)+('Metraj Mahal Listesi'!$B$5:$B$504=A273)&gt;0)*('Metraj Mahal Listesi'!$C$5:$C$504&lt;&gt;"")*(LEFT('Metraj Mahal Listesi'!$C$5:$C$504,1)&lt;&gt;"—")*('Metraj Mahal Listesi'!$F$5:$F$504="")))</f>
        <v/>
      </c>
      <c r="G273" s="31">
        <f>IF(A273="","",SUMPRODUCT((('Metraj Mahal Listesi'!$A$5:$A$504=A273)+('Metraj Mahal Listesi'!$B$5:$B$504=A273)&gt;0)*('Metraj Mahal Listesi'!$F$5:$F$504&lt;&gt;"")*(LEFT('Metraj Mahal Listesi'!$C$5:$C$504,1)&lt;&gt;"—")*('Metraj Mahal Listesi'!$J$5:$J$504=0)))</f>
        <v/>
      </c>
      <c r="H273" s="5" t="n"/>
    </row>
    <row r="274">
      <c r="A274" s="5" t="n"/>
      <c r="B274" s="5" t="n"/>
      <c r="C274" s="21">
        <f>IF(A274="","",SUMPRODUCT((('Metraj Mahal Listesi'!$A$5:$A$504=A274)+('Metraj Mahal Listesi'!$B$5:$B$504=A274)&gt;0)*'Metraj Mahal Listesi'!$K$5:$K$504))</f>
        <v/>
      </c>
      <c r="D274" s="27">
        <f>IF(OR(A274="",'Metraj Mahal Listesi'!$K$3=0),"",C274/'Metraj Mahal Listesi'!$K$3*100)</f>
        <v/>
      </c>
      <c r="E274" s="31">
        <f>IF(A274="","",SUMPRODUCT((('Metraj Mahal Listesi'!$A$5:$A$504=A274)+('Metraj Mahal Listesi'!$B$5:$B$504=A274)&gt;0)*('Metraj Mahal Listesi'!$C$5:$C$504&lt;&gt;"")))</f>
        <v/>
      </c>
      <c r="F274" s="31">
        <f>IF(A274="","",SUMPRODUCT((('Metraj Mahal Listesi'!$A$5:$A$504=A274)+('Metraj Mahal Listesi'!$B$5:$B$504=A274)&gt;0)*('Metraj Mahal Listesi'!$C$5:$C$504&lt;&gt;"")*(LEFT('Metraj Mahal Listesi'!$C$5:$C$504,1)&lt;&gt;"—")*('Metraj Mahal Listesi'!$F$5:$F$504="")))</f>
        <v/>
      </c>
      <c r="G274" s="31">
        <f>IF(A274="","",SUMPRODUCT((('Metraj Mahal Listesi'!$A$5:$A$504=A274)+('Metraj Mahal Listesi'!$B$5:$B$504=A274)&gt;0)*('Metraj Mahal Listesi'!$F$5:$F$504&lt;&gt;"")*(LEFT('Metraj Mahal Listesi'!$C$5:$C$504,1)&lt;&gt;"—")*('Metraj Mahal Listesi'!$J$5:$J$504=0)))</f>
        <v/>
      </c>
      <c r="H274" s="5" t="n"/>
    </row>
    <row r="275">
      <c r="A275" s="5" t="n"/>
      <c r="B275" s="5" t="n"/>
      <c r="C275" s="21">
        <f>IF(A275="","",SUMPRODUCT((('Metraj Mahal Listesi'!$A$5:$A$504=A275)+('Metraj Mahal Listesi'!$B$5:$B$504=A275)&gt;0)*'Metraj Mahal Listesi'!$K$5:$K$504))</f>
        <v/>
      </c>
      <c r="D275" s="27">
        <f>IF(OR(A275="",'Metraj Mahal Listesi'!$K$3=0),"",C275/'Metraj Mahal Listesi'!$K$3*100)</f>
        <v/>
      </c>
      <c r="E275" s="31">
        <f>IF(A275="","",SUMPRODUCT((('Metraj Mahal Listesi'!$A$5:$A$504=A275)+('Metraj Mahal Listesi'!$B$5:$B$504=A275)&gt;0)*('Metraj Mahal Listesi'!$C$5:$C$504&lt;&gt;"")))</f>
        <v/>
      </c>
      <c r="F275" s="31">
        <f>IF(A275="","",SUMPRODUCT((('Metraj Mahal Listesi'!$A$5:$A$504=A275)+('Metraj Mahal Listesi'!$B$5:$B$504=A275)&gt;0)*('Metraj Mahal Listesi'!$C$5:$C$504&lt;&gt;"")*(LEFT('Metraj Mahal Listesi'!$C$5:$C$504,1)&lt;&gt;"—")*('Metraj Mahal Listesi'!$F$5:$F$504="")))</f>
        <v/>
      </c>
      <c r="G275" s="31">
        <f>IF(A275="","",SUMPRODUCT((('Metraj Mahal Listesi'!$A$5:$A$504=A275)+('Metraj Mahal Listesi'!$B$5:$B$504=A275)&gt;0)*('Metraj Mahal Listesi'!$F$5:$F$504&lt;&gt;"")*(LEFT('Metraj Mahal Listesi'!$C$5:$C$504,1)&lt;&gt;"—")*('Metraj Mahal Listesi'!$J$5:$J$504=0)))</f>
        <v/>
      </c>
      <c r="H275" s="5" t="n"/>
    </row>
    <row r="276">
      <c r="A276" s="5" t="n"/>
      <c r="B276" s="5" t="n"/>
      <c r="C276" s="21">
        <f>IF(A276="","",SUMPRODUCT((('Metraj Mahal Listesi'!$A$5:$A$504=A276)+('Metraj Mahal Listesi'!$B$5:$B$504=A276)&gt;0)*'Metraj Mahal Listesi'!$K$5:$K$504))</f>
        <v/>
      </c>
      <c r="D276" s="27">
        <f>IF(OR(A276="",'Metraj Mahal Listesi'!$K$3=0),"",C276/'Metraj Mahal Listesi'!$K$3*100)</f>
        <v/>
      </c>
      <c r="E276" s="31">
        <f>IF(A276="","",SUMPRODUCT((('Metraj Mahal Listesi'!$A$5:$A$504=A276)+('Metraj Mahal Listesi'!$B$5:$B$504=A276)&gt;0)*('Metraj Mahal Listesi'!$C$5:$C$504&lt;&gt;"")))</f>
        <v/>
      </c>
      <c r="F276" s="31">
        <f>IF(A276="","",SUMPRODUCT((('Metraj Mahal Listesi'!$A$5:$A$504=A276)+('Metraj Mahal Listesi'!$B$5:$B$504=A276)&gt;0)*('Metraj Mahal Listesi'!$C$5:$C$504&lt;&gt;"")*(LEFT('Metraj Mahal Listesi'!$C$5:$C$504,1)&lt;&gt;"—")*('Metraj Mahal Listesi'!$F$5:$F$504="")))</f>
        <v/>
      </c>
      <c r="G276" s="31">
        <f>IF(A276="","",SUMPRODUCT((('Metraj Mahal Listesi'!$A$5:$A$504=A276)+('Metraj Mahal Listesi'!$B$5:$B$504=A276)&gt;0)*('Metraj Mahal Listesi'!$F$5:$F$504&lt;&gt;"")*(LEFT('Metraj Mahal Listesi'!$C$5:$C$504,1)&lt;&gt;"—")*('Metraj Mahal Listesi'!$J$5:$J$504=0)))</f>
        <v/>
      </c>
      <c r="H276" s="5" t="n"/>
    </row>
    <row r="277">
      <c r="A277" s="5" t="n"/>
      <c r="B277" s="5" t="n"/>
      <c r="C277" s="21">
        <f>IF(A277="","",SUMPRODUCT((('Metraj Mahal Listesi'!$A$5:$A$504=A277)+('Metraj Mahal Listesi'!$B$5:$B$504=A277)&gt;0)*'Metraj Mahal Listesi'!$K$5:$K$504))</f>
        <v/>
      </c>
      <c r="D277" s="27">
        <f>IF(OR(A277="",'Metraj Mahal Listesi'!$K$3=0),"",C277/'Metraj Mahal Listesi'!$K$3*100)</f>
        <v/>
      </c>
      <c r="E277" s="31">
        <f>IF(A277="","",SUMPRODUCT((('Metraj Mahal Listesi'!$A$5:$A$504=A277)+('Metraj Mahal Listesi'!$B$5:$B$504=A277)&gt;0)*('Metraj Mahal Listesi'!$C$5:$C$504&lt;&gt;"")))</f>
        <v/>
      </c>
      <c r="F277" s="31">
        <f>IF(A277="","",SUMPRODUCT((('Metraj Mahal Listesi'!$A$5:$A$504=A277)+('Metraj Mahal Listesi'!$B$5:$B$504=A277)&gt;0)*('Metraj Mahal Listesi'!$C$5:$C$504&lt;&gt;"")*(LEFT('Metraj Mahal Listesi'!$C$5:$C$504,1)&lt;&gt;"—")*('Metraj Mahal Listesi'!$F$5:$F$504="")))</f>
        <v/>
      </c>
      <c r="G277" s="31">
        <f>IF(A277="","",SUMPRODUCT((('Metraj Mahal Listesi'!$A$5:$A$504=A277)+('Metraj Mahal Listesi'!$B$5:$B$504=A277)&gt;0)*('Metraj Mahal Listesi'!$F$5:$F$504&lt;&gt;"")*(LEFT('Metraj Mahal Listesi'!$C$5:$C$504,1)&lt;&gt;"—")*('Metraj Mahal Listesi'!$J$5:$J$504=0)))</f>
        <v/>
      </c>
      <c r="H277" s="5" t="n"/>
    </row>
    <row r="278">
      <c r="A278" s="5" t="n"/>
      <c r="B278" s="5" t="n"/>
      <c r="C278" s="21">
        <f>IF(A278="","",SUMPRODUCT((('Metraj Mahal Listesi'!$A$5:$A$504=A278)+('Metraj Mahal Listesi'!$B$5:$B$504=A278)&gt;0)*'Metraj Mahal Listesi'!$K$5:$K$504))</f>
        <v/>
      </c>
      <c r="D278" s="27">
        <f>IF(OR(A278="",'Metraj Mahal Listesi'!$K$3=0),"",C278/'Metraj Mahal Listesi'!$K$3*100)</f>
        <v/>
      </c>
      <c r="E278" s="31">
        <f>IF(A278="","",SUMPRODUCT((('Metraj Mahal Listesi'!$A$5:$A$504=A278)+('Metraj Mahal Listesi'!$B$5:$B$504=A278)&gt;0)*('Metraj Mahal Listesi'!$C$5:$C$504&lt;&gt;"")))</f>
        <v/>
      </c>
      <c r="F278" s="31">
        <f>IF(A278="","",SUMPRODUCT((('Metraj Mahal Listesi'!$A$5:$A$504=A278)+('Metraj Mahal Listesi'!$B$5:$B$504=A278)&gt;0)*('Metraj Mahal Listesi'!$C$5:$C$504&lt;&gt;"")*(LEFT('Metraj Mahal Listesi'!$C$5:$C$504,1)&lt;&gt;"—")*('Metraj Mahal Listesi'!$F$5:$F$504="")))</f>
        <v/>
      </c>
      <c r="G278" s="31">
        <f>IF(A278="","",SUMPRODUCT((('Metraj Mahal Listesi'!$A$5:$A$504=A278)+('Metraj Mahal Listesi'!$B$5:$B$504=A278)&gt;0)*('Metraj Mahal Listesi'!$F$5:$F$504&lt;&gt;"")*(LEFT('Metraj Mahal Listesi'!$C$5:$C$504,1)&lt;&gt;"—")*('Metraj Mahal Listesi'!$J$5:$J$504=0)))</f>
        <v/>
      </c>
      <c r="H278" s="5" t="n"/>
    </row>
    <row r="279">
      <c r="A279" s="5" t="n"/>
      <c r="B279" s="5" t="n"/>
      <c r="C279" s="21">
        <f>IF(A279="","",SUMPRODUCT((('Metraj Mahal Listesi'!$A$5:$A$504=A279)+('Metraj Mahal Listesi'!$B$5:$B$504=A279)&gt;0)*'Metraj Mahal Listesi'!$K$5:$K$504))</f>
        <v/>
      </c>
      <c r="D279" s="27">
        <f>IF(OR(A279="",'Metraj Mahal Listesi'!$K$3=0),"",C279/'Metraj Mahal Listesi'!$K$3*100)</f>
        <v/>
      </c>
      <c r="E279" s="31">
        <f>IF(A279="","",SUMPRODUCT((('Metraj Mahal Listesi'!$A$5:$A$504=A279)+('Metraj Mahal Listesi'!$B$5:$B$504=A279)&gt;0)*('Metraj Mahal Listesi'!$C$5:$C$504&lt;&gt;"")))</f>
        <v/>
      </c>
      <c r="F279" s="31">
        <f>IF(A279="","",SUMPRODUCT((('Metraj Mahal Listesi'!$A$5:$A$504=A279)+('Metraj Mahal Listesi'!$B$5:$B$504=A279)&gt;0)*('Metraj Mahal Listesi'!$C$5:$C$504&lt;&gt;"")*(LEFT('Metraj Mahal Listesi'!$C$5:$C$504,1)&lt;&gt;"—")*('Metraj Mahal Listesi'!$F$5:$F$504="")))</f>
        <v/>
      </c>
      <c r="G279" s="31">
        <f>IF(A279="","",SUMPRODUCT((('Metraj Mahal Listesi'!$A$5:$A$504=A279)+('Metraj Mahal Listesi'!$B$5:$B$504=A279)&gt;0)*('Metraj Mahal Listesi'!$F$5:$F$504&lt;&gt;"")*(LEFT('Metraj Mahal Listesi'!$C$5:$C$504,1)&lt;&gt;"—")*('Metraj Mahal Listesi'!$J$5:$J$504=0)))</f>
        <v/>
      </c>
      <c r="H279" s="5" t="n"/>
    </row>
    <row r="280">
      <c r="A280" s="5" t="n"/>
      <c r="B280" s="5" t="n"/>
      <c r="C280" s="21">
        <f>IF(A280="","",SUMPRODUCT((('Metraj Mahal Listesi'!$A$5:$A$504=A280)+('Metraj Mahal Listesi'!$B$5:$B$504=A280)&gt;0)*'Metraj Mahal Listesi'!$K$5:$K$504))</f>
        <v/>
      </c>
      <c r="D280" s="27">
        <f>IF(OR(A280="",'Metraj Mahal Listesi'!$K$3=0),"",C280/'Metraj Mahal Listesi'!$K$3*100)</f>
        <v/>
      </c>
      <c r="E280" s="31">
        <f>IF(A280="","",SUMPRODUCT((('Metraj Mahal Listesi'!$A$5:$A$504=A280)+('Metraj Mahal Listesi'!$B$5:$B$504=A280)&gt;0)*('Metraj Mahal Listesi'!$C$5:$C$504&lt;&gt;"")))</f>
        <v/>
      </c>
      <c r="F280" s="31">
        <f>IF(A280="","",SUMPRODUCT((('Metraj Mahal Listesi'!$A$5:$A$504=A280)+('Metraj Mahal Listesi'!$B$5:$B$504=A280)&gt;0)*('Metraj Mahal Listesi'!$C$5:$C$504&lt;&gt;"")*(LEFT('Metraj Mahal Listesi'!$C$5:$C$504,1)&lt;&gt;"—")*('Metraj Mahal Listesi'!$F$5:$F$504="")))</f>
        <v/>
      </c>
      <c r="G280" s="31">
        <f>IF(A280="","",SUMPRODUCT((('Metraj Mahal Listesi'!$A$5:$A$504=A280)+('Metraj Mahal Listesi'!$B$5:$B$504=A280)&gt;0)*('Metraj Mahal Listesi'!$F$5:$F$504&lt;&gt;"")*(LEFT('Metraj Mahal Listesi'!$C$5:$C$504,1)&lt;&gt;"—")*('Metraj Mahal Listesi'!$J$5:$J$504=0)))</f>
        <v/>
      </c>
      <c r="H280" s="5" t="n"/>
    </row>
    <row r="281">
      <c r="A281" s="5" t="n"/>
      <c r="B281" s="5" t="n"/>
      <c r="C281" s="21">
        <f>IF(A281="","",SUMPRODUCT((('Metraj Mahal Listesi'!$A$5:$A$504=A281)+('Metraj Mahal Listesi'!$B$5:$B$504=A281)&gt;0)*'Metraj Mahal Listesi'!$K$5:$K$504))</f>
        <v/>
      </c>
      <c r="D281" s="27">
        <f>IF(OR(A281="",'Metraj Mahal Listesi'!$K$3=0),"",C281/'Metraj Mahal Listesi'!$K$3*100)</f>
        <v/>
      </c>
      <c r="E281" s="31">
        <f>IF(A281="","",SUMPRODUCT((('Metraj Mahal Listesi'!$A$5:$A$504=A281)+('Metraj Mahal Listesi'!$B$5:$B$504=A281)&gt;0)*('Metraj Mahal Listesi'!$C$5:$C$504&lt;&gt;"")))</f>
        <v/>
      </c>
      <c r="F281" s="31">
        <f>IF(A281="","",SUMPRODUCT((('Metraj Mahal Listesi'!$A$5:$A$504=A281)+('Metraj Mahal Listesi'!$B$5:$B$504=A281)&gt;0)*('Metraj Mahal Listesi'!$C$5:$C$504&lt;&gt;"")*(LEFT('Metraj Mahal Listesi'!$C$5:$C$504,1)&lt;&gt;"—")*('Metraj Mahal Listesi'!$F$5:$F$504="")))</f>
        <v/>
      </c>
      <c r="G281" s="31">
        <f>IF(A281="","",SUMPRODUCT((('Metraj Mahal Listesi'!$A$5:$A$504=A281)+('Metraj Mahal Listesi'!$B$5:$B$504=A281)&gt;0)*('Metraj Mahal Listesi'!$F$5:$F$504&lt;&gt;"")*(LEFT('Metraj Mahal Listesi'!$C$5:$C$504,1)&lt;&gt;"—")*('Metraj Mahal Listesi'!$J$5:$J$504=0)))</f>
        <v/>
      </c>
      <c r="H281" s="5" t="n"/>
    </row>
    <row r="282">
      <c r="A282" s="5" t="n"/>
      <c r="B282" s="5" t="n"/>
      <c r="C282" s="21">
        <f>IF(A282="","",SUMPRODUCT((('Metraj Mahal Listesi'!$A$5:$A$504=A282)+('Metraj Mahal Listesi'!$B$5:$B$504=A282)&gt;0)*'Metraj Mahal Listesi'!$K$5:$K$504))</f>
        <v/>
      </c>
      <c r="D282" s="27">
        <f>IF(OR(A282="",'Metraj Mahal Listesi'!$K$3=0),"",C282/'Metraj Mahal Listesi'!$K$3*100)</f>
        <v/>
      </c>
      <c r="E282" s="31">
        <f>IF(A282="","",SUMPRODUCT((('Metraj Mahal Listesi'!$A$5:$A$504=A282)+('Metraj Mahal Listesi'!$B$5:$B$504=A282)&gt;0)*('Metraj Mahal Listesi'!$C$5:$C$504&lt;&gt;"")))</f>
        <v/>
      </c>
      <c r="F282" s="31">
        <f>IF(A282="","",SUMPRODUCT((('Metraj Mahal Listesi'!$A$5:$A$504=A282)+('Metraj Mahal Listesi'!$B$5:$B$504=A282)&gt;0)*('Metraj Mahal Listesi'!$C$5:$C$504&lt;&gt;"")*(LEFT('Metraj Mahal Listesi'!$C$5:$C$504,1)&lt;&gt;"—")*('Metraj Mahal Listesi'!$F$5:$F$504="")))</f>
        <v/>
      </c>
      <c r="G282" s="31">
        <f>IF(A282="","",SUMPRODUCT((('Metraj Mahal Listesi'!$A$5:$A$504=A282)+('Metraj Mahal Listesi'!$B$5:$B$504=A282)&gt;0)*('Metraj Mahal Listesi'!$F$5:$F$504&lt;&gt;"")*(LEFT('Metraj Mahal Listesi'!$C$5:$C$504,1)&lt;&gt;"—")*('Metraj Mahal Listesi'!$J$5:$J$504=0)))</f>
        <v/>
      </c>
      <c r="H282" s="5" t="n"/>
    </row>
    <row r="283">
      <c r="A283" s="5" t="n"/>
      <c r="B283" s="5" t="n"/>
      <c r="C283" s="21">
        <f>IF(A283="","",SUMPRODUCT((('Metraj Mahal Listesi'!$A$5:$A$504=A283)+('Metraj Mahal Listesi'!$B$5:$B$504=A283)&gt;0)*'Metraj Mahal Listesi'!$K$5:$K$504))</f>
        <v/>
      </c>
      <c r="D283" s="27">
        <f>IF(OR(A283="",'Metraj Mahal Listesi'!$K$3=0),"",C283/'Metraj Mahal Listesi'!$K$3*100)</f>
        <v/>
      </c>
      <c r="E283" s="31">
        <f>IF(A283="","",SUMPRODUCT((('Metraj Mahal Listesi'!$A$5:$A$504=A283)+('Metraj Mahal Listesi'!$B$5:$B$504=A283)&gt;0)*('Metraj Mahal Listesi'!$C$5:$C$504&lt;&gt;"")))</f>
        <v/>
      </c>
      <c r="F283" s="31">
        <f>IF(A283="","",SUMPRODUCT((('Metraj Mahal Listesi'!$A$5:$A$504=A283)+('Metraj Mahal Listesi'!$B$5:$B$504=A283)&gt;0)*('Metraj Mahal Listesi'!$C$5:$C$504&lt;&gt;"")*(LEFT('Metraj Mahal Listesi'!$C$5:$C$504,1)&lt;&gt;"—")*('Metraj Mahal Listesi'!$F$5:$F$504="")))</f>
        <v/>
      </c>
      <c r="G283" s="31">
        <f>IF(A283="","",SUMPRODUCT((('Metraj Mahal Listesi'!$A$5:$A$504=A283)+('Metraj Mahal Listesi'!$B$5:$B$504=A283)&gt;0)*('Metraj Mahal Listesi'!$F$5:$F$504&lt;&gt;"")*(LEFT('Metraj Mahal Listesi'!$C$5:$C$504,1)&lt;&gt;"—")*('Metraj Mahal Listesi'!$J$5:$J$504=0)))</f>
        <v/>
      </c>
      <c r="H283" s="5" t="n"/>
    </row>
    <row r="284">
      <c r="A284" s="5" t="n"/>
      <c r="B284" s="5" t="n"/>
      <c r="C284" s="21">
        <f>IF(A284="","",SUMPRODUCT((('Metraj Mahal Listesi'!$A$5:$A$504=A284)+('Metraj Mahal Listesi'!$B$5:$B$504=A284)&gt;0)*'Metraj Mahal Listesi'!$K$5:$K$504))</f>
        <v/>
      </c>
      <c r="D284" s="27">
        <f>IF(OR(A284="",'Metraj Mahal Listesi'!$K$3=0),"",C284/'Metraj Mahal Listesi'!$K$3*100)</f>
        <v/>
      </c>
      <c r="E284" s="31">
        <f>IF(A284="","",SUMPRODUCT((('Metraj Mahal Listesi'!$A$5:$A$504=A284)+('Metraj Mahal Listesi'!$B$5:$B$504=A284)&gt;0)*('Metraj Mahal Listesi'!$C$5:$C$504&lt;&gt;"")))</f>
        <v/>
      </c>
      <c r="F284" s="31">
        <f>IF(A284="","",SUMPRODUCT((('Metraj Mahal Listesi'!$A$5:$A$504=A284)+('Metraj Mahal Listesi'!$B$5:$B$504=A284)&gt;0)*('Metraj Mahal Listesi'!$C$5:$C$504&lt;&gt;"")*(LEFT('Metraj Mahal Listesi'!$C$5:$C$504,1)&lt;&gt;"—")*('Metraj Mahal Listesi'!$F$5:$F$504="")))</f>
        <v/>
      </c>
      <c r="G284" s="31">
        <f>IF(A284="","",SUMPRODUCT((('Metraj Mahal Listesi'!$A$5:$A$504=A284)+('Metraj Mahal Listesi'!$B$5:$B$504=A284)&gt;0)*('Metraj Mahal Listesi'!$F$5:$F$504&lt;&gt;"")*(LEFT('Metraj Mahal Listesi'!$C$5:$C$504,1)&lt;&gt;"—")*('Metraj Mahal Listesi'!$J$5:$J$504=0)))</f>
        <v/>
      </c>
      <c r="H284" s="5" t="n"/>
    </row>
    <row r="285">
      <c r="A285" s="5" t="n"/>
      <c r="B285" s="5" t="n"/>
      <c r="C285" s="21">
        <f>IF(A285="","",SUMPRODUCT((('Metraj Mahal Listesi'!$A$5:$A$504=A285)+('Metraj Mahal Listesi'!$B$5:$B$504=A285)&gt;0)*'Metraj Mahal Listesi'!$K$5:$K$504))</f>
        <v/>
      </c>
      <c r="D285" s="27">
        <f>IF(OR(A285="",'Metraj Mahal Listesi'!$K$3=0),"",C285/'Metraj Mahal Listesi'!$K$3*100)</f>
        <v/>
      </c>
      <c r="E285" s="31">
        <f>IF(A285="","",SUMPRODUCT((('Metraj Mahal Listesi'!$A$5:$A$504=A285)+('Metraj Mahal Listesi'!$B$5:$B$504=A285)&gt;0)*('Metraj Mahal Listesi'!$C$5:$C$504&lt;&gt;"")))</f>
        <v/>
      </c>
      <c r="F285" s="31">
        <f>IF(A285="","",SUMPRODUCT((('Metraj Mahal Listesi'!$A$5:$A$504=A285)+('Metraj Mahal Listesi'!$B$5:$B$504=A285)&gt;0)*('Metraj Mahal Listesi'!$C$5:$C$504&lt;&gt;"")*(LEFT('Metraj Mahal Listesi'!$C$5:$C$504,1)&lt;&gt;"—")*('Metraj Mahal Listesi'!$F$5:$F$504="")))</f>
        <v/>
      </c>
      <c r="G285" s="31">
        <f>IF(A285="","",SUMPRODUCT((('Metraj Mahal Listesi'!$A$5:$A$504=A285)+('Metraj Mahal Listesi'!$B$5:$B$504=A285)&gt;0)*('Metraj Mahal Listesi'!$F$5:$F$504&lt;&gt;"")*(LEFT('Metraj Mahal Listesi'!$C$5:$C$504,1)&lt;&gt;"—")*('Metraj Mahal Listesi'!$J$5:$J$504=0)))</f>
        <v/>
      </c>
      <c r="H285" s="5" t="n"/>
    </row>
    <row r="286">
      <c r="A286" s="5" t="n"/>
      <c r="B286" s="5" t="n"/>
      <c r="C286" s="21">
        <f>IF(A286="","",SUMPRODUCT((('Metraj Mahal Listesi'!$A$5:$A$504=A286)+('Metraj Mahal Listesi'!$B$5:$B$504=A286)&gt;0)*'Metraj Mahal Listesi'!$K$5:$K$504))</f>
        <v/>
      </c>
      <c r="D286" s="27">
        <f>IF(OR(A286="",'Metraj Mahal Listesi'!$K$3=0),"",C286/'Metraj Mahal Listesi'!$K$3*100)</f>
        <v/>
      </c>
      <c r="E286" s="31">
        <f>IF(A286="","",SUMPRODUCT((('Metraj Mahal Listesi'!$A$5:$A$504=A286)+('Metraj Mahal Listesi'!$B$5:$B$504=A286)&gt;0)*('Metraj Mahal Listesi'!$C$5:$C$504&lt;&gt;"")))</f>
        <v/>
      </c>
      <c r="F286" s="31">
        <f>IF(A286="","",SUMPRODUCT((('Metraj Mahal Listesi'!$A$5:$A$504=A286)+('Metraj Mahal Listesi'!$B$5:$B$504=A286)&gt;0)*('Metraj Mahal Listesi'!$C$5:$C$504&lt;&gt;"")*(LEFT('Metraj Mahal Listesi'!$C$5:$C$504,1)&lt;&gt;"—")*('Metraj Mahal Listesi'!$F$5:$F$504="")))</f>
        <v/>
      </c>
      <c r="G286" s="31">
        <f>IF(A286="","",SUMPRODUCT((('Metraj Mahal Listesi'!$A$5:$A$504=A286)+('Metraj Mahal Listesi'!$B$5:$B$504=A286)&gt;0)*('Metraj Mahal Listesi'!$F$5:$F$504&lt;&gt;"")*(LEFT('Metraj Mahal Listesi'!$C$5:$C$504,1)&lt;&gt;"—")*('Metraj Mahal Listesi'!$J$5:$J$504=0)))</f>
        <v/>
      </c>
      <c r="H286" s="5" t="n"/>
    </row>
    <row r="287">
      <c r="A287" s="5" t="n"/>
      <c r="B287" s="5" t="n"/>
      <c r="C287" s="21">
        <f>IF(A287="","",SUMPRODUCT((('Metraj Mahal Listesi'!$A$5:$A$504=A287)+('Metraj Mahal Listesi'!$B$5:$B$504=A287)&gt;0)*'Metraj Mahal Listesi'!$K$5:$K$504))</f>
        <v/>
      </c>
      <c r="D287" s="27">
        <f>IF(OR(A287="",'Metraj Mahal Listesi'!$K$3=0),"",C287/'Metraj Mahal Listesi'!$K$3*100)</f>
        <v/>
      </c>
      <c r="E287" s="31">
        <f>IF(A287="","",SUMPRODUCT((('Metraj Mahal Listesi'!$A$5:$A$504=A287)+('Metraj Mahal Listesi'!$B$5:$B$504=A287)&gt;0)*('Metraj Mahal Listesi'!$C$5:$C$504&lt;&gt;"")))</f>
        <v/>
      </c>
      <c r="F287" s="31">
        <f>IF(A287="","",SUMPRODUCT((('Metraj Mahal Listesi'!$A$5:$A$504=A287)+('Metraj Mahal Listesi'!$B$5:$B$504=A287)&gt;0)*('Metraj Mahal Listesi'!$C$5:$C$504&lt;&gt;"")*(LEFT('Metraj Mahal Listesi'!$C$5:$C$504,1)&lt;&gt;"—")*('Metraj Mahal Listesi'!$F$5:$F$504="")))</f>
        <v/>
      </c>
      <c r="G287" s="31">
        <f>IF(A287="","",SUMPRODUCT((('Metraj Mahal Listesi'!$A$5:$A$504=A287)+('Metraj Mahal Listesi'!$B$5:$B$504=A287)&gt;0)*('Metraj Mahal Listesi'!$F$5:$F$504&lt;&gt;"")*(LEFT('Metraj Mahal Listesi'!$C$5:$C$504,1)&lt;&gt;"—")*('Metraj Mahal Listesi'!$J$5:$J$504=0)))</f>
        <v/>
      </c>
      <c r="H287" s="5" t="n"/>
    </row>
    <row r="288">
      <c r="A288" s="5" t="n"/>
      <c r="B288" s="5" t="n"/>
      <c r="C288" s="21">
        <f>IF(A288="","",SUMPRODUCT((('Metraj Mahal Listesi'!$A$5:$A$504=A288)+('Metraj Mahal Listesi'!$B$5:$B$504=A288)&gt;0)*'Metraj Mahal Listesi'!$K$5:$K$504))</f>
        <v/>
      </c>
      <c r="D288" s="27">
        <f>IF(OR(A288="",'Metraj Mahal Listesi'!$K$3=0),"",C288/'Metraj Mahal Listesi'!$K$3*100)</f>
        <v/>
      </c>
      <c r="E288" s="31">
        <f>IF(A288="","",SUMPRODUCT((('Metraj Mahal Listesi'!$A$5:$A$504=A288)+('Metraj Mahal Listesi'!$B$5:$B$504=A288)&gt;0)*('Metraj Mahal Listesi'!$C$5:$C$504&lt;&gt;"")))</f>
        <v/>
      </c>
      <c r="F288" s="31">
        <f>IF(A288="","",SUMPRODUCT((('Metraj Mahal Listesi'!$A$5:$A$504=A288)+('Metraj Mahal Listesi'!$B$5:$B$504=A288)&gt;0)*('Metraj Mahal Listesi'!$C$5:$C$504&lt;&gt;"")*(LEFT('Metraj Mahal Listesi'!$C$5:$C$504,1)&lt;&gt;"—")*('Metraj Mahal Listesi'!$F$5:$F$504="")))</f>
        <v/>
      </c>
      <c r="G288" s="31">
        <f>IF(A288="","",SUMPRODUCT((('Metraj Mahal Listesi'!$A$5:$A$504=A288)+('Metraj Mahal Listesi'!$B$5:$B$504=A288)&gt;0)*('Metraj Mahal Listesi'!$F$5:$F$504&lt;&gt;"")*(LEFT('Metraj Mahal Listesi'!$C$5:$C$504,1)&lt;&gt;"—")*('Metraj Mahal Listesi'!$J$5:$J$504=0)))</f>
        <v/>
      </c>
      <c r="H288" s="5" t="n"/>
    </row>
    <row r="289">
      <c r="A289" s="5" t="n"/>
      <c r="B289" s="5" t="n"/>
      <c r="C289" s="21">
        <f>IF(A289="","",SUMPRODUCT((('Metraj Mahal Listesi'!$A$5:$A$504=A289)+('Metraj Mahal Listesi'!$B$5:$B$504=A289)&gt;0)*'Metraj Mahal Listesi'!$K$5:$K$504))</f>
        <v/>
      </c>
      <c r="D289" s="27">
        <f>IF(OR(A289="",'Metraj Mahal Listesi'!$K$3=0),"",C289/'Metraj Mahal Listesi'!$K$3*100)</f>
        <v/>
      </c>
      <c r="E289" s="31">
        <f>IF(A289="","",SUMPRODUCT((('Metraj Mahal Listesi'!$A$5:$A$504=A289)+('Metraj Mahal Listesi'!$B$5:$B$504=A289)&gt;0)*('Metraj Mahal Listesi'!$C$5:$C$504&lt;&gt;"")))</f>
        <v/>
      </c>
      <c r="F289" s="31">
        <f>IF(A289="","",SUMPRODUCT((('Metraj Mahal Listesi'!$A$5:$A$504=A289)+('Metraj Mahal Listesi'!$B$5:$B$504=A289)&gt;0)*('Metraj Mahal Listesi'!$C$5:$C$504&lt;&gt;"")*(LEFT('Metraj Mahal Listesi'!$C$5:$C$504,1)&lt;&gt;"—")*('Metraj Mahal Listesi'!$F$5:$F$504="")))</f>
        <v/>
      </c>
      <c r="G289" s="31">
        <f>IF(A289="","",SUMPRODUCT((('Metraj Mahal Listesi'!$A$5:$A$504=A289)+('Metraj Mahal Listesi'!$B$5:$B$504=A289)&gt;0)*('Metraj Mahal Listesi'!$F$5:$F$504&lt;&gt;"")*(LEFT('Metraj Mahal Listesi'!$C$5:$C$504,1)&lt;&gt;"—")*('Metraj Mahal Listesi'!$J$5:$J$504=0)))</f>
        <v/>
      </c>
      <c r="H289" s="5" t="n"/>
    </row>
    <row r="290">
      <c r="A290" s="5" t="n"/>
      <c r="B290" s="5" t="n"/>
      <c r="C290" s="21">
        <f>IF(A290="","",SUMPRODUCT((('Metraj Mahal Listesi'!$A$5:$A$504=A290)+('Metraj Mahal Listesi'!$B$5:$B$504=A290)&gt;0)*'Metraj Mahal Listesi'!$K$5:$K$504))</f>
        <v/>
      </c>
      <c r="D290" s="27">
        <f>IF(OR(A290="",'Metraj Mahal Listesi'!$K$3=0),"",C290/'Metraj Mahal Listesi'!$K$3*100)</f>
        <v/>
      </c>
      <c r="E290" s="31">
        <f>IF(A290="","",SUMPRODUCT((('Metraj Mahal Listesi'!$A$5:$A$504=A290)+('Metraj Mahal Listesi'!$B$5:$B$504=A290)&gt;0)*('Metraj Mahal Listesi'!$C$5:$C$504&lt;&gt;"")))</f>
        <v/>
      </c>
      <c r="F290" s="31">
        <f>IF(A290="","",SUMPRODUCT((('Metraj Mahal Listesi'!$A$5:$A$504=A290)+('Metraj Mahal Listesi'!$B$5:$B$504=A290)&gt;0)*('Metraj Mahal Listesi'!$C$5:$C$504&lt;&gt;"")*(LEFT('Metraj Mahal Listesi'!$C$5:$C$504,1)&lt;&gt;"—")*('Metraj Mahal Listesi'!$F$5:$F$504="")))</f>
        <v/>
      </c>
      <c r="G290" s="31">
        <f>IF(A290="","",SUMPRODUCT((('Metraj Mahal Listesi'!$A$5:$A$504=A290)+('Metraj Mahal Listesi'!$B$5:$B$504=A290)&gt;0)*('Metraj Mahal Listesi'!$F$5:$F$504&lt;&gt;"")*(LEFT('Metraj Mahal Listesi'!$C$5:$C$504,1)&lt;&gt;"—")*('Metraj Mahal Listesi'!$J$5:$J$504=0)))</f>
        <v/>
      </c>
      <c r="H290" s="5" t="n"/>
    </row>
    <row r="291">
      <c r="A291" s="5" t="n"/>
      <c r="B291" s="5" t="n"/>
      <c r="C291" s="21">
        <f>IF(A291="","",SUMPRODUCT((('Metraj Mahal Listesi'!$A$5:$A$504=A291)+('Metraj Mahal Listesi'!$B$5:$B$504=A291)&gt;0)*'Metraj Mahal Listesi'!$K$5:$K$504))</f>
        <v/>
      </c>
      <c r="D291" s="27">
        <f>IF(OR(A291="",'Metraj Mahal Listesi'!$K$3=0),"",C291/'Metraj Mahal Listesi'!$K$3*100)</f>
        <v/>
      </c>
      <c r="E291" s="31">
        <f>IF(A291="","",SUMPRODUCT((('Metraj Mahal Listesi'!$A$5:$A$504=A291)+('Metraj Mahal Listesi'!$B$5:$B$504=A291)&gt;0)*('Metraj Mahal Listesi'!$C$5:$C$504&lt;&gt;"")))</f>
        <v/>
      </c>
      <c r="F291" s="31">
        <f>IF(A291="","",SUMPRODUCT((('Metraj Mahal Listesi'!$A$5:$A$504=A291)+('Metraj Mahal Listesi'!$B$5:$B$504=A291)&gt;0)*('Metraj Mahal Listesi'!$C$5:$C$504&lt;&gt;"")*(LEFT('Metraj Mahal Listesi'!$C$5:$C$504,1)&lt;&gt;"—")*('Metraj Mahal Listesi'!$F$5:$F$504="")))</f>
        <v/>
      </c>
      <c r="G291" s="31">
        <f>IF(A291="","",SUMPRODUCT((('Metraj Mahal Listesi'!$A$5:$A$504=A291)+('Metraj Mahal Listesi'!$B$5:$B$504=A291)&gt;0)*('Metraj Mahal Listesi'!$F$5:$F$504&lt;&gt;"")*(LEFT('Metraj Mahal Listesi'!$C$5:$C$504,1)&lt;&gt;"—")*('Metraj Mahal Listesi'!$J$5:$J$504=0)))</f>
        <v/>
      </c>
      <c r="H291" s="5" t="n"/>
    </row>
    <row r="292">
      <c r="A292" s="5" t="n"/>
      <c r="B292" s="5" t="n"/>
      <c r="C292" s="21">
        <f>IF(A292="","",SUMPRODUCT((('Metraj Mahal Listesi'!$A$5:$A$504=A292)+('Metraj Mahal Listesi'!$B$5:$B$504=A292)&gt;0)*'Metraj Mahal Listesi'!$K$5:$K$504))</f>
        <v/>
      </c>
      <c r="D292" s="27">
        <f>IF(OR(A292="",'Metraj Mahal Listesi'!$K$3=0),"",C292/'Metraj Mahal Listesi'!$K$3*100)</f>
        <v/>
      </c>
      <c r="E292" s="31">
        <f>IF(A292="","",SUMPRODUCT((('Metraj Mahal Listesi'!$A$5:$A$504=A292)+('Metraj Mahal Listesi'!$B$5:$B$504=A292)&gt;0)*('Metraj Mahal Listesi'!$C$5:$C$504&lt;&gt;"")))</f>
        <v/>
      </c>
      <c r="F292" s="31">
        <f>IF(A292="","",SUMPRODUCT((('Metraj Mahal Listesi'!$A$5:$A$504=A292)+('Metraj Mahal Listesi'!$B$5:$B$504=A292)&gt;0)*('Metraj Mahal Listesi'!$C$5:$C$504&lt;&gt;"")*(LEFT('Metraj Mahal Listesi'!$C$5:$C$504,1)&lt;&gt;"—")*('Metraj Mahal Listesi'!$F$5:$F$504="")))</f>
        <v/>
      </c>
      <c r="G292" s="31">
        <f>IF(A292="","",SUMPRODUCT((('Metraj Mahal Listesi'!$A$5:$A$504=A292)+('Metraj Mahal Listesi'!$B$5:$B$504=A292)&gt;0)*('Metraj Mahal Listesi'!$F$5:$F$504&lt;&gt;"")*(LEFT('Metraj Mahal Listesi'!$C$5:$C$504,1)&lt;&gt;"—")*('Metraj Mahal Listesi'!$J$5:$J$504=0)))</f>
        <v/>
      </c>
      <c r="H292" s="5" t="n"/>
    </row>
    <row r="293">
      <c r="A293" s="5" t="n"/>
      <c r="B293" s="5" t="n"/>
      <c r="C293" s="21">
        <f>IF(A293="","",SUMPRODUCT((('Metraj Mahal Listesi'!$A$5:$A$504=A293)+('Metraj Mahal Listesi'!$B$5:$B$504=A293)&gt;0)*'Metraj Mahal Listesi'!$K$5:$K$504))</f>
        <v/>
      </c>
      <c r="D293" s="27">
        <f>IF(OR(A293="",'Metraj Mahal Listesi'!$K$3=0),"",C293/'Metraj Mahal Listesi'!$K$3*100)</f>
        <v/>
      </c>
      <c r="E293" s="31">
        <f>IF(A293="","",SUMPRODUCT((('Metraj Mahal Listesi'!$A$5:$A$504=A293)+('Metraj Mahal Listesi'!$B$5:$B$504=A293)&gt;0)*('Metraj Mahal Listesi'!$C$5:$C$504&lt;&gt;"")))</f>
        <v/>
      </c>
      <c r="F293" s="31">
        <f>IF(A293="","",SUMPRODUCT((('Metraj Mahal Listesi'!$A$5:$A$504=A293)+('Metraj Mahal Listesi'!$B$5:$B$504=A293)&gt;0)*('Metraj Mahal Listesi'!$C$5:$C$504&lt;&gt;"")*(LEFT('Metraj Mahal Listesi'!$C$5:$C$504,1)&lt;&gt;"—")*('Metraj Mahal Listesi'!$F$5:$F$504="")))</f>
        <v/>
      </c>
      <c r="G293" s="31">
        <f>IF(A293="","",SUMPRODUCT((('Metraj Mahal Listesi'!$A$5:$A$504=A293)+('Metraj Mahal Listesi'!$B$5:$B$504=A293)&gt;0)*('Metraj Mahal Listesi'!$F$5:$F$504&lt;&gt;"")*(LEFT('Metraj Mahal Listesi'!$C$5:$C$504,1)&lt;&gt;"—")*('Metraj Mahal Listesi'!$J$5:$J$504=0)))</f>
        <v/>
      </c>
      <c r="H293" s="5" t="n"/>
    </row>
    <row r="294">
      <c r="A294" s="5" t="n"/>
      <c r="B294" s="5" t="n"/>
      <c r="C294" s="21">
        <f>IF(A294="","",SUMPRODUCT((('Metraj Mahal Listesi'!$A$5:$A$504=A294)+('Metraj Mahal Listesi'!$B$5:$B$504=A294)&gt;0)*'Metraj Mahal Listesi'!$K$5:$K$504))</f>
        <v/>
      </c>
      <c r="D294" s="27">
        <f>IF(OR(A294="",'Metraj Mahal Listesi'!$K$3=0),"",C294/'Metraj Mahal Listesi'!$K$3*100)</f>
        <v/>
      </c>
      <c r="E294" s="31">
        <f>IF(A294="","",SUMPRODUCT((('Metraj Mahal Listesi'!$A$5:$A$504=A294)+('Metraj Mahal Listesi'!$B$5:$B$504=A294)&gt;0)*('Metraj Mahal Listesi'!$C$5:$C$504&lt;&gt;"")))</f>
        <v/>
      </c>
      <c r="F294" s="31">
        <f>IF(A294="","",SUMPRODUCT((('Metraj Mahal Listesi'!$A$5:$A$504=A294)+('Metraj Mahal Listesi'!$B$5:$B$504=A294)&gt;0)*('Metraj Mahal Listesi'!$C$5:$C$504&lt;&gt;"")*(LEFT('Metraj Mahal Listesi'!$C$5:$C$504,1)&lt;&gt;"—")*('Metraj Mahal Listesi'!$F$5:$F$504="")))</f>
        <v/>
      </c>
      <c r="G294" s="31">
        <f>IF(A294="","",SUMPRODUCT((('Metraj Mahal Listesi'!$A$5:$A$504=A294)+('Metraj Mahal Listesi'!$B$5:$B$504=A294)&gt;0)*('Metraj Mahal Listesi'!$F$5:$F$504&lt;&gt;"")*(LEFT('Metraj Mahal Listesi'!$C$5:$C$504,1)&lt;&gt;"—")*('Metraj Mahal Listesi'!$J$5:$J$504=0)))</f>
        <v/>
      </c>
      <c r="H294" s="5" t="n"/>
    </row>
    <row r="295">
      <c r="A295" s="5" t="n"/>
      <c r="B295" s="5" t="n"/>
      <c r="C295" s="21">
        <f>IF(A295="","",SUMPRODUCT((('Metraj Mahal Listesi'!$A$5:$A$504=A295)+('Metraj Mahal Listesi'!$B$5:$B$504=A295)&gt;0)*'Metraj Mahal Listesi'!$K$5:$K$504))</f>
        <v/>
      </c>
      <c r="D295" s="27">
        <f>IF(OR(A295="",'Metraj Mahal Listesi'!$K$3=0),"",C295/'Metraj Mahal Listesi'!$K$3*100)</f>
        <v/>
      </c>
      <c r="E295" s="31">
        <f>IF(A295="","",SUMPRODUCT((('Metraj Mahal Listesi'!$A$5:$A$504=A295)+('Metraj Mahal Listesi'!$B$5:$B$504=A295)&gt;0)*('Metraj Mahal Listesi'!$C$5:$C$504&lt;&gt;"")))</f>
        <v/>
      </c>
      <c r="F295" s="31">
        <f>IF(A295="","",SUMPRODUCT((('Metraj Mahal Listesi'!$A$5:$A$504=A295)+('Metraj Mahal Listesi'!$B$5:$B$504=A295)&gt;0)*('Metraj Mahal Listesi'!$C$5:$C$504&lt;&gt;"")*(LEFT('Metraj Mahal Listesi'!$C$5:$C$504,1)&lt;&gt;"—")*('Metraj Mahal Listesi'!$F$5:$F$504="")))</f>
        <v/>
      </c>
      <c r="G295" s="31">
        <f>IF(A295="","",SUMPRODUCT((('Metraj Mahal Listesi'!$A$5:$A$504=A295)+('Metraj Mahal Listesi'!$B$5:$B$504=A295)&gt;0)*('Metraj Mahal Listesi'!$F$5:$F$504&lt;&gt;"")*(LEFT('Metraj Mahal Listesi'!$C$5:$C$504,1)&lt;&gt;"—")*('Metraj Mahal Listesi'!$J$5:$J$504=0)))</f>
        <v/>
      </c>
      <c r="H295" s="5" t="n"/>
    </row>
    <row r="296">
      <c r="A296" s="5" t="n"/>
      <c r="B296" s="5" t="n"/>
      <c r="C296" s="21">
        <f>IF(A296="","",SUMPRODUCT((('Metraj Mahal Listesi'!$A$5:$A$504=A296)+('Metraj Mahal Listesi'!$B$5:$B$504=A296)&gt;0)*'Metraj Mahal Listesi'!$K$5:$K$504))</f>
        <v/>
      </c>
      <c r="D296" s="27">
        <f>IF(OR(A296="",'Metraj Mahal Listesi'!$K$3=0),"",C296/'Metraj Mahal Listesi'!$K$3*100)</f>
        <v/>
      </c>
      <c r="E296" s="31">
        <f>IF(A296="","",SUMPRODUCT((('Metraj Mahal Listesi'!$A$5:$A$504=A296)+('Metraj Mahal Listesi'!$B$5:$B$504=A296)&gt;0)*('Metraj Mahal Listesi'!$C$5:$C$504&lt;&gt;"")))</f>
        <v/>
      </c>
      <c r="F296" s="31">
        <f>IF(A296="","",SUMPRODUCT((('Metraj Mahal Listesi'!$A$5:$A$504=A296)+('Metraj Mahal Listesi'!$B$5:$B$504=A296)&gt;0)*('Metraj Mahal Listesi'!$C$5:$C$504&lt;&gt;"")*(LEFT('Metraj Mahal Listesi'!$C$5:$C$504,1)&lt;&gt;"—")*('Metraj Mahal Listesi'!$F$5:$F$504="")))</f>
        <v/>
      </c>
      <c r="G296" s="31">
        <f>IF(A296="","",SUMPRODUCT((('Metraj Mahal Listesi'!$A$5:$A$504=A296)+('Metraj Mahal Listesi'!$B$5:$B$504=A296)&gt;0)*('Metraj Mahal Listesi'!$F$5:$F$504&lt;&gt;"")*(LEFT('Metraj Mahal Listesi'!$C$5:$C$504,1)&lt;&gt;"—")*('Metraj Mahal Listesi'!$J$5:$J$504=0)))</f>
        <v/>
      </c>
      <c r="H296" s="5" t="n"/>
    </row>
    <row r="297">
      <c r="A297" s="5" t="n"/>
      <c r="B297" s="5" t="n"/>
      <c r="C297" s="21">
        <f>IF(A297="","",SUMPRODUCT((('Metraj Mahal Listesi'!$A$5:$A$504=A297)+('Metraj Mahal Listesi'!$B$5:$B$504=A297)&gt;0)*'Metraj Mahal Listesi'!$K$5:$K$504))</f>
        <v/>
      </c>
      <c r="D297" s="27">
        <f>IF(OR(A297="",'Metraj Mahal Listesi'!$K$3=0),"",C297/'Metraj Mahal Listesi'!$K$3*100)</f>
        <v/>
      </c>
      <c r="E297" s="31">
        <f>IF(A297="","",SUMPRODUCT((('Metraj Mahal Listesi'!$A$5:$A$504=A297)+('Metraj Mahal Listesi'!$B$5:$B$504=A297)&gt;0)*('Metraj Mahal Listesi'!$C$5:$C$504&lt;&gt;"")))</f>
        <v/>
      </c>
      <c r="F297" s="31">
        <f>IF(A297="","",SUMPRODUCT((('Metraj Mahal Listesi'!$A$5:$A$504=A297)+('Metraj Mahal Listesi'!$B$5:$B$504=A297)&gt;0)*('Metraj Mahal Listesi'!$C$5:$C$504&lt;&gt;"")*(LEFT('Metraj Mahal Listesi'!$C$5:$C$504,1)&lt;&gt;"—")*('Metraj Mahal Listesi'!$F$5:$F$504="")))</f>
        <v/>
      </c>
      <c r="G297" s="31">
        <f>IF(A297="","",SUMPRODUCT((('Metraj Mahal Listesi'!$A$5:$A$504=A297)+('Metraj Mahal Listesi'!$B$5:$B$504=A297)&gt;0)*('Metraj Mahal Listesi'!$F$5:$F$504&lt;&gt;"")*(LEFT('Metraj Mahal Listesi'!$C$5:$C$504,1)&lt;&gt;"—")*('Metraj Mahal Listesi'!$J$5:$J$504=0)))</f>
        <v/>
      </c>
      <c r="H297" s="5" t="n"/>
    </row>
    <row r="298">
      <c r="A298" s="5" t="n"/>
      <c r="B298" s="5" t="n"/>
      <c r="C298" s="21">
        <f>IF(A298="","",SUMPRODUCT((('Metraj Mahal Listesi'!$A$5:$A$504=A298)+('Metraj Mahal Listesi'!$B$5:$B$504=A298)&gt;0)*'Metraj Mahal Listesi'!$K$5:$K$504))</f>
        <v/>
      </c>
      <c r="D298" s="27">
        <f>IF(OR(A298="",'Metraj Mahal Listesi'!$K$3=0),"",C298/'Metraj Mahal Listesi'!$K$3*100)</f>
        <v/>
      </c>
      <c r="E298" s="31">
        <f>IF(A298="","",SUMPRODUCT((('Metraj Mahal Listesi'!$A$5:$A$504=A298)+('Metraj Mahal Listesi'!$B$5:$B$504=A298)&gt;0)*('Metraj Mahal Listesi'!$C$5:$C$504&lt;&gt;"")))</f>
        <v/>
      </c>
      <c r="F298" s="31">
        <f>IF(A298="","",SUMPRODUCT((('Metraj Mahal Listesi'!$A$5:$A$504=A298)+('Metraj Mahal Listesi'!$B$5:$B$504=A298)&gt;0)*('Metraj Mahal Listesi'!$C$5:$C$504&lt;&gt;"")*(LEFT('Metraj Mahal Listesi'!$C$5:$C$504,1)&lt;&gt;"—")*('Metraj Mahal Listesi'!$F$5:$F$504="")))</f>
        <v/>
      </c>
      <c r="G298" s="31">
        <f>IF(A298="","",SUMPRODUCT((('Metraj Mahal Listesi'!$A$5:$A$504=A298)+('Metraj Mahal Listesi'!$B$5:$B$504=A298)&gt;0)*('Metraj Mahal Listesi'!$F$5:$F$504&lt;&gt;"")*(LEFT('Metraj Mahal Listesi'!$C$5:$C$504,1)&lt;&gt;"—")*('Metraj Mahal Listesi'!$J$5:$J$504=0)))</f>
        <v/>
      </c>
      <c r="H298" s="5" t="n"/>
    </row>
    <row r="299">
      <c r="A299" s="5" t="n"/>
      <c r="B299" s="5" t="n"/>
      <c r="C299" s="21">
        <f>IF(A299="","",SUMPRODUCT((('Metraj Mahal Listesi'!$A$5:$A$504=A299)+('Metraj Mahal Listesi'!$B$5:$B$504=A299)&gt;0)*'Metraj Mahal Listesi'!$K$5:$K$504))</f>
        <v/>
      </c>
      <c r="D299" s="27">
        <f>IF(OR(A299="",'Metraj Mahal Listesi'!$K$3=0),"",C299/'Metraj Mahal Listesi'!$K$3*100)</f>
        <v/>
      </c>
      <c r="E299" s="31">
        <f>IF(A299="","",SUMPRODUCT((('Metraj Mahal Listesi'!$A$5:$A$504=A299)+('Metraj Mahal Listesi'!$B$5:$B$504=A299)&gt;0)*('Metraj Mahal Listesi'!$C$5:$C$504&lt;&gt;"")))</f>
        <v/>
      </c>
      <c r="F299" s="31">
        <f>IF(A299="","",SUMPRODUCT((('Metraj Mahal Listesi'!$A$5:$A$504=A299)+('Metraj Mahal Listesi'!$B$5:$B$504=A299)&gt;0)*('Metraj Mahal Listesi'!$C$5:$C$504&lt;&gt;"")*(LEFT('Metraj Mahal Listesi'!$C$5:$C$504,1)&lt;&gt;"—")*('Metraj Mahal Listesi'!$F$5:$F$504="")))</f>
        <v/>
      </c>
      <c r="G299" s="31">
        <f>IF(A299="","",SUMPRODUCT((('Metraj Mahal Listesi'!$A$5:$A$504=A299)+('Metraj Mahal Listesi'!$B$5:$B$504=A299)&gt;0)*('Metraj Mahal Listesi'!$F$5:$F$504&lt;&gt;"")*(LEFT('Metraj Mahal Listesi'!$C$5:$C$504,1)&lt;&gt;"—")*('Metraj Mahal Listesi'!$J$5:$J$504=0)))</f>
        <v/>
      </c>
      <c r="H299" s="5" t="n"/>
    </row>
    <row r="300">
      <c r="A300" s="5" t="n"/>
      <c r="B300" s="5" t="n"/>
      <c r="C300" s="21">
        <f>IF(A300="","",SUMPRODUCT((('Metraj Mahal Listesi'!$A$5:$A$504=A300)+('Metraj Mahal Listesi'!$B$5:$B$504=A300)&gt;0)*'Metraj Mahal Listesi'!$K$5:$K$504))</f>
        <v/>
      </c>
      <c r="D300" s="27">
        <f>IF(OR(A300="",'Metraj Mahal Listesi'!$K$3=0),"",C300/'Metraj Mahal Listesi'!$K$3*100)</f>
        <v/>
      </c>
      <c r="E300" s="31">
        <f>IF(A300="","",SUMPRODUCT((('Metraj Mahal Listesi'!$A$5:$A$504=A300)+('Metraj Mahal Listesi'!$B$5:$B$504=A300)&gt;0)*('Metraj Mahal Listesi'!$C$5:$C$504&lt;&gt;"")))</f>
        <v/>
      </c>
      <c r="F300" s="31">
        <f>IF(A300="","",SUMPRODUCT((('Metraj Mahal Listesi'!$A$5:$A$504=A300)+('Metraj Mahal Listesi'!$B$5:$B$504=A300)&gt;0)*('Metraj Mahal Listesi'!$C$5:$C$504&lt;&gt;"")*(LEFT('Metraj Mahal Listesi'!$C$5:$C$504,1)&lt;&gt;"—")*('Metraj Mahal Listesi'!$F$5:$F$504="")))</f>
        <v/>
      </c>
      <c r="G300" s="31">
        <f>IF(A300="","",SUMPRODUCT((('Metraj Mahal Listesi'!$A$5:$A$504=A300)+('Metraj Mahal Listesi'!$B$5:$B$504=A300)&gt;0)*('Metraj Mahal Listesi'!$F$5:$F$504&lt;&gt;"")*(LEFT('Metraj Mahal Listesi'!$C$5:$C$504,1)&lt;&gt;"—")*('Metraj Mahal Listesi'!$J$5:$J$504=0)))</f>
        <v/>
      </c>
      <c r="H300" s="5" t="n"/>
    </row>
    <row r="301">
      <c r="A301" s="5" t="n"/>
      <c r="B301" s="5" t="n"/>
      <c r="C301" s="21">
        <f>IF(A301="","",SUMPRODUCT((('Metraj Mahal Listesi'!$A$5:$A$504=A301)+('Metraj Mahal Listesi'!$B$5:$B$504=A301)&gt;0)*'Metraj Mahal Listesi'!$K$5:$K$504))</f>
        <v/>
      </c>
      <c r="D301" s="27">
        <f>IF(OR(A301="",'Metraj Mahal Listesi'!$K$3=0),"",C301/'Metraj Mahal Listesi'!$K$3*100)</f>
        <v/>
      </c>
      <c r="E301" s="31">
        <f>IF(A301="","",SUMPRODUCT((('Metraj Mahal Listesi'!$A$5:$A$504=A301)+('Metraj Mahal Listesi'!$B$5:$B$504=A301)&gt;0)*('Metraj Mahal Listesi'!$C$5:$C$504&lt;&gt;"")))</f>
        <v/>
      </c>
      <c r="F301" s="31">
        <f>IF(A301="","",SUMPRODUCT((('Metraj Mahal Listesi'!$A$5:$A$504=A301)+('Metraj Mahal Listesi'!$B$5:$B$504=A301)&gt;0)*('Metraj Mahal Listesi'!$C$5:$C$504&lt;&gt;"")*(LEFT('Metraj Mahal Listesi'!$C$5:$C$504,1)&lt;&gt;"—")*('Metraj Mahal Listesi'!$F$5:$F$504="")))</f>
        <v/>
      </c>
      <c r="G301" s="31">
        <f>IF(A301="","",SUMPRODUCT((('Metraj Mahal Listesi'!$A$5:$A$504=A301)+('Metraj Mahal Listesi'!$B$5:$B$504=A301)&gt;0)*('Metraj Mahal Listesi'!$F$5:$F$504&lt;&gt;"")*(LEFT('Metraj Mahal Listesi'!$C$5:$C$504,1)&lt;&gt;"—")*('Metraj Mahal Listesi'!$J$5:$J$504=0)))</f>
        <v/>
      </c>
      <c r="H301" s="5" t="n"/>
    </row>
    <row r="302">
      <c r="A302" s="5" t="n"/>
      <c r="B302" s="5" t="n"/>
      <c r="C302" s="21">
        <f>IF(A302="","",SUMPRODUCT((('Metraj Mahal Listesi'!$A$5:$A$504=A302)+('Metraj Mahal Listesi'!$B$5:$B$504=A302)&gt;0)*'Metraj Mahal Listesi'!$K$5:$K$504))</f>
        <v/>
      </c>
      <c r="D302" s="27">
        <f>IF(OR(A302="",'Metraj Mahal Listesi'!$K$3=0),"",C302/'Metraj Mahal Listesi'!$K$3*100)</f>
        <v/>
      </c>
      <c r="E302" s="31">
        <f>IF(A302="","",SUMPRODUCT((('Metraj Mahal Listesi'!$A$5:$A$504=A302)+('Metraj Mahal Listesi'!$B$5:$B$504=A302)&gt;0)*('Metraj Mahal Listesi'!$C$5:$C$504&lt;&gt;"")))</f>
        <v/>
      </c>
      <c r="F302" s="31">
        <f>IF(A302="","",SUMPRODUCT((('Metraj Mahal Listesi'!$A$5:$A$504=A302)+('Metraj Mahal Listesi'!$B$5:$B$504=A302)&gt;0)*('Metraj Mahal Listesi'!$C$5:$C$504&lt;&gt;"")*(LEFT('Metraj Mahal Listesi'!$C$5:$C$504,1)&lt;&gt;"—")*('Metraj Mahal Listesi'!$F$5:$F$504="")))</f>
        <v/>
      </c>
      <c r="G302" s="31">
        <f>IF(A302="","",SUMPRODUCT((('Metraj Mahal Listesi'!$A$5:$A$504=A302)+('Metraj Mahal Listesi'!$B$5:$B$504=A302)&gt;0)*('Metraj Mahal Listesi'!$F$5:$F$504&lt;&gt;"")*(LEFT('Metraj Mahal Listesi'!$C$5:$C$504,1)&lt;&gt;"—")*('Metraj Mahal Listesi'!$J$5:$J$504=0)))</f>
        <v/>
      </c>
      <c r="H302" s="5" t="n"/>
    </row>
    <row r="303">
      <c r="A303" s="5" t="n"/>
      <c r="B303" s="5" t="n"/>
      <c r="C303" s="21">
        <f>IF(A303="","",SUMPRODUCT((('Metraj Mahal Listesi'!$A$5:$A$504=A303)+('Metraj Mahal Listesi'!$B$5:$B$504=A303)&gt;0)*'Metraj Mahal Listesi'!$K$5:$K$504))</f>
        <v/>
      </c>
      <c r="D303" s="27">
        <f>IF(OR(A303="",'Metraj Mahal Listesi'!$K$3=0),"",C303/'Metraj Mahal Listesi'!$K$3*100)</f>
        <v/>
      </c>
      <c r="E303" s="31">
        <f>IF(A303="","",SUMPRODUCT((('Metraj Mahal Listesi'!$A$5:$A$504=A303)+('Metraj Mahal Listesi'!$B$5:$B$504=A303)&gt;0)*('Metraj Mahal Listesi'!$C$5:$C$504&lt;&gt;"")))</f>
        <v/>
      </c>
      <c r="F303" s="31">
        <f>IF(A303="","",SUMPRODUCT((('Metraj Mahal Listesi'!$A$5:$A$504=A303)+('Metraj Mahal Listesi'!$B$5:$B$504=A303)&gt;0)*('Metraj Mahal Listesi'!$C$5:$C$504&lt;&gt;"")*(LEFT('Metraj Mahal Listesi'!$C$5:$C$504,1)&lt;&gt;"—")*('Metraj Mahal Listesi'!$F$5:$F$504="")))</f>
        <v/>
      </c>
      <c r="G303" s="31">
        <f>IF(A303="","",SUMPRODUCT((('Metraj Mahal Listesi'!$A$5:$A$504=A303)+('Metraj Mahal Listesi'!$B$5:$B$504=A303)&gt;0)*('Metraj Mahal Listesi'!$F$5:$F$504&lt;&gt;"")*(LEFT('Metraj Mahal Listesi'!$C$5:$C$504,1)&lt;&gt;"—")*('Metraj Mahal Listesi'!$J$5:$J$504=0)))</f>
        <v/>
      </c>
      <c r="H303" s="5" t="n"/>
    </row>
    <row r="304">
      <c r="A304" s="5" t="n"/>
      <c r="B304" s="5" t="n"/>
      <c r="C304" s="21">
        <f>IF(A304="","",SUMPRODUCT((('Metraj Mahal Listesi'!$A$5:$A$504=A304)+('Metraj Mahal Listesi'!$B$5:$B$504=A304)&gt;0)*'Metraj Mahal Listesi'!$K$5:$K$504))</f>
        <v/>
      </c>
      <c r="D304" s="27">
        <f>IF(OR(A304="",'Metraj Mahal Listesi'!$K$3=0),"",C304/'Metraj Mahal Listesi'!$K$3*100)</f>
        <v/>
      </c>
      <c r="E304" s="31">
        <f>IF(A304="","",SUMPRODUCT((('Metraj Mahal Listesi'!$A$5:$A$504=A304)+('Metraj Mahal Listesi'!$B$5:$B$504=A304)&gt;0)*('Metraj Mahal Listesi'!$C$5:$C$504&lt;&gt;"")))</f>
        <v/>
      </c>
      <c r="F304" s="31">
        <f>IF(A304="","",SUMPRODUCT((('Metraj Mahal Listesi'!$A$5:$A$504=A304)+('Metraj Mahal Listesi'!$B$5:$B$504=A304)&gt;0)*('Metraj Mahal Listesi'!$C$5:$C$504&lt;&gt;"")*(LEFT('Metraj Mahal Listesi'!$C$5:$C$504,1)&lt;&gt;"—")*('Metraj Mahal Listesi'!$F$5:$F$504="")))</f>
        <v/>
      </c>
      <c r="G304" s="31">
        <f>IF(A304="","",SUMPRODUCT((('Metraj Mahal Listesi'!$A$5:$A$504=A304)+('Metraj Mahal Listesi'!$B$5:$B$504=A304)&gt;0)*('Metraj Mahal Listesi'!$F$5:$F$504&lt;&gt;"")*(LEFT('Metraj Mahal Listesi'!$C$5:$C$504,1)&lt;&gt;"—")*('Metraj Mahal Listesi'!$J$5:$J$504=0)))</f>
        <v/>
      </c>
      <c r="H304" s="5" t="n"/>
    </row>
    <row r="305">
      <c r="A305" s="5" t="n"/>
      <c r="B305" s="5" t="n"/>
      <c r="C305" s="21">
        <f>IF(A305="","",SUMPRODUCT((('Metraj Mahal Listesi'!$A$5:$A$504=A305)+('Metraj Mahal Listesi'!$B$5:$B$504=A305)&gt;0)*'Metraj Mahal Listesi'!$K$5:$K$504))</f>
        <v/>
      </c>
      <c r="D305" s="27">
        <f>IF(OR(A305="",'Metraj Mahal Listesi'!$K$3=0),"",C305/'Metraj Mahal Listesi'!$K$3*100)</f>
        <v/>
      </c>
      <c r="E305" s="31">
        <f>IF(A305="","",SUMPRODUCT((('Metraj Mahal Listesi'!$A$5:$A$504=A305)+('Metraj Mahal Listesi'!$B$5:$B$504=A305)&gt;0)*('Metraj Mahal Listesi'!$C$5:$C$504&lt;&gt;"")))</f>
        <v/>
      </c>
      <c r="F305" s="31">
        <f>IF(A305="","",SUMPRODUCT((('Metraj Mahal Listesi'!$A$5:$A$504=A305)+('Metraj Mahal Listesi'!$B$5:$B$504=A305)&gt;0)*('Metraj Mahal Listesi'!$C$5:$C$504&lt;&gt;"")*(LEFT('Metraj Mahal Listesi'!$C$5:$C$504,1)&lt;&gt;"—")*('Metraj Mahal Listesi'!$F$5:$F$504="")))</f>
        <v/>
      </c>
      <c r="G305" s="31">
        <f>IF(A305="","",SUMPRODUCT((('Metraj Mahal Listesi'!$A$5:$A$504=A305)+('Metraj Mahal Listesi'!$B$5:$B$504=A305)&gt;0)*('Metraj Mahal Listesi'!$F$5:$F$504&lt;&gt;"")*(LEFT('Metraj Mahal Listesi'!$C$5:$C$504,1)&lt;&gt;"—")*('Metraj Mahal Listesi'!$J$5:$J$504=0)))</f>
        <v/>
      </c>
      <c r="H305" s="5" t="n"/>
    </row>
    <row r="306">
      <c r="A306" s="5" t="n"/>
      <c r="B306" s="5" t="n"/>
      <c r="C306" s="21">
        <f>IF(A306="","",SUMPRODUCT((('Metraj Mahal Listesi'!$A$5:$A$504=A306)+('Metraj Mahal Listesi'!$B$5:$B$504=A306)&gt;0)*'Metraj Mahal Listesi'!$K$5:$K$504))</f>
        <v/>
      </c>
      <c r="D306" s="27">
        <f>IF(OR(A306="",'Metraj Mahal Listesi'!$K$3=0),"",C306/'Metraj Mahal Listesi'!$K$3*100)</f>
        <v/>
      </c>
      <c r="E306" s="31">
        <f>IF(A306="","",SUMPRODUCT((('Metraj Mahal Listesi'!$A$5:$A$504=A306)+('Metraj Mahal Listesi'!$B$5:$B$504=A306)&gt;0)*('Metraj Mahal Listesi'!$C$5:$C$504&lt;&gt;"")))</f>
        <v/>
      </c>
      <c r="F306" s="31">
        <f>IF(A306="","",SUMPRODUCT((('Metraj Mahal Listesi'!$A$5:$A$504=A306)+('Metraj Mahal Listesi'!$B$5:$B$504=A306)&gt;0)*('Metraj Mahal Listesi'!$C$5:$C$504&lt;&gt;"")*(LEFT('Metraj Mahal Listesi'!$C$5:$C$504,1)&lt;&gt;"—")*('Metraj Mahal Listesi'!$F$5:$F$504="")))</f>
        <v/>
      </c>
      <c r="G306" s="31">
        <f>IF(A306="","",SUMPRODUCT((('Metraj Mahal Listesi'!$A$5:$A$504=A306)+('Metraj Mahal Listesi'!$B$5:$B$504=A306)&gt;0)*('Metraj Mahal Listesi'!$F$5:$F$504&lt;&gt;"")*(LEFT('Metraj Mahal Listesi'!$C$5:$C$504,1)&lt;&gt;"—")*('Metraj Mahal Listesi'!$J$5:$J$504=0)))</f>
        <v/>
      </c>
      <c r="H306" s="5" t="n"/>
    </row>
    <row r="307">
      <c r="A307" s="5" t="n"/>
      <c r="B307" s="5" t="n"/>
      <c r="C307" s="21">
        <f>IF(A307="","",SUMPRODUCT((('Metraj Mahal Listesi'!$A$5:$A$504=A307)+('Metraj Mahal Listesi'!$B$5:$B$504=A307)&gt;0)*'Metraj Mahal Listesi'!$K$5:$K$504))</f>
        <v/>
      </c>
      <c r="D307" s="27">
        <f>IF(OR(A307="",'Metraj Mahal Listesi'!$K$3=0),"",C307/'Metraj Mahal Listesi'!$K$3*100)</f>
        <v/>
      </c>
      <c r="E307" s="31">
        <f>IF(A307="","",SUMPRODUCT((('Metraj Mahal Listesi'!$A$5:$A$504=A307)+('Metraj Mahal Listesi'!$B$5:$B$504=A307)&gt;0)*('Metraj Mahal Listesi'!$C$5:$C$504&lt;&gt;"")))</f>
        <v/>
      </c>
      <c r="F307" s="31">
        <f>IF(A307="","",SUMPRODUCT((('Metraj Mahal Listesi'!$A$5:$A$504=A307)+('Metraj Mahal Listesi'!$B$5:$B$504=A307)&gt;0)*('Metraj Mahal Listesi'!$C$5:$C$504&lt;&gt;"")*(LEFT('Metraj Mahal Listesi'!$C$5:$C$504,1)&lt;&gt;"—")*('Metraj Mahal Listesi'!$F$5:$F$504="")))</f>
        <v/>
      </c>
      <c r="G307" s="31">
        <f>IF(A307="","",SUMPRODUCT((('Metraj Mahal Listesi'!$A$5:$A$504=A307)+('Metraj Mahal Listesi'!$B$5:$B$504=A307)&gt;0)*('Metraj Mahal Listesi'!$F$5:$F$504&lt;&gt;"")*(LEFT('Metraj Mahal Listesi'!$C$5:$C$504,1)&lt;&gt;"—")*('Metraj Mahal Listesi'!$J$5:$J$504=0)))</f>
        <v/>
      </c>
      <c r="H307" s="5" t="n"/>
    </row>
    <row r="308">
      <c r="A308" s="5" t="n"/>
      <c r="B308" s="5" t="n"/>
      <c r="C308" s="21">
        <f>IF(A308="","",SUMPRODUCT((('Metraj Mahal Listesi'!$A$5:$A$504=A308)+('Metraj Mahal Listesi'!$B$5:$B$504=A308)&gt;0)*'Metraj Mahal Listesi'!$K$5:$K$504))</f>
        <v/>
      </c>
      <c r="D308" s="27">
        <f>IF(OR(A308="",'Metraj Mahal Listesi'!$K$3=0),"",C308/'Metraj Mahal Listesi'!$K$3*100)</f>
        <v/>
      </c>
      <c r="E308" s="31">
        <f>IF(A308="","",SUMPRODUCT((('Metraj Mahal Listesi'!$A$5:$A$504=A308)+('Metraj Mahal Listesi'!$B$5:$B$504=A308)&gt;0)*('Metraj Mahal Listesi'!$C$5:$C$504&lt;&gt;"")))</f>
        <v/>
      </c>
      <c r="F308" s="31">
        <f>IF(A308="","",SUMPRODUCT((('Metraj Mahal Listesi'!$A$5:$A$504=A308)+('Metraj Mahal Listesi'!$B$5:$B$504=A308)&gt;0)*('Metraj Mahal Listesi'!$C$5:$C$504&lt;&gt;"")*(LEFT('Metraj Mahal Listesi'!$C$5:$C$504,1)&lt;&gt;"—")*('Metraj Mahal Listesi'!$F$5:$F$504="")))</f>
        <v/>
      </c>
      <c r="G308" s="31">
        <f>IF(A308="","",SUMPRODUCT((('Metraj Mahal Listesi'!$A$5:$A$504=A308)+('Metraj Mahal Listesi'!$B$5:$B$504=A308)&gt;0)*('Metraj Mahal Listesi'!$F$5:$F$504&lt;&gt;"")*(LEFT('Metraj Mahal Listesi'!$C$5:$C$504,1)&lt;&gt;"—")*('Metraj Mahal Listesi'!$J$5:$J$504=0)))</f>
        <v/>
      </c>
      <c r="H308" s="5" t="n"/>
    </row>
    <row r="309">
      <c r="A309" s="5" t="n"/>
      <c r="B309" s="5" t="n"/>
      <c r="C309" s="21">
        <f>IF(A309="","",SUMPRODUCT((('Metraj Mahal Listesi'!$A$5:$A$504=A309)+('Metraj Mahal Listesi'!$B$5:$B$504=A309)&gt;0)*'Metraj Mahal Listesi'!$K$5:$K$504))</f>
        <v/>
      </c>
      <c r="D309" s="27">
        <f>IF(OR(A309="",'Metraj Mahal Listesi'!$K$3=0),"",C309/'Metraj Mahal Listesi'!$K$3*100)</f>
        <v/>
      </c>
      <c r="E309" s="31">
        <f>IF(A309="","",SUMPRODUCT((('Metraj Mahal Listesi'!$A$5:$A$504=A309)+('Metraj Mahal Listesi'!$B$5:$B$504=A309)&gt;0)*('Metraj Mahal Listesi'!$C$5:$C$504&lt;&gt;"")))</f>
        <v/>
      </c>
      <c r="F309" s="31">
        <f>IF(A309="","",SUMPRODUCT((('Metraj Mahal Listesi'!$A$5:$A$504=A309)+('Metraj Mahal Listesi'!$B$5:$B$504=A309)&gt;0)*('Metraj Mahal Listesi'!$C$5:$C$504&lt;&gt;"")*(LEFT('Metraj Mahal Listesi'!$C$5:$C$504,1)&lt;&gt;"—")*('Metraj Mahal Listesi'!$F$5:$F$504="")))</f>
        <v/>
      </c>
      <c r="G309" s="31">
        <f>IF(A309="","",SUMPRODUCT((('Metraj Mahal Listesi'!$A$5:$A$504=A309)+('Metraj Mahal Listesi'!$B$5:$B$504=A309)&gt;0)*('Metraj Mahal Listesi'!$F$5:$F$504&lt;&gt;"")*(LEFT('Metraj Mahal Listesi'!$C$5:$C$504,1)&lt;&gt;"—")*('Metraj Mahal Listesi'!$J$5:$J$504=0)))</f>
        <v/>
      </c>
      <c r="H309" s="5" t="n"/>
    </row>
    <row r="310">
      <c r="A310" s="5" t="n"/>
      <c r="B310" s="5" t="n"/>
      <c r="C310" s="21">
        <f>IF(A310="","",SUMPRODUCT((('Metraj Mahal Listesi'!$A$5:$A$504=A310)+('Metraj Mahal Listesi'!$B$5:$B$504=A310)&gt;0)*'Metraj Mahal Listesi'!$K$5:$K$504))</f>
        <v/>
      </c>
      <c r="D310" s="27">
        <f>IF(OR(A310="",'Metraj Mahal Listesi'!$K$3=0),"",C310/'Metraj Mahal Listesi'!$K$3*100)</f>
        <v/>
      </c>
      <c r="E310" s="31">
        <f>IF(A310="","",SUMPRODUCT((('Metraj Mahal Listesi'!$A$5:$A$504=A310)+('Metraj Mahal Listesi'!$B$5:$B$504=A310)&gt;0)*('Metraj Mahal Listesi'!$C$5:$C$504&lt;&gt;"")))</f>
        <v/>
      </c>
      <c r="F310" s="31">
        <f>IF(A310="","",SUMPRODUCT((('Metraj Mahal Listesi'!$A$5:$A$504=A310)+('Metraj Mahal Listesi'!$B$5:$B$504=A310)&gt;0)*('Metraj Mahal Listesi'!$C$5:$C$504&lt;&gt;"")*(LEFT('Metraj Mahal Listesi'!$C$5:$C$504,1)&lt;&gt;"—")*('Metraj Mahal Listesi'!$F$5:$F$504="")))</f>
        <v/>
      </c>
      <c r="G310" s="31">
        <f>IF(A310="","",SUMPRODUCT((('Metraj Mahal Listesi'!$A$5:$A$504=A310)+('Metraj Mahal Listesi'!$B$5:$B$504=A310)&gt;0)*('Metraj Mahal Listesi'!$F$5:$F$504&lt;&gt;"")*(LEFT('Metraj Mahal Listesi'!$C$5:$C$504,1)&lt;&gt;"—")*('Metraj Mahal Listesi'!$J$5:$J$504=0)))</f>
        <v/>
      </c>
      <c r="H310" s="5" t="n"/>
    </row>
    <row r="311">
      <c r="A311" s="5" t="n"/>
      <c r="B311" s="5" t="n"/>
      <c r="C311" s="21">
        <f>IF(A311="","",SUMPRODUCT((('Metraj Mahal Listesi'!$A$5:$A$504=A311)+('Metraj Mahal Listesi'!$B$5:$B$504=A311)&gt;0)*'Metraj Mahal Listesi'!$K$5:$K$504))</f>
        <v/>
      </c>
      <c r="D311" s="27">
        <f>IF(OR(A311="",'Metraj Mahal Listesi'!$K$3=0),"",C311/'Metraj Mahal Listesi'!$K$3*100)</f>
        <v/>
      </c>
      <c r="E311" s="31">
        <f>IF(A311="","",SUMPRODUCT((('Metraj Mahal Listesi'!$A$5:$A$504=A311)+('Metraj Mahal Listesi'!$B$5:$B$504=A311)&gt;0)*('Metraj Mahal Listesi'!$C$5:$C$504&lt;&gt;"")))</f>
        <v/>
      </c>
      <c r="F311" s="31">
        <f>IF(A311="","",SUMPRODUCT((('Metraj Mahal Listesi'!$A$5:$A$504=A311)+('Metraj Mahal Listesi'!$B$5:$B$504=A311)&gt;0)*('Metraj Mahal Listesi'!$C$5:$C$504&lt;&gt;"")*(LEFT('Metraj Mahal Listesi'!$C$5:$C$504,1)&lt;&gt;"—")*('Metraj Mahal Listesi'!$F$5:$F$504="")))</f>
        <v/>
      </c>
      <c r="G311" s="31">
        <f>IF(A311="","",SUMPRODUCT((('Metraj Mahal Listesi'!$A$5:$A$504=A311)+('Metraj Mahal Listesi'!$B$5:$B$504=A311)&gt;0)*('Metraj Mahal Listesi'!$F$5:$F$504&lt;&gt;"")*(LEFT('Metraj Mahal Listesi'!$C$5:$C$504,1)&lt;&gt;"—")*('Metraj Mahal Listesi'!$J$5:$J$504=0)))</f>
        <v/>
      </c>
      <c r="H311" s="5" t="n"/>
    </row>
    <row r="312">
      <c r="A312" s="5" t="n"/>
      <c r="B312" s="5" t="n"/>
      <c r="C312" s="21">
        <f>IF(A312="","",SUMPRODUCT((('Metraj Mahal Listesi'!$A$5:$A$504=A312)+('Metraj Mahal Listesi'!$B$5:$B$504=A312)&gt;0)*'Metraj Mahal Listesi'!$K$5:$K$504))</f>
        <v/>
      </c>
      <c r="D312" s="27">
        <f>IF(OR(A312="",'Metraj Mahal Listesi'!$K$3=0),"",C312/'Metraj Mahal Listesi'!$K$3*100)</f>
        <v/>
      </c>
      <c r="E312" s="31">
        <f>IF(A312="","",SUMPRODUCT((('Metraj Mahal Listesi'!$A$5:$A$504=A312)+('Metraj Mahal Listesi'!$B$5:$B$504=A312)&gt;0)*('Metraj Mahal Listesi'!$C$5:$C$504&lt;&gt;"")))</f>
        <v/>
      </c>
      <c r="F312" s="31">
        <f>IF(A312="","",SUMPRODUCT((('Metraj Mahal Listesi'!$A$5:$A$504=A312)+('Metraj Mahal Listesi'!$B$5:$B$504=A312)&gt;0)*('Metraj Mahal Listesi'!$C$5:$C$504&lt;&gt;"")*(LEFT('Metraj Mahal Listesi'!$C$5:$C$504,1)&lt;&gt;"—")*('Metraj Mahal Listesi'!$F$5:$F$504="")))</f>
        <v/>
      </c>
      <c r="G312" s="31">
        <f>IF(A312="","",SUMPRODUCT((('Metraj Mahal Listesi'!$A$5:$A$504=A312)+('Metraj Mahal Listesi'!$B$5:$B$504=A312)&gt;0)*('Metraj Mahal Listesi'!$F$5:$F$504&lt;&gt;"")*(LEFT('Metraj Mahal Listesi'!$C$5:$C$504,1)&lt;&gt;"—")*('Metraj Mahal Listesi'!$J$5:$J$504=0)))</f>
        <v/>
      </c>
      <c r="H312" s="5" t="n"/>
    </row>
    <row r="313">
      <c r="A313" s="5" t="n"/>
      <c r="B313" s="5" t="n"/>
      <c r="C313" s="21">
        <f>IF(A313="","",SUMPRODUCT((('Metraj Mahal Listesi'!$A$5:$A$504=A313)+('Metraj Mahal Listesi'!$B$5:$B$504=A313)&gt;0)*'Metraj Mahal Listesi'!$K$5:$K$504))</f>
        <v/>
      </c>
      <c r="D313" s="27">
        <f>IF(OR(A313="",'Metraj Mahal Listesi'!$K$3=0),"",C313/'Metraj Mahal Listesi'!$K$3*100)</f>
        <v/>
      </c>
      <c r="E313" s="31">
        <f>IF(A313="","",SUMPRODUCT((('Metraj Mahal Listesi'!$A$5:$A$504=A313)+('Metraj Mahal Listesi'!$B$5:$B$504=A313)&gt;0)*('Metraj Mahal Listesi'!$C$5:$C$504&lt;&gt;"")))</f>
        <v/>
      </c>
      <c r="F313" s="31">
        <f>IF(A313="","",SUMPRODUCT((('Metraj Mahal Listesi'!$A$5:$A$504=A313)+('Metraj Mahal Listesi'!$B$5:$B$504=A313)&gt;0)*('Metraj Mahal Listesi'!$C$5:$C$504&lt;&gt;"")*(LEFT('Metraj Mahal Listesi'!$C$5:$C$504,1)&lt;&gt;"—")*('Metraj Mahal Listesi'!$F$5:$F$504="")))</f>
        <v/>
      </c>
      <c r="G313" s="31">
        <f>IF(A313="","",SUMPRODUCT((('Metraj Mahal Listesi'!$A$5:$A$504=A313)+('Metraj Mahal Listesi'!$B$5:$B$504=A313)&gt;0)*('Metraj Mahal Listesi'!$F$5:$F$504&lt;&gt;"")*(LEFT('Metraj Mahal Listesi'!$C$5:$C$504,1)&lt;&gt;"—")*('Metraj Mahal Listesi'!$J$5:$J$504=0)))</f>
        <v/>
      </c>
      <c r="H313" s="5" t="n"/>
    </row>
    <row r="314">
      <c r="A314" s="5" t="n"/>
      <c r="B314" s="5" t="n"/>
      <c r="C314" s="21">
        <f>IF(A314="","",SUMPRODUCT((('Metraj Mahal Listesi'!$A$5:$A$504=A314)+('Metraj Mahal Listesi'!$B$5:$B$504=A314)&gt;0)*'Metraj Mahal Listesi'!$K$5:$K$504))</f>
        <v/>
      </c>
      <c r="D314" s="27">
        <f>IF(OR(A314="",'Metraj Mahal Listesi'!$K$3=0),"",C314/'Metraj Mahal Listesi'!$K$3*100)</f>
        <v/>
      </c>
      <c r="E314" s="31">
        <f>IF(A314="","",SUMPRODUCT((('Metraj Mahal Listesi'!$A$5:$A$504=A314)+('Metraj Mahal Listesi'!$B$5:$B$504=A314)&gt;0)*('Metraj Mahal Listesi'!$C$5:$C$504&lt;&gt;"")))</f>
        <v/>
      </c>
      <c r="F314" s="31">
        <f>IF(A314="","",SUMPRODUCT((('Metraj Mahal Listesi'!$A$5:$A$504=A314)+('Metraj Mahal Listesi'!$B$5:$B$504=A314)&gt;0)*('Metraj Mahal Listesi'!$C$5:$C$504&lt;&gt;"")*(LEFT('Metraj Mahal Listesi'!$C$5:$C$504,1)&lt;&gt;"—")*('Metraj Mahal Listesi'!$F$5:$F$504="")))</f>
        <v/>
      </c>
      <c r="G314" s="31">
        <f>IF(A314="","",SUMPRODUCT((('Metraj Mahal Listesi'!$A$5:$A$504=A314)+('Metraj Mahal Listesi'!$B$5:$B$504=A314)&gt;0)*('Metraj Mahal Listesi'!$F$5:$F$504&lt;&gt;"")*(LEFT('Metraj Mahal Listesi'!$C$5:$C$504,1)&lt;&gt;"—")*('Metraj Mahal Listesi'!$J$5:$J$504=0)))</f>
        <v/>
      </c>
      <c r="H314" s="5" t="n"/>
    </row>
    <row r="315">
      <c r="A315" s="5" t="n"/>
      <c r="B315" s="5" t="n"/>
      <c r="C315" s="21">
        <f>IF(A315="","",SUMPRODUCT((('Metraj Mahal Listesi'!$A$5:$A$504=A315)+('Metraj Mahal Listesi'!$B$5:$B$504=A315)&gt;0)*'Metraj Mahal Listesi'!$K$5:$K$504))</f>
        <v/>
      </c>
      <c r="D315" s="27">
        <f>IF(OR(A315="",'Metraj Mahal Listesi'!$K$3=0),"",C315/'Metraj Mahal Listesi'!$K$3*100)</f>
        <v/>
      </c>
      <c r="E315" s="31">
        <f>IF(A315="","",SUMPRODUCT((('Metraj Mahal Listesi'!$A$5:$A$504=A315)+('Metraj Mahal Listesi'!$B$5:$B$504=A315)&gt;0)*('Metraj Mahal Listesi'!$C$5:$C$504&lt;&gt;"")))</f>
        <v/>
      </c>
      <c r="F315" s="31">
        <f>IF(A315="","",SUMPRODUCT((('Metraj Mahal Listesi'!$A$5:$A$504=A315)+('Metraj Mahal Listesi'!$B$5:$B$504=A315)&gt;0)*('Metraj Mahal Listesi'!$C$5:$C$504&lt;&gt;"")*(LEFT('Metraj Mahal Listesi'!$C$5:$C$504,1)&lt;&gt;"—")*('Metraj Mahal Listesi'!$F$5:$F$504="")))</f>
        <v/>
      </c>
      <c r="G315" s="31">
        <f>IF(A315="","",SUMPRODUCT((('Metraj Mahal Listesi'!$A$5:$A$504=A315)+('Metraj Mahal Listesi'!$B$5:$B$504=A315)&gt;0)*('Metraj Mahal Listesi'!$F$5:$F$504&lt;&gt;"")*(LEFT('Metraj Mahal Listesi'!$C$5:$C$504,1)&lt;&gt;"—")*('Metraj Mahal Listesi'!$J$5:$J$504=0)))</f>
        <v/>
      </c>
      <c r="H315" s="5" t="n"/>
    </row>
    <row r="316">
      <c r="A316" s="5" t="n"/>
      <c r="B316" s="5" t="n"/>
      <c r="C316" s="21">
        <f>IF(A316="","",SUMPRODUCT((('Metraj Mahal Listesi'!$A$5:$A$504=A316)+('Metraj Mahal Listesi'!$B$5:$B$504=A316)&gt;0)*'Metraj Mahal Listesi'!$K$5:$K$504))</f>
        <v/>
      </c>
      <c r="D316" s="27">
        <f>IF(OR(A316="",'Metraj Mahal Listesi'!$K$3=0),"",C316/'Metraj Mahal Listesi'!$K$3*100)</f>
        <v/>
      </c>
      <c r="E316" s="31">
        <f>IF(A316="","",SUMPRODUCT((('Metraj Mahal Listesi'!$A$5:$A$504=A316)+('Metraj Mahal Listesi'!$B$5:$B$504=A316)&gt;0)*('Metraj Mahal Listesi'!$C$5:$C$504&lt;&gt;"")))</f>
        <v/>
      </c>
      <c r="F316" s="31">
        <f>IF(A316="","",SUMPRODUCT((('Metraj Mahal Listesi'!$A$5:$A$504=A316)+('Metraj Mahal Listesi'!$B$5:$B$504=A316)&gt;0)*('Metraj Mahal Listesi'!$C$5:$C$504&lt;&gt;"")*(LEFT('Metraj Mahal Listesi'!$C$5:$C$504,1)&lt;&gt;"—")*('Metraj Mahal Listesi'!$F$5:$F$504="")))</f>
        <v/>
      </c>
      <c r="G316" s="31">
        <f>IF(A316="","",SUMPRODUCT((('Metraj Mahal Listesi'!$A$5:$A$504=A316)+('Metraj Mahal Listesi'!$B$5:$B$504=A316)&gt;0)*('Metraj Mahal Listesi'!$F$5:$F$504&lt;&gt;"")*(LEFT('Metraj Mahal Listesi'!$C$5:$C$504,1)&lt;&gt;"—")*('Metraj Mahal Listesi'!$J$5:$J$504=0)))</f>
        <v/>
      </c>
      <c r="H316" s="5" t="n"/>
    </row>
    <row r="317">
      <c r="A317" s="5" t="n"/>
      <c r="B317" s="5" t="n"/>
      <c r="C317" s="21">
        <f>IF(A317="","",SUMPRODUCT((('Metraj Mahal Listesi'!$A$5:$A$504=A317)+('Metraj Mahal Listesi'!$B$5:$B$504=A317)&gt;0)*'Metraj Mahal Listesi'!$K$5:$K$504))</f>
        <v/>
      </c>
      <c r="D317" s="27">
        <f>IF(OR(A317="",'Metraj Mahal Listesi'!$K$3=0),"",C317/'Metraj Mahal Listesi'!$K$3*100)</f>
        <v/>
      </c>
      <c r="E317" s="31">
        <f>IF(A317="","",SUMPRODUCT((('Metraj Mahal Listesi'!$A$5:$A$504=A317)+('Metraj Mahal Listesi'!$B$5:$B$504=A317)&gt;0)*('Metraj Mahal Listesi'!$C$5:$C$504&lt;&gt;"")))</f>
        <v/>
      </c>
      <c r="F317" s="31">
        <f>IF(A317="","",SUMPRODUCT((('Metraj Mahal Listesi'!$A$5:$A$504=A317)+('Metraj Mahal Listesi'!$B$5:$B$504=A317)&gt;0)*('Metraj Mahal Listesi'!$C$5:$C$504&lt;&gt;"")*(LEFT('Metraj Mahal Listesi'!$C$5:$C$504,1)&lt;&gt;"—")*('Metraj Mahal Listesi'!$F$5:$F$504="")))</f>
        <v/>
      </c>
      <c r="G317" s="31">
        <f>IF(A317="","",SUMPRODUCT((('Metraj Mahal Listesi'!$A$5:$A$504=A317)+('Metraj Mahal Listesi'!$B$5:$B$504=A317)&gt;0)*('Metraj Mahal Listesi'!$F$5:$F$504&lt;&gt;"")*(LEFT('Metraj Mahal Listesi'!$C$5:$C$504,1)&lt;&gt;"—")*('Metraj Mahal Listesi'!$J$5:$J$504=0)))</f>
        <v/>
      </c>
      <c r="H317" s="5" t="n"/>
    </row>
    <row r="318">
      <c r="A318" s="5" t="n"/>
      <c r="B318" s="5" t="n"/>
      <c r="C318" s="21">
        <f>IF(A318="","",SUMPRODUCT((('Metraj Mahal Listesi'!$A$5:$A$504=A318)+('Metraj Mahal Listesi'!$B$5:$B$504=A318)&gt;0)*'Metraj Mahal Listesi'!$K$5:$K$504))</f>
        <v/>
      </c>
      <c r="D318" s="27">
        <f>IF(OR(A318="",'Metraj Mahal Listesi'!$K$3=0),"",C318/'Metraj Mahal Listesi'!$K$3*100)</f>
        <v/>
      </c>
      <c r="E318" s="31">
        <f>IF(A318="","",SUMPRODUCT((('Metraj Mahal Listesi'!$A$5:$A$504=A318)+('Metraj Mahal Listesi'!$B$5:$B$504=A318)&gt;0)*('Metraj Mahal Listesi'!$C$5:$C$504&lt;&gt;"")))</f>
        <v/>
      </c>
      <c r="F318" s="31">
        <f>IF(A318="","",SUMPRODUCT((('Metraj Mahal Listesi'!$A$5:$A$504=A318)+('Metraj Mahal Listesi'!$B$5:$B$504=A318)&gt;0)*('Metraj Mahal Listesi'!$C$5:$C$504&lt;&gt;"")*(LEFT('Metraj Mahal Listesi'!$C$5:$C$504,1)&lt;&gt;"—")*('Metraj Mahal Listesi'!$F$5:$F$504="")))</f>
        <v/>
      </c>
      <c r="G318" s="31">
        <f>IF(A318="","",SUMPRODUCT((('Metraj Mahal Listesi'!$A$5:$A$504=A318)+('Metraj Mahal Listesi'!$B$5:$B$504=A318)&gt;0)*('Metraj Mahal Listesi'!$F$5:$F$504&lt;&gt;"")*(LEFT('Metraj Mahal Listesi'!$C$5:$C$504,1)&lt;&gt;"—")*('Metraj Mahal Listesi'!$J$5:$J$504=0)))</f>
        <v/>
      </c>
      <c r="H318" s="5" t="n"/>
    </row>
    <row r="319">
      <c r="A319" s="5" t="n"/>
      <c r="B319" s="5" t="n"/>
      <c r="C319" s="21">
        <f>IF(A319="","",SUMPRODUCT((('Metraj Mahal Listesi'!$A$5:$A$504=A319)+('Metraj Mahal Listesi'!$B$5:$B$504=A319)&gt;0)*'Metraj Mahal Listesi'!$K$5:$K$504))</f>
        <v/>
      </c>
      <c r="D319" s="27">
        <f>IF(OR(A319="",'Metraj Mahal Listesi'!$K$3=0),"",C319/'Metraj Mahal Listesi'!$K$3*100)</f>
        <v/>
      </c>
      <c r="E319" s="31">
        <f>IF(A319="","",SUMPRODUCT((('Metraj Mahal Listesi'!$A$5:$A$504=A319)+('Metraj Mahal Listesi'!$B$5:$B$504=A319)&gt;0)*('Metraj Mahal Listesi'!$C$5:$C$504&lt;&gt;"")))</f>
        <v/>
      </c>
      <c r="F319" s="31">
        <f>IF(A319="","",SUMPRODUCT((('Metraj Mahal Listesi'!$A$5:$A$504=A319)+('Metraj Mahal Listesi'!$B$5:$B$504=A319)&gt;0)*('Metraj Mahal Listesi'!$C$5:$C$504&lt;&gt;"")*(LEFT('Metraj Mahal Listesi'!$C$5:$C$504,1)&lt;&gt;"—")*('Metraj Mahal Listesi'!$F$5:$F$504="")))</f>
        <v/>
      </c>
      <c r="G319" s="31">
        <f>IF(A319="","",SUMPRODUCT((('Metraj Mahal Listesi'!$A$5:$A$504=A319)+('Metraj Mahal Listesi'!$B$5:$B$504=A319)&gt;0)*('Metraj Mahal Listesi'!$F$5:$F$504&lt;&gt;"")*(LEFT('Metraj Mahal Listesi'!$C$5:$C$504,1)&lt;&gt;"—")*('Metraj Mahal Listesi'!$J$5:$J$504=0)))</f>
        <v/>
      </c>
      <c r="H319" s="5" t="n"/>
    </row>
    <row r="320">
      <c r="A320" s="5" t="n"/>
      <c r="B320" s="5" t="n"/>
      <c r="C320" s="21">
        <f>IF(A320="","",SUMPRODUCT((('Metraj Mahal Listesi'!$A$5:$A$504=A320)+('Metraj Mahal Listesi'!$B$5:$B$504=A320)&gt;0)*'Metraj Mahal Listesi'!$K$5:$K$504))</f>
        <v/>
      </c>
      <c r="D320" s="27">
        <f>IF(OR(A320="",'Metraj Mahal Listesi'!$K$3=0),"",C320/'Metraj Mahal Listesi'!$K$3*100)</f>
        <v/>
      </c>
      <c r="E320" s="31">
        <f>IF(A320="","",SUMPRODUCT((('Metraj Mahal Listesi'!$A$5:$A$504=A320)+('Metraj Mahal Listesi'!$B$5:$B$504=A320)&gt;0)*('Metraj Mahal Listesi'!$C$5:$C$504&lt;&gt;"")))</f>
        <v/>
      </c>
      <c r="F320" s="31">
        <f>IF(A320="","",SUMPRODUCT((('Metraj Mahal Listesi'!$A$5:$A$504=A320)+('Metraj Mahal Listesi'!$B$5:$B$504=A320)&gt;0)*('Metraj Mahal Listesi'!$C$5:$C$504&lt;&gt;"")*(LEFT('Metraj Mahal Listesi'!$C$5:$C$504,1)&lt;&gt;"—")*('Metraj Mahal Listesi'!$F$5:$F$504="")))</f>
        <v/>
      </c>
      <c r="G320" s="31">
        <f>IF(A320="","",SUMPRODUCT((('Metraj Mahal Listesi'!$A$5:$A$504=A320)+('Metraj Mahal Listesi'!$B$5:$B$504=A320)&gt;0)*('Metraj Mahal Listesi'!$F$5:$F$504&lt;&gt;"")*(LEFT('Metraj Mahal Listesi'!$C$5:$C$504,1)&lt;&gt;"—")*('Metraj Mahal Listesi'!$J$5:$J$504=0)))</f>
        <v/>
      </c>
      <c r="H320" s="5" t="n"/>
    </row>
    <row r="321">
      <c r="A321" s="5" t="n"/>
      <c r="B321" s="5" t="n"/>
      <c r="C321" s="21">
        <f>IF(A321="","",SUMPRODUCT((('Metraj Mahal Listesi'!$A$5:$A$504=A321)+('Metraj Mahal Listesi'!$B$5:$B$504=A321)&gt;0)*'Metraj Mahal Listesi'!$K$5:$K$504))</f>
        <v/>
      </c>
      <c r="D321" s="27">
        <f>IF(OR(A321="",'Metraj Mahal Listesi'!$K$3=0),"",C321/'Metraj Mahal Listesi'!$K$3*100)</f>
        <v/>
      </c>
      <c r="E321" s="31">
        <f>IF(A321="","",SUMPRODUCT((('Metraj Mahal Listesi'!$A$5:$A$504=A321)+('Metraj Mahal Listesi'!$B$5:$B$504=A321)&gt;0)*('Metraj Mahal Listesi'!$C$5:$C$504&lt;&gt;"")))</f>
        <v/>
      </c>
      <c r="F321" s="31">
        <f>IF(A321="","",SUMPRODUCT((('Metraj Mahal Listesi'!$A$5:$A$504=A321)+('Metraj Mahal Listesi'!$B$5:$B$504=A321)&gt;0)*('Metraj Mahal Listesi'!$C$5:$C$504&lt;&gt;"")*(LEFT('Metraj Mahal Listesi'!$C$5:$C$504,1)&lt;&gt;"—")*('Metraj Mahal Listesi'!$F$5:$F$504="")))</f>
        <v/>
      </c>
      <c r="G321" s="31">
        <f>IF(A321="","",SUMPRODUCT((('Metraj Mahal Listesi'!$A$5:$A$504=A321)+('Metraj Mahal Listesi'!$B$5:$B$504=A321)&gt;0)*('Metraj Mahal Listesi'!$F$5:$F$504&lt;&gt;"")*(LEFT('Metraj Mahal Listesi'!$C$5:$C$504,1)&lt;&gt;"—")*('Metraj Mahal Listesi'!$J$5:$J$504=0)))</f>
        <v/>
      </c>
      <c r="H321" s="5" t="n"/>
    </row>
    <row r="322">
      <c r="A322" s="5" t="n"/>
      <c r="B322" s="5" t="n"/>
      <c r="C322" s="21">
        <f>IF(A322="","",SUMPRODUCT((('Metraj Mahal Listesi'!$A$5:$A$504=A322)+('Metraj Mahal Listesi'!$B$5:$B$504=A322)&gt;0)*'Metraj Mahal Listesi'!$K$5:$K$504))</f>
        <v/>
      </c>
      <c r="D322" s="27">
        <f>IF(OR(A322="",'Metraj Mahal Listesi'!$K$3=0),"",C322/'Metraj Mahal Listesi'!$K$3*100)</f>
        <v/>
      </c>
      <c r="E322" s="31">
        <f>IF(A322="","",SUMPRODUCT((('Metraj Mahal Listesi'!$A$5:$A$504=A322)+('Metraj Mahal Listesi'!$B$5:$B$504=A322)&gt;0)*('Metraj Mahal Listesi'!$C$5:$C$504&lt;&gt;"")))</f>
        <v/>
      </c>
      <c r="F322" s="31">
        <f>IF(A322="","",SUMPRODUCT((('Metraj Mahal Listesi'!$A$5:$A$504=A322)+('Metraj Mahal Listesi'!$B$5:$B$504=A322)&gt;0)*('Metraj Mahal Listesi'!$C$5:$C$504&lt;&gt;"")*(LEFT('Metraj Mahal Listesi'!$C$5:$C$504,1)&lt;&gt;"—")*('Metraj Mahal Listesi'!$F$5:$F$504="")))</f>
        <v/>
      </c>
      <c r="G322" s="31">
        <f>IF(A322="","",SUMPRODUCT((('Metraj Mahal Listesi'!$A$5:$A$504=A322)+('Metraj Mahal Listesi'!$B$5:$B$504=A322)&gt;0)*('Metraj Mahal Listesi'!$F$5:$F$504&lt;&gt;"")*(LEFT('Metraj Mahal Listesi'!$C$5:$C$504,1)&lt;&gt;"—")*('Metraj Mahal Listesi'!$J$5:$J$504=0)))</f>
        <v/>
      </c>
      <c r="H322" s="5" t="n"/>
    </row>
    <row r="323">
      <c r="A323" s="5" t="n"/>
      <c r="B323" s="5" t="n"/>
      <c r="C323" s="21">
        <f>IF(A323="","",SUMPRODUCT((('Metraj Mahal Listesi'!$A$5:$A$504=A323)+('Metraj Mahal Listesi'!$B$5:$B$504=A323)&gt;0)*'Metraj Mahal Listesi'!$K$5:$K$504))</f>
        <v/>
      </c>
      <c r="D323" s="27">
        <f>IF(OR(A323="",'Metraj Mahal Listesi'!$K$3=0),"",C323/'Metraj Mahal Listesi'!$K$3*100)</f>
        <v/>
      </c>
      <c r="E323" s="31">
        <f>IF(A323="","",SUMPRODUCT((('Metraj Mahal Listesi'!$A$5:$A$504=A323)+('Metraj Mahal Listesi'!$B$5:$B$504=A323)&gt;0)*('Metraj Mahal Listesi'!$C$5:$C$504&lt;&gt;"")))</f>
        <v/>
      </c>
      <c r="F323" s="31">
        <f>IF(A323="","",SUMPRODUCT((('Metraj Mahal Listesi'!$A$5:$A$504=A323)+('Metraj Mahal Listesi'!$B$5:$B$504=A323)&gt;0)*('Metraj Mahal Listesi'!$C$5:$C$504&lt;&gt;"")*(LEFT('Metraj Mahal Listesi'!$C$5:$C$504,1)&lt;&gt;"—")*('Metraj Mahal Listesi'!$F$5:$F$504="")))</f>
        <v/>
      </c>
      <c r="G323" s="31">
        <f>IF(A323="","",SUMPRODUCT((('Metraj Mahal Listesi'!$A$5:$A$504=A323)+('Metraj Mahal Listesi'!$B$5:$B$504=A323)&gt;0)*('Metraj Mahal Listesi'!$F$5:$F$504&lt;&gt;"")*(LEFT('Metraj Mahal Listesi'!$C$5:$C$504,1)&lt;&gt;"—")*('Metraj Mahal Listesi'!$J$5:$J$504=0)))</f>
        <v/>
      </c>
      <c r="H323" s="5" t="n"/>
    </row>
    <row r="324">
      <c r="A324" s="5" t="n"/>
      <c r="B324" s="5" t="n"/>
      <c r="C324" s="21">
        <f>IF(A324="","",SUMPRODUCT((('Metraj Mahal Listesi'!$A$5:$A$504=A324)+('Metraj Mahal Listesi'!$B$5:$B$504=A324)&gt;0)*'Metraj Mahal Listesi'!$K$5:$K$504))</f>
        <v/>
      </c>
      <c r="D324" s="27">
        <f>IF(OR(A324="",'Metraj Mahal Listesi'!$K$3=0),"",C324/'Metraj Mahal Listesi'!$K$3*100)</f>
        <v/>
      </c>
      <c r="E324" s="31">
        <f>IF(A324="","",SUMPRODUCT((('Metraj Mahal Listesi'!$A$5:$A$504=A324)+('Metraj Mahal Listesi'!$B$5:$B$504=A324)&gt;0)*('Metraj Mahal Listesi'!$C$5:$C$504&lt;&gt;"")))</f>
        <v/>
      </c>
      <c r="F324" s="31">
        <f>IF(A324="","",SUMPRODUCT((('Metraj Mahal Listesi'!$A$5:$A$504=A324)+('Metraj Mahal Listesi'!$B$5:$B$504=A324)&gt;0)*('Metraj Mahal Listesi'!$C$5:$C$504&lt;&gt;"")*(LEFT('Metraj Mahal Listesi'!$C$5:$C$504,1)&lt;&gt;"—")*('Metraj Mahal Listesi'!$F$5:$F$504="")))</f>
        <v/>
      </c>
      <c r="G324" s="31">
        <f>IF(A324="","",SUMPRODUCT((('Metraj Mahal Listesi'!$A$5:$A$504=A324)+('Metraj Mahal Listesi'!$B$5:$B$504=A324)&gt;0)*('Metraj Mahal Listesi'!$F$5:$F$504&lt;&gt;"")*(LEFT('Metraj Mahal Listesi'!$C$5:$C$504,1)&lt;&gt;"—")*('Metraj Mahal Listesi'!$J$5:$J$504=0)))</f>
        <v/>
      </c>
      <c r="H324" s="5" t="n"/>
    </row>
    <row r="325">
      <c r="A325" s="5" t="n"/>
      <c r="B325" s="5" t="n"/>
      <c r="C325" s="21">
        <f>IF(A325="","",SUMPRODUCT((('Metraj Mahal Listesi'!$A$5:$A$504=A325)+('Metraj Mahal Listesi'!$B$5:$B$504=A325)&gt;0)*'Metraj Mahal Listesi'!$K$5:$K$504))</f>
        <v/>
      </c>
      <c r="D325" s="27">
        <f>IF(OR(A325="",'Metraj Mahal Listesi'!$K$3=0),"",C325/'Metraj Mahal Listesi'!$K$3*100)</f>
        <v/>
      </c>
      <c r="E325" s="31">
        <f>IF(A325="","",SUMPRODUCT((('Metraj Mahal Listesi'!$A$5:$A$504=A325)+('Metraj Mahal Listesi'!$B$5:$B$504=A325)&gt;0)*('Metraj Mahal Listesi'!$C$5:$C$504&lt;&gt;"")))</f>
        <v/>
      </c>
      <c r="F325" s="31">
        <f>IF(A325="","",SUMPRODUCT((('Metraj Mahal Listesi'!$A$5:$A$504=A325)+('Metraj Mahal Listesi'!$B$5:$B$504=A325)&gt;0)*('Metraj Mahal Listesi'!$C$5:$C$504&lt;&gt;"")*(LEFT('Metraj Mahal Listesi'!$C$5:$C$504,1)&lt;&gt;"—")*('Metraj Mahal Listesi'!$F$5:$F$504="")))</f>
        <v/>
      </c>
      <c r="G325" s="31">
        <f>IF(A325="","",SUMPRODUCT((('Metraj Mahal Listesi'!$A$5:$A$504=A325)+('Metraj Mahal Listesi'!$B$5:$B$504=A325)&gt;0)*('Metraj Mahal Listesi'!$F$5:$F$504&lt;&gt;"")*(LEFT('Metraj Mahal Listesi'!$C$5:$C$504,1)&lt;&gt;"—")*('Metraj Mahal Listesi'!$J$5:$J$504=0)))</f>
        <v/>
      </c>
      <c r="H325" s="5" t="n"/>
    </row>
    <row r="326">
      <c r="A326" s="5" t="n"/>
      <c r="B326" s="5" t="n"/>
      <c r="C326" s="21">
        <f>IF(A326="","",SUMPRODUCT((('Metraj Mahal Listesi'!$A$5:$A$504=A326)+('Metraj Mahal Listesi'!$B$5:$B$504=A326)&gt;0)*'Metraj Mahal Listesi'!$K$5:$K$504))</f>
        <v/>
      </c>
      <c r="D326" s="27">
        <f>IF(OR(A326="",'Metraj Mahal Listesi'!$K$3=0),"",C326/'Metraj Mahal Listesi'!$K$3*100)</f>
        <v/>
      </c>
      <c r="E326" s="31">
        <f>IF(A326="","",SUMPRODUCT((('Metraj Mahal Listesi'!$A$5:$A$504=A326)+('Metraj Mahal Listesi'!$B$5:$B$504=A326)&gt;0)*('Metraj Mahal Listesi'!$C$5:$C$504&lt;&gt;"")))</f>
        <v/>
      </c>
      <c r="F326" s="31">
        <f>IF(A326="","",SUMPRODUCT((('Metraj Mahal Listesi'!$A$5:$A$504=A326)+('Metraj Mahal Listesi'!$B$5:$B$504=A326)&gt;0)*('Metraj Mahal Listesi'!$C$5:$C$504&lt;&gt;"")*(LEFT('Metraj Mahal Listesi'!$C$5:$C$504,1)&lt;&gt;"—")*('Metraj Mahal Listesi'!$F$5:$F$504="")))</f>
        <v/>
      </c>
      <c r="G326" s="31">
        <f>IF(A326="","",SUMPRODUCT((('Metraj Mahal Listesi'!$A$5:$A$504=A326)+('Metraj Mahal Listesi'!$B$5:$B$504=A326)&gt;0)*('Metraj Mahal Listesi'!$F$5:$F$504&lt;&gt;"")*(LEFT('Metraj Mahal Listesi'!$C$5:$C$504,1)&lt;&gt;"—")*('Metraj Mahal Listesi'!$J$5:$J$504=0)))</f>
        <v/>
      </c>
      <c r="H326" s="5" t="n"/>
    </row>
    <row r="327">
      <c r="A327" s="5" t="n"/>
      <c r="B327" s="5" t="n"/>
      <c r="C327" s="21">
        <f>IF(A327="","",SUMPRODUCT((('Metraj Mahal Listesi'!$A$5:$A$504=A327)+('Metraj Mahal Listesi'!$B$5:$B$504=A327)&gt;0)*'Metraj Mahal Listesi'!$K$5:$K$504))</f>
        <v/>
      </c>
      <c r="D327" s="27">
        <f>IF(OR(A327="",'Metraj Mahal Listesi'!$K$3=0),"",C327/'Metraj Mahal Listesi'!$K$3*100)</f>
        <v/>
      </c>
      <c r="E327" s="31">
        <f>IF(A327="","",SUMPRODUCT((('Metraj Mahal Listesi'!$A$5:$A$504=A327)+('Metraj Mahal Listesi'!$B$5:$B$504=A327)&gt;0)*('Metraj Mahal Listesi'!$C$5:$C$504&lt;&gt;"")))</f>
        <v/>
      </c>
      <c r="F327" s="31">
        <f>IF(A327="","",SUMPRODUCT((('Metraj Mahal Listesi'!$A$5:$A$504=A327)+('Metraj Mahal Listesi'!$B$5:$B$504=A327)&gt;0)*('Metraj Mahal Listesi'!$C$5:$C$504&lt;&gt;"")*(LEFT('Metraj Mahal Listesi'!$C$5:$C$504,1)&lt;&gt;"—")*('Metraj Mahal Listesi'!$F$5:$F$504="")))</f>
        <v/>
      </c>
      <c r="G327" s="31">
        <f>IF(A327="","",SUMPRODUCT((('Metraj Mahal Listesi'!$A$5:$A$504=A327)+('Metraj Mahal Listesi'!$B$5:$B$504=A327)&gt;0)*('Metraj Mahal Listesi'!$F$5:$F$504&lt;&gt;"")*(LEFT('Metraj Mahal Listesi'!$C$5:$C$504,1)&lt;&gt;"—")*('Metraj Mahal Listesi'!$J$5:$J$504=0)))</f>
        <v/>
      </c>
      <c r="H327" s="5" t="n"/>
    </row>
    <row r="328">
      <c r="A328" s="5" t="n"/>
      <c r="B328" s="5" t="n"/>
      <c r="C328" s="21">
        <f>IF(A328="","",SUMPRODUCT((('Metraj Mahal Listesi'!$A$5:$A$504=A328)+('Metraj Mahal Listesi'!$B$5:$B$504=A328)&gt;0)*'Metraj Mahal Listesi'!$K$5:$K$504))</f>
        <v/>
      </c>
      <c r="D328" s="27">
        <f>IF(OR(A328="",'Metraj Mahal Listesi'!$K$3=0),"",C328/'Metraj Mahal Listesi'!$K$3*100)</f>
        <v/>
      </c>
      <c r="E328" s="31">
        <f>IF(A328="","",SUMPRODUCT((('Metraj Mahal Listesi'!$A$5:$A$504=A328)+('Metraj Mahal Listesi'!$B$5:$B$504=A328)&gt;0)*('Metraj Mahal Listesi'!$C$5:$C$504&lt;&gt;"")))</f>
        <v/>
      </c>
      <c r="F328" s="31">
        <f>IF(A328="","",SUMPRODUCT((('Metraj Mahal Listesi'!$A$5:$A$504=A328)+('Metraj Mahal Listesi'!$B$5:$B$504=A328)&gt;0)*('Metraj Mahal Listesi'!$C$5:$C$504&lt;&gt;"")*(LEFT('Metraj Mahal Listesi'!$C$5:$C$504,1)&lt;&gt;"—")*('Metraj Mahal Listesi'!$F$5:$F$504="")))</f>
        <v/>
      </c>
      <c r="G328" s="31">
        <f>IF(A328="","",SUMPRODUCT((('Metraj Mahal Listesi'!$A$5:$A$504=A328)+('Metraj Mahal Listesi'!$B$5:$B$504=A328)&gt;0)*('Metraj Mahal Listesi'!$F$5:$F$504&lt;&gt;"")*(LEFT('Metraj Mahal Listesi'!$C$5:$C$504,1)&lt;&gt;"—")*('Metraj Mahal Listesi'!$J$5:$J$504=0)))</f>
        <v/>
      </c>
      <c r="H328" s="5" t="n"/>
    </row>
    <row r="329">
      <c r="A329" s="5" t="n"/>
      <c r="B329" s="5" t="n"/>
      <c r="C329" s="21">
        <f>IF(A329="","",SUMPRODUCT((('Metraj Mahal Listesi'!$A$5:$A$504=A329)+('Metraj Mahal Listesi'!$B$5:$B$504=A329)&gt;0)*'Metraj Mahal Listesi'!$K$5:$K$504))</f>
        <v/>
      </c>
      <c r="D329" s="27">
        <f>IF(OR(A329="",'Metraj Mahal Listesi'!$K$3=0),"",C329/'Metraj Mahal Listesi'!$K$3*100)</f>
        <v/>
      </c>
      <c r="E329" s="31">
        <f>IF(A329="","",SUMPRODUCT((('Metraj Mahal Listesi'!$A$5:$A$504=A329)+('Metraj Mahal Listesi'!$B$5:$B$504=A329)&gt;0)*('Metraj Mahal Listesi'!$C$5:$C$504&lt;&gt;"")))</f>
        <v/>
      </c>
      <c r="F329" s="31">
        <f>IF(A329="","",SUMPRODUCT((('Metraj Mahal Listesi'!$A$5:$A$504=A329)+('Metraj Mahal Listesi'!$B$5:$B$504=A329)&gt;0)*('Metraj Mahal Listesi'!$C$5:$C$504&lt;&gt;"")*(LEFT('Metraj Mahal Listesi'!$C$5:$C$504,1)&lt;&gt;"—")*('Metraj Mahal Listesi'!$F$5:$F$504="")))</f>
        <v/>
      </c>
      <c r="G329" s="31">
        <f>IF(A329="","",SUMPRODUCT((('Metraj Mahal Listesi'!$A$5:$A$504=A329)+('Metraj Mahal Listesi'!$B$5:$B$504=A329)&gt;0)*('Metraj Mahal Listesi'!$F$5:$F$504&lt;&gt;"")*(LEFT('Metraj Mahal Listesi'!$C$5:$C$504,1)&lt;&gt;"—")*('Metraj Mahal Listesi'!$J$5:$J$504=0)))</f>
        <v/>
      </c>
      <c r="H329" s="5" t="n"/>
    </row>
    <row r="330">
      <c r="A330" s="5" t="n"/>
      <c r="B330" s="5" t="n"/>
      <c r="C330" s="21">
        <f>IF(A330="","",SUMPRODUCT((('Metraj Mahal Listesi'!$A$5:$A$504=A330)+('Metraj Mahal Listesi'!$B$5:$B$504=A330)&gt;0)*'Metraj Mahal Listesi'!$K$5:$K$504))</f>
        <v/>
      </c>
      <c r="D330" s="27">
        <f>IF(OR(A330="",'Metraj Mahal Listesi'!$K$3=0),"",C330/'Metraj Mahal Listesi'!$K$3*100)</f>
        <v/>
      </c>
      <c r="E330" s="31">
        <f>IF(A330="","",SUMPRODUCT((('Metraj Mahal Listesi'!$A$5:$A$504=A330)+('Metraj Mahal Listesi'!$B$5:$B$504=A330)&gt;0)*('Metraj Mahal Listesi'!$C$5:$C$504&lt;&gt;"")))</f>
        <v/>
      </c>
      <c r="F330" s="31">
        <f>IF(A330="","",SUMPRODUCT((('Metraj Mahal Listesi'!$A$5:$A$504=A330)+('Metraj Mahal Listesi'!$B$5:$B$504=A330)&gt;0)*('Metraj Mahal Listesi'!$C$5:$C$504&lt;&gt;"")*(LEFT('Metraj Mahal Listesi'!$C$5:$C$504,1)&lt;&gt;"—")*('Metraj Mahal Listesi'!$F$5:$F$504="")))</f>
        <v/>
      </c>
      <c r="G330" s="31">
        <f>IF(A330="","",SUMPRODUCT((('Metraj Mahal Listesi'!$A$5:$A$504=A330)+('Metraj Mahal Listesi'!$B$5:$B$504=A330)&gt;0)*('Metraj Mahal Listesi'!$F$5:$F$504&lt;&gt;"")*(LEFT('Metraj Mahal Listesi'!$C$5:$C$504,1)&lt;&gt;"—")*('Metraj Mahal Listesi'!$J$5:$J$504=0)))</f>
        <v/>
      </c>
      <c r="H330" s="5" t="n"/>
    </row>
    <row r="331">
      <c r="A331" s="5" t="n"/>
      <c r="B331" s="5" t="n"/>
      <c r="C331" s="21">
        <f>IF(A331="","",SUMPRODUCT((('Metraj Mahal Listesi'!$A$5:$A$504=A331)+('Metraj Mahal Listesi'!$B$5:$B$504=A331)&gt;0)*'Metraj Mahal Listesi'!$K$5:$K$504))</f>
        <v/>
      </c>
      <c r="D331" s="27">
        <f>IF(OR(A331="",'Metraj Mahal Listesi'!$K$3=0),"",C331/'Metraj Mahal Listesi'!$K$3*100)</f>
        <v/>
      </c>
      <c r="E331" s="31">
        <f>IF(A331="","",SUMPRODUCT((('Metraj Mahal Listesi'!$A$5:$A$504=A331)+('Metraj Mahal Listesi'!$B$5:$B$504=A331)&gt;0)*('Metraj Mahal Listesi'!$C$5:$C$504&lt;&gt;"")))</f>
        <v/>
      </c>
      <c r="F331" s="31">
        <f>IF(A331="","",SUMPRODUCT((('Metraj Mahal Listesi'!$A$5:$A$504=A331)+('Metraj Mahal Listesi'!$B$5:$B$504=A331)&gt;0)*('Metraj Mahal Listesi'!$C$5:$C$504&lt;&gt;"")*(LEFT('Metraj Mahal Listesi'!$C$5:$C$504,1)&lt;&gt;"—")*('Metraj Mahal Listesi'!$F$5:$F$504="")))</f>
        <v/>
      </c>
      <c r="G331" s="31">
        <f>IF(A331="","",SUMPRODUCT((('Metraj Mahal Listesi'!$A$5:$A$504=A331)+('Metraj Mahal Listesi'!$B$5:$B$504=A331)&gt;0)*('Metraj Mahal Listesi'!$F$5:$F$504&lt;&gt;"")*(LEFT('Metraj Mahal Listesi'!$C$5:$C$504,1)&lt;&gt;"—")*('Metraj Mahal Listesi'!$J$5:$J$504=0)))</f>
        <v/>
      </c>
      <c r="H331" s="5" t="n"/>
    </row>
    <row r="332">
      <c r="A332" s="5" t="n"/>
      <c r="B332" s="5" t="n"/>
      <c r="C332" s="21">
        <f>IF(A332="","",SUMPRODUCT((('Metraj Mahal Listesi'!$A$5:$A$504=A332)+('Metraj Mahal Listesi'!$B$5:$B$504=A332)&gt;0)*'Metraj Mahal Listesi'!$K$5:$K$504))</f>
        <v/>
      </c>
      <c r="D332" s="27">
        <f>IF(OR(A332="",'Metraj Mahal Listesi'!$K$3=0),"",C332/'Metraj Mahal Listesi'!$K$3*100)</f>
        <v/>
      </c>
      <c r="E332" s="31">
        <f>IF(A332="","",SUMPRODUCT((('Metraj Mahal Listesi'!$A$5:$A$504=A332)+('Metraj Mahal Listesi'!$B$5:$B$504=A332)&gt;0)*('Metraj Mahal Listesi'!$C$5:$C$504&lt;&gt;"")))</f>
        <v/>
      </c>
      <c r="F332" s="31">
        <f>IF(A332="","",SUMPRODUCT((('Metraj Mahal Listesi'!$A$5:$A$504=A332)+('Metraj Mahal Listesi'!$B$5:$B$504=A332)&gt;0)*('Metraj Mahal Listesi'!$C$5:$C$504&lt;&gt;"")*(LEFT('Metraj Mahal Listesi'!$C$5:$C$504,1)&lt;&gt;"—")*('Metraj Mahal Listesi'!$F$5:$F$504="")))</f>
        <v/>
      </c>
      <c r="G332" s="31">
        <f>IF(A332="","",SUMPRODUCT((('Metraj Mahal Listesi'!$A$5:$A$504=A332)+('Metraj Mahal Listesi'!$B$5:$B$504=A332)&gt;0)*('Metraj Mahal Listesi'!$F$5:$F$504&lt;&gt;"")*(LEFT('Metraj Mahal Listesi'!$C$5:$C$504,1)&lt;&gt;"—")*('Metraj Mahal Listesi'!$J$5:$J$504=0)))</f>
        <v/>
      </c>
      <c r="H332" s="5" t="n"/>
    </row>
    <row r="333">
      <c r="A333" s="5" t="n"/>
      <c r="B333" s="5" t="n"/>
      <c r="C333" s="21">
        <f>IF(A333="","",SUMPRODUCT((('Metraj Mahal Listesi'!$A$5:$A$504=A333)+('Metraj Mahal Listesi'!$B$5:$B$504=A333)&gt;0)*'Metraj Mahal Listesi'!$K$5:$K$504))</f>
        <v/>
      </c>
      <c r="D333" s="27">
        <f>IF(OR(A333="",'Metraj Mahal Listesi'!$K$3=0),"",C333/'Metraj Mahal Listesi'!$K$3*100)</f>
        <v/>
      </c>
      <c r="E333" s="31">
        <f>IF(A333="","",SUMPRODUCT((('Metraj Mahal Listesi'!$A$5:$A$504=A333)+('Metraj Mahal Listesi'!$B$5:$B$504=A333)&gt;0)*('Metraj Mahal Listesi'!$C$5:$C$504&lt;&gt;"")))</f>
        <v/>
      </c>
      <c r="F333" s="31">
        <f>IF(A333="","",SUMPRODUCT((('Metraj Mahal Listesi'!$A$5:$A$504=A333)+('Metraj Mahal Listesi'!$B$5:$B$504=A333)&gt;0)*('Metraj Mahal Listesi'!$C$5:$C$504&lt;&gt;"")*(LEFT('Metraj Mahal Listesi'!$C$5:$C$504,1)&lt;&gt;"—")*('Metraj Mahal Listesi'!$F$5:$F$504="")))</f>
        <v/>
      </c>
      <c r="G333" s="31">
        <f>IF(A333="","",SUMPRODUCT((('Metraj Mahal Listesi'!$A$5:$A$504=A333)+('Metraj Mahal Listesi'!$B$5:$B$504=A333)&gt;0)*('Metraj Mahal Listesi'!$F$5:$F$504&lt;&gt;"")*(LEFT('Metraj Mahal Listesi'!$C$5:$C$504,1)&lt;&gt;"—")*('Metraj Mahal Listesi'!$J$5:$J$504=0)))</f>
        <v/>
      </c>
      <c r="H333" s="5" t="n"/>
    </row>
    <row r="334">
      <c r="A334" s="5" t="n"/>
      <c r="B334" s="5" t="n"/>
      <c r="C334" s="21">
        <f>IF(A334="","",SUMPRODUCT((('Metraj Mahal Listesi'!$A$5:$A$504=A334)+('Metraj Mahal Listesi'!$B$5:$B$504=A334)&gt;0)*'Metraj Mahal Listesi'!$K$5:$K$504))</f>
        <v/>
      </c>
      <c r="D334" s="27">
        <f>IF(OR(A334="",'Metraj Mahal Listesi'!$K$3=0),"",C334/'Metraj Mahal Listesi'!$K$3*100)</f>
        <v/>
      </c>
      <c r="E334" s="31">
        <f>IF(A334="","",SUMPRODUCT((('Metraj Mahal Listesi'!$A$5:$A$504=A334)+('Metraj Mahal Listesi'!$B$5:$B$504=A334)&gt;0)*('Metraj Mahal Listesi'!$C$5:$C$504&lt;&gt;"")))</f>
        <v/>
      </c>
      <c r="F334" s="31">
        <f>IF(A334="","",SUMPRODUCT((('Metraj Mahal Listesi'!$A$5:$A$504=A334)+('Metraj Mahal Listesi'!$B$5:$B$504=A334)&gt;0)*('Metraj Mahal Listesi'!$C$5:$C$504&lt;&gt;"")*(LEFT('Metraj Mahal Listesi'!$C$5:$C$504,1)&lt;&gt;"—")*('Metraj Mahal Listesi'!$F$5:$F$504="")))</f>
        <v/>
      </c>
      <c r="G334" s="31">
        <f>IF(A334="","",SUMPRODUCT((('Metraj Mahal Listesi'!$A$5:$A$504=A334)+('Metraj Mahal Listesi'!$B$5:$B$504=A334)&gt;0)*('Metraj Mahal Listesi'!$F$5:$F$504&lt;&gt;"")*(LEFT('Metraj Mahal Listesi'!$C$5:$C$504,1)&lt;&gt;"—")*('Metraj Mahal Listesi'!$J$5:$J$504=0)))</f>
        <v/>
      </c>
      <c r="H334" s="5" t="n"/>
    </row>
    <row r="335">
      <c r="A335" s="5" t="n"/>
      <c r="B335" s="5" t="n"/>
      <c r="C335" s="21">
        <f>IF(A335="","",SUMPRODUCT((('Metraj Mahal Listesi'!$A$5:$A$504=A335)+('Metraj Mahal Listesi'!$B$5:$B$504=A335)&gt;0)*'Metraj Mahal Listesi'!$K$5:$K$504))</f>
        <v/>
      </c>
      <c r="D335" s="27">
        <f>IF(OR(A335="",'Metraj Mahal Listesi'!$K$3=0),"",C335/'Metraj Mahal Listesi'!$K$3*100)</f>
        <v/>
      </c>
      <c r="E335" s="31">
        <f>IF(A335="","",SUMPRODUCT((('Metraj Mahal Listesi'!$A$5:$A$504=A335)+('Metraj Mahal Listesi'!$B$5:$B$504=A335)&gt;0)*('Metraj Mahal Listesi'!$C$5:$C$504&lt;&gt;"")))</f>
        <v/>
      </c>
      <c r="F335" s="31">
        <f>IF(A335="","",SUMPRODUCT((('Metraj Mahal Listesi'!$A$5:$A$504=A335)+('Metraj Mahal Listesi'!$B$5:$B$504=A335)&gt;0)*('Metraj Mahal Listesi'!$C$5:$C$504&lt;&gt;"")*(LEFT('Metraj Mahal Listesi'!$C$5:$C$504,1)&lt;&gt;"—")*('Metraj Mahal Listesi'!$F$5:$F$504="")))</f>
        <v/>
      </c>
      <c r="G335" s="31">
        <f>IF(A335="","",SUMPRODUCT((('Metraj Mahal Listesi'!$A$5:$A$504=A335)+('Metraj Mahal Listesi'!$B$5:$B$504=A335)&gt;0)*('Metraj Mahal Listesi'!$F$5:$F$504&lt;&gt;"")*(LEFT('Metraj Mahal Listesi'!$C$5:$C$504,1)&lt;&gt;"—")*('Metraj Mahal Listesi'!$J$5:$J$504=0)))</f>
        <v/>
      </c>
      <c r="H335" s="5" t="n"/>
    </row>
    <row r="336">
      <c r="A336" s="5" t="n"/>
      <c r="B336" s="5" t="n"/>
      <c r="C336" s="21">
        <f>IF(A336="","",SUMPRODUCT((('Metraj Mahal Listesi'!$A$5:$A$504=A336)+('Metraj Mahal Listesi'!$B$5:$B$504=A336)&gt;0)*'Metraj Mahal Listesi'!$K$5:$K$504))</f>
        <v/>
      </c>
      <c r="D336" s="27">
        <f>IF(OR(A336="",'Metraj Mahal Listesi'!$K$3=0),"",C336/'Metraj Mahal Listesi'!$K$3*100)</f>
        <v/>
      </c>
      <c r="E336" s="31">
        <f>IF(A336="","",SUMPRODUCT((('Metraj Mahal Listesi'!$A$5:$A$504=A336)+('Metraj Mahal Listesi'!$B$5:$B$504=A336)&gt;0)*('Metraj Mahal Listesi'!$C$5:$C$504&lt;&gt;"")))</f>
        <v/>
      </c>
      <c r="F336" s="31">
        <f>IF(A336="","",SUMPRODUCT((('Metraj Mahal Listesi'!$A$5:$A$504=A336)+('Metraj Mahal Listesi'!$B$5:$B$504=A336)&gt;0)*('Metraj Mahal Listesi'!$C$5:$C$504&lt;&gt;"")*(LEFT('Metraj Mahal Listesi'!$C$5:$C$504,1)&lt;&gt;"—")*('Metraj Mahal Listesi'!$F$5:$F$504="")))</f>
        <v/>
      </c>
      <c r="G336" s="31">
        <f>IF(A336="","",SUMPRODUCT((('Metraj Mahal Listesi'!$A$5:$A$504=A336)+('Metraj Mahal Listesi'!$B$5:$B$504=A336)&gt;0)*('Metraj Mahal Listesi'!$F$5:$F$504&lt;&gt;"")*(LEFT('Metraj Mahal Listesi'!$C$5:$C$504,1)&lt;&gt;"—")*('Metraj Mahal Listesi'!$J$5:$J$504=0)))</f>
        <v/>
      </c>
      <c r="H336" s="5" t="n"/>
    </row>
    <row r="337">
      <c r="A337" s="5" t="n"/>
      <c r="B337" s="5" t="n"/>
      <c r="C337" s="21">
        <f>IF(A337="","",SUMPRODUCT((('Metraj Mahal Listesi'!$A$5:$A$504=A337)+('Metraj Mahal Listesi'!$B$5:$B$504=A337)&gt;0)*'Metraj Mahal Listesi'!$K$5:$K$504))</f>
        <v/>
      </c>
      <c r="D337" s="27">
        <f>IF(OR(A337="",'Metraj Mahal Listesi'!$K$3=0),"",C337/'Metraj Mahal Listesi'!$K$3*100)</f>
        <v/>
      </c>
      <c r="E337" s="31">
        <f>IF(A337="","",SUMPRODUCT((('Metraj Mahal Listesi'!$A$5:$A$504=A337)+('Metraj Mahal Listesi'!$B$5:$B$504=A337)&gt;0)*('Metraj Mahal Listesi'!$C$5:$C$504&lt;&gt;"")))</f>
        <v/>
      </c>
      <c r="F337" s="31">
        <f>IF(A337="","",SUMPRODUCT((('Metraj Mahal Listesi'!$A$5:$A$504=A337)+('Metraj Mahal Listesi'!$B$5:$B$504=A337)&gt;0)*('Metraj Mahal Listesi'!$C$5:$C$504&lt;&gt;"")*(LEFT('Metraj Mahal Listesi'!$C$5:$C$504,1)&lt;&gt;"—")*('Metraj Mahal Listesi'!$F$5:$F$504="")))</f>
        <v/>
      </c>
      <c r="G337" s="31">
        <f>IF(A337="","",SUMPRODUCT((('Metraj Mahal Listesi'!$A$5:$A$504=A337)+('Metraj Mahal Listesi'!$B$5:$B$504=A337)&gt;0)*('Metraj Mahal Listesi'!$F$5:$F$504&lt;&gt;"")*(LEFT('Metraj Mahal Listesi'!$C$5:$C$504,1)&lt;&gt;"—")*('Metraj Mahal Listesi'!$J$5:$J$504=0)))</f>
        <v/>
      </c>
      <c r="H337" s="5" t="n"/>
    </row>
    <row r="338">
      <c r="A338" s="5" t="n"/>
      <c r="B338" s="5" t="n"/>
      <c r="C338" s="21">
        <f>IF(A338="","",SUMPRODUCT((('Metraj Mahal Listesi'!$A$5:$A$504=A338)+('Metraj Mahal Listesi'!$B$5:$B$504=A338)&gt;0)*'Metraj Mahal Listesi'!$K$5:$K$504))</f>
        <v/>
      </c>
      <c r="D338" s="27">
        <f>IF(OR(A338="",'Metraj Mahal Listesi'!$K$3=0),"",C338/'Metraj Mahal Listesi'!$K$3*100)</f>
        <v/>
      </c>
      <c r="E338" s="31">
        <f>IF(A338="","",SUMPRODUCT((('Metraj Mahal Listesi'!$A$5:$A$504=A338)+('Metraj Mahal Listesi'!$B$5:$B$504=A338)&gt;0)*('Metraj Mahal Listesi'!$C$5:$C$504&lt;&gt;"")))</f>
        <v/>
      </c>
      <c r="F338" s="31">
        <f>IF(A338="","",SUMPRODUCT((('Metraj Mahal Listesi'!$A$5:$A$504=A338)+('Metraj Mahal Listesi'!$B$5:$B$504=A338)&gt;0)*('Metraj Mahal Listesi'!$C$5:$C$504&lt;&gt;"")*(LEFT('Metraj Mahal Listesi'!$C$5:$C$504,1)&lt;&gt;"—")*('Metraj Mahal Listesi'!$F$5:$F$504="")))</f>
        <v/>
      </c>
      <c r="G338" s="31">
        <f>IF(A338="","",SUMPRODUCT((('Metraj Mahal Listesi'!$A$5:$A$504=A338)+('Metraj Mahal Listesi'!$B$5:$B$504=A338)&gt;0)*('Metraj Mahal Listesi'!$F$5:$F$504&lt;&gt;"")*(LEFT('Metraj Mahal Listesi'!$C$5:$C$504,1)&lt;&gt;"—")*('Metraj Mahal Listesi'!$J$5:$J$504=0)))</f>
        <v/>
      </c>
      <c r="H338" s="5" t="n"/>
    </row>
    <row r="339">
      <c r="A339" s="5" t="n"/>
      <c r="B339" s="5" t="n"/>
      <c r="C339" s="21">
        <f>IF(A339="","",SUMPRODUCT((('Metraj Mahal Listesi'!$A$5:$A$504=A339)+('Metraj Mahal Listesi'!$B$5:$B$504=A339)&gt;0)*'Metraj Mahal Listesi'!$K$5:$K$504))</f>
        <v/>
      </c>
      <c r="D339" s="27">
        <f>IF(OR(A339="",'Metraj Mahal Listesi'!$K$3=0),"",C339/'Metraj Mahal Listesi'!$K$3*100)</f>
        <v/>
      </c>
      <c r="E339" s="31">
        <f>IF(A339="","",SUMPRODUCT((('Metraj Mahal Listesi'!$A$5:$A$504=A339)+('Metraj Mahal Listesi'!$B$5:$B$504=A339)&gt;0)*('Metraj Mahal Listesi'!$C$5:$C$504&lt;&gt;"")))</f>
        <v/>
      </c>
      <c r="F339" s="31">
        <f>IF(A339="","",SUMPRODUCT((('Metraj Mahal Listesi'!$A$5:$A$504=A339)+('Metraj Mahal Listesi'!$B$5:$B$504=A339)&gt;0)*('Metraj Mahal Listesi'!$C$5:$C$504&lt;&gt;"")*(LEFT('Metraj Mahal Listesi'!$C$5:$C$504,1)&lt;&gt;"—")*('Metraj Mahal Listesi'!$F$5:$F$504="")))</f>
        <v/>
      </c>
      <c r="G339" s="31">
        <f>IF(A339="","",SUMPRODUCT((('Metraj Mahal Listesi'!$A$5:$A$504=A339)+('Metraj Mahal Listesi'!$B$5:$B$504=A339)&gt;0)*('Metraj Mahal Listesi'!$F$5:$F$504&lt;&gt;"")*(LEFT('Metraj Mahal Listesi'!$C$5:$C$504,1)&lt;&gt;"—")*('Metraj Mahal Listesi'!$J$5:$J$504=0)))</f>
        <v/>
      </c>
      <c r="H339" s="5" t="n"/>
    </row>
    <row r="340">
      <c r="A340" s="5" t="n"/>
      <c r="B340" s="5" t="n"/>
      <c r="C340" s="21">
        <f>IF(A340="","",SUMPRODUCT((('Metraj Mahal Listesi'!$A$5:$A$504=A340)+('Metraj Mahal Listesi'!$B$5:$B$504=A340)&gt;0)*'Metraj Mahal Listesi'!$K$5:$K$504))</f>
        <v/>
      </c>
      <c r="D340" s="27">
        <f>IF(OR(A340="",'Metraj Mahal Listesi'!$K$3=0),"",C340/'Metraj Mahal Listesi'!$K$3*100)</f>
        <v/>
      </c>
      <c r="E340" s="31">
        <f>IF(A340="","",SUMPRODUCT((('Metraj Mahal Listesi'!$A$5:$A$504=A340)+('Metraj Mahal Listesi'!$B$5:$B$504=A340)&gt;0)*('Metraj Mahal Listesi'!$C$5:$C$504&lt;&gt;"")))</f>
        <v/>
      </c>
      <c r="F340" s="31">
        <f>IF(A340="","",SUMPRODUCT((('Metraj Mahal Listesi'!$A$5:$A$504=A340)+('Metraj Mahal Listesi'!$B$5:$B$504=A340)&gt;0)*('Metraj Mahal Listesi'!$C$5:$C$504&lt;&gt;"")*(LEFT('Metraj Mahal Listesi'!$C$5:$C$504,1)&lt;&gt;"—")*('Metraj Mahal Listesi'!$F$5:$F$504="")))</f>
        <v/>
      </c>
      <c r="G340" s="31">
        <f>IF(A340="","",SUMPRODUCT((('Metraj Mahal Listesi'!$A$5:$A$504=A340)+('Metraj Mahal Listesi'!$B$5:$B$504=A340)&gt;0)*('Metraj Mahal Listesi'!$F$5:$F$504&lt;&gt;"")*(LEFT('Metraj Mahal Listesi'!$C$5:$C$504,1)&lt;&gt;"—")*('Metraj Mahal Listesi'!$J$5:$J$504=0)))</f>
        <v/>
      </c>
      <c r="H340" s="5" t="n"/>
    </row>
    <row r="341">
      <c r="A341" s="5" t="n"/>
      <c r="B341" s="5" t="n"/>
      <c r="C341" s="21">
        <f>IF(A341="","",SUMPRODUCT((('Metraj Mahal Listesi'!$A$5:$A$504=A341)+('Metraj Mahal Listesi'!$B$5:$B$504=A341)&gt;0)*'Metraj Mahal Listesi'!$K$5:$K$504))</f>
        <v/>
      </c>
      <c r="D341" s="27">
        <f>IF(OR(A341="",'Metraj Mahal Listesi'!$K$3=0),"",C341/'Metraj Mahal Listesi'!$K$3*100)</f>
        <v/>
      </c>
      <c r="E341" s="31">
        <f>IF(A341="","",SUMPRODUCT((('Metraj Mahal Listesi'!$A$5:$A$504=A341)+('Metraj Mahal Listesi'!$B$5:$B$504=A341)&gt;0)*('Metraj Mahal Listesi'!$C$5:$C$504&lt;&gt;"")))</f>
        <v/>
      </c>
      <c r="F341" s="31">
        <f>IF(A341="","",SUMPRODUCT((('Metraj Mahal Listesi'!$A$5:$A$504=A341)+('Metraj Mahal Listesi'!$B$5:$B$504=A341)&gt;0)*('Metraj Mahal Listesi'!$C$5:$C$504&lt;&gt;"")*(LEFT('Metraj Mahal Listesi'!$C$5:$C$504,1)&lt;&gt;"—")*('Metraj Mahal Listesi'!$F$5:$F$504="")))</f>
        <v/>
      </c>
      <c r="G341" s="31">
        <f>IF(A341="","",SUMPRODUCT((('Metraj Mahal Listesi'!$A$5:$A$504=A341)+('Metraj Mahal Listesi'!$B$5:$B$504=A341)&gt;0)*('Metraj Mahal Listesi'!$F$5:$F$504&lt;&gt;"")*(LEFT('Metraj Mahal Listesi'!$C$5:$C$504,1)&lt;&gt;"—")*('Metraj Mahal Listesi'!$J$5:$J$504=0)))</f>
        <v/>
      </c>
      <c r="H341" s="5" t="n"/>
    </row>
    <row r="342">
      <c r="A342" s="5" t="n"/>
      <c r="B342" s="5" t="n"/>
      <c r="C342" s="21">
        <f>IF(A342="","",SUMPRODUCT((('Metraj Mahal Listesi'!$A$5:$A$504=A342)+('Metraj Mahal Listesi'!$B$5:$B$504=A342)&gt;0)*'Metraj Mahal Listesi'!$K$5:$K$504))</f>
        <v/>
      </c>
      <c r="D342" s="27">
        <f>IF(OR(A342="",'Metraj Mahal Listesi'!$K$3=0),"",C342/'Metraj Mahal Listesi'!$K$3*100)</f>
        <v/>
      </c>
      <c r="E342" s="31">
        <f>IF(A342="","",SUMPRODUCT((('Metraj Mahal Listesi'!$A$5:$A$504=A342)+('Metraj Mahal Listesi'!$B$5:$B$504=A342)&gt;0)*('Metraj Mahal Listesi'!$C$5:$C$504&lt;&gt;"")))</f>
        <v/>
      </c>
      <c r="F342" s="31">
        <f>IF(A342="","",SUMPRODUCT((('Metraj Mahal Listesi'!$A$5:$A$504=A342)+('Metraj Mahal Listesi'!$B$5:$B$504=A342)&gt;0)*('Metraj Mahal Listesi'!$C$5:$C$504&lt;&gt;"")*(LEFT('Metraj Mahal Listesi'!$C$5:$C$504,1)&lt;&gt;"—")*('Metraj Mahal Listesi'!$F$5:$F$504="")))</f>
        <v/>
      </c>
      <c r="G342" s="31">
        <f>IF(A342="","",SUMPRODUCT((('Metraj Mahal Listesi'!$A$5:$A$504=A342)+('Metraj Mahal Listesi'!$B$5:$B$504=A342)&gt;0)*('Metraj Mahal Listesi'!$F$5:$F$504&lt;&gt;"")*(LEFT('Metraj Mahal Listesi'!$C$5:$C$504,1)&lt;&gt;"—")*('Metraj Mahal Listesi'!$J$5:$J$504=0)))</f>
        <v/>
      </c>
      <c r="H342" s="5" t="n"/>
    </row>
    <row r="343">
      <c r="A343" s="5" t="n"/>
      <c r="B343" s="5" t="n"/>
      <c r="C343" s="21">
        <f>IF(A343="","",SUMPRODUCT((('Metraj Mahal Listesi'!$A$5:$A$504=A343)+('Metraj Mahal Listesi'!$B$5:$B$504=A343)&gt;0)*'Metraj Mahal Listesi'!$K$5:$K$504))</f>
        <v/>
      </c>
      <c r="D343" s="27">
        <f>IF(OR(A343="",'Metraj Mahal Listesi'!$K$3=0),"",C343/'Metraj Mahal Listesi'!$K$3*100)</f>
        <v/>
      </c>
      <c r="E343" s="31">
        <f>IF(A343="","",SUMPRODUCT((('Metraj Mahal Listesi'!$A$5:$A$504=A343)+('Metraj Mahal Listesi'!$B$5:$B$504=A343)&gt;0)*('Metraj Mahal Listesi'!$C$5:$C$504&lt;&gt;"")))</f>
        <v/>
      </c>
      <c r="F343" s="31">
        <f>IF(A343="","",SUMPRODUCT((('Metraj Mahal Listesi'!$A$5:$A$504=A343)+('Metraj Mahal Listesi'!$B$5:$B$504=A343)&gt;0)*('Metraj Mahal Listesi'!$C$5:$C$504&lt;&gt;"")*(LEFT('Metraj Mahal Listesi'!$C$5:$C$504,1)&lt;&gt;"—")*('Metraj Mahal Listesi'!$F$5:$F$504="")))</f>
        <v/>
      </c>
      <c r="G343" s="31">
        <f>IF(A343="","",SUMPRODUCT((('Metraj Mahal Listesi'!$A$5:$A$504=A343)+('Metraj Mahal Listesi'!$B$5:$B$504=A343)&gt;0)*('Metraj Mahal Listesi'!$F$5:$F$504&lt;&gt;"")*(LEFT('Metraj Mahal Listesi'!$C$5:$C$504,1)&lt;&gt;"—")*('Metraj Mahal Listesi'!$J$5:$J$504=0)))</f>
        <v/>
      </c>
      <c r="H343" s="5" t="n"/>
    </row>
    <row r="344">
      <c r="A344" s="5" t="n"/>
      <c r="B344" s="5" t="n"/>
      <c r="C344" s="21">
        <f>IF(A344="","",SUMPRODUCT((('Metraj Mahal Listesi'!$A$5:$A$504=A344)+('Metraj Mahal Listesi'!$B$5:$B$504=A344)&gt;0)*'Metraj Mahal Listesi'!$K$5:$K$504))</f>
        <v/>
      </c>
      <c r="D344" s="27">
        <f>IF(OR(A344="",'Metraj Mahal Listesi'!$K$3=0),"",C344/'Metraj Mahal Listesi'!$K$3*100)</f>
        <v/>
      </c>
      <c r="E344" s="31">
        <f>IF(A344="","",SUMPRODUCT((('Metraj Mahal Listesi'!$A$5:$A$504=A344)+('Metraj Mahal Listesi'!$B$5:$B$504=A344)&gt;0)*('Metraj Mahal Listesi'!$C$5:$C$504&lt;&gt;"")))</f>
        <v/>
      </c>
      <c r="F344" s="31">
        <f>IF(A344="","",SUMPRODUCT((('Metraj Mahal Listesi'!$A$5:$A$504=A344)+('Metraj Mahal Listesi'!$B$5:$B$504=A344)&gt;0)*('Metraj Mahal Listesi'!$C$5:$C$504&lt;&gt;"")*(LEFT('Metraj Mahal Listesi'!$C$5:$C$504,1)&lt;&gt;"—")*('Metraj Mahal Listesi'!$F$5:$F$504="")))</f>
        <v/>
      </c>
      <c r="G344" s="31">
        <f>IF(A344="","",SUMPRODUCT((('Metraj Mahal Listesi'!$A$5:$A$504=A344)+('Metraj Mahal Listesi'!$B$5:$B$504=A344)&gt;0)*('Metraj Mahal Listesi'!$F$5:$F$504&lt;&gt;"")*(LEFT('Metraj Mahal Listesi'!$C$5:$C$504,1)&lt;&gt;"—")*('Metraj Mahal Listesi'!$J$5:$J$504=0)))</f>
        <v/>
      </c>
      <c r="H344" s="5" t="n"/>
    </row>
    <row r="345">
      <c r="A345" s="5" t="n"/>
      <c r="B345" s="5" t="n"/>
      <c r="C345" s="21">
        <f>IF(A345="","",SUMPRODUCT((('Metraj Mahal Listesi'!$A$5:$A$504=A345)+('Metraj Mahal Listesi'!$B$5:$B$504=A345)&gt;0)*'Metraj Mahal Listesi'!$K$5:$K$504))</f>
        <v/>
      </c>
      <c r="D345" s="27">
        <f>IF(OR(A345="",'Metraj Mahal Listesi'!$K$3=0),"",C345/'Metraj Mahal Listesi'!$K$3*100)</f>
        <v/>
      </c>
      <c r="E345" s="31">
        <f>IF(A345="","",SUMPRODUCT((('Metraj Mahal Listesi'!$A$5:$A$504=A345)+('Metraj Mahal Listesi'!$B$5:$B$504=A345)&gt;0)*('Metraj Mahal Listesi'!$C$5:$C$504&lt;&gt;"")))</f>
        <v/>
      </c>
      <c r="F345" s="31">
        <f>IF(A345="","",SUMPRODUCT((('Metraj Mahal Listesi'!$A$5:$A$504=A345)+('Metraj Mahal Listesi'!$B$5:$B$504=A345)&gt;0)*('Metraj Mahal Listesi'!$C$5:$C$504&lt;&gt;"")*(LEFT('Metraj Mahal Listesi'!$C$5:$C$504,1)&lt;&gt;"—")*('Metraj Mahal Listesi'!$F$5:$F$504="")))</f>
        <v/>
      </c>
      <c r="G345" s="31">
        <f>IF(A345="","",SUMPRODUCT((('Metraj Mahal Listesi'!$A$5:$A$504=A345)+('Metraj Mahal Listesi'!$B$5:$B$504=A345)&gt;0)*('Metraj Mahal Listesi'!$F$5:$F$504&lt;&gt;"")*(LEFT('Metraj Mahal Listesi'!$C$5:$C$504,1)&lt;&gt;"—")*('Metraj Mahal Listesi'!$J$5:$J$504=0)))</f>
        <v/>
      </c>
      <c r="H345" s="5" t="n"/>
    </row>
    <row r="346">
      <c r="A346" s="5" t="n"/>
      <c r="B346" s="5" t="n"/>
      <c r="C346" s="21">
        <f>IF(A346="","",SUMPRODUCT((('Metraj Mahal Listesi'!$A$5:$A$504=A346)+('Metraj Mahal Listesi'!$B$5:$B$504=A346)&gt;0)*'Metraj Mahal Listesi'!$K$5:$K$504))</f>
        <v/>
      </c>
      <c r="D346" s="27">
        <f>IF(OR(A346="",'Metraj Mahal Listesi'!$K$3=0),"",C346/'Metraj Mahal Listesi'!$K$3*100)</f>
        <v/>
      </c>
      <c r="E346" s="31">
        <f>IF(A346="","",SUMPRODUCT((('Metraj Mahal Listesi'!$A$5:$A$504=A346)+('Metraj Mahal Listesi'!$B$5:$B$504=A346)&gt;0)*('Metraj Mahal Listesi'!$C$5:$C$504&lt;&gt;"")))</f>
        <v/>
      </c>
      <c r="F346" s="31">
        <f>IF(A346="","",SUMPRODUCT((('Metraj Mahal Listesi'!$A$5:$A$504=A346)+('Metraj Mahal Listesi'!$B$5:$B$504=A346)&gt;0)*('Metraj Mahal Listesi'!$C$5:$C$504&lt;&gt;"")*(LEFT('Metraj Mahal Listesi'!$C$5:$C$504,1)&lt;&gt;"—")*('Metraj Mahal Listesi'!$F$5:$F$504="")))</f>
        <v/>
      </c>
      <c r="G346" s="31">
        <f>IF(A346="","",SUMPRODUCT((('Metraj Mahal Listesi'!$A$5:$A$504=A346)+('Metraj Mahal Listesi'!$B$5:$B$504=A346)&gt;0)*('Metraj Mahal Listesi'!$F$5:$F$504&lt;&gt;"")*(LEFT('Metraj Mahal Listesi'!$C$5:$C$504,1)&lt;&gt;"—")*('Metraj Mahal Listesi'!$J$5:$J$504=0)))</f>
        <v/>
      </c>
      <c r="H346" s="5" t="n"/>
    </row>
    <row r="347">
      <c r="A347" s="5" t="n"/>
      <c r="B347" s="5" t="n"/>
      <c r="C347" s="21">
        <f>IF(A347="","",SUMPRODUCT((('Metraj Mahal Listesi'!$A$5:$A$504=A347)+('Metraj Mahal Listesi'!$B$5:$B$504=A347)&gt;0)*'Metraj Mahal Listesi'!$K$5:$K$504))</f>
        <v/>
      </c>
      <c r="D347" s="27">
        <f>IF(OR(A347="",'Metraj Mahal Listesi'!$K$3=0),"",C347/'Metraj Mahal Listesi'!$K$3*100)</f>
        <v/>
      </c>
      <c r="E347" s="31">
        <f>IF(A347="","",SUMPRODUCT((('Metraj Mahal Listesi'!$A$5:$A$504=A347)+('Metraj Mahal Listesi'!$B$5:$B$504=A347)&gt;0)*('Metraj Mahal Listesi'!$C$5:$C$504&lt;&gt;"")))</f>
        <v/>
      </c>
      <c r="F347" s="31">
        <f>IF(A347="","",SUMPRODUCT((('Metraj Mahal Listesi'!$A$5:$A$504=A347)+('Metraj Mahal Listesi'!$B$5:$B$504=A347)&gt;0)*('Metraj Mahal Listesi'!$C$5:$C$504&lt;&gt;"")*(LEFT('Metraj Mahal Listesi'!$C$5:$C$504,1)&lt;&gt;"—")*('Metraj Mahal Listesi'!$F$5:$F$504="")))</f>
        <v/>
      </c>
      <c r="G347" s="31">
        <f>IF(A347="","",SUMPRODUCT((('Metraj Mahal Listesi'!$A$5:$A$504=A347)+('Metraj Mahal Listesi'!$B$5:$B$504=A347)&gt;0)*('Metraj Mahal Listesi'!$F$5:$F$504&lt;&gt;"")*(LEFT('Metraj Mahal Listesi'!$C$5:$C$504,1)&lt;&gt;"—")*('Metraj Mahal Listesi'!$J$5:$J$504=0)))</f>
        <v/>
      </c>
      <c r="H347" s="5" t="n"/>
    </row>
    <row r="348">
      <c r="A348" s="5" t="n"/>
      <c r="B348" s="5" t="n"/>
      <c r="C348" s="21">
        <f>IF(A348="","",SUMPRODUCT((('Metraj Mahal Listesi'!$A$5:$A$504=A348)+('Metraj Mahal Listesi'!$B$5:$B$504=A348)&gt;0)*'Metraj Mahal Listesi'!$K$5:$K$504))</f>
        <v/>
      </c>
      <c r="D348" s="27">
        <f>IF(OR(A348="",'Metraj Mahal Listesi'!$K$3=0),"",C348/'Metraj Mahal Listesi'!$K$3*100)</f>
        <v/>
      </c>
      <c r="E348" s="31">
        <f>IF(A348="","",SUMPRODUCT((('Metraj Mahal Listesi'!$A$5:$A$504=A348)+('Metraj Mahal Listesi'!$B$5:$B$504=A348)&gt;0)*('Metraj Mahal Listesi'!$C$5:$C$504&lt;&gt;"")))</f>
        <v/>
      </c>
      <c r="F348" s="31">
        <f>IF(A348="","",SUMPRODUCT((('Metraj Mahal Listesi'!$A$5:$A$504=A348)+('Metraj Mahal Listesi'!$B$5:$B$504=A348)&gt;0)*('Metraj Mahal Listesi'!$C$5:$C$504&lt;&gt;"")*(LEFT('Metraj Mahal Listesi'!$C$5:$C$504,1)&lt;&gt;"—")*('Metraj Mahal Listesi'!$F$5:$F$504="")))</f>
        <v/>
      </c>
      <c r="G348" s="31">
        <f>IF(A348="","",SUMPRODUCT((('Metraj Mahal Listesi'!$A$5:$A$504=A348)+('Metraj Mahal Listesi'!$B$5:$B$504=A348)&gt;0)*('Metraj Mahal Listesi'!$F$5:$F$504&lt;&gt;"")*(LEFT('Metraj Mahal Listesi'!$C$5:$C$504,1)&lt;&gt;"—")*('Metraj Mahal Listesi'!$J$5:$J$504=0)))</f>
        <v/>
      </c>
      <c r="H348" s="5" t="n"/>
    </row>
    <row r="349">
      <c r="A349" s="5" t="n"/>
      <c r="B349" s="5" t="n"/>
      <c r="C349" s="21">
        <f>IF(A349="","",SUMPRODUCT((('Metraj Mahal Listesi'!$A$5:$A$504=A349)+('Metraj Mahal Listesi'!$B$5:$B$504=A349)&gt;0)*'Metraj Mahal Listesi'!$K$5:$K$504))</f>
        <v/>
      </c>
      <c r="D349" s="27">
        <f>IF(OR(A349="",'Metraj Mahal Listesi'!$K$3=0),"",C349/'Metraj Mahal Listesi'!$K$3*100)</f>
        <v/>
      </c>
      <c r="E349" s="31">
        <f>IF(A349="","",SUMPRODUCT((('Metraj Mahal Listesi'!$A$5:$A$504=A349)+('Metraj Mahal Listesi'!$B$5:$B$504=A349)&gt;0)*('Metraj Mahal Listesi'!$C$5:$C$504&lt;&gt;"")))</f>
        <v/>
      </c>
      <c r="F349" s="31">
        <f>IF(A349="","",SUMPRODUCT((('Metraj Mahal Listesi'!$A$5:$A$504=A349)+('Metraj Mahal Listesi'!$B$5:$B$504=A349)&gt;0)*('Metraj Mahal Listesi'!$C$5:$C$504&lt;&gt;"")*(LEFT('Metraj Mahal Listesi'!$C$5:$C$504,1)&lt;&gt;"—")*('Metraj Mahal Listesi'!$F$5:$F$504="")))</f>
        <v/>
      </c>
      <c r="G349" s="31">
        <f>IF(A349="","",SUMPRODUCT((('Metraj Mahal Listesi'!$A$5:$A$504=A349)+('Metraj Mahal Listesi'!$B$5:$B$504=A349)&gt;0)*('Metraj Mahal Listesi'!$F$5:$F$504&lt;&gt;"")*(LEFT('Metraj Mahal Listesi'!$C$5:$C$504,1)&lt;&gt;"—")*('Metraj Mahal Listesi'!$J$5:$J$504=0)))</f>
        <v/>
      </c>
      <c r="H349" s="5" t="n"/>
    </row>
    <row r="350">
      <c r="A350" s="5" t="n"/>
      <c r="B350" s="5" t="n"/>
      <c r="C350" s="21">
        <f>IF(A350="","",SUMPRODUCT((('Metraj Mahal Listesi'!$A$5:$A$504=A350)+('Metraj Mahal Listesi'!$B$5:$B$504=A350)&gt;0)*'Metraj Mahal Listesi'!$K$5:$K$504))</f>
        <v/>
      </c>
      <c r="D350" s="27">
        <f>IF(OR(A350="",'Metraj Mahal Listesi'!$K$3=0),"",C350/'Metraj Mahal Listesi'!$K$3*100)</f>
        <v/>
      </c>
      <c r="E350" s="31">
        <f>IF(A350="","",SUMPRODUCT((('Metraj Mahal Listesi'!$A$5:$A$504=A350)+('Metraj Mahal Listesi'!$B$5:$B$504=A350)&gt;0)*('Metraj Mahal Listesi'!$C$5:$C$504&lt;&gt;"")))</f>
        <v/>
      </c>
      <c r="F350" s="31">
        <f>IF(A350="","",SUMPRODUCT((('Metraj Mahal Listesi'!$A$5:$A$504=A350)+('Metraj Mahal Listesi'!$B$5:$B$504=A350)&gt;0)*('Metraj Mahal Listesi'!$C$5:$C$504&lt;&gt;"")*(LEFT('Metraj Mahal Listesi'!$C$5:$C$504,1)&lt;&gt;"—")*('Metraj Mahal Listesi'!$F$5:$F$504="")))</f>
        <v/>
      </c>
      <c r="G350" s="31">
        <f>IF(A350="","",SUMPRODUCT((('Metraj Mahal Listesi'!$A$5:$A$504=A350)+('Metraj Mahal Listesi'!$B$5:$B$504=A350)&gt;0)*('Metraj Mahal Listesi'!$F$5:$F$504&lt;&gt;"")*(LEFT('Metraj Mahal Listesi'!$C$5:$C$504,1)&lt;&gt;"—")*('Metraj Mahal Listesi'!$J$5:$J$504=0)))</f>
        <v/>
      </c>
      <c r="H350" s="5" t="n"/>
    </row>
    <row r="351">
      <c r="A351" s="5" t="n"/>
      <c r="B351" s="5" t="n"/>
      <c r="C351" s="21">
        <f>IF(A351="","",SUMPRODUCT((('Metraj Mahal Listesi'!$A$5:$A$504=A351)+('Metraj Mahal Listesi'!$B$5:$B$504=A351)&gt;0)*'Metraj Mahal Listesi'!$K$5:$K$504))</f>
        <v/>
      </c>
      <c r="D351" s="27">
        <f>IF(OR(A351="",'Metraj Mahal Listesi'!$K$3=0),"",C351/'Metraj Mahal Listesi'!$K$3*100)</f>
        <v/>
      </c>
      <c r="E351" s="31">
        <f>IF(A351="","",SUMPRODUCT((('Metraj Mahal Listesi'!$A$5:$A$504=A351)+('Metraj Mahal Listesi'!$B$5:$B$504=A351)&gt;0)*('Metraj Mahal Listesi'!$C$5:$C$504&lt;&gt;"")))</f>
        <v/>
      </c>
      <c r="F351" s="31">
        <f>IF(A351="","",SUMPRODUCT((('Metraj Mahal Listesi'!$A$5:$A$504=A351)+('Metraj Mahal Listesi'!$B$5:$B$504=A351)&gt;0)*('Metraj Mahal Listesi'!$C$5:$C$504&lt;&gt;"")*(LEFT('Metraj Mahal Listesi'!$C$5:$C$504,1)&lt;&gt;"—")*('Metraj Mahal Listesi'!$F$5:$F$504="")))</f>
        <v/>
      </c>
      <c r="G351" s="31">
        <f>IF(A351="","",SUMPRODUCT((('Metraj Mahal Listesi'!$A$5:$A$504=A351)+('Metraj Mahal Listesi'!$B$5:$B$504=A351)&gt;0)*('Metraj Mahal Listesi'!$F$5:$F$504&lt;&gt;"")*(LEFT('Metraj Mahal Listesi'!$C$5:$C$504,1)&lt;&gt;"—")*('Metraj Mahal Listesi'!$J$5:$J$504=0)))</f>
        <v/>
      </c>
      <c r="H351" s="5" t="n"/>
    </row>
    <row r="352">
      <c r="A352" s="5" t="n"/>
      <c r="B352" s="5" t="n"/>
      <c r="C352" s="21">
        <f>IF(A352="","",SUMPRODUCT((('Metraj Mahal Listesi'!$A$5:$A$504=A352)+('Metraj Mahal Listesi'!$B$5:$B$504=A352)&gt;0)*'Metraj Mahal Listesi'!$K$5:$K$504))</f>
        <v/>
      </c>
      <c r="D352" s="27">
        <f>IF(OR(A352="",'Metraj Mahal Listesi'!$K$3=0),"",C352/'Metraj Mahal Listesi'!$K$3*100)</f>
        <v/>
      </c>
      <c r="E352" s="31">
        <f>IF(A352="","",SUMPRODUCT((('Metraj Mahal Listesi'!$A$5:$A$504=A352)+('Metraj Mahal Listesi'!$B$5:$B$504=A352)&gt;0)*('Metraj Mahal Listesi'!$C$5:$C$504&lt;&gt;"")))</f>
        <v/>
      </c>
      <c r="F352" s="31">
        <f>IF(A352="","",SUMPRODUCT((('Metraj Mahal Listesi'!$A$5:$A$504=A352)+('Metraj Mahal Listesi'!$B$5:$B$504=A352)&gt;0)*('Metraj Mahal Listesi'!$C$5:$C$504&lt;&gt;"")*(LEFT('Metraj Mahal Listesi'!$C$5:$C$504,1)&lt;&gt;"—")*('Metraj Mahal Listesi'!$F$5:$F$504="")))</f>
        <v/>
      </c>
      <c r="G352" s="31">
        <f>IF(A352="","",SUMPRODUCT((('Metraj Mahal Listesi'!$A$5:$A$504=A352)+('Metraj Mahal Listesi'!$B$5:$B$504=A352)&gt;0)*('Metraj Mahal Listesi'!$F$5:$F$504&lt;&gt;"")*(LEFT('Metraj Mahal Listesi'!$C$5:$C$504,1)&lt;&gt;"—")*('Metraj Mahal Listesi'!$J$5:$J$504=0)))</f>
        <v/>
      </c>
      <c r="H352" s="5" t="n"/>
    </row>
    <row r="353">
      <c r="A353" s="5" t="n"/>
      <c r="B353" s="5" t="n"/>
      <c r="C353" s="21">
        <f>IF(A353="","",SUMPRODUCT((('Metraj Mahal Listesi'!$A$5:$A$504=A353)+('Metraj Mahal Listesi'!$B$5:$B$504=A353)&gt;0)*'Metraj Mahal Listesi'!$K$5:$K$504))</f>
        <v/>
      </c>
      <c r="D353" s="27">
        <f>IF(OR(A353="",'Metraj Mahal Listesi'!$K$3=0),"",C353/'Metraj Mahal Listesi'!$K$3*100)</f>
        <v/>
      </c>
      <c r="E353" s="31">
        <f>IF(A353="","",SUMPRODUCT((('Metraj Mahal Listesi'!$A$5:$A$504=A353)+('Metraj Mahal Listesi'!$B$5:$B$504=A353)&gt;0)*('Metraj Mahal Listesi'!$C$5:$C$504&lt;&gt;"")))</f>
        <v/>
      </c>
      <c r="F353" s="31">
        <f>IF(A353="","",SUMPRODUCT((('Metraj Mahal Listesi'!$A$5:$A$504=A353)+('Metraj Mahal Listesi'!$B$5:$B$504=A353)&gt;0)*('Metraj Mahal Listesi'!$C$5:$C$504&lt;&gt;"")*(LEFT('Metraj Mahal Listesi'!$C$5:$C$504,1)&lt;&gt;"—")*('Metraj Mahal Listesi'!$F$5:$F$504="")))</f>
        <v/>
      </c>
      <c r="G353" s="31">
        <f>IF(A353="","",SUMPRODUCT((('Metraj Mahal Listesi'!$A$5:$A$504=A353)+('Metraj Mahal Listesi'!$B$5:$B$504=A353)&gt;0)*('Metraj Mahal Listesi'!$F$5:$F$504&lt;&gt;"")*(LEFT('Metraj Mahal Listesi'!$C$5:$C$504,1)&lt;&gt;"—")*('Metraj Mahal Listesi'!$J$5:$J$504=0)))</f>
        <v/>
      </c>
      <c r="H353" s="5" t="n"/>
    </row>
    <row r="354">
      <c r="A354" s="5" t="n"/>
      <c r="B354" s="5" t="n"/>
      <c r="C354" s="21">
        <f>IF(A354="","",SUMPRODUCT((('Metraj Mahal Listesi'!$A$5:$A$504=A354)+('Metraj Mahal Listesi'!$B$5:$B$504=A354)&gt;0)*'Metraj Mahal Listesi'!$K$5:$K$504))</f>
        <v/>
      </c>
      <c r="D354" s="27">
        <f>IF(OR(A354="",'Metraj Mahal Listesi'!$K$3=0),"",C354/'Metraj Mahal Listesi'!$K$3*100)</f>
        <v/>
      </c>
      <c r="E354" s="31">
        <f>IF(A354="","",SUMPRODUCT((('Metraj Mahal Listesi'!$A$5:$A$504=A354)+('Metraj Mahal Listesi'!$B$5:$B$504=A354)&gt;0)*('Metraj Mahal Listesi'!$C$5:$C$504&lt;&gt;"")))</f>
        <v/>
      </c>
      <c r="F354" s="31">
        <f>IF(A354="","",SUMPRODUCT((('Metraj Mahal Listesi'!$A$5:$A$504=A354)+('Metraj Mahal Listesi'!$B$5:$B$504=A354)&gt;0)*('Metraj Mahal Listesi'!$C$5:$C$504&lt;&gt;"")*(LEFT('Metraj Mahal Listesi'!$C$5:$C$504,1)&lt;&gt;"—")*('Metraj Mahal Listesi'!$F$5:$F$504="")))</f>
        <v/>
      </c>
      <c r="G354" s="31">
        <f>IF(A354="","",SUMPRODUCT((('Metraj Mahal Listesi'!$A$5:$A$504=A354)+('Metraj Mahal Listesi'!$B$5:$B$504=A354)&gt;0)*('Metraj Mahal Listesi'!$F$5:$F$504&lt;&gt;"")*(LEFT('Metraj Mahal Listesi'!$C$5:$C$504,1)&lt;&gt;"—")*('Metraj Mahal Listesi'!$J$5:$J$504=0)))</f>
        <v/>
      </c>
      <c r="H354" s="5" t="n"/>
    </row>
    <row r="355">
      <c r="A355" s="5" t="n"/>
      <c r="B355" s="5" t="n"/>
      <c r="C355" s="21">
        <f>IF(A355="","",SUMPRODUCT((('Metraj Mahal Listesi'!$A$5:$A$504=A355)+('Metraj Mahal Listesi'!$B$5:$B$504=A355)&gt;0)*'Metraj Mahal Listesi'!$K$5:$K$504))</f>
        <v/>
      </c>
      <c r="D355" s="27">
        <f>IF(OR(A355="",'Metraj Mahal Listesi'!$K$3=0),"",C355/'Metraj Mahal Listesi'!$K$3*100)</f>
        <v/>
      </c>
      <c r="E355" s="31">
        <f>IF(A355="","",SUMPRODUCT((('Metraj Mahal Listesi'!$A$5:$A$504=A355)+('Metraj Mahal Listesi'!$B$5:$B$504=A355)&gt;0)*('Metraj Mahal Listesi'!$C$5:$C$504&lt;&gt;"")))</f>
        <v/>
      </c>
      <c r="F355" s="31">
        <f>IF(A355="","",SUMPRODUCT((('Metraj Mahal Listesi'!$A$5:$A$504=A355)+('Metraj Mahal Listesi'!$B$5:$B$504=A355)&gt;0)*('Metraj Mahal Listesi'!$C$5:$C$504&lt;&gt;"")*(LEFT('Metraj Mahal Listesi'!$C$5:$C$504,1)&lt;&gt;"—")*('Metraj Mahal Listesi'!$F$5:$F$504="")))</f>
        <v/>
      </c>
      <c r="G355" s="31">
        <f>IF(A355="","",SUMPRODUCT((('Metraj Mahal Listesi'!$A$5:$A$504=A355)+('Metraj Mahal Listesi'!$B$5:$B$504=A355)&gt;0)*('Metraj Mahal Listesi'!$F$5:$F$504&lt;&gt;"")*(LEFT('Metraj Mahal Listesi'!$C$5:$C$504,1)&lt;&gt;"—")*('Metraj Mahal Listesi'!$J$5:$J$504=0)))</f>
        <v/>
      </c>
      <c r="H355" s="5" t="n"/>
    </row>
    <row r="356">
      <c r="A356" s="5" t="n"/>
      <c r="B356" s="5" t="n"/>
      <c r="C356" s="21">
        <f>IF(A356="","",SUMPRODUCT((('Metraj Mahal Listesi'!$A$5:$A$504=A356)+('Metraj Mahal Listesi'!$B$5:$B$504=A356)&gt;0)*'Metraj Mahal Listesi'!$K$5:$K$504))</f>
        <v/>
      </c>
      <c r="D356" s="27">
        <f>IF(OR(A356="",'Metraj Mahal Listesi'!$K$3=0),"",C356/'Metraj Mahal Listesi'!$K$3*100)</f>
        <v/>
      </c>
      <c r="E356" s="31">
        <f>IF(A356="","",SUMPRODUCT((('Metraj Mahal Listesi'!$A$5:$A$504=A356)+('Metraj Mahal Listesi'!$B$5:$B$504=A356)&gt;0)*('Metraj Mahal Listesi'!$C$5:$C$504&lt;&gt;"")))</f>
        <v/>
      </c>
      <c r="F356" s="31">
        <f>IF(A356="","",SUMPRODUCT((('Metraj Mahal Listesi'!$A$5:$A$504=A356)+('Metraj Mahal Listesi'!$B$5:$B$504=A356)&gt;0)*('Metraj Mahal Listesi'!$C$5:$C$504&lt;&gt;"")*(LEFT('Metraj Mahal Listesi'!$C$5:$C$504,1)&lt;&gt;"—")*('Metraj Mahal Listesi'!$F$5:$F$504="")))</f>
        <v/>
      </c>
      <c r="G356" s="31">
        <f>IF(A356="","",SUMPRODUCT((('Metraj Mahal Listesi'!$A$5:$A$504=A356)+('Metraj Mahal Listesi'!$B$5:$B$504=A356)&gt;0)*('Metraj Mahal Listesi'!$F$5:$F$504&lt;&gt;"")*(LEFT('Metraj Mahal Listesi'!$C$5:$C$504,1)&lt;&gt;"—")*('Metraj Mahal Listesi'!$J$5:$J$504=0)))</f>
        <v/>
      </c>
      <c r="H356" s="5" t="n"/>
    </row>
    <row r="357">
      <c r="A357" s="5" t="n"/>
      <c r="B357" s="5" t="n"/>
      <c r="C357" s="21">
        <f>IF(A357="","",SUMPRODUCT((('Metraj Mahal Listesi'!$A$5:$A$504=A357)+('Metraj Mahal Listesi'!$B$5:$B$504=A357)&gt;0)*'Metraj Mahal Listesi'!$K$5:$K$504))</f>
        <v/>
      </c>
      <c r="D357" s="27">
        <f>IF(OR(A357="",'Metraj Mahal Listesi'!$K$3=0),"",C357/'Metraj Mahal Listesi'!$K$3*100)</f>
        <v/>
      </c>
      <c r="E357" s="31">
        <f>IF(A357="","",SUMPRODUCT((('Metraj Mahal Listesi'!$A$5:$A$504=A357)+('Metraj Mahal Listesi'!$B$5:$B$504=A357)&gt;0)*('Metraj Mahal Listesi'!$C$5:$C$504&lt;&gt;"")))</f>
        <v/>
      </c>
      <c r="F357" s="31">
        <f>IF(A357="","",SUMPRODUCT((('Metraj Mahal Listesi'!$A$5:$A$504=A357)+('Metraj Mahal Listesi'!$B$5:$B$504=A357)&gt;0)*('Metraj Mahal Listesi'!$C$5:$C$504&lt;&gt;"")*(LEFT('Metraj Mahal Listesi'!$C$5:$C$504,1)&lt;&gt;"—")*('Metraj Mahal Listesi'!$F$5:$F$504="")))</f>
        <v/>
      </c>
      <c r="G357" s="31">
        <f>IF(A357="","",SUMPRODUCT((('Metraj Mahal Listesi'!$A$5:$A$504=A357)+('Metraj Mahal Listesi'!$B$5:$B$504=A357)&gt;0)*('Metraj Mahal Listesi'!$F$5:$F$504&lt;&gt;"")*(LEFT('Metraj Mahal Listesi'!$C$5:$C$504,1)&lt;&gt;"—")*('Metraj Mahal Listesi'!$J$5:$J$504=0)))</f>
        <v/>
      </c>
      <c r="H357" s="5" t="n"/>
    </row>
    <row r="358">
      <c r="A358" s="5" t="n"/>
      <c r="B358" s="5" t="n"/>
      <c r="C358" s="21">
        <f>IF(A358="","",SUMPRODUCT((('Metraj Mahal Listesi'!$A$5:$A$504=A358)+('Metraj Mahal Listesi'!$B$5:$B$504=A358)&gt;0)*'Metraj Mahal Listesi'!$K$5:$K$504))</f>
        <v/>
      </c>
      <c r="D358" s="27">
        <f>IF(OR(A358="",'Metraj Mahal Listesi'!$K$3=0),"",C358/'Metraj Mahal Listesi'!$K$3*100)</f>
        <v/>
      </c>
      <c r="E358" s="31">
        <f>IF(A358="","",SUMPRODUCT((('Metraj Mahal Listesi'!$A$5:$A$504=A358)+('Metraj Mahal Listesi'!$B$5:$B$504=A358)&gt;0)*('Metraj Mahal Listesi'!$C$5:$C$504&lt;&gt;"")))</f>
        <v/>
      </c>
      <c r="F358" s="31">
        <f>IF(A358="","",SUMPRODUCT((('Metraj Mahal Listesi'!$A$5:$A$504=A358)+('Metraj Mahal Listesi'!$B$5:$B$504=A358)&gt;0)*('Metraj Mahal Listesi'!$C$5:$C$504&lt;&gt;"")*(LEFT('Metraj Mahal Listesi'!$C$5:$C$504,1)&lt;&gt;"—")*('Metraj Mahal Listesi'!$F$5:$F$504="")))</f>
        <v/>
      </c>
      <c r="G358" s="31">
        <f>IF(A358="","",SUMPRODUCT((('Metraj Mahal Listesi'!$A$5:$A$504=A358)+('Metraj Mahal Listesi'!$B$5:$B$504=A358)&gt;0)*('Metraj Mahal Listesi'!$F$5:$F$504&lt;&gt;"")*(LEFT('Metraj Mahal Listesi'!$C$5:$C$504,1)&lt;&gt;"—")*('Metraj Mahal Listesi'!$J$5:$J$504=0)))</f>
        <v/>
      </c>
      <c r="H358" s="5" t="n"/>
    </row>
    <row r="359">
      <c r="A359" s="5" t="n"/>
      <c r="B359" s="5" t="n"/>
      <c r="C359" s="21">
        <f>IF(A359="","",SUMPRODUCT((('Metraj Mahal Listesi'!$A$5:$A$504=A359)+('Metraj Mahal Listesi'!$B$5:$B$504=A359)&gt;0)*'Metraj Mahal Listesi'!$K$5:$K$504))</f>
        <v/>
      </c>
      <c r="D359" s="27">
        <f>IF(OR(A359="",'Metraj Mahal Listesi'!$K$3=0),"",C359/'Metraj Mahal Listesi'!$K$3*100)</f>
        <v/>
      </c>
      <c r="E359" s="31">
        <f>IF(A359="","",SUMPRODUCT((('Metraj Mahal Listesi'!$A$5:$A$504=A359)+('Metraj Mahal Listesi'!$B$5:$B$504=A359)&gt;0)*('Metraj Mahal Listesi'!$C$5:$C$504&lt;&gt;"")))</f>
        <v/>
      </c>
      <c r="F359" s="31">
        <f>IF(A359="","",SUMPRODUCT((('Metraj Mahal Listesi'!$A$5:$A$504=A359)+('Metraj Mahal Listesi'!$B$5:$B$504=A359)&gt;0)*('Metraj Mahal Listesi'!$C$5:$C$504&lt;&gt;"")*(LEFT('Metraj Mahal Listesi'!$C$5:$C$504,1)&lt;&gt;"—")*('Metraj Mahal Listesi'!$F$5:$F$504="")))</f>
        <v/>
      </c>
      <c r="G359" s="31">
        <f>IF(A359="","",SUMPRODUCT((('Metraj Mahal Listesi'!$A$5:$A$504=A359)+('Metraj Mahal Listesi'!$B$5:$B$504=A359)&gt;0)*('Metraj Mahal Listesi'!$F$5:$F$504&lt;&gt;"")*(LEFT('Metraj Mahal Listesi'!$C$5:$C$504,1)&lt;&gt;"—")*('Metraj Mahal Listesi'!$J$5:$J$504=0)))</f>
        <v/>
      </c>
      <c r="H359" s="5" t="n"/>
    </row>
    <row r="360">
      <c r="A360" s="5" t="n"/>
      <c r="B360" s="5" t="n"/>
      <c r="C360" s="21">
        <f>IF(A360="","",SUMPRODUCT((('Metraj Mahal Listesi'!$A$5:$A$504=A360)+('Metraj Mahal Listesi'!$B$5:$B$504=A360)&gt;0)*'Metraj Mahal Listesi'!$K$5:$K$504))</f>
        <v/>
      </c>
      <c r="D360" s="27">
        <f>IF(OR(A360="",'Metraj Mahal Listesi'!$K$3=0),"",C360/'Metraj Mahal Listesi'!$K$3*100)</f>
        <v/>
      </c>
      <c r="E360" s="31">
        <f>IF(A360="","",SUMPRODUCT((('Metraj Mahal Listesi'!$A$5:$A$504=A360)+('Metraj Mahal Listesi'!$B$5:$B$504=A360)&gt;0)*('Metraj Mahal Listesi'!$C$5:$C$504&lt;&gt;"")))</f>
        <v/>
      </c>
      <c r="F360" s="31">
        <f>IF(A360="","",SUMPRODUCT((('Metraj Mahal Listesi'!$A$5:$A$504=A360)+('Metraj Mahal Listesi'!$B$5:$B$504=A360)&gt;0)*('Metraj Mahal Listesi'!$C$5:$C$504&lt;&gt;"")*(LEFT('Metraj Mahal Listesi'!$C$5:$C$504,1)&lt;&gt;"—")*('Metraj Mahal Listesi'!$F$5:$F$504="")))</f>
        <v/>
      </c>
      <c r="G360" s="31">
        <f>IF(A360="","",SUMPRODUCT((('Metraj Mahal Listesi'!$A$5:$A$504=A360)+('Metraj Mahal Listesi'!$B$5:$B$504=A360)&gt;0)*('Metraj Mahal Listesi'!$F$5:$F$504&lt;&gt;"")*(LEFT('Metraj Mahal Listesi'!$C$5:$C$504,1)&lt;&gt;"—")*('Metraj Mahal Listesi'!$J$5:$J$504=0)))</f>
        <v/>
      </c>
      <c r="H360" s="5" t="n"/>
    </row>
    <row r="361">
      <c r="A361" s="5" t="n"/>
      <c r="B361" s="5" t="n"/>
      <c r="C361" s="21">
        <f>IF(A361="","",SUMPRODUCT((('Metraj Mahal Listesi'!$A$5:$A$504=A361)+('Metraj Mahal Listesi'!$B$5:$B$504=A361)&gt;0)*'Metraj Mahal Listesi'!$K$5:$K$504))</f>
        <v/>
      </c>
      <c r="D361" s="27">
        <f>IF(OR(A361="",'Metraj Mahal Listesi'!$K$3=0),"",C361/'Metraj Mahal Listesi'!$K$3*100)</f>
        <v/>
      </c>
      <c r="E361" s="31">
        <f>IF(A361="","",SUMPRODUCT((('Metraj Mahal Listesi'!$A$5:$A$504=A361)+('Metraj Mahal Listesi'!$B$5:$B$504=A361)&gt;0)*('Metraj Mahal Listesi'!$C$5:$C$504&lt;&gt;"")))</f>
        <v/>
      </c>
      <c r="F361" s="31">
        <f>IF(A361="","",SUMPRODUCT((('Metraj Mahal Listesi'!$A$5:$A$504=A361)+('Metraj Mahal Listesi'!$B$5:$B$504=A361)&gt;0)*('Metraj Mahal Listesi'!$C$5:$C$504&lt;&gt;"")*(LEFT('Metraj Mahal Listesi'!$C$5:$C$504,1)&lt;&gt;"—")*('Metraj Mahal Listesi'!$F$5:$F$504="")))</f>
        <v/>
      </c>
      <c r="G361" s="31">
        <f>IF(A361="","",SUMPRODUCT((('Metraj Mahal Listesi'!$A$5:$A$504=A361)+('Metraj Mahal Listesi'!$B$5:$B$504=A361)&gt;0)*('Metraj Mahal Listesi'!$F$5:$F$504&lt;&gt;"")*(LEFT('Metraj Mahal Listesi'!$C$5:$C$504,1)&lt;&gt;"—")*('Metraj Mahal Listesi'!$J$5:$J$504=0)))</f>
        <v/>
      </c>
      <c r="H361" s="5" t="n"/>
    </row>
    <row r="362">
      <c r="A362" s="5" t="n"/>
      <c r="B362" s="5" t="n"/>
      <c r="C362" s="21">
        <f>IF(A362="","",SUMPRODUCT((('Metraj Mahal Listesi'!$A$5:$A$504=A362)+('Metraj Mahal Listesi'!$B$5:$B$504=A362)&gt;0)*'Metraj Mahal Listesi'!$K$5:$K$504))</f>
        <v/>
      </c>
      <c r="D362" s="27">
        <f>IF(OR(A362="",'Metraj Mahal Listesi'!$K$3=0),"",C362/'Metraj Mahal Listesi'!$K$3*100)</f>
        <v/>
      </c>
      <c r="E362" s="31">
        <f>IF(A362="","",SUMPRODUCT((('Metraj Mahal Listesi'!$A$5:$A$504=A362)+('Metraj Mahal Listesi'!$B$5:$B$504=A362)&gt;0)*('Metraj Mahal Listesi'!$C$5:$C$504&lt;&gt;"")))</f>
        <v/>
      </c>
      <c r="F362" s="31">
        <f>IF(A362="","",SUMPRODUCT((('Metraj Mahal Listesi'!$A$5:$A$504=A362)+('Metraj Mahal Listesi'!$B$5:$B$504=A362)&gt;0)*('Metraj Mahal Listesi'!$C$5:$C$504&lt;&gt;"")*(LEFT('Metraj Mahal Listesi'!$C$5:$C$504,1)&lt;&gt;"—")*('Metraj Mahal Listesi'!$F$5:$F$504="")))</f>
        <v/>
      </c>
      <c r="G362" s="31">
        <f>IF(A362="","",SUMPRODUCT((('Metraj Mahal Listesi'!$A$5:$A$504=A362)+('Metraj Mahal Listesi'!$B$5:$B$504=A362)&gt;0)*('Metraj Mahal Listesi'!$F$5:$F$504&lt;&gt;"")*(LEFT('Metraj Mahal Listesi'!$C$5:$C$504,1)&lt;&gt;"—")*('Metraj Mahal Listesi'!$J$5:$J$504=0)))</f>
        <v/>
      </c>
      <c r="H362" s="5" t="n"/>
    </row>
    <row r="363">
      <c r="A363" s="5" t="n"/>
      <c r="B363" s="5" t="n"/>
      <c r="C363" s="21">
        <f>IF(A363="","",SUMPRODUCT((('Metraj Mahal Listesi'!$A$5:$A$504=A363)+('Metraj Mahal Listesi'!$B$5:$B$504=A363)&gt;0)*'Metraj Mahal Listesi'!$K$5:$K$504))</f>
        <v/>
      </c>
      <c r="D363" s="27">
        <f>IF(OR(A363="",'Metraj Mahal Listesi'!$K$3=0),"",C363/'Metraj Mahal Listesi'!$K$3*100)</f>
        <v/>
      </c>
      <c r="E363" s="31">
        <f>IF(A363="","",SUMPRODUCT((('Metraj Mahal Listesi'!$A$5:$A$504=A363)+('Metraj Mahal Listesi'!$B$5:$B$504=A363)&gt;0)*('Metraj Mahal Listesi'!$C$5:$C$504&lt;&gt;"")))</f>
        <v/>
      </c>
      <c r="F363" s="31">
        <f>IF(A363="","",SUMPRODUCT((('Metraj Mahal Listesi'!$A$5:$A$504=A363)+('Metraj Mahal Listesi'!$B$5:$B$504=A363)&gt;0)*('Metraj Mahal Listesi'!$C$5:$C$504&lt;&gt;"")*(LEFT('Metraj Mahal Listesi'!$C$5:$C$504,1)&lt;&gt;"—")*('Metraj Mahal Listesi'!$F$5:$F$504="")))</f>
        <v/>
      </c>
      <c r="G363" s="31">
        <f>IF(A363="","",SUMPRODUCT((('Metraj Mahal Listesi'!$A$5:$A$504=A363)+('Metraj Mahal Listesi'!$B$5:$B$504=A363)&gt;0)*('Metraj Mahal Listesi'!$F$5:$F$504&lt;&gt;"")*(LEFT('Metraj Mahal Listesi'!$C$5:$C$504,1)&lt;&gt;"—")*('Metraj Mahal Listesi'!$J$5:$J$504=0)))</f>
        <v/>
      </c>
      <c r="H363" s="5" t="n"/>
    </row>
    <row r="364">
      <c r="A364" s="5" t="n"/>
      <c r="B364" s="5" t="n"/>
      <c r="C364" s="21">
        <f>IF(A364="","",SUMPRODUCT((('Metraj Mahal Listesi'!$A$5:$A$504=A364)+('Metraj Mahal Listesi'!$B$5:$B$504=A364)&gt;0)*'Metraj Mahal Listesi'!$K$5:$K$504))</f>
        <v/>
      </c>
      <c r="D364" s="27">
        <f>IF(OR(A364="",'Metraj Mahal Listesi'!$K$3=0),"",C364/'Metraj Mahal Listesi'!$K$3*100)</f>
        <v/>
      </c>
      <c r="E364" s="31">
        <f>IF(A364="","",SUMPRODUCT((('Metraj Mahal Listesi'!$A$5:$A$504=A364)+('Metraj Mahal Listesi'!$B$5:$B$504=A364)&gt;0)*('Metraj Mahal Listesi'!$C$5:$C$504&lt;&gt;"")))</f>
        <v/>
      </c>
      <c r="F364" s="31">
        <f>IF(A364="","",SUMPRODUCT((('Metraj Mahal Listesi'!$A$5:$A$504=A364)+('Metraj Mahal Listesi'!$B$5:$B$504=A364)&gt;0)*('Metraj Mahal Listesi'!$C$5:$C$504&lt;&gt;"")*(LEFT('Metraj Mahal Listesi'!$C$5:$C$504,1)&lt;&gt;"—")*('Metraj Mahal Listesi'!$F$5:$F$504="")))</f>
        <v/>
      </c>
      <c r="G364" s="31">
        <f>IF(A364="","",SUMPRODUCT((('Metraj Mahal Listesi'!$A$5:$A$504=A364)+('Metraj Mahal Listesi'!$B$5:$B$504=A364)&gt;0)*('Metraj Mahal Listesi'!$F$5:$F$504&lt;&gt;"")*(LEFT('Metraj Mahal Listesi'!$C$5:$C$504,1)&lt;&gt;"—")*('Metraj Mahal Listesi'!$J$5:$J$504=0)))</f>
        <v/>
      </c>
      <c r="H364" s="5" t="n"/>
    </row>
    <row r="365">
      <c r="A365" s="5" t="n"/>
      <c r="B365" s="5" t="n"/>
      <c r="C365" s="21">
        <f>IF(A365="","",SUMPRODUCT((('Metraj Mahal Listesi'!$A$5:$A$504=A365)+('Metraj Mahal Listesi'!$B$5:$B$504=A365)&gt;0)*'Metraj Mahal Listesi'!$K$5:$K$504))</f>
        <v/>
      </c>
      <c r="D365" s="27">
        <f>IF(OR(A365="",'Metraj Mahal Listesi'!$K$3=0),"",C365/'Metraj Mahal Listesi'!$K$3*100)</f>
        <v/>
      </c>
      <c r="E365" s="31">
        <f>IF(A365="","",SUMPRODUCT((('Metraj Mahal Listesi'!$A$5:$A$504=A365)+('Metraj Mahal Listesi'!$B$5:$B$504=A365)&gt;0)*('Metraj Mahal Listesi'!$C$5:$C$504&lt;&gt;"")))</f>
        <v/>
      </c>
      <c r="F365" s="31">
        <f>IF(A365="","",SUMPRODUCT((('Metraj Mahal Listesi'!$A$5:$A$504=A365)+('Metraj Mahal Listesi'!$B$5:$B$504=A365)&gt;0)*('Metraj Mahal Listesi'!$C$5:$C$504&lt;&gt;"")*(LEFT('Metraj Mahal Listesi'!$C$5:$C$504,1)&lt;&gt;"—")*('Metraj Mahal Listesi'!$F$5:$F$504="")))</f>
        <v/>
      </c>
      <c r="G365" s="31">
        <f>IF(A365="","",SUMPRODUCT((('Metraj Mahal Listesi'!$A$5:$A$504=A365)+('Metraj Mahal Listesi'!$B$5:$B$504=A365)&gt;0)*('Metraj Mahal Listesi'!$F$5:$F$504&lt;&gt;"")*(LEFT('Metraj Mahal Listesi'!$C$5:$C$504,1)&lt;&gt;"—")*('Metraj Mahal Listesi'!$J$5:$J$504=0)))</f>
        <v/>
      </c>
      <c r="H365" s="5" t="n"/>
    </row>
    <row r="366">
      <c r="A366" s="5" t="n"/>
      <c r="B366" s="5" t="n"/>
      <c r="C366" s="21">
        <f>IF(A366="","",SUMPRODUCT((('Metraj Mahal Listesi'!$A$5:$A$504=A366)+('Metraj Mahal Listesi'!$B$5:$B$504=A366)&gt;0)*'Metraj Mahal Listesi'!$K$5:$K$504))</f>
        <v/>
      </c>
      <c r="D366" s="27">
        <f>IF(OR(A366="",'Metraj Mahal Listesi'!$K$3=0),"",C366/'Metraj Mahal Listesi'!$K$3*100)</f>
        <v/>
      </c>
      <c r="E366" s="31">
        <f>IF(A366="","",SUMPRODUCT((('Metraj Mahal Listesi'!$A$5:$A$504=A366)+('Metraj Mahal Listesi'!$B$5:$B$504=A366)&gt;0)*('Metraj Mahal Listesi'!$C$5:$C$504&lt;&gt;"")))</f>
        <v/>
      </c>
      <c r="F366" s="31">
        <f>IF(A366="","",SUMPRODUCT((('Metraj Mahal Listesi'!$A$5:$A$504=A366)+('Metraj Mahal Listesi'!$B$5:$B$504=A366)&gt;0)*('Metraj Mahal Listesi'!$C$5:$C$504&lt;&gt;"")*(LEFT('Metraj Mahal Listesi'!$C$5:$C$504,1)&lt;&gt;"—")*('Metraj Mahal Listesi'!$F$5:$F$504="")))</f>
        <v/>
      </c>
      <c r="G366" s="31">
        <f>IF(A366="","",SUMPRODUCT((('Metraj Mahal Listesi'!$A$5:$A$504=A366)+('Metraj Mahal Listesi'!$B$5:$B$504=A366)&gt;0)*('Metraj Mahal Listesi'!$F$5:$F$504&lt;&gt;"")*(LEFT('Metraj Mahal Listesi'!$C$5:$C$504,1)&lt;&gt;"—")*('Metraj Mahal Listesi'!$J$5:$J$504=0)))</f>
        <v/>
      </c>
      <c r="H366" s="5" t="n"/>
    </row>
    <row r="367">
      <c r="A367" s="5" t="n"/>
      <c r="B367" s="5" t="n"/>
      <c r="C367" s="21">
        <f>IF(A367="","",SUMPRODUCT((('Metraj Mahal Listesi'!$A$5:$A$504=A367)+('Metraj Mahal Listesi'!$B$5:$B$504=A367)&gt;0)*'Metraj Mahal Listesi'!$K$5:$K$504))</f>
        <v/>
      </c>
      <c r="D367" s="27">
        <f>IF(OR(A367="",'Metraj Mahal Listesi'!$K$3=0),"",C367/'Metraj Mahal Listesi'!$K$3*100)</f>
        <v/>
      </c>
      <c r="E367" s="31">
        <f>IF(A367="","",SUMPRODUCT((('Metraj Mahal Listesi'!$A$5:$A$504=A367)+('Metraj Mahal Listesi'!$B$5:$B$504=A367)&gt;0)*('Metraj Mahal Listesi'!$C$5:$C$504&lt;&gt;"")))</f>
        <v/>
      </c>
      <c r="F367" s="31">
        <f>IF(A367="","",SUMPRODUCT((('Metraj Mahal Listesi'!$A$5:$A$504=A367)+('Metraj Mahal Listesi'!$B$5:$B$504=A367)&gt;0)*('Metraj Mahal Listesi'!$C$5:$C$504&lt;&gt;"")*(LEFT('Metraj Mahal Listesi'!$C$5:$C$504,1)&lt;&gt;"—")*('Metraj Mahal Listesi'!$F$5:$F$504="")))</f>
        <v/>
      </c>
      <c r="G367" s="31">
        <f>IF(A367="","",SUMPRODUCT((('Metraj Mahal Listesi'!$A$5:$A$504=A367)+('Metraj Mahal Listesi'!$B$5:$B$504=A367)&gt;0)*('Metraj Mahal Listesi'!$F$5:$F$504&lt;&gt;"")*(LEFT('Metraj Mahal Listesi'!$C$5:$C$504,1)&lt;&gt;"—")*('Metraj Mahal Listesi'!$J$5:$J$504=0)))</f>
        <v/>
      </c>
      <c r="H367" s="5" t="n"/>
    </row>
    <row r="368">
      <c r="A368" s="5" t="n"/>
      <c r="B368" s="5" t="n"/>
      <c r="C368" s="21">
        <f>IF(A368="","",SUMPRODUCT((('Metraj Mahal Listesi'!$A$5:$A$504=A368)+('Metraj Mahal Listesi'!$B$5:$B$504=A368)&gt;0)*'Metraj Mahal Listesi'!$K$5:$K$504))</f>
        <v/>
      </c>
      <c r="D368" s="27">
        <f>IF(OR(A368="",'Metraj Mahal Listesi'!$K$3=0),"",C368/'Metraj Mahal Listesi'!$K$3*100)</f>
        <v/>
      </c>
      <c r="E368" s="31">
        <f>IF(A368="","",SUMPRODUCT((('Metraj Mahal Listesi'!$A$5:$A$504=A368)+('Metraj Mahal Listesi'!$B$5:$B$504=A368)&gt;0)*('Metraj Mahal Listesi'!$C$5:$C$504&lt;&gt;"")))</f>
        <v/>
      </c>
      <c r="F368" s="31">
        <f>IF(A368="","",SUMPRODUCT((('Metraj Mahal Listesi'!$A$5:$A$504=A368)+('Metraj Mahal Listesi'!$B$5:$B$504=A368)&gt;0)*('Metraj Mahal Listesi'!$C$5:$C$504&lt;&gt;"")*(LEFT('Metraj Mahal Listesi'!$C$5:$C$504,1)&lt;&gt;"—")*('Metraj Mahal Listesi'!$F$5:$F$504="")))</f>
        <v/>
      </c>
      <c r="G368" s="31">
        <f>IF(A368="","",SUMPRODUCT((('Metraj Mahal Listesi'!$A$5:$A$504=A368)+('Metraj Mahal Listesi'!$B$5:$B$504=A368)&gt;0)*('Metraj Mahal Listesi'!$F$5:$F$504&lt;&gt;"")*(LEFT('Metraj Mahal Listesi'!$C$5:$C$504,1)&lt;&gt;"—")*('Metraj Mahal Listesi'!$J$5:$J$504=0)))</f>
        <v/>
      </c>
      <c r="H368" s="5" t="n"/>
    </row>
    <row r="369">
      <c r="A369" s="5" t="n"/>
      <c r="B369" s="5" t="n"/>
      <c r="C369" s="21">
        <f>IF(A369="","",SUMPRODUCT((('Metraj Mahal Listesi'!$A$5:$A$504=A369)+('Metraj Mahal Listesi'!$B$5:$B$504=A369)&gt;0)*'Metraj Mahal Listesi'!$K$5:$K$504))</f>
        <v/>
      </c>
      <c r="D369" s="27">
        <f>IF(OR(A369="",'Metraj Mahal Listesi'!$K$3=0),"",C369/'Metraj Mahal Listesi'!$K$3*100)</f>
        <v/>
      </c>
      <c r="E369" s="31">
        <f>IF(A369="","",SUMPRODUCT((('Metraj Mahal Listesi'!$A$5:$A$504=A369)+('Metraj Mahal Listesi'!$B$5:$B$504=A369)&gt;0)*('Metraj Mahal Listesi'!$C$5:$C$504&lt;&gt;"")))</f>
        <v/>
      </c>
      <c r="F369" s="31">
        <f>IF(A369="","",SUMPRODUCT((('Metraj Mahal Listesi'!$A$5:$A$504=A369)+('Metraj Mahal Listesi'!$B$5:$B$504=A369)&gt;0)*('Metraj Mahal Listesi'!$C$5:$C$504&lt;&gt;"")*(LEFT('Metraj Mahal Listesi'!$C$5:$C$504,1)&lt;&gt;"—")*('Metraj Mahal Listesi'!$F$5:$F$504="")))</f>
        <v/>
      </c>
      <c r="G369" s="31">
        <f>IF(A369="","",SUMPRODUCT((('Metraj Mahal Listesi'!$A$5:$A$504=A369)+('Metraj Mahal Listesi'!$B$5:$B$504=A369)&gt;0)*('Metraj Mahal Listesi'!$F$5:$F$504&lt;&gt;"")*(LEFT('Metraj Mahal Listesi'!$C$5:$C$504,1)&lt;&gt;"—")*('Metraj Mahal Listesi'!$J$5:$J$504=0)))</f>
        <v/>
      </c>
      <c r="H369" s="5" t="n"/>
    </row>
    <row r="370">
      <c r="A370" s="5" t="n"/>
      <c r="B370" s="5" t="n"/>
      <c r="C370" s="21">
        <f>IF(A370="","",SUMPRODUCT((('Metraj Mahal Listesi'!$A$5:$A$504=A370)+('Metraj Mahal Listesi'!$B$5:$B$504=A370)&gt;0)*'Metraj Mahal Listesi'!$K$5:$K$504))</f>
        <v/>
      </c>
      <c r="D370" s="27">
        <f>IF(OR(A370="",'Metraj Mahal Listesi'!$K$3=0),"",C370/'Metraj Mahal Listesi'!$K$3*100)</f>
        <v/>
      </c>
      <c r="E370" s="31">
        <f>IF(A370="","",SUMPRODUCT((('Metraj Mahal Listesi'!$A$5:$A$504=A370)+('Metraj Mahal Listesi'!$B$5:$B$504=A370)&gt;0)*('Metraj Mahal Listesi'!$C$5:$C$504&lt;&gt;"")))</f>
        <v/>
      </c>
      <c r="F370" s="31">
        <f>IF(A370="","",SUMPRODUCT((('Metraj Mahal Listesi'!$A$5:$A$504=A370)+('Metraj Mahal Listesi'!$B$5:$B$504=A370)&gt;0)*('Metraj Mahal Listesi'!$C$5:$C$504&lt;&gt;"")*(LEFT('Metraj Mahal Listesi'!$C$5:$C$504,1)&lt;&gt;"—")*('Metraj Mahal Listesi'!$F$5:$F$504="")))</f>
        <v/>
      </c>
      <c r="G370" s="31">
        <f>IF(A370="","",SUMPRODUCT((('Metraj Mahal Listesi'!$A$5:$A$504=A370)+('Metraj Mahal Listesi'!$B$5:$B$504=A370)&gt;0)*('Metraj Mahal Listesi'!$F$5:$F$504&lt;&gt;"")*(LEFT('Metraj Mahal Listesi'!$C$5:$C$504,1)&lt;&gt;"—")*('Metraj Mahal Listesi'!$J$5:$J$504=0)))</f>
        <v/>
      </c>
      <c r="H370" s="5" t="n"/>
    </row>
    <row r="371">
      <c r="A371" s="5" t="n"/>
      <c r="B371" s="5" t="n"/>
      <c r="C371" s="21">
        <f>IF(A371="","",SUMPRODUCT((('Metraj Mahal Listesi'!$A$5:$A$504=A371)+('Metraj Mahal Listesi'!$B$5:$B$504=A371)&gt;0)*'Metraj Mahal Listesi'!$K$5:$K$504))</f>
        <v/>
      </c>
      <c r="D371" s="27">
        <f>IF(OR(A371="",'Metraj Mahal Listesi'!$K$3=0),"",C371/'Metraj Mahal Listesi'!$K$3*100)</f>
        <v/>
      </c>
      <c r="E371" s="31">
        <f>IF(A371="","",SUMPRODUCT((('Metraj Mahal Listesi'!$A$5:$A$504=A371)+('Metraj Mahal Listesi'!$B$5:$B$504=A371)&gt;0)*('Metraj Mahal Listesi'!$C$5:$C$504&lt;&gt;"")))</f>
        <v/>
      </c>
      <c r="F371" s="31">
        <f>IF(A371="","",SUMPRODUCT((('Metraj Mahal Listesi'!$A$5:$A$504=A371)+('Metraj Mahal Listesi'!$B$5:$B$504=A371)&gt;0)*('Metraj Mahal Listesi'!$C$5:$C$504&lt;&gt;"")*(LEFT('Metraj Mahal Listesi'!$C$5:$C$504,1)&lt;&gt;"—")*('Metraj Mahal Listesi'!$F$5:$F$504="")))</f>
        <v/>
      </c>
      <c r="G371" s="31">
        <f>IF(A371="","",SUMPRODUCT((('Metraj Mahal Listesi'!$A$5:$A$504=A371)+('Metraj Mahal Listesi'!$B$5:$B$504=A371)&gt;0)*('Metraj Mahal Listesi'!$F$5:$F$504&lt;&gt;"")*(LEFT('Metraj Mahal Listesi'!$C$5:$C$504,1)&lt;&gt;"—")*('Metraj Mahal Listesi'!$J$5:$J$504=0)))</f>
        <v/>
      </c>
      <c r="H371" s="5" t="n"/>
    </row>
    <row r="372">
      <c r="A372" s="5" t="n"/>
      <c r="B372" s="5" t="n"/>
      <c r="C372" s="21">
        <f>IF(A372="","",SUMPRODUCT((('Metraj Mahal Listesi'!$A$5:$A$504=A372)+('Metraj Mahal Listesi'!$B$5:$B$504=A372)&gt;0)*'Metraj Mahal Listesi'!$K$5:$K$504))</f>
        <v/>
      </c>
      <c r="D372" s="27">
        <f>IF(OR(A372="",'Metraj Mahal Listesi'!$K$3=0),"",C372/'Metraj Mahal Listesi'!$K$3*100)</f>
        <v/>
      </c>
      <c r="E372" s="31">
        <f>IF(A372="","",SUMPRODUCT((('Metraj Mahal Listesi'!$A$5:$A$504=A372)+('Metraj Mahal Listesi'!$B$5:$B$504=A372)&gt;0)*('Metraj Mahal Listesi'!$C$5:$C$504&lt;&gt;"")))</f>
        <v/>
      </c>
      <c r="F372" s="31">
        <f>IF(A372="","",SUMPRODUCT((('Metraj Mahal Listesi'!$A$5:$A$504=A372)+('Metraj Mahal Listesi'!$B$5:$B$504=A372)&gt;0)*('Metraj Mahal Listesi'!$C$5:$C$504&lt;&gt;"")*(LEFT('Metraj Mahal Listesi'!$C$5:$C$504,1)&lt;&gt;"—")*('Metraj Mahal Listesi'!$F$5:$F$504="")))</f>
        <v/>
      </c>
      <c r="G372" s="31">
        <f>IF(A372="","",SUMPRODUCT((('Metraj Mahal Listesi'!$A$5:$A$504=A372)+('Metraj Mahal Listesi'!$B$5:$B$504=A372)&gt;0)*('Metraj Mahal Listesi'!$F$5:$F$504&lt;&gt;"")*(LEFT('Metraj Mahal Listesi'!$C$5:$C$504,1)&lt;&gt;"—")*('Metraj Mahal Listesi'!$J$5:$J$504=0)))</f>
        <v/>
      </c>
      <c r="H372" s="5" t="n"/>
    </row>
    <row r="373">
      <c r="A373" s="5" t="n"/>
      <c r="B373" s="5" t="n"/>
      <c r="C373" s="21">
        <f>IF(A373="","",SUMPRODUCT((('Metraj Mahal Listesi'!$A$5:$A$504=A373)+('Metraj Mahal Listesi'!$B$5:$B$504=A373)&gt;0)*'Metraj Mahal Listesi'!$K$5:$K$504))</f>
        <v/>
      </c>
      <c r="D373" s="27">
        <f>IF(OR(A373="",'Metraj Mahal Listesi'!$K$3=0),"",C373/'Metraj Mahal Listesi'!$K$3*100)</f>
        <v/>
      </c>
      <c r="E373" s="31">
        <f>IF(A373="","",SUMPRODUCT((('Metraj Mahal Listesi'!$A$5:$A$504=A373)+('Metraj Mahal Listesi'!$B$5:$B$504=A373)&gt;0)*('Metraj Mahal Listesi'!$C$5:$C$504&lt;&gt;"")))</f>
        <v/>
      </c>
      <c r="F373" s="31">
        <f>IF(A373="","",SUMPRODUCT((('Metraj Mahal Listesi'!$A$5:$A$504=A373)+('Metraj Mahal Listesi'!$B$5:$B$504=A373)&gt;0)*('Metraj Mahal Listesi'!$C$5:$C$504&lt;&gt;"")*(LEFT('Metraj Mahal Listesi'!$C$5:$C$504,1)&lt;&gt;"—")*('Metraj Mahal Listesi'!$F$5:$F$504="")))</f>
        <v/>
      </c>
      <c r="G373" s="31">
        <f>IF(A373="","",SUMPRODUCT((('Metraj Mahal Listesi'!$A$5:$A$504=A373)+('Metraj Mahal Listesi'!$B$5:$B$504=A373)&gt;0)*('Metraj Mahal Listesi'!$F$5:$F$504&lt;&gt;"")*(LEFT('Metraj Mahal Listesi'!$C$5:$C$504,1)&lt;&gt;"—")*('Metraj Mahal Listesi'!$J$5:$J$504=0)))</f>
        <v/>
      </c>
      <c r="H373" s="5" t="n"/>
    </row>
    <row r="374">
      <c r="A374" s="5" t="n"/>
      <c r="B374" s="5" t="n"/>
      <c r="C374" s="21">
        <f>IF(A374="","",SUMPRODUCT((('Metraj Mahal Listesi'!$A$5:$A$504=A374)+('Metraj Mahal Listesi'!$B$5:$B$504=A374)&gt;0)*'Metraj Mahal Listesi'!$K$5:$K$504))</f>
        <v/>
      </c>
      <c r="D374" s="27">
        <f>IF(OR(A374="",'Metraj Mahal Listesi'!$K$3=0),"",C374/'Metraj Mahal Listesi'!$K$3*100)</f>
        <v/>
      </c>
      <c r="E374" s="31">
        <f>IF(A374="","",SUMPRODUCT((('Metraj Mahal Listesi'!$A$5:$A$504=A374)+('Metraj Mahal Listesi'!$B$5:$B$504=A374)&gt;0)*('Metraj Mahal Listesi'!$C$5:$C$504&lt;&gt;"")))</f>
        <v/>
      </c>
      <c r="F374" s="31">
        <f>IF(A374="","",SUMPRODUCT((('Metraj Mahal Listesi'!$A$5:$A$504=A374)+('Metraj Mahal Listesi'!$B$5:$B$504=A374)&gt;0)*('Metraj Mahal Listesi'!$C$5:$C$504&lt;&gt;"")*(LEFT('Metraj Mahal Listesi'!$C$5:$C$504,1)&lt;&gt;"—")*('Metraj Mahal Listesi'!$F$5:$F$504="")))</f>
        <v/>
      </c>
      <c r="G374" s="31">
        <f>IF(A374="","",SUMPRODUCT((('Metraj Mahal Listesi'!$A$5:$A$504=A374)+('Metraj Mahal Listesi'!$B$5:$B$504=A374)&gt;0)*('Metraj Mahal Listesi'!$F$5:$F$504&lt;&gt;"")*(LEFT('Metraj Mahal Listesi'!$C$5:$C$504,1)&lt;&gt;"—")*('Metraj Mahal Listesi'!$J$5:$J$504=0)))</f>
        <v/>
      </c>
      <c r="H374" s="5" t="n"/>
    </row>
    <row r="375">
      <c r="A375" s="5" t="n"/>
      <c r="B375" s="5" t="n"/>
      <c r="C375" s="21">
        <f>IF(A375="","",SUMPRODUCT((('Metraj Mahal Listesi'!$A$5:$A$504=A375)+('Metraj Mahal Listesi'!$B$5:$B$504=A375)&gt;0)*'Metraj Mahal Listesi'!$K$5:$K$504))</f>
        <v/>
      </c>
      <c r="D375" s="27">
        <f>IF(OR(A375="",'Metraj Mahal Listesi'!$K$3=0),"",C375/'Metraj Mahal Listesi'!$K$3*100)</f>
        <v/>
      </c>
      <c r="E375" s="31">
        <f>IF(A375="","",SUMPRODUCT((('Metraj Mahal Listesi'!$A$5:$A$504=A375)+('Metraj Mahal Listesi'!$B$5:$B$504=A375)&gt;0)*('Metraj Mahal Listesi'!$C$5:$C$504&lt;&gt;"")))</f>
        <v/>
      </c>
      <c r="F375" s="31">
        <f>IF(A375="","",SUMPRODUCT((('Metraj Mahal Listesi'!$A$5:$A$504=A375)+('Metraj Mahal Listesi'!$B$5:$B$504=A375)&gt;0)*('Metraj Mahal Listesi'!$C$5:$C$504&lt;&gt;"")*(LEFT('Metraj Mahal Listesi'!$C$5:$C$504,1)&lt;&gt;"—")*('Metraj Mahal Listesi'!$F$5:$F$504="")))</f>
        <v/>
      </c>
      <c r="G375" s="31">
        <f>IF(A375="","",SUMPRODUCT((('Metraj Mahal Listesi'!$A$5:$A$504=A375)+('Metraj Mahal Listesi'!$B$5:$B$504=A375)&gt;0)*('Metraj Mahal Listesi'!$F$5:$F$504&lt;&gt;"")*(LEFT('Metraj Mahal Listesi'!$C$5:$C$504,1)&lt;&gt;"—")*('Metraj Mahal Listesi'!$J$5:$J$504=0)))</f>
        <v/>
      </c>
      <c r="H375" s="5" t="n"/>
    </row>
    <row r="376">
      <c r="A376" s="5" t="n"/>
      <c r="B376" s="5" t="n"/>
      <c r="C376" s="21">
        <f>IF(A376="","",SUMPRODUCT((('Metraj Mahal Listesi'!$A$5:$A$504=A376)+('Metraj Mahal Listesi'!$B$5:$B$504=A376)&gt;0)*'Metraj Mahal Listesi'!$K$5:$K$504))</f>
        <v/>
      </c>
      <c r="D376" s="27">
        <f>IF(OR(A376="",'Metraj Mahal Listesi'!$K$3=0),"",C376/'Metraj Mahal Listesi'!$K$3*100)</f>
        <v/>
      </c>
      <c r="E376" s="31">
        <f>IF(A376="","",SUMPRODUCT((('Metraj Mahal Listesi'!$A$5:$A$504=A376)+('Metraj Mahal Listesi'!$B$5:$B$504=A376)&gt;0)*('Metraj Mahal Listesi'!$C$5:$C$504&lt;&gt;"")))</f>
        <v/>
      </c>
      <c r="F376" s="31">
        <f>IF(A376="","",SUMPRODUCT((('Metraj Mahal Listesi'!$A$5:$A$504=A376)+('Metraj Mahal Listesi'!$B$5:$B$504=A376)&gt;0)*('Metraj Mahal Listesi'!$C$5:$C$504&lt;&gt;"")*(LEFT('Metraj Mahal Listesi'!$C$5:$C$504,1)&lt;&gt;"—")*('Metraj Mahal Listesi'!$F$5:$F$504="")))</f>
        <v/>
      </c>
      <c r="G376" s="31">
        <f>IF(A376="","",SUMPRODUCT((('Metraj Mahal Listesi'!$A$5:$A$504=A376)+('Metraj Mahal Listesi'!$B$5:$B$504=A376)&gt;0)*('Metraj Mahal Listesi'!$F$5:$F$504&lt;&gt;"")*(LEFT('Metraj Mahal Listesi'!$C$5:$C$504,1)&lt;&gt;"—")*('Metraj Mahal Listesi'!$J$5:$J$504=0)))</f>
        <v/>
      </c>
      <c r="H376" s="5" t="n"/>
    </row>
    <row r="377">
      <c r="A377" s="5" t="n"/>
      <c r="B377" s="5" t="n"/>
      <c r="C377" s="21">
        <f>IF(A377="","",SUMPRODUCT((('Metraj Mahal Listesi'!$A$5:$A$504=A377)+('Metraj Mahal Listesi'!$B$5:$B$504=A377)&gt;0)*'Metraj Mahal Listesi'!$K$5:$K$504))</f>
        <v/>
      </c>
      <c r="D377" s="27">
        <f>IF(OR(A377="",'Metraj Mahal Listesi'!$K$3=0),"",C377/'Metraj Mahal Listesi'!$K$3*100)</f>
        <v/>
      </c>
      <c r="E377" s="31">
        <f>IF(A377="","",SUMPRODUCT((('Metraj Mahal Listesi'!$A$5:$A$504=A377)+('Metraj Mahal Listesi'!$B$5:$B$504=A377)&gt;0)*('Metraj Mahal Listesi'!$C$5:$C$504&lt;&gt;"")))</f>
        <v/>
      </c>
      <c r="F377" s="31">
        <f>IF(A377="","",SUMPRODUCT((('Metraj Mahal Listesi'!$A$5:$A$504=A377)+('Metraj Mahal Listesi'!$B$5:$B$504=A377)&gt;0)*('Metraj Mahal Listesi'!$C$5:$C$504&lt;&gt;"")*(LEFT('Metraj Mahal Listesi'!$C$5:$C$504,1)&lt;&gt;"—")*('Metraj Mahal Listesi'!$F$5:$F$504="")))</f>
        <v/>
      </c>
      <c r="G377" s="31">
        <f>IF(A377="","",SUMPRODUCT((('Metraj Mahal Listesi'!$A$5:$A$504=A377)+('Metraj Mahal Listesi'!$B$5:$B$504=A377)&gt;0)*('Metraj Mahal Listesi'!$F$5:$F$504&lt;&gt;"")*(LEFT('Metraj Mahal Listesi'!$C$5:$C$504,1)&lt;&gt;"—")*('Metraj Mahal Listesi'!$J$5:$J$504=0)))</f>
        <v/>
      </c>
      <c r="H377" s="5" t="n"/>
    </row>
    <row r="378">
      <c r="A378" s="5" t="n"/>
      <c r="B378" s="5" t="n"/>
      <c r="C378" s="21">
        <f>IF(A378="","",SUMPRODUCT((('Metraj Mahal Listesi'!$A$5:$A$504=A378)+('Metraj Mahal Listesi'!$B$5:$B$504=A378)&gt;0)*'Metraj Mahal Listesi'!$K$5:$K$504))</f>
        <v/>
      </c>
      <c r="D378" s="27">
        <f>IF(OR(A378="",'Metraj Mahal Listesi'!$K$3=0),"",C378/'Metraj Mahal Listesi'!$K$3*100)</f>
        <v/>
      </c>
      <c r="E378" s="31">
        <f>IF(A378="","",SUMPRODUCT((('Metraj Mahal Listesi'!$A$5:$A$504=A378)+('Metraj Mahal Listesi'!$B$5:$B$504=A378)&gt;0)*('Metraj Mahal Listesi'!$C$5:$C$504&lt;&gt;"")))</f>
        <v/>
      </c>
      <c r="F378" s="31">
        <f>IF(A378="","",SUMPRODUCT((('Metraj Mahal Listesi'!$A$5:$A$504=A378)+('Metraj Mahal Listesi'!$B$5:$B$504=A378)&gt;0)*('Metraj Mahal Listesi'!$C$5:$C$504&lt;&gt;"")*(LEFT('Metraj Mahal Listesi'!$C$5:$C$504,1)&lt;&gt;"—")*('Metraj Mahal Listesi'!$F$5:$F$504="")))</f>
        <v/>
      </c>
      <c r="G378" s="31">
        <f>IF(A378="","",SUMPRODUCT((('Metraj Mahal Listesi'!$A$5:$A$504=A378)+('Metraj Mahal Listesi'!$B$5:$B$504=A378)&gt;0)*('Metraj Mahal Listesi'!$F$5:$F$504&lt;&gt;"")*(LEFT('Metraj Mahal Listesi'!$C$5:$C$504,1)&lt;&gt;"—")*('Metraj Mahal Listesi'!$J$5:$J$504=0)))</f>
        <v/>
      </c>
      <c r="H378" s="5" t="n"/>
    </row>
    <row r="379">
      <c r="A379" s="5" t="n"/>
      <c r="B379" s="5" t="n"/>
      <c r="C379" s="21">
        <f>IF(A379="","",SUMPRODUCT((('Metraj Mahal Listesi'!$A$5:$A$504=A379)+('Metraj Mahal Listesi'!$B$5:$B$504=A379)&gt;0)*'Metraj Mahal Listesi'!$K$5:$K$504))</f>
        <v/>
      </c>
      <c r="D379" s="27">
        <f>IF(OR(A379="",'Metraj Mahal Listesi'!$K$3=0),"",C379/'Metraj Mahal Listesi'!$K$3*100)</f>
        <v/>
      </c>
      <c r="E379" s="31">
        <f>IF(A379="","",SUMPRODUCT((('Metraj Mahal Listesi'!$A$5:$A$504=A379)+('Metraj Mahal Listesi'!$B$5:$B$504=A379)&gt;0)*('Metraj Mahal Listesi'!$C$5:$C$504&lt;&gt;"")))</f>
        <v/>
      </c>
      <c r="F379" s="31">
        <f>IF(A379="","",SUMPRODUCT((('Metraj Mahal Listesi'!$A$5:$A$504=A379)+('Metraj Mahal Listesi'!$B$5:$B$504=A379)&gt;0)*('Metraj Mahal Listesi'!$C$5:$C$504&lt;&gt;"")*(LEFT('Metraj Mahal Listesi'!$C$5:$C$504,1)&lt;&gt;"—")*('Metraj Mahal Listesi'!$F$5:$F$504="")))</f>
        <v/>
      </c>
      <c r="G379" s="31">
        <f>IF(A379="","",SUMPRODUCT((('Metraj Mahal Listesi'!$A$5:$A$504=A379)+('Metraj Mahal Listesi'!$B$5:$B$504=A379)&gt;0)*('Metraj Mahal Listesi'!$F$5:$F$504&lt;&gt;"")*(LEFT('Metraj Mahal Listesi'!$C$5:$C$504,1)&lt;&gt;"—")*('Metraj Mahal Listesi'!$J$5:$J$504=0)))</f>
        <v/>
      </c>
      <c r="H379" s="5" t="n"/>
    </row>
    <row r="380">
      <c r="A380" s="5" t="n"/>
      <c r="B380" s="5" t="n"/>
      <c r="C380" s="21">
        <f>IF(A380="","",SUMPRODUCT((('Metraj Mahal Listesi'!$A$5:$A$504=A380)+('Metraj Mahal Listesi'!$B$5:$B$504=A380)&gt;0)*'Metraj Mahal Listesi'!$K$5:$K$504))</f>
        <v/>
      </c>
      <c r="D380" s="27">
        <f>IF(OR(A380="",'Metraj Mahal Listesi'!$K$3=0),"",C380/'Metraj Mahal Listesi'!$K$3*100)</f>
        <v/>
      </c>
      <c r="E380" s="31">
        <f>IF(A380="","",SUMPRODUCT((('Metraj Mahal Listesi'!$A$5:$A$504=A380)+('Metraj Mahal Listesi'!$B$5:$B$504=A380)&gt;0)*('Metraj Mahal Listesi'!$C$5:$C$504&lt;&gt;"")))</f>
        <v/>
      </c>
      <c r="F380" s="31">
        <f>IF(A380="","",SUMPRODUCT((('Metraj Mahal Listesi'!$A$5:$A$504=A380)+('Metraj Mahal Listesi'!$B$5:$B$504=A380)&gt;0)*('Metraj Mahal Listesi'!$C$5:$C$504&lt;&gt;"")*(LEFT('Metraj Mahal Listesi'!$C$5:$C$504,1)&lt;&gt;"—")*('Metraj Mahal Listesi'!$F$5:$F$504="")))</f>
        <v/>
      </c>
      <c r="G380" s="31">
        <f>IF(A380="","",SUMPRODUCT((('Metraj Mahal Listesi'!$A$5:$A$504=A380)+('Metraj Mahal Listesi'!$B$5:$B$504=A380)&gt;0)*('Metraj Mahal Listesi'!$F$5:$F$504&lt;&gt;"")*(LEFT('Metraj Mahal Listesi'!$C$5:$C$504,1)&lt;&gt;"—")*('Metraj Mahal Listesi'!$J$5:$J$504=0)))</f>
        <v/>
      </c>
      <c r="H380" s="5" t="n"/>
    </row>
    <row r="381">
      <c r="A381" s="5" t="n"/>
      <c r="B381" s="5" t="n"/>
      <c r="C381" s="21">
        <f>IF(A381="","",SUMPRODUCT((('Metraj Mahal Listesi'!$A$5:$A$504=A381)+('Metraj Mahal Listesi'!$B$5:$B$504=A381)&gt;0)*'Metraj Mahal Listesi'!$K$5:$K$504))</f>
        <v/>
      </c>
      <c r="D381" s="27">
        <f>IF(OR(A381="",'Metraj Mahal Listesi'!$K$3=0),"",C381/'Metraj Mahal Listesi'!$K$3*100)</f>
        <v/>
      </c>
      <c r="E381" s="31">
        <f>IF(A381="","",SUMPRODUCT((('Metraj Mahal Listesi'!$A$5:$A$504=A381)+('Metraj Mahal Listesi'!$B$5:$B$504=A381)&gt;0)*('Metraj Mahal Listesi'!$C$5:$C$504&lt;&gt;"")))</f>
        <v/>
      </c>
      <c r="F381" s="31">
        <f>IF(A381="","",SUMPRODUCT((('Metraj Mahal Listesi'!$A$5:$A$504=A381)+('Metraj Mahal Listesi'!$B$5:$B$504=A381)&gt;0)*('Metraj Mahal Listesi'!$C$5:$C$504&lt;&gt;"")*(LEFT('Metraj Mahal Listesi'!$C$5:$C$504,1)&lt;&gt;"—")*('Metraj Mahal Listesi'!$F$5:$F$504="")))</f>
        <v/>
      </c>
      <c r="G381" s="31">
        <f>IF(A381="","",SUMPRODUCT((('Metraj Mahal Listesi'!$A$5:$A$504=A381)+('Metraj Mahal Listesi'!$B$5:$B$504=A381)&gt;0)*('Metraj Mahal Listesi'!$F$5:$F$504&lt;&gt;"")*(LEFT('Metraj Mahal Listesi'!$C$5:$C$504,1)&lt;&gt;"—")*('Metraj Mahal Listesi'!$J$5:$J$504=0)))</f>
        <v/>
      </c>
      <c r="H381" s="5" t="n"/>
    </row>
    <row r="382">
      <c r="A382" s="5" t="n"/>
      <c r="B382" s="5" t="n"/>
      <c r="C382" s="21">
        <f>IF(A382="","",SUMPRODUCT((('Metraj Mahal Listesi'!$A$5:$A$504=A382)+('Metraj Mahal Listesi'!$B$5:$B$504=A382)&gt;0)*'Metraj Mahal Listesi'!$K$5:$K$504))</f>
        <v/>
      </c>
      <c r="D382" s="27">
        <f>IF(OR(A382="",'Metraj Mahal Listesi'!$K$3=0),"",C382/'Metraj Mahal Listesi'!$K$3*100)</f>
        <v/>
      </c>
      <c r="E382" s="31">
        <f>IF(A382="","",SUMPRODUCT((('Metraj Mahal Listesi'!$A$5:$A$504=A382)+('Metraj Mahal Listesi'!$B$5:$B$504=A382)&gt;0)*('Metraj Mahal Listesi'!$C$5:$C$504&lt;&gt;"")))</f>
        <v/>
      </c>
      <c r="F382" s="31">
        <f>IF(A382="","",SUMPRODUCT((('Metraj Mahal Listesi'!$A$5:$A$504=A382)+('Metraj Mahal Listesi'!$B$5:$B$504=A382)&gt;0)*('Metraj Mahal Listesi'!$C$5:$C$504&lt;&gt;"")*(LEFT('Metraj Mahal Listesi'!$C$5:$C$504,1)&lt;&gt;"—")*('Metraj Mahal Listesi'!$F$5:$F$504="")))</f>
        <v/>
      </c>
      <c r="G382" s="31">
        <f>IF(A382="","",SUMPRODUCT((('Metraj Mahal Listesi'!$A$5:$A$504=A382)+('Metraj Mahal Listesi'!$B$5:$B$504=A382)&gt;0)*('Metraj Mahal Listesi'!$F$5:$F$504&lt;&gt;"")*(LEFT('Metraj Mahal Listesi'!$C$5:$C$504,1)&lt;&gt;"—")*('Metraj Mahal Listesi'!$J$5:$J$504=0)))</f>
        <v/>
      </c>
      <c r="H382" s="5" t="n"/>
    </row>
    <row r="383">
      <c r="A383" s="5" t="n"/>
      <c r="B383" s="5" t="n"/>
      <c r="C383" s="21">
        <f>IF(A383="","",SUMPRODUCT((('Metraj Mahal Listesi'!$A$5:$A$504=A383)+('Metraj Mahal Listesi'!$B$5:$B$504=A383)&gt;0)*'Metraj Mahal Listesi'!$K$5:$K$504))</f>
        <v/>
      </c>
      <c r="D383" s="27">
        <f>IF(OR(A383="",'Metraj Mahal Listesi'!$K$3=0),"",C383/'Metraj Mahal Listesi'!$K$3*100)</f>
        <v/>
      </c>
      <c r="E383" s="31">
        <f>IF(A383="","",SUMPRODUCT((('Metraj Mahal Listesi'!$A$5:$A$504=A383)+('Metraj Mahal Listesi'!$B$5:$B$504=A383)&gt;0)*('Metraj Mahal Listesi'!$C$5:$C$504&lt;&gt;"")))</f>
        <v/>
      </c>
      <c r="F383" s="31">
        <f>IF(A383="","",SUMPRODUCT((('Metraj Mahal Listesi'!$A$5:$A$504=A383)+('Metraj Mahal Listesi'!$B$5:$B$504=A383)&gt;0)*('Metraj Mahal Listesi'!$C$5:$C$504&lt;&gt;"")*(LEFT('Metraj Mahal Listesi'!$C$5:$C$504,1)&lt;&gt;"—")*('Metraj Mahal Listesi'!$F$5:$F$504="")))</f>
        <v/>
      </c>
      <c r="G383" s="31">
        <f>IF(A383="","",SUMPRODUCT((('Metraj Mahal Listesi'!$A$5:$A$504=A383)+('Metraj Mahal Listesi'!$B$5:$B$504=A383)&gt;0)*('Metraj Mahal Listesi'!$F$5:$F$504&lt;&gt;"")*(LEFT('Metraj Mahal Listesi'!$C$5:$C$504,1)&lt;&gt;"—")*('Metraj Mahal Listesi'!$J$5:$J$504=0)))</f>
        <v/>
      </c>
      <c r="H383" s="5" t="n"/>
    </row>
    <row r="384">
      <c r="A384" s="5" t="n"/>
      <c r="B384" s="5" t="n"/>
      <c r="C384" s="21">
        <f>IF(A384="","",SUMPRODUCT((('Metraj Mahal Listesi'!$A$5:$A$504=A384)+('Metraj Mahal Listesi'!$B$5:$B$504=A384)&gt;0)*'Metraj Mahal Listesi'!$K$5:$K$504))</f>
        <v/>
      </c>
      <c r="D384" s="27">
        <f>IF(OR(A384="",'Metraj Mahal Listesi'!$K$3=0),"",C384/'Metraj Mahal Listesi'!$K$3*100)</f>
        <v/>
      </c>
      <c r="E384" s="31">
        <f>IF(A384="","",SUMPRODUCT((('Metraj Mahal Listesi'!$A$5:$A$504=A384)+('Metraj Mahal Listesi'!$B$5:$B$504=A384)&gt;0)*('Metraj Mahal Listesi'!$C$5:$C$504&lt;&gt;"")))</f>
        <v/>
      </c>
      <c r="F384" s="31">
        <f>IF(A384="","",SUMPRODUCT((('Metraj Mahal Listesi'!$A$5:$A$504=A384)+('Metraj Mahal Listesi'!$B$5:$B$504=A384)&gt;0)*('Metraj Mahal Listesi'!$C$5:$C$504&lt;&gt;"")*(LEFT('Metraj Mahal Listesi'!$C$5:$C$504,1)&lt;&gt;"—")*('Metraj Mahal Listesi'!$F$5:$F$504="")))</f>
        <v/>
      </c>
      <c r="G384" s="31">
        <f>IF(A384="","",SUMPRODUCT((('Metraj Mahal Listesi'!$A$5:$A$504=A384)+('Metraj Mahal Listesi'!$B$5:$B$504=A384)&gt;0)*('Metraj Mahal Listesi'!$F$5:$F$504&lt;&gt;"")*(LEFT('Metraj Mahal Listesi'!$C$5:$C$504,1)&lt;&gt;"—")*('Metraj Mahal Listesi'!$J$5:$J$504=0)))</f>
        <v/>
      </c>
      <c r="H384" s="5" t="n"/>
    </row>
    <row r="385">
      <c r="A385" s="5" t="n"/>
      <c r="B385" s="5" t="n"/>
      <c r="C385" s="21">
        <f>IF(A385="","",SUMPRODUCT((('Metraj Mahal Listesi'!$A$5:$A$504=A385)+('Metraj Mahal Listesi'!$B$5:$B$504=A385)&gt;0)*'Metraj Mahal Listesi'!$K$5:$K$504))</f>
        <v/>
      </c>
      <c r="D385" s="27">
        <f>IF(OR(A385="",'Metraj Mahal Listesi'!$K$3=0),"",C385/'Metraj Mahal Listesi'!$K$3*100)</f>
        <v/>
      </c>
      <c r="E385" s="31">
        <f>IF(A385="","",SUMPRODUCT((('Metraj Mahal Listesi'!$A$5:$A$504=A385)+('Metraj Mahal Listesi'!$B$5:$B$504=A385)&gt;0)*('Metraj Mahal Listesi'!$C$5:$C$504&lt;&gt;"")))</f>
        <v/>
      </c>
      <c r="F385" s="31">
        <f>IF(A385="","",SUMPRODUCT((('Metraj Mahal Listesi'!$A$5:$A$504=A385)+('Metraj Mahal Listesi'!$B$5:$B$504=A385)&gt;0)*('Metraj Mahal Listesi'!$C$5:$C$504&lt;&gt;"")*(LEFT('Metraj Mahal Listesi'!$C$5:$C$504,1)&lt;&gt;"—")*('Metraj Mahal Listesi'!$F$5:$F$504="")))</f>
        <v/>
      </c>
      <c r="G385" s="31">
        <f>IF(A385="","",SUMPRODUCT((('Metraj Mahal Listesi'!$A$5:$A$504=A385)+('Metraj Mahal Listesi'!$B$5:$B$504=A385)&gt;0)*('Metraj Mahal Listesi'!$F$5:$F$504&lt;&gt;"")*(LEFT('Metraj Mahal Listesi'!$C$5:$C$504,1)&lt;&gt;"—")*('Metraj Mahal Listesi'!$J$5:$J$504=0)))</f>
        <v/>
      </c>
      <c r="H385" s="5" t="n"/>
    </row>
    <row r="386">
      <c r="A386" s="5" t="n"/>
      <c r="B386" s="5" t="n"/>
      <c r="C386" s="21">
        <f>IF(A386="","",SUMPRODUCT((('Metraj Mahal Listesi'!$A$5:$A$504=A386)+('Metraj Mahal Listesi'!$B$5:$B$504=A386)&gt;0)*'Metraj Mahal Listesi'!$K$5:$K$504))</f>
        <v/>
      </c>
      <c r="D386" s="27">
        <f>IF(OR(A386="",'Metraj Mahal Listesi'!$K$3=0),"",C386/'Metraj Mahal Listesi'!$K$3*100)</f>
        <v/>
      </c>
      <c r="E386" s="31">
        <f>IF(A386="","",SUMPRODUCT((('Metraj Mahal Listesi'!$A$5:$A$504=A386)+('Metraj Mahal Listesi'!$B$5:$B$504=A386)&gt;0)*('Metraj Mahal Listesi'!$C$5:$C$504&lt;&gt;"")))</f>
        <v/>
      </c>
      <c r="F386" s="31">
        <f>IF(A386="","",SUMPRODUCT((('Metraj Mahal Listesi'!$A$5:$A$504=A386)+('Metraj Mahal Listesi'!$B$5:$B$504=A386)&gt;0)*('Metraj Mahal Listesi'!$C$5:$C$504&lt;&gt;"")*(LEFT('Metraj Mahal Listesi'!$C$5:$C$504,1)&lt;&gt;"—")*('Metraj Mahal Listesi'!$F$5:$F$504="")))</f>
        <v/>
      </c>
      <c r="G386" s="31">
        <f>IF(A386="","",SUMPRODUCT((('Metraj Mahal Listesi'!$A$5:$A$504=A386)+('Metraj Mahal Listesi'!$B$5:$B$504=A386)&gt;0)*('Metraj Mahal Listesi'!$F$5:$F$504&lt;&gt;"")*(LEFT('Metraj Mahal Listesi'!$C$5:$C$504,1)&lt;&gt;"—")*('Metraj Mahal Listesi'!$J$5:$J$504=0)))</f>
        <v/>
      </c>
      <c r="H386" s="5" t="n"/>
    </row>
    <row r="387">
      <c r="A387" s="5" t="n"/>
      <c r="B387" s="5" t="n"/>
      <c r="C387" s="21">
        <f>IF(A387="","",SUMPRODUCT((('Metraj Mahal Listesi'!$A$5:$A$504=A387)+('Metraj Mahal Listesi'!$B$5:$B$504=A387)&gt;0)*'Metraj Mahal Listesi'!$K$5:$K$504))</f>
        <v/>
      </c>
      <c r="D387" s="27">
        <f>IF(OR(A387="",'Metraj Mahal Listesi'!$K$3=0),"",C387/'Metraj Mahal Listesi'!$K$3*100)</f>
        <v/>
      </c>
      <c r="E387" s="31">
        <f>IF(A387="","",SUMPRODUCT((('Metraj Mahal Listesi'!$A$5:$A$504=A387)+('Metraj Mahal Listesi'!$B$5:$B$504=A387)&gt;0)*('Metraj Mahal Listesi'!$C$5:$C$504&lt;&gt;"")))</f>
        <v/>
      </c>
      <c r="F387" s="31">
        <f>IF(A387="","",SUMPRODUCT((('Metraj Mahal Listesi'!$A$5:$A$504=A387)+('Metraj Mahal Listesi'!$B$5:$B$504=A387)&gt;0)*('Metraj Mahal Listesi'!$C$5:$C$504&lt;&gt;"")*(LEFT('Metraj Mahal Listesi'!$C$5:$C$504,1)&lt;&gt;"—")*('Metraj Mahal Listesi'!$F$5:$F$504="")))</f>
        <v/>
      </c>
      <c r="G387" s="31">
        <f>IF(A387="","",SUMPRODUCT((('Metraj Mahal Listesi'!$A$5:$A$504=A387)+('Metraj Mahal Listesi'!$B$5:$B$504=A387)&gt;0)*('Metraj Mahal Listesi'!$F$5:$F$504&lt;&gt;"")*(LEFT('Metraj Mahal Listesi'!$C$5:$C$504,1)&lt;&gt;"—")*('Metraj Mahal Listesi'!$J$5:$J$504=0)))</f>
        <v/>
      </c>
      <c r="H387" s="5" t="n"/>
    </row>
    <row r="388">
      <c r="A388" s="5" t="n"/>
      <c r="B388" s="5" t="n"/>
      <c r="C388" s="21">
        <f>IF(A388="","",SUMPRODUCT((('Metraj Mahal Listesi'!$A$5:$A$504=A388)+('Metraj Mahal Listesi'!$B$5:$B$504=A388)&gt;0)*'Metraj Mahal Listesi'!$K$5:$K$504))</f>
        <v/>
      </c>
      <c r="D388" s="27">
        <f>IF(OR(A388="",'Metraj Mahal Listesi'!$K$3=0),"",C388/'Metraj Mahal Listesi'!$K$3*100)</f>
        <v/>
      </c>
      <c r="E388" s="31">
        <f>IF(A388="","",SUMPRODUCT((('Metraj Mahal Listesi'!$A$5:$A$504=A388)+('Metraj Mahal Listesi'!$B$5:$B$504=A388)&gt;0)*('Metraj Mahal Listesi'!$C$5:$C$504&lt;&gt;"")))</f>
        <v/>
      </c>
      <c r="F388" s="31">
        <f>IF(A388="","",SUMPRODUCT((('Metraj Mahal Listesi'!$A$5:$A$504=A388)+('Metraj Mahal Listesi'!$B$5:$B$504=A388)&gt;0)*('Metraj Mahal Listesi'!$C$5:$C$504&lt;&gt;"")*(LEFT('Metraj Mahal Listesi'!$C$5:$C$504,1)&lt;&gt;"—")*('Metraj Mahal Listesi'!$F$5:$F$504="")))</f>
        <v/>
      </c>
      <c r="G388" s="31">
        <f>IF(A388="","",SUMPRODUCT((('Metraj Mahal Listesi'!$A$5:$A$504=A388)+('Metraj Mahal Listesi'!$B$5:$B$504=A388)&gt;0)*('Metraj Mahal Listesi'!$F$5:$F$504&lt;&gt;"")*(LEFT('Metraj Mahal Listesi'!$C$5:$C$504,1)&lt;&gt;"—")*('Metraj Mahal Listesi'!$J$5:$J$504=0)))</f>
        <v/>
      </c>
      <c r="H388" s="5" t="n"/>
    </row>
    <row r="389">
      <c r="A389" s="5" t="n"/>
      <c r="B389" s="5" t="n"/>
      <c r="C389" s="21">
        <f>IF(A389="","",SUMPRODUCT((('Metraj Mahal Listesi'!$A$5:$A$504=A389)+('Metraj Mahal Listesi'!$B$5:$B$504=A389)&gt;0)*'Metraj Mahal Listesi'!$K$5:$K$504))</f>
        <v/>
      </c>
      <c r="D389" s="27">
        <f>IF(OR(A389="",'Metraj Mahal Listesi'!$K$3=0),"",C389/'Metraj Mahal Listesi'!$K$3*100)</f>
        <v/>
      </c>
      <c r="E389" s="31">
        <f>IF(A389="","",SUMPRODUCT((('Metraj Mahal Listesi'!$A$5:$A$504=A389)+('Metraj Mahal Listesi'!$B$5:$B$504=A389)&gt;0)*('Metraj Mahal Listesi'!$C$5:$C$504&lt;&gt;"")))</f>
        <v/>
      </c>
      <c r="F389" s="31">
        <f>IF(A389="","",SUMPRODUCT((('Metraj Mahal Listesi'!$A$5:$A$504=A389)+('Metraj Mahal Listesi'!$B$5:$B$504=A389)&gt;0)*('Metraj Mahal Listesi'!$C$5:$C$504&lt;&gt;"")*(LEFT('Metraj Mahal Listesi'!$C$5:$C$504,1)&lt;&gt;"—")*('Metraj Mahal Listesi'!$F$5:$F$504="")))</f>
        <v/>
      </c>
      <c r="G389" s="31">
        <f>IF(A389="","",SUMPRODUCT((('Metraj Mahal Listesi'!$A$5:$A$504=A389)+('Metraj Mahal Listesi'!$B$5:$B$504=A389)&gt;0)*('Metraj Mahal Listesi'!$F$5:$F$504&lt;&gt;"")*(LEFT('Metraj Mahal Listesi'!$C$5:$C$504,1)&lt;&gt;"—")*('Metraj Mahal Listesi'!$J$5:$J$504=0)))</f>
        <v/>
      </c>
      <c r="H389" s="5" t="n"/>
    </row>
    <row r="390">
      <c r="A390" s="5" t="n"/>
      <c r="B390" s="5" t="n"/>
      <c r="C390" s="21">
        <f>IF(A390="","",SUMPRODUCT((('Metraj Mahal Listesi'!$A$5:$A$504=A390)+('Metraj Mahal Listesi'!$B$5:$B$504=A390)&gt;0)*'Metraj Mahal Listesi'!$K$5:$K$504))</f>
        <v/>
      </c>
      <c r="D390" s="27">
        <f>IF(OR(A390="",'Metraj Mahal Listesi'!$K$3=0),"",C390/'Metraj Mahal Listesi'!$K$3*100)</f>
        <v/>
      </c>
      <c r="E390" s="31">
        <f>IF(A390="","",SUMPRODUCT((('Metraj Mahal Listesi'!$A$5:$A$504=A390)+('Metraj Mahal Listesi'!$B$5:$B$504=A390)&gt;0)*('Metraj Mahal Listesi'!$C$5:$C$504&lt;&gt;"")))</f>
        <v/>
      </c>
      <c r="F390" s="31">
        <f>IF(A390="","",SUMPRODUCT((('Metraj Mahal Listesi'!$A$5:$A$504=A390)+('Metraj Mahal Listesi'!$B$5:$B$504=A390)&gt;0)*('Metraj Mahal Listesi'!$C$5:$C$504&lt;&gt;"")*(LEFT('Metraj Mahal Listesi'!$C$5:$C$504,1)&lt;&gt;"—")*('Metraj Mahal Listesi'!$F$5:$F$504="")))</f>
        <v/>
      </c>
      <c r="G390" s="31">
        <f>IF(A390="","",SUMPRODUCT((('Metraj Mahal Listesi'!$A$5:$A$504=A390)+('Metraj Mahal Listesi'!$B$5:$B$504=A390)&gt;0)*('Metraj Mahal Listesi'!$F$5:$F$504&lt;&gt;"")*(LEFT('Metraj Mahal Listesi'!$C$5:$C$504,1)&lt;&gt;"—")*('Metraj Mahal Listesi'!$J$5:$J$504=0)))</f>
        <v/>
      </c>
      <c r="H390" s="5" t="n"/>
    </row>
    <row r="391">
      <c r="A391" s="5" t="n"/>
      <c r="B391" s="5" t="n"/>
      <c r="C391" s="21">
        <f>IF(A391="","",SUMPRODUCT((('Metraj Mahal Listesi'!$A$5:$A$504=A391)+('Metraj Mahal Listesi'!$B$5:$B$504=A391)&gt;0)*'Metraj Mahal Listesi'!$K$5:$K$504))</f>
        <v/>
      </c>
      <c r="D391" s="27">
        <f>IF(OR(A391="",'Metraj Mahal Listesi'!$K$3=0),"",C391/'Metraj Mahal Listesi'!$K$3*100)</f>
        <v/>
      </c>
      <c r="E391" s="31">
        <f>IF(A391="","",SUMPRODUCT((('Metraj Mahal Listesi'!$A$5:$A$504=A391)+('Metraj Mahal Listesi'!$B$5:$B$504=A391)&gt;0)*('Metraj Mahal Listesi'!$C$5:$C$504&lt;&gt;"")))</f>
        <v/>
      </c>
      <c r="F391" s="31">
        <f>IF(A391="","",SUMPRODUCT((('Metraj Mahal Listesi'!$A$5:$A$504=A391)+('Metraj Mahal Listesi'!$B$5:$B$504=A391)&gt;0)*('Metraj Mahal Listesi'!$C$5:$C$504&lt;&gt;"")*(LEFT('Metraj Mahal Listesi'!$C$5:$C$504,1)&lt;&gt;"—")*('Metraj Mahal Listesi'!$F$5:$F$504="")))</f>
        <v/>
      </c>
      <c r="G391" s="31">
        <f>IF(A391="","",SUMPRODUCT((('Metraj Mahal Listesi'!$A$5:$A$504=A391)+('Metraj Mahal Listesi'!$B$5:$B$504=A391)&gt;0)*('Metraj Mahal Listesi'!$F$5:$F$504&lt;&gt;"")*(LEFT('Metraj Mahal Listesi'!$C$5:$C$504,1)&lt;&gt;"—")*('Metraj Mahal Listesi'!$J$5:$J$504=0)))</f>
        <v/>
      </c>
      <c r="H391" s="5" t="n"/>
    </row>
    <row r="392">
      <c r="A392" s="5" t="n"/>
      <c r="B392" s="5" t="n"/>
      <c r="C392" s="21">
        <f>IF(A392="","",SUMPRODUCT((('Metraj Mahal Listesi'!$A$5:$A$504=A392)+('Metraj Mahal Listesi'!$B$5:$B$504=A392)&gt;0)*'Metraj Mahal Listesi'!$K$5:$K$504))</f>
        <v/>
      </c>
      <c r="D392" s="27">
        <f>IF(OR(A392="",'Metraj Mahal Listesi'!$K$3=0),"",C392/'Metraj Mahal Listesi'!$K$3*100)</f>
        <v/>
      </c>
      <c r="E392" s="31">
        <f>IF(A392="","",SUMPRODUCT((('Metraj Mahal Listesi'!$A$5:$A$504=A392)+('Metraj Mahal Listesi'!$B$5:$B$504=A392)&gt;0)*('Metraj Mahal Listesi'!$C$5:$C$504&lt;&gt;"")))</f>
        <v/>
      </c>
      <c r="F392" s="31">
        <f>IF(A392="","",SUMPRODUCT((('Metraj Mahal Listesi'!$A$5:$A$504=A392)+('Metraj Mahal Listesi'!$B$5:$B$504=A392)&gt;0)*('Metraj Mahal Listesi'!$C$5:$C$504&lt;&gt;"")*(LEFT('Metraj Mahal Listesi'!$C$5:$C$504,1)&lt;&gt;"—")*('Metraj Mahal Listesi'!$F$5:$F$504="")))</f>
        <v/>
      </c>
      <c r="G392" s="31">
        <f>IF(A392="","",SUMPRODUCT((('Metraj Mahal Listesi'!$A$5:$A$504=A392)+('Metraj Mahal Listesi'!$B$5:$B$504=A392)&gt;0)*('Metraj Mahal Listesi'!$F$5:$F$504&lt;&gt;"")*(LEFT('Metraj Mahal Listesi'!$C$5:$C$504,1)&lt;&gt;"—")*('Metraj Mahal Listesi'!$J$5:$J$504=0)))</f>
        <v/>
      </c>
      <c r="H392" s="5" t="n"/>
    </row>
    <row r="393">
      <c r="A393" s="5" t="n"/>
      <c r="B393" s="5" t="n"/>
      <c r="C393" s="21">
        <f>IF(A393="","",SUMPRODUCT((('Metraj Mahal Listesi'!$A$5:$A$504=A393)+('Metraj Mahal Listesi'!$B$5:$B$504=A393)&gt;0)*'Metraj Mahal Listesi'!$K$5:$K$504))</f>
        <v/>
      </c>
      <c r="D393" s="27">
        <f>IF(OR(A393="",'Metraj Mahal Listesi'!$K$3=0),"",C393/'Metraj Mahal Listesi'!$K$3*100)</f>
        <v/>
      </c>
      <c r="E393" s="31">
        <f>IF(A393="","",SUMPRODUCT((('Metraj Mahal Listesi'!$A$5:$A$504=A393)+('Metraj Mahal Listesi'!$B$5:$B$504=A393)&gt;0)*('Metraj Mahal Listesi'!$C$5:$C$504&lt;&gt;"")))</f>
        <v/>
      </c>
      <c r="F393" s="31">
        <f>IF(A393="","",SUMPRODUCT((('Metraj Mahal Listesi'!$A$5:$A$504=A393)+('Metraj Mahal Listesi'!$B$5:$B$504=A393)&gt;0)*('Metraj Mahal Listesi'!$C$5:$C$504&lt;&gt;"")*(LEFT('Metraj Mahal Listesi'!$C$5:$C$504,1)&lt;&gt;"—")*('Metraj Mahal Listesi'!$F$5:$F$504="")))</f>
        <v/>
      </c>
      <c r="G393" s="31">
        <f>IF(A393="","",SUMPRODUCT((('Metraj Mahal Listesi'!$A$5:$A$504=A393)+('Metraj Mahal Listesi'!$B$5:$B$504=A393)&gt;0)*('Metraj Mahal Listesi'!$F$5:$F$504&lt;&gt;"")*(LEFT('Metraj Mahal Listesi'!$C$5:$C$504,1)&lt;&gt;"—")*('Metraj Mahal Listesi'!$J$5:$J$504=0)))</f>
        <v/>
      </c>
      <c r="H393" s="5" t="n"/>
    </row>
    <row r="394">
      <c r="A394" s="5" t="n"/>
      <c r="B394" s="5" t="n"/>
      <c r="C394" s="21">
        <f>IF(A394="","",SUMPRODUCT((('Metraj Mahal Listesi'!$A$5:$A$504=A394)+('Metraj Mahal Listesi'!$B$5:$B$504=A394)&gt;0)*'Metraj Mahal Listesi'!$K$5:$K$504))</f>
        <v/>
      </c>
      <c r="D394" s="27">
        <f>IF(OR(A394="",'Metraj Mahal Listesi'!$K$3=0),"",C394/'Metraj Mahal Listesi'!$K$3*100)</f>
        <v/>
      </c>
      <c r="E394" s="31">
        <f>IF(A394="","",SUMPRODUCT((('Metraj Mahal Listesi'!$A$5:$A$504=A394)+('Metraj Mahal Listesi'!$B$5:$B$504=A394)&gt;0)*('Metraj Mahal Listesi'!$C$5:$C$504&lt;&gt;"")))</f>
        <v/>
      </c>
      <c r="F394" s="31">
        <f>IF(A394="","",SUMPRODUCT((('Metraj Mahal Listesi'!$A$5:$A$504=A394)+('Metraj Mahal Listesi'!$B$5:$B$504=A394)&gt;0)*('Metraj Mahal Listesi'!$C$5:$C$504&lt;&gt;"")*(LEFT('Metraj Mahal Listesi'!$C$5:$C$504,1)&lt;&gt;"—")*('Metraj Mahal Listesi'!$F$5:$F$504="")))</f>
        <v/>
      </c>
      <c r="G394" s="31">
        <f>IF(A394="","",SUMPRODUCT((('Metraj Mahal Listesi'!$A$5:$A$504=A394)+('Metraj Mahal Listesi'!$B$5:$B$504=A394)&gt;0)*('Metraj Mahal Listesi'!$F$5:$F$504&lt;&gt;"")*(LEFT('Metraj Mahal Listesi'!$C$5:$C$504,1)&lt;&gt;"—")*('Metraj Mahal Listesi'!$J$5:$J$504=0)))</f>
        <v/>
      </c>
      <c r="H394" s="5" t="n"/>
    </row>
    <row r="395">
      <c r="A395" s="5" t="n"/>
      <c r="B395" s="5" t="n"/>
      <c r="C395" s="21">
        <f>IF(A395="","",SUMPRODUCT((('Metraj Mahal Listesi'!$A$5:$A$504=A395)+('Metraj Mahal Listesi'!$B$5:$B$504=A395)&gt;0)*'Metraj Mahal Listesi'!$K$5:$K$504))</f>
        <v/>
      </c>
      <c r="D395" s="27">
        <f>IF(OR(A395="",'Metraj Mahal Listesi'!$K$3=0),"",C395/'Metraj Mahal Listesi'!$K$3*100)</f>
        <v/>
      </c>
      <c r="E395" s="31">
        <f>IF(A395="","",SUMPRODUCT((('Metraj Mahal Listesi'!$A$5:$A$504=A395)+('Metraj Mahal Listesi'!$B$5:$B$504=A395)&gt;0)*('Metraj Mahal Listesi'!$C$5:$C$504&lt;&gt;"")))</f>
        <v/>
      </c>
      <c r="F395" s="31">
        <f>IF(A395="","",SUMPRODUCT((('Metraj Mahal Listesi'!$A$5:$A$504=A395)+('Metraj Mahal Listesi'!$B$5:$B$504=A395)&gt;0)*('Metraj Mahal Listesi'!$C$5:$C$504&lt;&gt;"")*(LEFT('Metraj Mahal Listesi'!$C$5:$C$504,1)&lt;&gt;"—")*('Metraj Mahal Listesi'!$F$5:$F$504="")))</f>
        <v/>
      </c>
      <c r="G395" s="31">
        <f>IF(A395="","",SUMPRODUCT((('Metraj Mahal Listesi'!$A$5:$A$504=A395)+('Metraj Mahal Listesi'!$B$5:$B$504=A395)&gt;0)*('Metraj Mahal Listesi'!$F$5:$F$504&lt;&gt;"")*(LEFT('Metraj Mahal Listesi'!$C$5:$C$504,1)&lt;&gt;"—")*('Metraj Mahal Listesi'!$J$5:$J$504=0)))</f>
        <v/>
      </c>
      <c r="H395" s="5" t="n"/>
    </row>
    <row r="396">
      <c r="A396" s="5" t="n"/>
      <c r="B396" s="5" t="n"/>
      <c r="C396" s="21">
        <f>IF(A396="","",SUMPRODUCT((('Metraj Mahal Listesi'!$A$5:$A$504=A396)+('Metraj Mahal Listesi'!$B$5:$B$504=A396)&gt;0)*'Metraj Mahal Listesi'!$K$5:$K$504))</f>
        <v/>
      </c>
      <c r="D396" s="27">
        <f>IF(OR(A396="",'Metraj Mahal Listesi'!$K$3=0),"",C396/'Metraj Mahal Listesi'!$K$3*100)</f>
        <v/>
      </c>
      <c r="E396" s="31">
        <f>IF(A396="","",SUMPRODUCT((('Metraj Mahal Listesi'!$A$5:$A$504=A396)+('Metraj Mahal Listesi'!$B$5:$B$504=A396)&gt;0)*('Metraj Mahal Listesi'!$C$5:$C$504&lt;&gt;"")))</f>
        <v/>
      </c>
      <c r="F396" s="31">
        <f>IF(A396="","",SUMPRODUCT((('Metraj Mahal Listesi'!$A$5:$A$504=A396)+('Metraj Mahal Listesi'!$B$5:$B$504=A396)&gt;0)*('Metraj Mahal Listesi'!$C$5:$C$504&lt;&gt;"")*(LEFT('Metraj Mahal Listesi'!$C$5:$C$504,1)&lt;&gt;"—")*('Metraj Mahal Listesi'!$F$5:$F$504="")))</f>
        <v/>
      </c>
      <c r="G396" s="31">
        <f>IF(A396="","",SUMPRODUCT((('Metraj Mahal Listesi'!$A$5:$A$504=A396)+('Metraj Mahal Listesi'!$B$5:$B$504=A396)&gt;0)*('Metraj Mahal Listesi'!$F$5:$F$504&lt;&gt;"")*(LEFT('Metraj Mahal Listesi'!$C$5:$C$504,1)&lt;&gt;"—")*('Metraj Mahal Listesi'!$J$5:$J$504=0)))</f>
        <v/>
      </c>
      <c r="H396" s="5" t="n"/>
    </row>
    <row r="397">
      <c r="A397" s="5" t="n"/>
      <c r="B397" s="5" t="n"/>
      <c r="C397" s="21">
        <f>IF(A397="","",SUMPRODUCT((('Metraj Mahal Listesi'!$A$5:$A$504=A397)+('Metraj Mahal Listesi'!$B$5:$B$504=A397)&gt;0)*'Metraj Mahal Listesi'!$K$5:$K$504))</f>
        <v/>
      </c>
      <c r="D397" s="27">
        <f>IF(OR(A397="",'Metraj Mahal Listesi'!$K$3=0),"",C397/'Metraj Mahal Listesi'!$K$3*100)</f>
        <v/>
      </c>
      <c r="E397" s="31">
        <f>IF(A397="","",SUMPRODUCT((('Metraj Mahal Listesi'!$A$5:$A$504=A397)+('Metraj Mahal Listesi'!$B$5:$B$504=A397)&gt;0)*('Metraj Mahal Listesi'!$C$5:$C$504&lt;&gt;"")))</f>
        <v/>
      </c>
      <c r="F397" s="31">
        <f>IF(A397="","",SUMPRODUCT((('Metraj Mahal Listesi'!$A$5:$A$504=A397)+('Metraj Mahal Listesi'!$B$5:$B$504=A397)&gt;0)*('Metraj Mahal Listesi'!$C$5:$C$504&lt;&gt;"")*(LEFT('Metraj Mahal Listesi'!$C$5:$C$504,1)&lt;&gt;"—")*('Metraj Mahal Listesi'!$F$5:$F$504="")))</f>
        <v/>
      </c>
      <c r="G397" s="31">
        <f>IF(A397="","",SUMPRODUCT((('Metraj Mahal Listesi'!$A$5:$A$504=A397)+('Metraj Mahal Listesi'!$B$5:$B$504=A397)&gt;0)*('Metraj Mahal Listesi'!$F$5:$F$504&lt;&gt;"")*(LEFT('Metraj Mahal Listesi'!$C$5:$C$504,1)&lt;&gt;"—")*('Metraj Mahal Listesi'!$J$5:$J$504=0)))</f>
        <v/>
      </c>
      <c r="H397" s="5" t="n"/>
    </row>
    <row r="398">
      <c r="A398" s="5" t="n"/>
      <c r="B398" s="5" t="n"/>
      <c r="C398" s="21">
        <f>IF(A398="","",SUMPRODUCT((('Metraj Mahal Listesi'!$A$5:$A$504=A398)+('Metraj Mahal Listesi'!$B$5:$B$504=A398)&gt;0)*'Metraj Mahal Listesi'!$K$5:$K$504))</f>
        <v/>
      </c>
      <c r="D398" s="27">
        <f>IF(OR(A398="",'Metraj Mahal Listesi'!$K$3=0),"",C398/'Metraj Mahal Listesi'!$K$3*100)</f>
        <v/>
      </c>
      <c r="E398" s="31">
        <f>IF(A398="","",SUMPRODUCT((('Metraj Mahal Listesi'!$A$5:$A$504=A398)+('Metraj Mahal Listesi'!$B$5:$B$504=A398)&gt;0)*('Metraj Mahal Listesi'!$C$5:$C$504&lt;&gt;"")))</f>
        <v/>
      </c>
      <c r="F398" s="31">
        <f>IF(A398="","",SUMPRODUCT((('Metraj Mahal Listesi'!$A$5:$A$504=A398)+('Metraj Mahal Listesi'!$B$5:$B$504=A398)&gt;0)*('Metraj Mahal Listesi'!$C$5:$C$504&lt;&gt;"")*(LEFT('Metraj Mahal Listesi'!$C$5:$C$504,1)&lt;&gt;"—")*('Metraj Mahal Listesi'!$F$5:$F$504="")))</f>
        <v/>
      </c>
      <c r="G398" s="31">
        <f>IF(A398="","",SUMPRODUCT((('Metraj Mahal Listesi'!$A$5:$A$504=A398)+('Metraj Mahal Listesi'!$B$5:$B$504=A398)&gt;0)*('Metraj Mahal Listesi'!$F$5:$F$504&lt;&gt;"")*(LEFT('Metraj Mahal Listesi'!$C$5:$C$504,1)&lt;&gt;"—")*('Metraj Mahal Listesi'!$J$5:$J$504=0)))</f>
        <v/>
      </c>
      <c r="H398" s="5" t="n"/>
    </row>
    <row r="399">
      <c r="A399" s="5" t="n"/>
      <c r="B399" s="5" t="n"/>
      <c r="C399" s="21">
        <f>IF(A399="","",SUMPRODUCT((('Metraj Mahal Listesi'!$A$5:$A$504=A399)+('Metraj Mahal Listesi'!$B$5:$B$504=A399)&gt;0)*'Metraj Mahal Listesi'!$K$5:$K$504))</f>
        <v/>
      </c>
      <c r="D399" s="27">
        <f>IF(OR(A399="",'Metraj Mahal Listesi'!$K$3=0),"",C399/'Metraj Mahal Listesi'!$K$3*100)</f>
        <v/>
      </c>
      <c r="E399" s="31">
        <f>IF(A399="","",SUMPRODUCT((('Metraj Mahal Listesi'!$A$5:$A$504=A399)+('Metraj Mahal Listesi'!$B$5:$B$504=A399)&gt;0)*('Metraj Mahal Listesi'!$C$5:$C$504&lt;&gt;"")))</f>
        <v/>
      </c>
      <c r="F399" s="31">
        <f>IF(A399="","",SUMPRODUCT((('Metraj Mahal Listesi'!$A$5:$A$504=A399)+('Metraj Mahal Listesi'!$B$5:$B$504=A399)&gt;0)*('Metraj Mahal Listesi'!$C$5:$C$504&lt;&gt;"")*(LEFT('Metraj Mahal Listesi'!$C$5:$C$504,1)&lt;&gt;"—")*('Metraj Mahal Listesi'!$F$5:$F$504="")))</f>
        <v/>
      </c>
      <c r="G399" s="31">
        <f>IF(A399="","",SUMPRODUCT((('Metraj Mahal Listesi'!$A$5:$A$504=A399)+('Metraj Mahal Listesi'!$B$5:$B$504=A399)&gt;0)*('Metraj Mahal Listesi'!$F$5:$F$504&lt;&gt;"")*(LEFT('Metraj Mahal Listesi'!$C$5:$C$504,1)&lt;&gt;"—")*('Metraj Mahal Listesi'!$J$5:$J$504=0)))</f>
        <v/>
      </c>
      <c r="H399" s="5" t="n"/>
    </row>
    <row r="400">
      <c r="A400" s="5" t="n"/>
      <c r="B400" s="5" t="n"/>
      <c r="C400" s="21">
        <f>IF(A400="","",SUMPRODUCT((('Metraj Mahal Listesi'!$A$5:$A$504=A400)+('Metraj Mahal Listesi'!$B$5:$B$504=A400)&gt;0)*'Metraj Mahal Listesi'!$K$5:$K$504))</f>
        <v/>
      </c>
      <c r="D400" s="27">
        <f>IF(OR(A400="",'Metraj Mahal Listesi'!$K$3=0),"",C400/'Metraj Mahal Listesi'!$K$3*100)</f>
        <v/>
      </c>
      <c r="E400" s="31">
        <f>IF(A400="","",SUMPRODUCT((('Metraj Mahal Listesi'!$A$5:$A$504=A400)+('Metraj Mahal Listesi'!$B$5:$B$504=A400)&gt;0)*('Metraj Mahal Listesi'!$C$5:$C$504&lt;&gt;"")))</f>
        <v/>
      </c>
      <c r="F400" s="31">
        <f>IF(A400="","",SUMPRODUCT((('Metraj Mahal Listesi'!$A$5:$A$504=A400)+('Metraj Mahal Listesi'!$B$5:$B$504=A400)&gt;0)*('Metraj Mahal Listesi'!$C$5:$C$504&lt;&gt;"")*(LEFT('Metraj Mahal Listesi'!$C$5:$C$504,1)&lt;&gt;"—")*('Metraj Mahal Listesi'!$F$5:$F$504="")))</f>
        <v/>
      </c>
      <c r="G400" s="31">
        <f>IF(A400="","",SUMPRODUCT((('Metraj Mahal Listesi'!$A$5:$A$504=A400)+('Metraj Mahal Listesi'!$B$5:$B$504=A400)&gt;0)*('Metraj Mahal Listesi'!$F$5:$F$504&lt;&gt;"")*(LEFT('Metraj Mahal Listesi'!$C$5:$C$504,1)&lt;&gt;"—")*('Metraj Mahal Listesi'!$J$5:$J$504=0)))</f>
        <v/>
      </c>
      <c r="H400" s="5" t="n"/>
    </row>
    <row r="401">
      <c r="A401" s="5" t="n"/>
      <c r="B401" s="5" t="n"/>
      <c r="C401" s="21">
        <f>IF(A401="","",SUMPRODUCT((('Metraj Mahal Listesi'!$A$5:$A$504=A401)+('Metraj Mahal Listesi'!$B$5:$B$504=A401)&gt;0)*'Metraj Mahal Listesi'!$K$5:$K$504))</f>
        <v/>
      </c>
      <c r="D401" s="27">
        <f>IF(OR(A401="",'Metraj Mahal Listesi'!$K$3=0),"",C401/'Metraj Mahal Listesi'!$K$3*100)</f>
        <v/>
      </c>
      <c r="E401" s="31">
        <f>IF(A401="","",SUMPRODUCT((('Metraj Mahal Listesi'!$A$5:$A$504=A401)+('Metraj Mahal Listesi'!$B$5:$B$504=A401)&gt;0)*('Metraj Mahal Listesi'!$C$5:$C$504&lt;&gt;"")))</f>
        <v/>
      </c>
      <c r="F401" s="31">
        <f>IF(A401="","",SUMPRODUCT((('Metraj Mahal Listesi'!$A$5:$A$504=A401)+('Metraj Mahal Listesi'!$B$5:$B$504=A401)&gt;0)*('Metraj Mahal Listesi'!$C$5:$C$504&lt;&gt;"")*(LEFT('Metraj Mahal Listesi'!$C$5:$C$504,1)&lt;&gt;"—")*('Metraj Mahal Listesi'!$F$5:$F$504="")))</f>
        <v/>
      </c>
      <c r="G401" s="31">
        <f>IF(A401="","",SUMPRODUCT((('Metraj Mahal Listesi'!$A$5:$A$504=A401)+('Metraj Mahal Listesi'!$B$5:$B$504=A401)&gt;0)*('Metraj Mahal Listesi'!$F$5:$F$504&lt;&gt;"")*(LEFT('Metraj Mahal Listesi'!$C$5:$C$504,1)&lt;&gt;"—")*('Metraj Mahal Listesi'!$J$5:$J$504=0)))</f>
        <v/>
      </c>
      <c r="H401" s="5" t="n"/>
    </row>
    <row r="402">
      <c r="A402" s="5" t="n"/>
      <c r="B402" s="5" t="n"/>
      <c r="C402" s="21">
        <f>IF(A402="","",SUMPRODUCT((('Metraj Mahal Listesi'!$A$5:$A$504=A402)+('Metraj Mahal Listesi'!$B$5:$B$504=A402)&gt;0)*'Metraj Mahal Listesi'!$K$5:$K$504))</f>
        <v/>
      </c>
      <c r="D402" s="27">
        <f>IF(OR(A402="",'Metraj Mahal Listesi'!$K$3=0),"",C402/'Metraj Mahal Listesi'!$K$3*100)</f>
        <v/>
      </c>
      <c r="E402" s="31">
        <f>IF(A402="","",SUMPRODUCT((('Metraj Mahal Listesi'!$A$5:$A$504=A402)+('Metraj Mahal Listesi'!$B$5:$B$504=A402)&gt;0)*('Metraj Mahal Listesi'!$C$5:$C$504&lt;&gt;"")))</f>
        <v/>
      </c>
      <c r="F402" s="31">
        <f>IF(A402="","",SUMPRODUCT((('Metraj Mahal Listesi'!$A$5:$A$504=A402)+('Metraj Mahal Listesi'!$B$5:$B$504=A402)&gt;0)*('Metraj Mahal Listesi'!$C$5:$C$504&lt;&gt;"")*(LEFT('Metraj Mahal Listesi'!$C$5:$C$504,1)&lt;&gt;"—")*('Metraj Mahal Listesi'!$F$5:$F$504="")))</f>
        <v/>
      </c>
      <c r="G402" s="31">
        <f>IF(A402="","",SUMPRODUCT((('Metraj Mahal Listesi'!$A$5:$A$504=A402)+('Metraj Mahal Listesi'!$B$5:$B$504=A402)&gt;0)*('Metraj Mahal Listesi'!$F$5:$F$504&lt;&gt;"")*(LEFT('Metraj Mahal Listesi'!$C$5:$C$504,1)&lt;&gt;"—")*('Metraj Mahal Listesi'!$J$5:$J$504=0)))</f>
        <v/>
      </c>
      <c r="H402" s="5" t="n"/>
    </row>
    <row r="403">
      <c r="A403" s="5" t="n"/>
      <c r="B403" s="5" t="n"/>
      <c r="C403" s="21">
        <f>IF(A403="","",SUMPRODUCT((('Metraj Mahal Listesi'!$A$5:$A$504=A403)+('Metraj Mahal Listesi'!$B$5:$B$504=A403)&gt;0)*'Metraj Mahal Listesi'!$K$5:$K$504))</f>
        <v/>
      </c>
      <c r="D403" s="27">
        <f>IF(OR(A403="",'Metraj Mahal Listesi'!$K$3=0),"",C403/'Metraj Mahal Listesi'!$K$3*100)</f>
        <v/>
      </c>
      <c r="E403" s="31">
        <f>IF(A403="","",SUMPRODUCT((('Metraj Mahal Listesi'!$A$5:$A$504=A403)+('Metraj Mahal Listesi'!$B$5:$B$504=A403)&gt;0)*('Metraj Mahal Listesi'!$C$5:$C$504&lt;&gt;"")))</f>
        <v/>
      </c>
      <c r="F403" s="31">
        <f>IF(A403="","",SUMPRODUCT((('Metraj Mahal Listesi'!$A$5:$A$504=A403)+('Metraj Mahal Listesi'!$B$5:$B$504=A403)&gt;0)*('Metraj Mahal Listesi'!$C$5:$C$504&lt;&gt;"")*(LEFT('Metraj Mahal Listesi'!$C$5:$C$504,1)&lt;&gt;"—")*('Metraj Mahal Listesi'!$F$5:$F$504="")))</f>
        <v/>
      </c>
      <c r="G403" s="31">
        <f>IF(A403="","",SUMPRODUCT((('Metraj Mahal Listesi'!$A$5:$A$504=A403)+('Metraj Mahal Listesi'!$B$5:$B$504=A403)&gt;0)*('Metraj Mahal Listesi'!$F$5:$F$504&lt;&gt;"")*(LEFT('Metraj Mahal Listesi'!$C$5:$C$504,1)&lt;&gt;"—")*('Metraj Mahal Listesi'!$J$5:$J$504=0)))</f>
        <v/>
      </c>
      <c r="H403" s="5" t="n"/>
    </row>
    <row r="404">
      <c r="A404" s="5" t="n"/>
      <c r="B404" s="5" t="n"/>
      <c r="C404" s="21">
        <f>IF(A404="","",SUMPRODUCT((('Metraj Mahal Listesi'!$A$5:$A$504=A404)+('Metraj Mahal Listesi'!$B$5:$B$504=A404)&gt;0)*'Metraj Mahal Listesi'!$K$5:$K$504))</f>
        <v/>
      </c>
      <c r="D404" s="27">
        <f>IF(OR(A404="",'Metraj Mahal Listesi'!$K$3=0),"",C404/'Metraj Mahal Listesi'!$K$3*100)</f>
        <v/>
      </c>
      <c r="E404" s="31">
        <f>IF(A404="","",SUMPRODUCT((('Metraj Mahal Listesi'!$A$5:$A$504=A404)+('Metraj Mahal Listesi'!$B$5:$B$504=A404)&gt;0)*('Metraj Mahal Listesi'!$C$5:$C$504&lt;&gt;"")))</f>
        <v/>
      </c>
      <c r="F404" s="31">
        <f>IF(A404="","",SUMPRODUCT((('Metraj Mahal Listesi'!$A$5:$A$504=A404)+('Metraj Mahal Listesi'!$B$5:$B$504=A404)&gt;0)*('Metraj Mahal Listesi'!$C$5:$C$504&lt;&gt;"")*(LEFT('Metraj Mahal Listesi'!$C$5:$C$504,1)&lt;&gt;"—")*('Metraj Mahal Listesi'!$F$5:$F$504="")))</f>
        <v/>
      </c>
      <c r="G404" s="31">
        <f>IF(A404="","",SUMPRODUCT((('Metraj Mahal Listesi'!$A$5:$A$504=A404)+('Metraj Mahal Listesi'!$B$5:$B$504=A404)&gt;0)*('Metraj Mahal Listesi'!$F$5:$F$504&lt;&gt;"")*(LEFT('Metraj Mahal Listesi'!$C$5:$C$504,1)&lt;&gt;"—")*('Metraj Mahal Listesi'!$J$5:$J$504=0)))</f>
        <v/>
      </c>
      <c r="H404" s="5" t="n"/>
    </row>
    <row r="405">
      <c r="A405" s="5" t="n"/>
      <c r="B405" s="5" t="n"/>
      <c r="C405" s="21">
        <f>IF(A405="","",SUMPRODUCT((('Metraj Mahal Listesi'!$A$5:$A$504=A405)+('Metraj Mahal Listesi'!$B$5:$B$504=A405)&gt;0)*'Metraj Mahal Listesi'!$K$5:$K$504))</f>
        <v/>
      </c>
      <c r="D405" s="27">
        <f>IF(OR(A405="",'Metraj Mahal Listesi'!$K$3=0),"",C405/'Metraj Mahal Listesi'!$K$3*100)</f>
        <v/>
      </c>
      <c r="E405" s="31">
        <f>IF(A405="","",SUMPRODUCT((('Metraj Mahal Listesi'!$A$5:$A$504=A405)+('Metraj Mahal Listesi'!$B$5:$B$504=A405)&gt;0)*('Metraj Mahal Listesi'!$C$5:$C$504&lt;&gt;"")))</f>
        <v/>
      </c>
      <c r="F405" s="31">
        <f>IF(A405="","",SUMPRODUCT((('Metraj Mahal Listesi'!$A$5:$A$504=A405)+('Metraj Mahal Listesi'!$B$5:$B$504=A405)&gt;0)*('Metraj Mahal Listesi'!$C$5:$C$504&lt;&gt;"")*(LEFT('Metraj Mahal Listesi'!$C$5:$C$504,1)&lt;&gt;"—")*('Metraj Mahal Listesi'!$F$5:$F$504="")))</f>
        <v/>
      </c>
      <c r="G405" s="31">
        <f>IF(A405="","",SUMPRODUCT((('Metraj Mahal Listesi'!$A$5:$A$504=A405)+('Metraj Mahal Listesi'!$B$5:$B$504=A405)&gt;0)*('Metraj Mahal Listesi'!$F$5:$F$504&lt;&gt;"")*(LEFT('Metraj Mahal Listesi'!$C$5:$C$504,1)&lt;&gt;"—")*('Metraj Mahal Listesi'!$J$5:$J$504=0)))</f>
        <v/>
      </c>
      <c r="H405" s="5" t="n"/>
    </row>
    <row r="406">
      <c r="A406" s="5" t="n"/>
      <c r="B406" s="5" t="n"/>
      <c r="C406" s="21">
        <f>IF(A406="","",SUMPRODUCT((('Metraj Mahal Listesi'!$A$5:$A$504=A406)+('Metraj Mahal Listesi'!$B$5:$B$504=A406)&gt;0)*'Metraj Mahal Listesi'!$K$5:$K$504))</f>
        <v/>
      </c>
      <c r="D406" s="27">
        <f>IF(OR(A406="",'Metraj Mahal Listesi'!$K$3=0),"",C406/'Metraj Mahal Listesi'!$K$3*100)</f>
        <v/>
      </c>
      <c r="E406" s="31">
        <f>IF(A406="","",SUMPRODUCT((('Metraj Mahal Listesi'!$A$5:$A$504=A406)+('Metraj Mahal Listesi'!$B$5:$B$504=A406)&gt;0)*('Metraj Mahal Listesi'!$C$5:$C$504&lt;&gt;"")))</f>
        <v/>
      </c>
      <c r="F406" s="31">
        <f>IF(A406="","",SUMPRODUCT((('Metraj Mahal Listesi'!$A$5:$A$504=A406)+('Metraj Mahal Listesi'!$B$5:$B$504=A406)&gt;0)*('Metraj Mahal Listesi'!$C$5:$C$504&lt;&gt;"")*(LEFT('Metraj Mahal Listesi'!$C$5:$C$504,1)&lt;&gt;"—")*('Metraj Mahal Listesi'!$F$5:$F$504="")))</f>
        <v/>
      </c>
      <c r="G406" s="31">
        <f>IF(A406="","",SUMPRODUCT((('Metraj Mahal Listesi'!$A$5:$A$504=A406)+('Metraj Mahal Listesi'!$B$5:$B$504=A406)&gt;0)*('Metraj Mahal Listesi'!$F$5:$F$504&lt;&gt;"")*(LEFT('Metraj Mahal Listesi'!$C$5:$C$504,1)&lt;&gt;"—")*('Metraj Mahal Listesi'!$J$5:$J$504=0)))</f>
        <v/>
      </c>
      <c r="H406" s="5" t="n"/>
    </row>
    <row r="407">
      <c r="A407" s="5" t="n"/>
      <c r="B407" s="5" t="n"/>
      <c r="C407" s="21">
        <f>IF(A407="","",SUMPRODUCT((('Metraj Mahal Listesi'!$A$5:$A$504=A407)+('Metraj Mahal Listesi'!$B$5:$B$504=A407)&gt;0)*'Metraj Mahal Listesi'!$K$5:$K$504))</f>
        <v/>
      </c>
      <c r="D407" s="27">
        <f>IF(OR(A407="",'Metraj Mahal Listesi'!$K$3=0),"",C407/'Metraj Mahal Listesi'!$K$3*100)</f>
        <v/>
      </c>
      <c r="E407" s="31">
        <f>IF(A407="","",SUMPRODUCT((('Metraj Mahal Listesi'!$A$5:$A$504=A407)+('Metraj Mahal Listesi'!$B$5:$B$504=A407)&gt;0)*('Metraj Mahal Listesi'!$C$5:$C$504&lt;&gt;"")))</f>
        <v/>
      </c>
      <c r="F407" s="31">
        <f>IF(A407="","",SUMPRODUCT((('Metraj Mahal Listesi'!$A$5:$A$504=A407)+('Metraj Mahal Listesi'!$B$5:$B$504=A407)&gt;0)*('Metraj Mahal Listesi'!$C$5:$C$504&lt;&gt;"")*(LEFT('Metraj Mahal Listesi'!$C$5:$C$504,1)&lt;&gt;"—")*('Metraj Mahal Listesi'!$F$5:$F$504="")))</f>
        <v/>
      </c>
      <c r="G407" s="31">
        <f>IF(A407="","",SUMPRODUCT((('Metraj Mahal Listesi'!$A$5:$A$504=A407)+('Metraj Mahal Listesi'!$B$5:$B$504=A407)&gt;0)*('Metraj Mahal Listesi'!$F$5:$F$504&lt;&gt;"")*(LEFT('Metraj Mahal Listesi'!$C$5:$C$504,1)&lt;&gt;"—")*('Metraj Mahal Listesi'!$J$5:$J$504=0)))</f>
        <v/>
      </c>
      <c r="H407" s="5" t="n"/>
    </row>
    <row r="408">
      <c r="A408" s="5" t="n"/>
      <c r="B408" s="5" t="n"/>
      <c r="C408" s="21">
        <f>IF(A408="","",SUMPRODUCT((('Metraj Mahal Listesi'!$A$5:$A$504=A408)+('Metraj Mahal Listesi'!$B$5:$B$504=A408)&gt;0)*'Metraj Mahal Listesi'!$K$5:$K$504))</f>
        <v/>
      </c>
      <c r="D408" s="27">
        <f>IF(OR(A408="",'Metraj Mahal Listesi'!$K$3=0),"",C408/'Metraj Mahal Listesi'!$K$3*100)</f>
        <v/>
      </c>
      <c r="E408" s="31">
        <f>IF(A408="","",SUMPRODUCT((('Metraj Mahal Listesi'!$A$5:$A$504=A408)+('Metraj Mahal Listesi'!$B$5:$B$504=A408)&gt;0)*('Metraj Mahal Listesi'!$C$5:$C$504&lt;&gt;"")))</f>
        <v/>
      </c>
      <c r="F408" s="31">
        <f>IF(A408="","",SUMPRODUCT((('Metraj Mahal Listesi'!$A$5:$A$504=A408)+('Metraj Mahal Listesi'!$B$5:$B$504=A408)&gt;0)*('Metraj Mahal Listesi'!$C$5:$C$504&lt;&gt;"")*(LEFT('Metraj Mahal Listesi'!$C$5:$C$504,1)&lt;&gt;"—")*('Metraj Mahal Listesi'!$F$5:$F$504="")))</f>
        <v/>
      </c>
      <c r="G408" s="31">
        <f>IF(A408="","",SUMPRODUCT((('Metraj Mahal Listesi'!$A$5:$A$504=A408)+('Metraj Mahal Listesi'!$B$5:$B$504=A408)&gt;0)*('Metraj Mahal Listesi'!$F$5:$F$504&lt;&gt;"")*(LEFT('Metraj Mahal Listesi'!$C$5:$C$504,1)&lt;&gt;"—")*('Metraj Mahal Listesi'!$J$5:$J$504=0)))</f>
        <v/>
      </c>
      <c r="H408" s="5" t="n"/>
    </row>
    <row r="409">
      <c r="A409" s="5" t="n"/>
      <c r="B409" s="5" t="n"/>
      <c r="C409" s="21">
        <f>IF(A409="","",SUMPRODUCT((('Metraj Mahal Listesi'!$A$5:$A$504=A409)+('Metraj Mahal Listesi'!$B$5:$B$504=A409)&gt;0)*'Metraj Mahal Listesi'!$K$5:$K$504))</f>
        <v/>
      </c>
      <c r="D409" s="27">
        <f>IF(OR(A409="",'Metraj Mahal Listesi'!$K$3=0),"",C409/'Metraj Mahal Listesi'!$K$3*100)</f>
        <v/>
      </c>
      <c r="E409" s="31">
        <f>IF(A409="","",SUMPRODUCT((('Metraj Mahal Listesi'!$A$5:$A$504=A409)+('Metraj Mahal Listesi'!$B$5:$B$504=A409)&gt;0)*('Metraj Mahal Listesi'!$C$5:$C$504&lt;&gt;"")))</f>
        <v/>
      </c>
      <c r="F409" s="31">
        <f>IF(A409="","",SUMPRODUCT((('Metraj Mahal Listesi'!$A$5:$A$504=A409)+('Metraj Mahal Listesi'!$B$5:$B$504=A409)&gt;0)*('Metraj Mahal Listesi'!$C$5:$C$504&lt;&gt;"")*(LEFT('Metraj Mahal Listesi'!$C$5:$C$504,1)&lt;&gt;"—")*('Metraj Mahal Listesi'!$F$5:$F$504="")))</f>
        <v/>
      </c>
      <c r="G409" s="31">
        <f>IF(A409="","",SUMPRODUCT((('Metraj Mahal Listesi'!$A$5:$A$504=A409)+('Metraj Mahal Listesi'!$B$5:$B$504=A409)&gt;0)*('Metraj Mahal Listesi'!$F$5:$F$504&lt;&gt;"")*(LEFT('Metraj Mahal Listesi'!$C$5:$C$504,1)&lt;&gt;"—")*('Metraj Mahal Listesi'!$J$5:$J$504=0)))</f>
        <v/>
      </c>
      <c r="H409" s="5" t="n"/>
    </row>
    <row r="410">
      <c r="A410" s="5" t="n"/>
      <c r="B410" s="5" t="n"/>
      <c r="C410" s="21">
        <f>IF(A410="","",SUMPRODUCT((('Metraj Mahal Listesi'!$A$5:$A$504=A410)+('Metraj Mahal Listesi'!$B$5:$B$504=A410)&gt;0)*'Metraj Mahal Listesi'!$K$5:$K$504))</f>
        <v/>
      </c>
      <c r="D410" s="27">
        <f>IF(OR(A410="",'Metraj Mahal Listesi'!$K$3=0),"",C410/'Metraj Mahal Listesi'!$K$3*100)</f>
        <v/>
      </c>
      <c r="E410" s="31">
        <f>IF(A410="","",SUMPRODUCT((('Metraj Mahal Listesi'!$A$5:$A$504=A410)+('Metraj Mahal Listesi'!$B$5:$B$504=A410)&gt;0)*('Metraj Mahal Listesi'!$C$5:$C$504&lt;&gt;"")))</f>
        <v/>
      </c>
      <c r="F410" s="31">
        <f>IF(A410="","",SUMPRODUCT((('Metraj Mahal Listesi'!$A$5:$A$504=A410)+('Metraj Mahal Listesi'!$B$5:$B$504=A410)&gt;0)*('Metraj Mahal Listesi'!$C$5:$C$504&lt;&gt;"")*(LEFT('Metraj Mahal Listesi'!$C$5:$C$504,1)&lt;&gt;"—")*('Metraj Mahal Listesi'!$F$5:$F$504="")))</f>
        <v/>
      </c>
      <c r="G410" s="31">
        <f>IF(A410="","",SUMPRODUCT((('Metraj Mahal Listesi'!$A$5:$A$504=A410)+('Metraj Mahal Listesi'!$B$5:$B$504=A410)&gt;0)*('Metraj Mahal Listesi'!$F$5:$F$504&lt;&gt;"")*(LEFT('Metraj Mahal Listesi'!$C$5:$C$504,1)&lt;&gt;"—")*('Metraj Mahal Listesi'!$J$5:$J$504=0)))</f>
        <v/>
      </c>
      <c r="H410" s="5" t="n"/>
    </row>
    <row r="411">
      <c r="A411" s="5" t="n"/>
      <c r="B411" s="5" t="n"/>
      <c r="C411" s="21">
        <f>IF(A411="","",SUMPRODUCT((('Metraj Mahal Listesi'!$A$5:$A$504=A411)+('Metraj Mahal Listesi'!$B$5:$B$504=A411)&gt;0)*'Metraj Mahal Listesi'!$K$5:$K$504))</f>
        <v/>
      </c>
      <c r="D411" s="27">
        <f>IF(OR(A411="",'Metraj Mahal Listesi'!$K$3=0),"",C411/'Metraj Mahal Listesi'!$K$3*100)</f>
        <v/>
      </c>
      <c r="E411" s="31">
        <f>IF(A411="","",SUMPRODUCT((('Metraj Mahal Listesi'!$A$5:$A$504=A411)+('Metraj Mahal Listesi'!$B$5:$B$504=A411)&gt;0)*('Metraj Mahal Listesi'!$C$5:$C$504&lt;&gt;"")))</f>
        <v/>
      </c>
      <c r="F411" s="31">
        <f>IF(A411="","",SUMPRODUCT((('Metraj Mahal Listesi'!$A$5:$A$504=A411)+('Metraj Mahal Listesi'!$B$5:$B$504=A411)&gt;0)*('Metraj Mahal Listesi'!$C$5:$C$504&lt;&gt;"")*(LEFT('Metraj Mahal Listesi'!$C$5:$C$504,1)&lt;&gt;"—")*('Metraj Mahal Listesi'!$F$5:$F$504="")))</f>
        <v/>
      </c>
      <c r="G411" s="31">
        <f>IF(A411="","",SUMPRODUCT((('Metraj Mahal Listesi'!$A$5:$A$504=A411)+('Metraj Mahal Listesi'!$B$5:$B$504=A411)&gt;0)*('Metraj Mahal Listesi'!$F$5:$F$504&lt;&gt;"")*(LEFT('Metraj Mahal Listesi'!$C$5:$C$504,1)&lt;&gt;"—")*('Metraj Mahal Listesi'!$J$5:$J$504=0)))</f>
        <v/>
      </c>
      <c r="H411" s="5" t="n"/>
    </row>
    <row r="412">
      <c r="A412" s="5" t="n"/>
      <c r="B412" s="5" t="n"/>
      <c r="C412" s="21">
        <f>IF(A412="","",SUMPRODUCT((('Metraj Mahal Listesi'!$A$5:$A$504=A412)+('Metraj Mahal Listesi'!$B$5:$B$504=A412)&gt;0)*'Metraj Mahal Listesi'!$K$5:$K$504))</f>
        <v/>
      </c>
      <c r="D412" s="27">
        <f>IF(OR(A412="",'Metraj Mahal Listesi'!$K$3=0),"",C412/'Metraj Mahal Listesi'!$K$3*100)</f>
        <v/>
      </c>
      <c r="E412" s="31">
        <f>IF(A412="","",SUMPRODUCT((('Metraj Mahal Listesi'!$A$5:$A$504=A412)+('Metraj Mahal Listesi'!$B$5:$B$504=A412)&gt;0)*('Metraj Mahal Listesi'!$C$5:$C$504&lt;&gt;"")))</f>
        <v/>
      </c>
      <c r="F412" s="31">
        <f>IF(A412="","",SUMPRODUCT((('Metraj Mahal Listesi'!$A$5:$A$504=A412)+('Metraj Mahal Listesi'!$B$5:$B$504=A412)&gt;0)*('Metraj Mahal Listesi'!$C$5:$C$504&lt;&gt;"")*(LEFT('Metraj Mahal Listesi'!$C$5:$C$504,1)&lt;&gt;"—")*('Metraj Mahal Listesi'!$F$5:$F$504="")))</f>
        <v/>
      </c>
      <c r="G412" s="31">
        <f>IF(A412="","",SUMPRODUCT((('Metraj Mahal Listesi'!$A$5:$A$504=A412)+('Metraj Mahal Listesi'!$B$5:$B$504=A412)&gt;0)*('Metraj Mahal Listesi'!$F$5:$F$504&lt;&gt;"")*(LEFT('Metraj Mahal Listesi'!$C$5:$C$504,1)&lt;&gt;"—")*('Metraj Mahal Listesi'!$J$5:$J$504=0)))</f>
        <v/>
      </c>
      <c r="H412" s="5" t="n"/>
    </row>
    <row r="413">
      <c r="A413" s="5" t="n"/>
      <c r="B413" s="5" t="n"/>
      <c r="C413" s="21">
        <f>IF(A413="","",SUMPRODUCT((('Metraj Mahal Listesi'!$A$5:$A$504=A413)+('Metraj Mahal Listesi'!$B$5:$B$504=A413)&gt;0)*'Metraj Mahal Listesi'!$K$5:$K$504))</f>
        <v/>
      </c>
      <c r="D413" s="27">
        <f>IF(OR(A413="",'Metraj Mahal Listesi'!$K$3=0),"",C413/'Metraj Mahal Listesi'!$K$3*100)</f>
        <v/>
      </c>
      <c r="E413" s="31">
        <f>IF(A413="","",SUMPRODUCT((('Metraj Mahal Listesi'!$A$5:$A$504=A413)+('Metraj Mahal Listesi'!$B$5:$B$504=A413)&gt;0)*('Metraj Mahal Listesi'!$C$5:$C$504&lt;&gt;"")))</f>
        <v/>
      </c>
      <c r="F413" s="31">
        <f>IF(A413="","",SUMPRODUCT((('Metraj Mahal Listesi'!$A$5:$A$504=A413)+('Metraj Mahal Listesi'!$B$5:$B$504=A413)&gt;0)*('Metraj Mahal Listesi'!$C$5:$C$504&lt;&gt;"")*(LEFT('Metraj Mahal Listesi'!$C$5:$C$504,1)&lt;&gt;"—")*('Metraj Mahal Listesi'!$F$5:$F$504="")))</f>
        <v/>
      </c>
      <c r="G413" s="31">
        <f>IF(A413="","",SUMPRODUCT((('Metraj Mahal Listesi'!$A$5:$A$504=A413)+('Metraj Mahal Listesi'!$B$5:$B$504=A413)&gt;0)*('Metraj Mahal Listesi'!$F$5:$F$504&lt;&gt;"")*(LEFT('Metraj Mahal Listesi'!$C$5:$C$504,1)&lt;&gt;"—")*('Metraj Mahal Listesi'!$J$5:$J$504=0)))</f>
        <v/>
      </c>
      <c r="H413" s="5" t="n"/>
    </row>
    <row r="414">
      <c r="A414" s="5" t="n"/>
      <c r="B414" s="5" t="n"/>
      <c r="C414" s="21">
        <f>IF(A414="","",SUMPRODUCT((('Metraj Mahal Listesi'!$A$5:$A$504=A414)+('Metraj Mahal Listesi'!$B$5:$B$504=A414)&gt;0)*'Metraj Mahal Listesi'!$K$5:$K$504))</f>
        <v/>
      </c>
      <c r="D414" s="27">
        <f>IF(OR(A414="",'Metraj Mahal Listesi'!$K$3=0),"",C414/'Metraj Mahal Listesi'!$K$3*100)</f>
        <v/>
      </c>
      <c r="E414" s="31">
        <f>IF(A414="","",SUMPRODUCT((('Metraj Mahal Listesi'!$A$5:$A$504=A414)+('Metraj Mahal Listesi'!$B$5:$B$504=A414)&gt;0)*('Metraj Mahal Listesi'!$C$5:$C$504&lt;&gt;"")))</f>
        <v/>
      </c>
      <c r="F414" s="31">
        <f>IF(A414="","",SUMPRODUCT((('Metraj Mahal Listesi'!$A$5:$A$504=A414)+('Metraj Mahal Listesi'!$B$5:$B$504=A414)&gt;0)*('Metraj Mahal Listesi'!$C$5:$C$504&lt;&gt;"")*(LEFT('Metraj Mahal Listesi'!$C$5:$C$504,1)&lt;&gt;"—")*('Metraj Mahal Listesi'!$F$5:$F$504="")))</f>
        <v/>
      </c>
      <c r="G414" s="31">
        <f>IF(A414="","",SUMPRODUCT((('Metraj Mahal Listesi'!$A$5:$A$504=A414)+('Metraj Mahal Listesi'!$B$5:$B$504=A414)&gt;0)*('Metraj Mahal Listesi'!$F$5:$F$504&lt;&gt;"")*(LEFT('Metraj Mahal Listesi'!$C$5:$C$504,1)&lt;&gt;"—")*('Metraj Mahal Listesi'!$J$5:$J$504=0)))</f>
        <v/>
      </c>
      <c r="H414" s="5" t="n"/>
    </row>
    <row r="415">
      <c r="A415" s="5" t="n"/>
      <c r="B415" s="5" t="n"/>
      <c r="C415" s="21">
        <f>IF(A415="","",SUMPRODUCT((('Metraj Mahal Listesi'!$A$5:$A$504=A415)+('Metraj Mahal Listesi'!$B$5:$B$504=A415)&gt;0)*'Metraj Mahal Listesi'!$K$5:$K$504))</f>
        <v/>
      </c>
      <c r="D415" s="27">
        <f>IF(OR(A415="",'Metraj Mahal Listesi'!$K$3=0),"",C415/'Metraj Mahal Listesi'!$K$3*100)</f>
        <v/>
      </c>
      <c r="E415" s="31">
        <f>IF(A415="","",SUMPRODUCT((('Metraj Mahal Listesi'!$A$5:$A$504=A415)+('Metraj Mahal Listesi'!$B$5:$B$504=A415)&gt;0)*('Metraj Mahal Listesi'!$C$5:$C$504&lt;&gt;"")))</f>
        <v/>
      </c>
      <c r="F415" s="31">
        <f>IF(A415="","",SUMPRODUCT((('Metraj Mahal Listesi'!$A$5:$A$504=A415)+('Metraj Mahal Listesi'!$B$5:$B$504=A415)&gt;0)*('Metraj Mahal Listesi'!$C$5:$C$504&lt;&gt;"")*(LEFT('Metraj Mahal Listesi'!$C$5:$C$504,1)&lt;&gt;"—")*('Metraj Mahal Listesi'!$F$5:$F$504="")))</f>
        <v/>
      </c>
      <c r="G415" s="31">
        <f>IF(A415="","",SUMPRODUCT((('Metraj Mahal Listesi'!$A$5:$A$504=A415)+('Metraj Mahal Listesi'!$B$5:$B$504=A415)&gt;0)*('Metraj Mahal Listesi'!$F$5:$F$504&lt;&gt;"")*(LEFT('Metraj Mahal Listesi'!$C$5:$C$504,1)&lt;&gt;"—")*('Metraj Mahal Listesi'!$J$5:$J$504=0)))</f>
        <v/>
      </c>
      <c r="H415" s="5" t="n"/>
    </row>
    <row r="416">
      <c r="A416" s="5" t="n"/>
      <c r="B416" s="5" t="n"/>
      <c r="C416" s="21">
        <f>IF(A416="","",SUMPRODUCT((('Metraj Mahal Listesi'!$A$5:$A$504=A416)+('Metraj Mahal Listesi'!$B$5:$B$504=A416)&gt;0)*'Metraj Mahal Listesi'!$K$5:$K$504))</f>
        <v/>
      </c>
      <c r="D416" s="27">
        <f>IF(OR(A416="",'Metraj Mahal Listesi'!$K$3=0),"",C416/'Metraj Mahal Listesi'!$K$3*100)</f>
        <v/>
      </c>
      <c r="E416" s="31">
        <f>IF(A416="","",SUMPRODUCT((('Metraj Mahal Listesi'!$A$5:$A$504=A416)+('Metraj Mahal Listesi'!$B$5:$B$504=A416)&gt;0)*('Metraj Mahal Listesi'!$C$5:$C$504&lt;&gt;"")))</f>
        <v/>
      </c>
      <c r="F416" s="31">
        <f>IF(A416="","",SUMPRODUCT((('Metraj Mahal Listesi'!$A$5:$A$504=A416)+('Metraj Mahal Listesi'!$B$5:$B$504=A416)&gt;0)*('Metraj Mahal Listesi'!$C$5:$C$504&lt;&gt;"")*(LEFT('Metraj Mahal Listesi'!$C$5:$C$504,1)&lt;&gt;"—")*('Metraj Mahal Listesi'!$F$5:$F$504="")))</f>
        <v/>
      </c>
      <c r="G416" s="31">
        <f>IF(A416="","",SUMPRODUCT((('Metraj Mahal Listesi'!$A$5:$A$504=A416)+('Metraj Mahal Listesi'!$B$5:$B$504=A416)&gt;0)*('Metraj Mahal Listesi'!$F$5:$F$504&lt;&gt;"")*(LEFT('Metraj Mahal Listesi'!$C$5:$C$504,1)&lt;&gt;"—")*('Metraj Mahal Listesi'!$J$5:$J$504=0)))</f>
        <v/>
      </c>
      <c r="H416" s="5" t="n"/>
    </row>
    <row r="417">
      <c r="A417" s="5" t="n"/>
      <c r="B417" s="5" t="n"/>
      <c r="C417" s="21">
        <f>IF(A417="","",SUMPRODUCT((('Metraj Mahal Listesi'!$A$5:$A$504=A417)+('Metraj Mahal Listesi'!$B$5:$B$504=A417)&gt;0)*'Metraj Mahal Listesi'!$K$5:$K$504))</f>
        <v/>
      </c>
      <c r="D417" s="27">
        <f>IF(OR(A417="",'Metraj Mahal Listesi'!$K$3=0),"",C417/'Metraj Mahal Listesi'!$K$3*100)</f>
        <v/>
      </c>
      <c r="E417" s="31">
        <f>IF(A417="","",SUMPRODUCT((('Metraj Mahal Listesi'!$A$5:$A$504=A417)+('Metraj Mahal Listesi'!$B$5:$B$504=A417)&gt;0)*('Metraj Mahal Listesi'!$C$5:$C$504&lt;&gt;"")))</f>
        <v/>
      </c>
      <c r="F417" s="31">
        <f>IF(A417="","",SUMPRODUCT((('Metraj Mahal Listesi'!$A$5:$A$504=A417)+('Metraj Mahal Listesi'!$B$5:$B$504=A417)&gt;0)*('Metraj Mahal Listesi'!$C$5:$C$504&lt;&gt;"")*(LEFT('Metraj Mahal Listesi'!$C$5:$C$504,1)&lt;&gt;"—")*('Metraj Mahal Listesi'!$F$5:$F$504="")))</f>
        <v/>
      </c>
      <c r="G417" s="31">
        <f>IF(A417="","",SUMPRODUCT((('Metraj Mahal Listesi'!$A$5:$A$504=A417)+('Metraj Mahal Listesi'!$B$5:$B$504=A417)&gt;0)*('Metraj Mahal Listesi'!$F$5:$F$504&lt;&gt;"")*(LEFT('Metraj Mahal Listesi'!$C$5:$C$504,1)&lt;&gt;"—")*('Metraj Mahal Listesi'!$J$5:$J$504=0)))</f>
        <v/>
      </c>
      <c r="H417" s="5" t="n"/>
    </row>
    <row r="418">
      <c r="A418" s="5" t="n"/>
      <c r="B418" s="5" t="n"/>
      <c r="C418" s="21">
        <f>IF(A418="","",SUMPRODUCT((('Metraj Mahal Listesi'!$A$5:$A$504=A418)+('Metraj Mahal Listesi'!$B$5:$B$504=A418)&gt;0)*'Metraj Mahal Listesi'!$K$5:$K$504))</f>
        <v/>
      </c>
      <c r="D418" s="27">
        <f>IF(OR(A418="",'Metraj Mahal Listesi'!$K$3=0),"",C418/'Metraj Mahal Listesi'!$K$3*100)</f>
        <v/>
      </c>
      <c r="E418" s="31">
        <f>IF(A418="","",SUMPRODUCT((('Metraj Mahal Listesi'!$A$5:$A$504=A418)+('Metraj Mahal Listesi'!$B$5:$B$504=A418)&gt;0)*('Metraj Mahal Listesi'!$C$5:$C$504&lt;&gt;"")))</f>
        <v/>
      </c>
      <c r="F418" s="31">
        <f>IF(A418="","",SUMPRODUCT((('Metraj Mahal Listesi'!$A$5:$A$504=A418)+('Metraj Mahal Listesi'!$B$5:$B$504=A418)&gt;0)*('Metraj Mahal Listesi'!$C$5:$C$504&lt;&gt;"")*(LEFT('Metraj Mahal Listesi'!$C$5:$C$504,1)&lt;&gt;"—")*('Metraj Mahal Listesi'!$F$5:$F$504="")))</f>
        <v/>
      </c>
      <c r="G418" s="31">
        <f>IF(A418="","",SUMPRODUCT((('Metraj Mahal Listesi'!$A$5:$A$504=A418)+('Metraj Mahal Listesi'!$B$5:$B$504=A418)&gt;0)*('Metraj Mahal Listesi'!$F$5:$F$504&lt;&gt;"")*(LEFT('Metraj Mahal Listesi'!$C$5:$C$504,1)&lt;&gt;"—")*('Metraj Mahal Listesi'!$J$5:$J$504=0)))</f>
        <v/>
      </c>
      <c r="H418" s="5" t="n"/>
    </row>
    <row r="419">
      <c r="A419" s="5" t="n"/>
      <c r="B419" s="5" t="n"/>
      <c r="C419" s="21">
        <f>IF(A419="","",SUMPRODUCT((('Metraj Mahal Listesi'!$A$5:$A$504=A419)+('Metraj Mahal Listesi'!$B$5:$B$504=A419)&gt;0)*'Metraj Mahal Listesi'!$K$5:$K$504))</f>
        <v/>
      </c>
      <c r="D419" s="27">
        <f>IF(OR(A419="",'Metraj Mahal Listesi'!$K$3=0),"",C419/'Metraj Mahal Listesi'!$K$3*100)</f>
        <v/>
      </c>
      <c r="E419" s="31">
        <f>IF(A419="","",SUMPRODUCT((('Metraj Mahal Listesi'!$A$5:$A$504=A419)+('Metraj Mahal Listesi'!$B$5:$B$504=A419)&gt;0)*('Metraj Mahal Listesi'!$C$5:$C$504&lt;&gt;"")))</f>
        <v/>
      </c>
      <c r="F419" s="31">
        <f>IF(A419="","",SUMPRODUCT((('Metraj Mahal Listesi'!$A$5:$A$504=A419)+('Metraj Mahal Listesi'!$B$5:$B$504=A419)&gt;0)*('Metraj Mahal Listesi'!$C$5:$C$504&lt;&gt;"")*(LEFT('Metraj Mahal Listesi'!$C$5:$C$504,1)&lt;&gt;"—")*('Metraj Mahal Listesi'!$F$5:$F$504="")))</f>
        <v/>
      </c>
      <c r="G419" s="31">
        <f>IF(A419="","",SUMPRODUCT((('Metraj Mahal Listesi'!$A$5:$A$504=A419)+('Metraj Mahal Listesi'!$B$5:$B$504=A419)&gt;0)*('Metraj Mahal Listesi'!$F$5:$F$504&lt;&gt;"")*(LEFT('Metraj Mahal Listesi'!$C$5:$C$504,1)&lt;&gt;"—")*('Metraj Mahal Listesi'!$J$5:$J$504=0)))</f>
        <v/>
      </c>
      <c r="H419" s="5" t="n"/>
    </row>
    <row r="420">
      <c r="A420" s="5" t="n"/>
      <c r="B420" s="5" t="n"/>
      <c r="C420" s="21">
        <f>IF(A420="","",SUMPRODUCT((('Metraj Mahal Listesi'!$A$5:$A$504=A420)+('Metraj Mahal Listesi'!$B$5:$B$504=A420)&gt;0)*'Metraj Mahal Listesi'!$K$5:$K$504))</f>
        <v/>
      </c>
      <c r="D420" s="27">
        <f>IF(OR(A420="",'Metraj Mahal Listesi'!$K$3=0),"",C420/'Metraj Mahal Listesi'!$K$3*100)</f>
        <v/>
      </c>
      <c r="E420" s="31">
        <f>IF(A420="","",SUMPRODUCT((('Metraj Mahal Listesi'!$A$5:$A$504=A420)+('Metraj Mahal Listesi'!$B$5:$B$504=A420)&gt;0)*('Metraj Mahal Listesi'!$C$5:$C$504&lt;&gt;"")))</f>
        <v/>
      </c>
      <c r="F420" s="31">
        <f>IF(A420="","",SUMPRODUCT((('Metraj Mahal Listesi'!$A$5:$A$504=A420)+('Metraj Mahal Listesi'!$B$5:$B$504=A420)&gt;0)*('Metraj Mahal Listesi'!$C$5:$C$504&lt;&gt;"")*(LEFT('Metraj Mahal Listesi'!$C$5:$C$504,1)&lt;&gt;"—")*('Metraj Mahal Listesi'!$F$5:$F$504="")))</f>
        <v/>
      </c>
      <c r="G420" s="31">
        <f>IF(A420="","",SUMPRODUCT((('Metraj Mahal Listesi'!$A$5:$A$504=A420)+('Metraj Mahal Listesi'!$B$5:$B$504=A420)&gt;0)*('Metraj Mahal Listesi'!$F$5:$F$504&lt;&gt;"")*(LEFT('Metraj Mahal Listesi'!$C$5:$C$504,1)&lt;&gt;"—")*('Metraj Mahal Listesi'!$J$5:$J$504=0)))</f>
        <v/>
      </c>
      <c r="H420" s="5" t="n"/>
    </row>
    <row r="421">
      <c r="A421" s="5" t="n"/>
      <c r="B421" s="5" t="n"/>
      <c r="C421" s="21">
        <f>IF(A421="","",SUMPRODUCT((('Metraj Mahal Listesi'!$A$5:$A$504=A421)+('Metraj Mahal Listesi'!$B$5:$B$504=A421)&gt;0)*'Metraj Mahal Listesi'!$K$5:$K$504))</f>
        <v/>
      </c>
      <c r="D421" s="27">
        <f>IF(OR(A421="",'Metraj Mahal Listesi'!$K$3=0),"",C421/'Metraj Mahal Listesi'!$K$3*100)</f>
        <v/>
      </c>
      <c r="E421" s="31">
        <f>IF(A421="","",SUMPRODUCT((('Metraj Mahal Listesi'!$A$5:$A$504=A421)+('Metraj Mahal Listesi'!$B$5:$B$504=A421)&gt;0)*('Metraj Mahal Listesi'!$C$5:$C$504&lt;&gt;"")))</f>
        <v/>
      </c>
      <c r="F421" s="31">
        <f>IF(A421="","",SUMPRODUCT((('Metraj Mahal Listesi'!$A$5:$A$504=A421)+('Metraj Mahal Listesi'!$B$5:$B$504=A421)&gt;0)*('Metraj Mahal Listesi'!$C$5:$C$504&lt;&gt;"")*(LEFT('Metraj Mahal Listesi'!$C$5:$C$504,1)&lt;&gt;"—")*('Metraj Mahal Listesi'!$F$5:$F$504="")))</f>
        <v/>
      </c>
      <c r="G421" s="31">
        <f>IF(A421="","",SUMPRODUCT((('Metraj Mahal Listesi'!$A$5:$A$504=A421)+('Metraj Mahal Listesi'!$B$5:$B$504=A421)&gt;0)*('Metraj Mahal Listesi'!$F$5:$F$504&lt;&gt;"")*(LEFT('Metraj Mahal Listesi'!$C$5:$C$504,1)&lt;&gt;"—")*('Metraj Mahal Listesi'!$J$5:$J$504=0)))</f>
        <v/>
      </c>
      <c r="H421" s="5" t="n"/>
    </row>
    <row r="422">
      <c r="A422" s="5" t="n"/>
      <c r="B422" s="5" t="n"/>
      <c r="C422" s="21">
        <f>IF(A422="","",SUMPRODUCT((('Metraj Mahal Listesi'!$A$5:$A$504=A422)+('Metraj Mahal Listesi'!$B$5:$B$504=A422)&gt;0)*'Metraj Mahal Listesi'!$K$5:$K$504))</f>
        <v/>
      </c>
      <c r="D422" s="27">
        <f>IF(OR(A422="",'Metraj Mahal Listesi'!$K$3=0),"",C422/'Metraj Mahal Listesi'!$K$3*100)</f>
        <v/>
      </c>
      <c r="E422" s="31">
        <f>IF(A422="","",SUMPRODUCT((('Metraj Mahal Listesi'!$A$5:$A$504=A422)+('Metraj Mahal Listesi'!$B$5:$B$504=A422)&gt;0)*('Metraj Mahal Listesi'!$C$5:$C$504&lt;&gt;"")))</f>
        <v/>
      </c>
      <c r="F422" s="31">
        <f>IF(A422="","",SUMPRODUCT((('Metraj Mahal Listesi'!$A$5:$A$504=A422)+('Metraj Mahal Listesi'!$B$5:$B$504=A422)&gt;0)*('Metraj Mahal Listesi'!$C$5:$C$504&lt;&gt;"")*(LEFT('Metraj Mahal Listesi'!$C$5:$C$504,1)&lt;&gt;"—")*('Metraj Mahal Listesi'!$F$5:$F$504="")))</f>
        <v/>
      </c>
      <c r="G422" s="31">
        <f>IF(A422="","",SUMPRODUCT((('Metraj Mahal Listesi'!$A$5:$A$504=A422)+('Metraj Mahal Listesi'!$B$5:$B$504=A422)&gt;0)*('Metraj Mahal Listesi'!$F$5:$F$504&lt;&gt;"")*(LEFT('Metraj Mahal Listesi'!$C$5:$C$504,1)&lt;&gt;"—")*('Metraj Mahal Listesi'!$J$5:$J$504=0)))</f>
        <v/>
      </c>
      <c r="H422" s="5" t="n"/>
    </row>
    <row r="423">
      <c r="A423" s="5" t="n"/>
      <c r="B423" s="5" t="n"/>
      <c r="C423" s="21">
        <f>IF(A423="","",SUMPRODUCT((('Metraj Mahal Listesi'!$A$5:$A$504=A423)+('Metraj Mahal Listesi'!$B$5:$B$504=A423)&gt;0)*'Metraj Mahal Listesi'!$K$5:$K$504))</f>
        <v/>
      </c>
      <c r="D423" s="27">
        <f>IF(OR(A423="",'Metraj Mahal Listesi'!$K$3=0),"",C423/'Metraj Mahal Listesi'!$K$3*100)</f>
        <v/>
      </c>
      <c r="E423" s="31">
        <f>IF(A423="","",SUMPRODUCT((('Metraj Mahal Listesi'!$A$5:$A$504=A423)+('Metraj Mahal Listesi'!$B$5:$B$504=A423)&gt;0)*('Metraj Mahal Listesi'!$C$5:$C$504&lt;&gt;"")))</f>
        <v/>
      </c>
      <c r="F423" s="31">
        <f>IF(A423="","",SUMPRODUCT((('Metraj Mahal Listesi'!$A$5:$A$504=A423)+('Metraj Mahal Listesi'!$B$5:$B$504=A423)&gt;0)*('Metraj Mahal Listesi'!$C$5:$C$504&lt;&gt;"")*(LEFT('Metraj Mahal Listesi'!$C$5:$C$504,1)&lt;&gt;"—")*('Metraj Mahal Listesi'!$F$5:$F$504="")))</f>
        <v/>
      </c>
      <c r="G423" s="31">
        <f>IF(A423="","",SUMPRODUCT((('Metraj Mahal Listesi'!$A$5:$A$504=A423)+('Metraj Mahal Listesi'!$B$5:$B$504=A423)&gt;0)*('Metraj Mahal Listesi'!$F$5:$F$504&lt;&gt;"")*(LEFT('Metraj Mahal Listesi'!$C$5:$C$504,1)&lt;&gt;"—")*('Metraj Mahal Listesi'!$J$5:$J$504=0)))</f>
        <v/>
      </c>
      <c r="H423" s="5" t="n"/>
    </row>
    <row r="424">
      <c r="A424" s="5" t="n"/>
      <c r="B424" s="5" t="n"/>
      <c r="C424" s="21">
        <f>IF(A424="","",SUMPRODUCT((('Metraj Mahal Listesi'!$A$5:$A$504=A424)+('Metraj Mahal Listesi'!$B$5:$B$504=A424)&gt;0)*'Metraj Mahal Listesi'!$K$5:$K$504))</f>
        <v/>
      </c>
      <c r="D424" s="27">
        <f>IF(OR(A424="",'Metraj Mahal Listesi'!$K$3=0),"",C424/'Metraj Mahal Listesi'!$K$3*100)</f>
        <v/>
      </c>
      <c r="E424" s="31">
        <f>IF(A424="","",SUMPRODUCT((('Metraj Mahal Listesi'!$A$5:$A$504=A424)+('Metraj Mahal Listesi'!$B$5:$B$504=A424)&gt;0)*('Metraj Mahal Listesi'!$C$5:$C$504&lt;&gt;"")))</f>
        <v/>
      </c>
      <c r="F424" s="31">
        <f>IF(A424="","",SUMPRODUCT((('Metraj Mahal Listesi'!$A$5:$A$504=A424)+('Metraj Mahal Listesi'!$B$5:$B$504=A424)&gt;0)*('Metraj Mahal Listesi'!$C$5:$C$504&lt;&gt;"")*(LEFT('Metraj Mahal Listesi'!$C$5:$C$504,1)&lt;&gt;"—")*('Metraj Mahal Listesi'!$F$5:$F$504="")))</f>
        <v/>
      </c>
      <c r="G424" s="31">
        <f>IF(A424="","",SUMPRODUCT((('Metraj Mahal Listesi'!$A$5:$A$504=A424)+('Metraj Mahal Listesi'!$B$5:$B$504=A424)&gt;0)*('Metraj Mahal Listesi'!$F$5:$F$504&lt;&gt;"")*(LEFT('Metraj Mahal Listesi'!$C$5:$C$504,1)&lt;&gt;"—")*('Metraj Mahal Listesi'!$J$5:$J$504=0)))</f>
        <v/>
      </c>
      <c r="H424" s="5" t="n"/>
    </row>
    <row r="425">
      <c r="A425" s="5" t="n"/>
      <c r="B425" s="5" t="n"/>
      <c r="C425" s="21">
        <f>IF(A425="","",SUMPRODUCT((('Metraj Mahal Listesi'!$A$5:$A$504=A425)+('Metraj Mahal Listesi'!$B$5:$B$504=A425)&gt;0)*'Metraj Mahal Listesi'!$K$5:$K$504))</f>
        <v/>
      </c>
      <c r="D425" s="27">
        <f>IF(OR(A425="",'Metraj Mahal Listesi'!$K$3=0),"",C425/'Metraj Mahal Listesi'!$K$3*100)</f>
        <v/>
      </c>
      <c r="E425" s="31">
        <f>IF(A425="","",SUMPRODUCT((('Metraj Mahal Listesi'!$A$5:$A$504=A425)+('Metraj Mahal Listesi'!$B$5:$B$504=A425)&gt;0)*('Metraj Mahal Listesi'!$C$5:$C$504&lt;&gt;"")))</f>
        <v/>
      </c>
      <c r="F425" s="31">
        <f>IF(A425="","",SUMPRODUCT((('Metraj Mahal Listesi'!$A$5:$A$504=A425)+('Metraj Mahal Listesi'!$B$5:$B$504=A425)&gt;0)*('Metraj Mahal Listesi'!$C$5:$C$504&lt;&gt;"")*(LEFT('Metraj Mahal Listesi'!$C$5:$C$504,1)&lt;&gt;"—")*('Metraj Mahal Listesi'!$F$5:$F$504="")))</f>
        <v/>
      </c>
      <c r="G425" s="31">
        <f>IF(A425="","",SUMPRODUCT((('Metraj Mahal Listesi'!$A$5:$A$504=A425)+('Metraj Mahal Listesi'!$B$5:$B$504=A425)&gt;0)*('Metraj Mahal Listesi'!$F$5:$F$504&lt;&gt;"")*(LEFT('Metraj Mahal Listesi'!$C$5:$C$504,1)&lt;&gt;"—")*('Metraj Mahal Listesi'!$J$5:$J$504=0)))</f>
        <v/>
      </c>
      <c r="H425" s="5" t="n"/>
    </row>
    <row r="426">
      <c r="A426" s="5" t="n"/>
      <c r="B426" s="5" t="n"/>
      <c r="C426" s="21">
        <f>IF(A426="","",SUMPRODUCT((('Metraj Mahal Listesi'!$A$5:$A$504=A426)+('Metraj Mahal Listesi'!$B$5:$B$504=A426)&gt;0)*'Metraj Mahal Listesi'!$K$5:$K$504))</f>
        <v/>
      </c>
      <c r="D426" s="27">
        <f>IF(OR(A426="",'Metraj Mahal Listesi'!$K$3=0),"",C426/'Metraj Mahal Listesi'!$K$3*100)</f>
        <v/>
      </c>
      <c r="E426" s="31">
        <f>IF(A426="","",SUMPRODUCT((('Metraj Mahal Listesi'!$A$5:$A$504=A426)+('Metraj Mahal Listesi'!$B$5:$B$504=A426)&gt;0)*('Metraj Mahal Listesi'!$C$5:$C$504&lt;&gt;"")))</f>
        <v/>
      </c>
      <c r="F426" s="31">
        <f>IF(A426="","",SUMPRODUCT((('Metraj Mahal Listesi'!$A$5:$A$504=A426)+('Metraj Mahal Listesi'!$B$5:$B$504=A426)&gt;0)*('Metraj Mahal Listesi'!$C$5:$C$504&lt;&gt;"")*(LEFT('Metraj Mahal Listesi'!$C$5:$C$504,1)&lt;&gt;"—")*('Metraj Mahal Listesi'!$F$5:$F$504="")))</f>
        <v/>
      </c>
      <c r="G426" s="31">
        <f>IF(A426="","",SUMPRODUCT((('Metraj Mahal Listesi'!$A$5:$A$504=A426)+('Metraj Mahal Listesi'!$B$5:$B$504=A426)&gt;0)*('Metraj Mahal Listesi'!$F$5:$F$504&lt;&gt;"")*(LEFT('Metraj Mahal Listesi'!$C$5:$C$504,1)&lt;&gt;"—")*('Metraj Mahal Listesi'!$J$5:$J$504=0)))</f>
        <v/>
      </c>
      <c r="H426" s="5" t="n"/>
    </row>
    <row r="427">
      <c r="A427" s="5" t="n"/>
      <c r="B427" s="5" t="n"/>
      <c r="C427" s="21">
        <f>IF(A427="","",SUMPRODUCT((('Metraj Mahal Listesi'!$A$5:$A$504=A427)+('Metraj Mahal Listesi'!$B$5:$B$504=A427)&gt;0)*'Metraj Mahal Listesi'!$K$5:$K$504))</f>
        <v/>
      </c>
      <c r="D427" s="27">
        <f>IF(OR(A427="",'Metraj Mahal Listesi'!$K$3=0),"",C427/'Metraj Mahal Listesi'!$K$3*100)</f>
        <v/>
      </c>
      <c r="E427" s="31">
        <f>IF(A427="","",SUMPRODUCT((('Metraj Mahal Listesi'!$A$5:$A$504=A427)+('Metraj Mahal Listesi'!$B$5:$B$504=A427)&gt;0)*('Metraj Mahal Listesi'!$C$5:$C$504&lt;&gt;"")))</f>
        <v/>
      </c>
      <c r="F427" s="31">
        <f>IF(A427="","",SUMPRODUCT((('Metraj Mahal Listesi'!$A$5:$A$504=A427)+('Metraj Mahal Listesi'!$B$5:$B$504=A427)&gt;0)*('Metraj Mahal Listesi'!$C$5:$C$504&lt;&gt;"")*(LEFT('Metraj Mahal Listesi'!$C$5:$C$504,1)&lt;&gt;"—")*('Metraj Mahal Listesi'!$F$5:$F$504="")))</f>
        <v/>
      </c>
      <c r="G427" s="31">
        <f>IF(A427="","",SUMPRODUCT((('Metraj Mahal Listesi'!$A$5:$A$504=A427)+('Metraj Mahal Listesi'!$B$5:$B$504=A427)&gt;0)*('Metraj Mahal Listesi'!$F$5:$F$504&lt;&gt;"")*(LEFT('Metraj Mahal Listesi'!$C$5:$C$504,1)&lt;&gt;"—")*('Metraj Mahal Listesi'!$J$5:$J$504=0)))</f>
        <v/>
      </c>
      <c r="H427" s="5" t="n"/>
    </row>
    <row r="428">
      <c r="A428" s="5" t="n"/>
      <c r="B428" s="5" t="n"/>
      <c r="C428" s="21">
        <f>IF(A428="","",SUMPRODUCT((('Metraj Mahal Listesi'!$A$5:$A$504=A428)+('Metraj Mahal Listesi'!$B$5:$B$504=A428)&gt;0)*'Metraj Mahal Listesi'!$K$5:$K$504))</f>
        <v/>
      </c>
      <c r="D428" s="27">
        <f>IF(OR(A428="",'Metraj Mahal Listesi'!$K$3=0),"",C428/'Metraj Mahal Listesi'!$K$3*100)</f>
        <v/>
      </c>
      <c r="E428" s="31">
        <f>IF(A428="","",SUMPRODUCT((('Metraj Mahal Listesi'!$A$5:$A$504=A428)+('Metraj Mahal Listesi'!$B$5:$B$504=A428)&gt;0)*('Metraj Mahal Listesi'!$C$5:$C$504&lt;&gt;"")))</f>
        <v/>
      </c>
      <c r="F428" s="31">
        <f>IF(A428="","",SUMPRODUCT((('Metraj Mahal Listesi'!$A$5:$A$504=A428)+('Metraj Mahal Listesi'!$B$5:$B$504=A428)&gt;0)*('Metraj Mahal Listesi'!$C$5:$C$504&lt;&gt;"")*(LEFT('Metraj Mahal Listesi'!$C$5:$C$504,1)&lt;&gt;"—")*('Metraj Mahal Listesi'!$F$5:$F$504="")))</f>
        <v/>
      </c>
      <c r="G428" s="31">
        <f>IF(A428="","",SUMPRODUCT((('Metraj Mahal Listesi'!$A$5:$A$504=A428)+('Metraj Mahal Listesi'!$B$5:$B$504=A428)&gt;0)*('Metraj Mahal Listesi'!$F$5:$F$504&lt;&gt;"")*(LEFT('Metraj Mahal Listesi'!$C$5:$C$504,1)&lt;&gt;"—")*('Metraj Mahal Listesi'!$J$5:$J$504=0)))</f>
        <v/>
      </c>
      <c r="H428" s="5" t="n"/>
    </row>
    <row r="429">
      <c r="A429" s="5" t="n"/>
      <c r="B429" s="5" t="n"/>
      <c r="C429" s="21">
        <f>IF(A429="","",SUMPRODUCT((('Metraj Mahal Listesi'!$A$5:$A$504=A429)+('Metraj Mahal Listesi'!$B$5:$B$504=A429)&gt;0)*'Metraj Mahal Listesi'!$K$5:$K$504))</f>
        <v/>
      </c>
      <c r="D429" s="27">
        <f>IF(OR(A429="",'Metraj Mahal Listesi'!$K$3=0),"",C429/'Metraj Mahal Listesi'!$K$3*100)</f>
        <v/>
      </c>
      <c r="E429" s="31">
        <f>IF(A429="","",SUMPRODUCT((('Metraj Mahal Listesi'!$A$5:$A$504=A429)+('Metraj Mahal Listesi'!$B$5:$B$504=A429)&gt;0)*('Metraj Mahal Listesi'!$C$5:$C$504&lt;&gt;"")))</f>
        <v/>
      </c>
      <c r="F429" s="31">
        <f>IF(A429="","",SUMPRODUCT((('Metraj Mahal Listesi'!$A$5:$A$504=A429)+('Metraj Mahal Listesi'!$B$5:$B$504=A429)&gt;0)*('Metraj Mahal Listesi'!$C$5:$C$504&lt;&gt;"")*(LEFT('Metraj Mahal Listesi'!$C$5:$C$504,1)&lt;&gt;"—")*('Metraj Mahal Listesi'!$F$5:$F$504="")))</f>
        <v/>
      </c>
      <c r="G429" s="31">
        <f>IF(A429="","",SUMPRODUCT((('Metraj Mahal Listesi'!$A$5:$A$504=A429)+('Metraj Mahal Listesi'!$B$5:$B$504=A429)&gt;0)*('Metraj Mahal Listesi'!$F$5:$F$504&lt;&gt;"")*(LEFT('Metraj Mahal Listesi'!$C$5:$C$504,1)&lt;&gt;"—")*('Metraj Mahal Listesi'!$J$5:$J$504=0)))</f>
        <v/>
      </c>
      <c r="H429" s="5" t="n"/>
    </row>
    <row r="430">
      <c r="A430" s="5" t="n"/>
      <c r="B430" s="5" t="n"/>
      <c r="C430" s="21">
        <f>IF(A430="","",SUMPRODUCT((('Metraj Mahal Listesi'!$A$5:$A$504=A430)+('Metraj Mahal Listesi'!$B$5:$B$504=A430)&gt;0)*'Metraj Mahal Listesi'!$K$5:$K$504))</f>
        <v/>
      </c>
      <c r="D430" s="27">
        <f>IF(OR(A430="",'Metraj Mahal Listesi'!$K$3=0),"",C430/'Metraj Mahal Listesi'!$K$3*100)</f>
        <v/>
      </c>
      <c r="E430" s="31">
        <f>IF(A430="","",SUMPRODUCT((('Metraj Mahal Listesi'!$A$5:$A$504=A430)+('Metraj Mahal Listesi'!$B$5:$B$504=A430)&gt;0)*('Metraj Mahal Listesi'!$C$5:$C$504&lt;&gt;"")))</f>
        <v/>
      </c>
      <c r="F430" s="31">
        <f>IF(A430="","",SUMPRODUCT((('Metraj Mahal Listesi'!$A$5:$A$504=A430)+('Metraj Mahal Listesi'!$B$5:$B$504=A430)&gt;0)*('Metraj Mahal Listesi'!$C$5:$C$504&lt;&gt;"")*(LEFT('Metraj Mahal Listesi'!$C$5:$C$504,1)&lt;&gt;"—")*('Metraj Mahal Listesi'!$F$5:$F$504="")))</f>
        <v/>
      </c>
      <c r="G430" s="31">
        <f>IF(A430="","",SUMPRODUCT((('Metraj Mahal Listesi'!$A$5:$A$504=A430)+('Metraj Mahal Listesi'!$B$5:$B$504=A430)&gt;0)*('Metraj Mahal Listesi'!$F$5:$F$504&lt;&gt;"")*(LEFT('Metraj Mahal Listesi'!$C$5:$C$504,1)&lt;&gt;"—")*('Metraj Mahal Listesi'!$J$5:$J$504=0)))</f>
        <v/>
      </c>
      <c r="H430" s="5" t="n"/>
    </row>
    <row r="431">
      <c r="A431" s="5" t="n"/>
      <c r="B431" s="5" t="n"/>
      <c r="C431" s="21">
        <f>IF(A431="","",SUMPRODUCT((('Metraj Mahal Listesi'!$A$5:$A$504=A431)+('Metraj Mahal Listesi'!$B$5:$B$504=A431)&gt;0)*'Metraj Mahal Listesi'!$K$5:$K$504))</f>
        <v/>
      </c>
      <c r="D431" s="27">
        <f>IF(OR(A431="",'Metraj Mahal Listesi'!$K$3=0),"",C431/'Metraj Mahal Listesi'!$K$3*100)</f>
        <v/>
      </c>
      <c r="E431" s="31">
        <f>IF(A431="","",SUMPRODUCT((('Metraj Mahal Listesi'!$A$5:$A$504=A431)+('Metraj Mahal Listesi'!$B$5:$B$504=A431)&gt;0)*('Metraj Mahal Listesi'!$C$5:$C$504&lt;&gt;"")))</f>
        <v/>
      </c>
      <c r="F431" s="31">
        <f>IF(A431="","",SUMPRODUCT((('Metraj Mahal Listesi'!$A$5:$A$504=A431)+('Metraj Mahal Listesi'!$B$5:$B$504=A431)&gt;0)*('Metraj Mahal Listesi'!$C$5:$C$504&lt;&gt;"")*(LEFT('Metraj Mahal Listesi'!$C$5:$C$504,1)&lt;&gt;"—")*('Metraj Mahal Listesi'!$F$5:$F$504="")))</f>
        <v/>
      </c>
      <c r="G431" s="31">
        <f>IF(A431="","",SUMPRODUCT((('Metraj Mahal Listesi'!$A$5:$A$504=A431)+('Metraj Mahal Listesi'!$B$5:$B$504=A431)&gt;0)*('Metraj Mahal Listesi'!$F$5:$F$504&lt;&gt;"")*(LEFT('Metraj Mahal Listesi'!$C$5:$C$504,1)&lt;&gt;"—")*('Metraj Mahal Listesi'!$J$5:$J$504=0)))</f>
        <v/>
      </c>
      <c r="H431" s="5" t="n"/>
    </row>
    <row r="432">
      <c r="A432" s="5" t="n"/>
      <c r="B432" s="5" t="n"/>
      <c r="C432" s="21">
        <f>IF(A432="","",SUMPRODUCT((('Metraj Mahal Listesi'!$A$5:$A$504=A432)+('Metraj Mahal Listesi'!$B$5:$B$504=A432)&gt;0)*'Metraj Mahal Listesi'!$K$5:$K$504))</f>
        <v/>
      </c>
      <c r="D432" s="27">
        <f>IF(OR(A432="",'Metraj Mahal Listesi'!$K$3=0),"",C432/'Metraj Mahal Listesi'!$K$3*100)</f>
        <v/>
      </c>
      <c r="E432" s="31">
        <f>IF(A432="","",SUMPRODUCT((('Metraj Mahal Listesi'!$A$5:$A$504=A432)+('Metraj Mahal Listesi'!$B$5:$B$504=A432)&gt;0)*('Metraj Mahal Listesi'!$C$5:$C$504&lt;&gt;"")))</f>
        <v/>
      </c>
      <c r="F432" s="31">
        <f>IF(A432="","",SUMPRODUCT((('Metraj Mahal Listesi'!$A$5:$A$504=A432)+('Metraj Mahal Listesi'!$B$5:$B$504=A432)&gt;0)*('Metraj Mahal Listesi'!$C$5:$C$504&lt;&gt;"")*(LEFT('Metraj Mahal Listesi'!$C$5:$C$504,1)&lt;&gt;"—")*('Metraj Mahal Listesi'!$F$5:$F$504="")))</f>
        <v/>
      </c>
      <c r="G432" s="31">
        <f>IF(A432="","",SUMPRODUCT((('Metraj Mahal Listesi'!$A$5:$A$504=A432)+('Metraj Mahal Listesi'!$B$5:$B$504=A432)&gt;0)*('Metraj Mahal Listesi'!$F$5:$F$504&lt;&gt;"")*(LEFT('Metraj Mahal Listesi'!$C$5:$C$504,1)&lt;&gt;"—")*('Metraj Mahal Listesi'!$J$5:$J$504=0)))</f>
        <v/>
      </c>
      <c r="H432" s="5" t="n"/>
    </row>
    <row r="433">
      <c r="A433" s="5" t="n"/>
      <c r="B433" s="5" t="n"/>
      <c r="C433" s="21">
        <f>IF(A433="","",SUMPRODUCT((('Metraj Mahal Listesi'!$A$5:$A$504=A433)+('Metraj Mahal Listesi'!$B$5:$B$504=A433)&gt;0)*'Metraj Mahal Listesi'!$K$5:$K$504))</f>
        <v/>
      </c>
      <c r="D433" s="27">
        <f>IF(OR(A433="",'Metraj Mahal Listesi'!$K$3=0),"",C433/'Metraj Mahal Listesi'!$K$3*100)</f>
        <v/>
      </c>
      <c r="E433" s="31">
        <f>IF(A433="","",SUMPRODUCT((('Metraj Mahal Listesi'!$A$5:$A$504=A433)+('Metraj Mahal Listesi'!$B$5:$B$504=A433)&gt;0)*('Metraj Mahal Listesi'!$C$5:$C$504&lt;&gt;"")))</f>
        <v/>
      </c>
      <c r="F433" s="31">
        <f>IF(A433="","",SUMPRODUCT((('Metraj Mahal Listesi'!$A$5:$A$504=A433)+('Metraj Mahal Listesi'!$B$5:$B$504=A433)&gt;0)*('Metraj Mahal Listesi'!$C$5:$C$504&lt;&gt;"")*(LEFT('Metraj Mahal Listesi'!$C$5:$C$504,1)&lt;&gt;"—")*('Metraj Mahal Listesi'!$F$5:$F$504="")))</f>
        <v/>
      </c>
      <c r="G433" s="31">
        <f>IF(A433="","",SUMPRODUCT((('Metraj Mahal Listesi'!$A$5:$A$504=A433)+('Metraj Mahal Listesi'!$B$5:$B$504=A433)&gt;0)*('Metraj Mahal Listesi'!$F$5:$F$504&lt;&gt;"")*(LEFT('Metraj Mahal Listesi'!$C$5:$C$504,1)&lt;&gt;"—")*('Metraj Mahal Listesi'!$J$5:$J$504=0)))</f>
        <v/>
      </c>
      <c r="H433" s="5" t="n"/>
    </row>
    <row r="434">
      <c r="A434" s="5" t="n"/>
      <c r="B434" s="5" t="n"/>
      <c r="C434" s="21">
        <f>IF(A434="","",SUMPRODUCT((('Metraj Mahal Listesi'!$A$5:$A$504=A434)+('Metraj Mahal Listesi'!$B$5:$B$504=A434)&gt;0)*'Metraj Mahal Listesi'!$K$5:$K$504))</f>
        <v/>
      </c>
      <c r="D434" s="27">
        <f>IF(OR(A434="",'Metraj Mahal Listesi'!$K$3=0),"",C434/'Metraj Mahal Listesi'!$K$3*100)</f>
        <v/>
      </c>
      <c r="E434" s="31">
        <f>IF(A434="","",SUMPRODUCT((('Metraj Mahal Listesi'!$A$5:$A$504=A434)+('Metraj Mahal Listesi'!$B$5:$B$504=A434)&gt;0)*('Metraj Mahal Listesi'!$C$5:$C$504&lt;&gt;"")))</f>
        <v/>
      </c>
      <c r="F434" s="31">
        <f>IF(A434="","",SUMPRODUCT((('Metraj Mahal Listesi'!$A$5:$A$504=A434)+('Metraj Mahal Listesi'!$B$5:$B$504=A434)&gt;0)*('Metraj Mahal Listesi'!$C$5:$C$504&lt;&gt;"")*(LEFT('Metraj Mahal Listesi'!$C$5:$C$504,1)&lt;&gt;"—")*('Metraj Mahal Listesi'!$F$5:$F$504="")))</f>
        <v/>
      </c>
      <c r="G434" s="31">
        <f>IF(A434="","",SUMPRODUCT((('Metraj Mahal Listesi'!$A$5:$A$504=A434)+('Metraj Mahal Listesi'!$B$5:$B$504=A434)&gt;0)*('Metraj Mahal Listesi'!$F$5:$F$504&lt;&gt;"")*(LEFT('Metraj Mahal Listesi'!$C$5:$C$504,1)&lt;&gt;"—")*('Metraj Mahal Listesi'!$J$5:$J$504=0)))</f>
        <v/>
      </c>
      <c r="H434" s="5" t="n"/>
    </row>
    <row r="435">
      <c r="A435" s="5" t="n"/>
      <c r="B435" s="5" t="n"/>
      <c r="C435" s="21">
        <f>IF(A435="","",SUMPRODUCT((('Metraj Mahal Listesi'!$A$5:$A$504=A435)+('Metraj Mahal Listesi'!$B$5:$B$504=A435)&gt;0)*'Metraj Mahal Listesi'!$K$5:$K$504))</f>
        <v/>
      </c>
      <c r="D435" s="27">
        <f>IF(OR(A435="",'Metraj Mahal Listesi'!$K$3=0),"",C435/'Metraj Mahal Listesi'!$K$3*100)</f>
        <v/>
      </c>
      <c r="E435" s="31">
        <f>IF(A435="","",SUMPRODUCT((('Metraj Mahal Listesi'!$A$5:$A$504=A435)+('Metraj Mahal Listesi'!$B$5:$B$504=A435)&gt;0)*('Metraj Mahal Listesi'!$C$5:$C$504&lt;&gt;"")))</f>
        <v/>
      </c>
      <c r="F435" s="31">
        <f>IF(A435="","",SUMPRODUCT((('Metraj Mahal Listesi'!$A$5:$A$504=A435)+('Metraj Mahal Listesi'!$B$5:$B$504=A435)&gt;0)*('Metraj Mahal Listesi'!$C$5:$C$504&lt;&gt;"")*(LEFT('Metraj Mahal Listesi'!$C$5:$C$504,1)&lt;&gt;"—")*('Metraj Mahal Listesi'!$F$5:$F$504="")))</f>
        <v/>
      </c>
      <c r="G435" s="31">
        <f>IF(A435="","",SUMPRODUCT((('Metraj Mahal Listesi'!$A$5:$A$504=A435)+('Metraj Mahal Listesi'!$B$5:$B$504=A435)&gt;0)*('Metraj Mahal Listesi'!$F$5:$F$504&lt;&gt;"")*(LEFT('Metraj Mahal Listesi'!$C$5:$C$504,1)&lt;&gt;"—")*('Metraj Mahal Listesi'!$J$5:$J$504=0)))</f>
        <v/>
      </c>
      <c r="H435" s="5" t="n"/>
    </row>
    <row r="436">
      <c r="A436" s="5" t="n"/>
      <c r="B436" s="5" t="n"/>
      <c r="C436" s="21">
        <f>IF(A436="","",SUMPRODUCT((('Metraj Mahal Listesi'!$A$5:$A$504=A436)+('Metraj Mahal Listesi'!$B$5:$B$504=A436)&gt;0)*'Metraj Mahal Listesi'!$K$5:$K$504))</f>
        <v/>
      </c>
      <c r="D436" s="27">
        <f>IF(OR(A436="",'Metraj Mahal Listesi'!$K$3=0),"",C436/'Metraj Mahal Listesi'!$K$3*100)</f>
        <v/>
      </c>
      <c r="E436" s="31">
        <f>IF(A436="","",SUMPRODUCT((('Metraj Mahal Listesi'!$A$5:$A$504=A436)+('Metraj Mahal Listesi'!$B$5:$B$504=A436)&gt;0)*('Metraj Mahal Listesi'!$C$5:$C$504&lt;&gt;"")))</f>
        <v/>
      </c>
      <c r="F436" s="31">
        <f>IF(A436="","",SUMPRODUCT((('Metraj Mahal Listesi'!$A$5:$A$504=A436)+('Metraj Mahal Listesi'!$B$5:$B$504=A436)&gt;0)*('Metraj Mahal Listesi'!$C$5:$C$504&lt;&gt;"")*(LEFT('Metraj Mahal Listesi'!$C$5:$C$504,1)&lt;&gt;"—")*('Metraj Mahal Listesi'!$F$5:$F$504="")))</f>
        <v/>
      </c>
      <c r="G436" s="31">
        <f>IF(A436="","",SUMPRODUCT((('Metraj Mahal Listesi'!$A$5:$A$504=A436)+('Metraj Mahal Listesi'!$B$5:$B$504=A436)&gt;0)*('Metraj Mahal Listesi'!$F$5:$F$504&lt;&gt;"")*(LEFT('Metraj Mahal Listesi'!$C$5:$C$504,1)&lt;&gt;"—")*('Metraj Mahal Listesi'!$J$5:$J$504=0)))</f>
        <v/>
      </c>
      <c r="H436" s="5" t="n"/>
    </row>
    <row r="437">
      <c r="A437" s="5" t="n"/>
      <c r="B437" s="5" t="n"/>
      <c r="C437" s="21">
        <f>IF(A437="","",SUMPRODUCT((('Metraj Mahal Listesi'!$A$5:$A$504=A437)+('Metraj Mahal Listesi'!$B$5:$B$504=A437)&gt;0)*'Metraj Mahal Listesi'!$K$5:$K$504))</f>
        <v/>
      </c>
      <c r="D437" s="27">
        <f>IF(OR(A437="",'Metraj Mahal Listesi'!$K$3=0),"",C437/'Metraj Mahal Listesi'!$K$3*100)</f>
        <v/>
      </c>
      <c r="E437" s="31">
        <f>IF(A437="","",SUMPRODUCT((('Metraj Mahal Listesi'!$A$5:$A$504=A437)+('Metraj Mahal Listesi'!$B$5:$B$504=A437)&gt;0)*('Metraj Mahal Listesi'!$C$5:$C$504&lt;&gt;"")))</f>
        <v/>
      </c>
      <c r="F437" s="31">
        <f>IF(A437="","",SUMPRODUCT((('Metraj Mahal Listesi'!$A$5:$A$504=A437)+('Metraj Mahal Listesi'!$B$5:$B$504=A437)&gt;0)*('Metraj Mahal Listesi'!$C$5:$C$504&lt;&gt;"")*(LEFT('Metraj Mahal Listesi'!$C$5:$C$504,1)&lt;&gt;"—")*('Metraj Mahal Listesi'!$F$5:$F$504="")))</f>
        <v/>
      </c>
      <c r="G437" s="31">
        <f>IF(A437="","",SUMPRODUCT((('Metraj Mahal Listesi'!$A$5:$A$504=A437)+('Metraj Mahal Listesi'!$B$5:$B$504=A437)&gt;0)*('Metraj Mahal Listesi'!$F$5:$F$504&lt;&gt;"")*(LEFT('Metraj Mahal Listesi'!$C$5:$C$504,1)&lt;&gt;"—")*('Metraj Mahal Listesi'!$J$5:$J$504=0)))</f>
        <v/>
      </c>
      <c r="H437" s="5" t="n"/>
    </row>
    <row r="438">
      <c r="A438" s="5" t="n"/>
      <c r="B438" s="5" t="n"/>
      <c r="C438" s="21">
        <f>IF(A438="","",SUMPRODUCT((('Metraj Mahal Listesi'!$A$5:$A$504=A438)+('Metraj Mahal Listesi'!$B$5:$B$504=A438)&gt;0)*'Metraj Mahal Listesi'!$K$5:$K$504))</f>
        <v/>
      </c>
      <c r="D438" s="27">
        <f>IF(OR(A438="",'Metraj Mahal Listesi'!$K$3=0),"",C438/'Metraj Mahal Listesi'!$K$3*100)</f>
        <v/>
      </c>
      <c r="E438" s="31">
        <f>IF(A438="","",SUMPRODUCT((('Metraj Mahal Listesi'!$A$5:$A$504=A438)+('Metraj Mahal Listesi'!$B$5:$B$504=A438)&gt;0)*('Metraj Mahal Listesi'!$C$5:$C$504&lt;&gt;"")))</f>
        <v/>
      </c>
      <c r="F438" s="31">
        <f>IF(A438="","",SUMPRODUCT((('Metraj Mahal Listesi'!$A$5:$A$504=A438)+('Metraj Mahal Listesi'!$B$5:$B$504=A438)&gt;0)*('Metraj Mahal Listesi'!$C$5:$C$504&lt;&gt;"")*(LEFT('Metraj Mahal Listesi'!$C$5:$C$504,1)&lt;&gt;"—")*('Metraj Mahal Listesi'!$F$5:$F$504="")))</f>
        <v/>
      </c>
      <c r="G438" s="31">
        <f>IF(A438="","",SUMPRODUCT((('Metraj Mahal Listesi'!$A$5:$A$504=A438)+('Metraj Mahal Listesi'!$B$5:$B$504=A438)&gt;0)*('Metraj Mahal Listesi'!$F$5:$F$504&lt;&gt;"")*(LEFT('Metraj Mahal Listesi'!$C$5:$C$504,1)&lt;&gt;"—")*('Metraj Mahal Listesi'!$J$5:$J$504=0)))</f>
        <v/>
      </c>
      <c r="H438" s="5" t="n"/>
    </row>
    <row r="439">
      <c r="A439" s="5" t="n"/>
      <c r="B439" s="5" t="n"/>
      <c r="C439" s="21">
        <f>IF(A439="","",SUMPRODUCT((('Metraj Mahal Listesi'!$A$5:$A$504=A439)+('Metraj Mahal Listesi'!$B$5:$B$504=A439)&gt;0)*'Metraj Mahal Listesi'!$K$5:$K$504))</f>
        <v/>
      </c>
      <c r="D439" s="27">
        <f>IF(OR(A439="",'Metraj Mahal Listesi'!$K$3=0),"",C439/'Metraj Mahal Listesi'!$K$3*100)</f>
        <v/>
      </c>
      <c r="E439" s="31">
        <f>IF(A439="","",SUMPRODUCT((('Metraj Mahal Listesi'!$A$5:$A$504=A439)+('Metraj Mahal Listesi'!$B$5:$B$504=A439)&gt;0)*('Metraj Mahal Listesi'!$C$5:$C$504&lt;&gt;"")))</f>
        <v/>
      </c>
      <c r="F439" s="31">
        <f>IF(A439="","",SUMPRODUCT((('Metraj Mahal Listesi'!$A$5:$A$504=A439)+('Metraj Mahal Listesi'!$B$5:$B$504=A439)&gt;0)*('Metraj Mahal Listesi'!$C$5:$C$504&lt;&gt;"")*(LEFT('Metraj Mahal Listesi'!$C$5:$C$504,1)&lt;&gt;"—")*('Metraj Mahal Listesi'!$F$5:$F$504="")))</f>
        <v/>
      </c>
      <c r="G439" s="31">
        <f>IF(A439="","",SUMPRODUCT((('Metraj Mahal Listesi'!$A$5:$A$504=A439)+('Metraj Mahal Listesi'!$B$5:$B$504=A439)&gt;0)*('Metraj Mahal Listesi'!$F$5:$F$504&lt;&gt;"")*(LEFT('Metraj Mahal Listesi'!$C$5:$C$504,1)&lt;&gt;"—")*('Metraj Mahal Listesi'!$J$5:$J$504=0)))</f>
        <v/>
      </c>
      <c r="H439" s="5" t="n"/>
    </row>
    <row r="440">
      <c r="A440" s="5" t="n"/>
      <c r="B440" s="5" t="n"/>
      <c r="C440" s="21">
        <f>IF(A440="","",SUMPRODUCT((('Metraj Mahal Listesi'!$A$5:$A$504=A440)+('Metraj Mahal Listesi'!$B$5:$B$504=A440)&gt;0)*'Metraj Mahal Listesi'!$K$5:$K$504))</f>
        <v/>
      </c>
      <c r="D440" s="27">
        <f>IF(OR(A440="",'Metraj Mahal Listesi'!$K$3=0),"",C440/'Metraj Mahal Listesi'!$K$3*100)</f>
        <v/>
      </c>
      <c r="E440" s="31">
        <f>IF(A440="","",SUMPRODUCT((('Metraj Mahal Listesi'!$A$5:$A$504=A440)+('Metraj Mahal Listesi'!$B$5:$B$504=A440)&gt;0)*('Metraj Mahal Listesi'!$C$5:$C$504&lt;&gt;"")))</f>
        <v/>
      </c>
      <c r="F440" s="31">
        <f>IF(A440="","",SUMPRODUCT((('Metraj Mahal Listesi'!$A$5:$A$504=A440)+('Metraj Mahal Listesi'!$B$5:$B$504=A440)&gt;0)*('Metraj Mahal Listesi'!$C$5:$C$504&lt;&gt;"")*(LEFT('Metraj Mahal Listesi'!$C$5:$C$504,1)&lt;&gt;"—")*('Metraj Mahal Listesi'!$F$5:$F$504="")))</f>
        <v/>
      </c>
      <c r="G440" s="31">
        <f>IF(A440="","",SUMPRODUCT((('Metraj Mahal Listesi'!$A$5:$A$504=A440)+('Metraj Mahal Listesi'!$B$5:$B$504=A440)&gt;0)*('Metraj Mahal Listesi'!$F$5:$F$504&lt;&gt;"")*(LEFT('Metraj Mahal Listesi'!$C$5:$C$504,1)&lt;&gt;"—")*('Metraj Mahal Listesi'!$J$5:$J$504=0)))</f>
        <v/>
      </c>
      <c r="H440" s="5" t="n"/>
    </row>
    <row r="441">
      <c r="A441" s="5" t="n"/>
      <c r="B441" s="5" t="n"/>
      <c r="C441" s="21">
        <f>IF(A441="","",SUMPRODUCT((('Metraj Mahal Listesi'!$A$5:$A$504=A441)+('Metraj Mahal Listesi'!$B$5:$B$504=A441)&gt;0)*'Metraj Mahal Listesi'!$K$5:$K$504))</f>
        <v/>
      </c>
      <c r="D441" s="27">
        <f>IF(OR(A441="",'Metraj Mahal Listesi'!$K$3=0),"",C441/'Metraj Mahal Listesi'!$K$3*100)</f>
        <v/>
      </c>
      <c r="E441" s="31">
        <f>IF(A441="","",SUMPRODUCT((('Metraj Mahal Listesi'!$A$5:$A$504=A441)+('Metraj Mahal Listesi'!$B$5:$B$504=A441)&gt;0)*('Metraj Mahal Listesi'!$C$5:$C$504&lt;&gt;"")))</f>
        <v/>
      </c>
      <c r="F441" s="31">
        <f>IF(A441="","",SUMPRODUCT((('Metraj Mahal Listesi'!$A$5:$A$504=A441)+('Metraj Mahal Listesi'!$B$5:$B$504=A441)&gt;0)*('Metraj Mahal Listesi'!$C$5:$C$504&lt;&gt;"")*(LEFT('Metraj Mahal Listesi'!$C$5:$C$504,1)&lt;&gt;"—")*('Metraj Mahal Listesi'!$F$5:$F$504="")))</f>
        <v/>
      </c>
      <c r="G441" s="31">
        <f>IF(A441="","",SUMPRODUCT((('Metraj Mahal Listesi'!$A$5:$A$504=A441)+('Metraj Mahal Listesi'!$B$5:$B$504=A441)&gt;0)*('Metraj Mahal Listesi'!$F$5:$F$504&lt;&gt;"")*(LEFT('Metraj Mahal Listesi'!$C$5:$C$504,1)&lt;&gt;"—")*('Metraj Mahal Listesi'!$J$5:$J$504=0)))</f>
        <v/>
      </c>
      <c r="H441" s="5" t="n"/>
    </row>
    <row r="442">
      <c r="A442" s="5" t="n"/>
      <c r="B442" s="5" t="n"/>
      <c r="C442" s="21">
        <f>IF(A442="","",SUMPRODUCT((('Metraj Mahal Listesi'!$A$5:$A$504=A442)+('Metraj Mahal Listesi'!$B$5:$B$504=A442)&gt;0)*'Metraj Mahal Listesi'!$K$5:$K$504))</f>
        <v/>
      </c>
      <c r="D442" s="27">
        <f>IF(OR(A442="",'Metraj Mahal Listesi'!$K$3=0),"",C442/'Metraj Mahal Listesi'!$K$3*100)</f>
        <v/>
      </c>
      <c r="E442" s="31">
        <f>IF(A442="","",SUMPRODUCT((('Metraj Mahal Listesi'!$A$5:$A$504=A442)+('Metraj Mahal Listesi'!$B$5:$B$504=A442)&gt;0)*('Metraj Mahal Listesi'!$C$5:$C$504&lt;&gt;"")))</f>
        <v/>
      </c>
      <c r="F442" s="31">
        <f>IF(A442="","",SUMPRODUCT((('Metraj Mahal Listesi'!$A$5:$A$504=A442)+('Metraj Mahal Listesi'!$B$5:$B$504=A442)&gt;0)*('Metraj Mahal Listesi'!$C$5:$C$504&lt;&gt;"")*(LEFT('Metraj Mahal Listesi'!$C$5:$C$504,1)&lt;&gt;"—")*('Metraj Mahal Listesi'!$F$5:$F$504="")))</f>
        <v/>
      </c>
      <c r="G442" s="31">
        <f>IF(A442="","",SUMPRODUCT((('Metraj Mahal Listesi'!$A$5:$A$504=A442)+('Metraj Mahal Listesi'!$B$5:$B$504=A442)&gt;0)*('Metraj Mahal Listesi'!$F$5:$F$504&lt;&gt;"")*(LEFT('Metraj Mahal Listesi'!$C$5:$C$504,1)&lt;&gt;"—")*('Metraj Mahal Listesi'!$J$5:$J$504=0)))</f>
        <v/>
      </c>
      <c r="H442" s="5" t="n"/>
    </row>
    <row r="443">
      <c r="A443" s="5" t="n"/>
      <c r="B443" s="5" t="n"/>
      <c r="C443" s="21">
        <f>IF(A443="","",SUMPRODUCT((('Metraj Mahal Listesi'!$A$5:$A$504=A443)+('Metraj Mahal Listesi'!$B$5:$B$504=A443)&gt;0)*'Metraj Mahal Listesi'!$K$5:$K$504))</f>
        <v/>
      </c>
      <c r="D443" s="27">
        <f>IF(OR(A443="",'Metraj Mahal Listesi'!$K$3=0),"",C443/'Metraj Mahal Listesi'!$K$3*100)</f>
        <v/>
      </c>
      <c r="E443" s="31">
        <f>IF(A443="","",SUMPRODUCT((('Metraj Mahal Listesi'!$A$5:$A$504=A443)+('Metraj Mahal Listesi'!$B$5:$B$504=A443)&gt;0)*('Metraj Mahal Listesi'!$C$5:$C$504&lt;&gt;"")))</f>
        <v/>
      </c>
      <c r="F443" s="31">
        <f>IF(A443="","",SUMPRODUCT((('Metraj Mahal Listesi'!$A$5:$A$504=A443)+('Metraj Mahal Listesi'!$B$5:$B$504=A443)&gt;0)*('Metraj Mahal Listesi'!$C$5:$C$504&lt;&gt;"")*(LEFT('Metraj Mahal Listesi'!$C$5:$C$504,1)&lt;&gt;"—")*('Metraj Mahal Listesi'!$F$5:$F$504="")))</f>
        <v/>
      </c>
      <c r="G443" s="31">
        <f>IF(A443="","",SUMPRODUCT((('Metraj Mahal Listesi'!$A$5:$A$504=A443)+('Metraj Mahal Listesi'!$B$5:$B$504=A443)&gt;0)*('Metraj Mahal Listesi'!$F$5:$F$504&lt;&gt;"")*(LEFT('Metraj Mahal Listesi'!$C$5:$C$504,1)&lt;&gt;"—")*('Metraj Mahal Listesi'!$J$5:$J$504=0)))</f>
        <v/>
      </c>
      <c r="H443" s="5" t="n"/>
    </row>
    <row r="444">
      <c r="A444" s="5" t="n"/>
      <c r="B444" s="5" t="n"/>
      <c r="C444" s="21">
        <f>IF(A444="","",SUMPRODUCT((('Metraj Mahal Listesi'!$A$5:$A$504=A444)+('Metraj Mahal Listesi'!$B$5:$B$504=A444)&gt;0)*'Metraj Mahal Listesi'!$K$5:$K$504))</f>
        <v/>
      </c>
      <c r="D444" s="27">
        <f>IF(OR(A444="",'Metraj Mahal Listesi'!$K$3=0),"",C444/'Metraj Mahal Listesi'!$K$3*100)</f>
        <v/>
      </c>
      <c r="E444" s="31">
        <f>IF(A444="","",SUMPRODUCT((('Metraj Mahal Listesi'!$A$5:$A$504=A444)+('Metraj Mahal Listesi'!$B$5:$B$504=A444)&gt;0)*('Metraj Mahal Listesi'!$C$5:$C$504&lt;&gt;"")))</f>
        <v/>
      </c>
      <c r="F444" s="31">
        <f>IF(A444="","",SUMPRODUCT((('Metraj Mahal Listesi'!$A$5:$A$504=A444)+('Metraj Mahal Listesi'!$B$5:$B$504=A444)&gt;0)*('Metraj Mahal Listesi'!$C$5:$C$504&lt;&gt;"")*(LEFT('Metraj Mahal Listesi'!$C$5:$C$504,1)&lt;&gt;"—")*('Metraj Mahal Listesi'!$F$5:$F$504="")))</f>
        <v/>
      </c>
      <c r="G444" s="31">
        <f>IF(A444="","",SUMPRODUCT((('Metraj Mahal Listesi'!$A$5:$A$504=A444)+('Metraj Mahal Listesi'!$B$5:$B$504=A444)&gt;0)*('Metraj Mahal Listesi'!$F$5:$F$504&lt;&gt;"")*(LEFT('Metraj Mahal Listesi'!$C$5:$C$504,1)&lt;&gt;"—")*('Metraj Mahal Listesi'!$J$5:$J$504=0)))</f>
        <v/>
      </c>
      <c r="H444" s="5" t="n"/>
    </row>
    <row r="445">
      <c r="A445" s="5" t="n"/>
      <c r="B445" s="5" t="n"/>
      <c r="C445" s="21">
        <f>IF(A445="","",SUMPRODUCT((('Metraj Mahal Listesi'!$A$5:$A$504=A445)+('Metraj Mahal Listesi'!$B$5:$B$504=A445)&gt;0)*'Metraj Mahal Listesi'!$K$5:$K$504))</f>
        <v/>
      </c>
      <c r="D445" s="27">
        <f>IF(OR(A445="",'Metraj Mahal Listesi'!$K$3=0),"",C445/'Metraj Mahal Listesi'!$K$3*100)</f>
        <v/>
      </c>
      <c r="E445" s="31">
        <f>IF(A445="","",SUMPRODUCT((('Metraj Mahal Listesi'!$A$5:$A$504=A445)+('Metraj Mahal Listesi'!$B$5:$B$504=A445)&gt;0)*('Metraj Mahal Listesi'!$C$5:$C$504&lt;&gt;"")))</f>
        <v/>
      </c>
      <c r="F445" s="31">
        <f>IF(A445="","",SUMPRODUCT((('Metraj Mahal Listesi'!$A$5:$A$504=A445)+('Metraj Mahal Listesi'!$B$5:$B$504=A445)&gt;0)*('Metraj Mahal Listesi'!$C$5:$C$504&lt;&gt;"")*(LEFT('Metraj Mahal Listesi'!$C$5:$C$504,1)&lt;&gt;"—")*('Metraj Mahal Listesi'!$F$5:$F$504="")))</f>
        <v/>
      </c>
      <c r="G445" s="31">
        <f>IF(A445="","",SUMPRODUCT((('Metraj Mahal Listesi'!$A$5:$A$504=A445)+('Metraj Mahal Listesi'!$B$5:$B$504=A445)&gt;0)*('Metraj Mahal Listesi'!$F$5:$F$504&lt;&gt;"")*(LEFT('Metraj Mahal Listesi'!$C$5:$C$504,1)&lt;&gt;"—")*('Metraj Mahal Listesi'!$J$5:$J$504=0)))</f>
        <v/>
      </c>
      <c r="H445" s="5" t="n"/>
    </row>
    <row r="446">
      <c r="A446" s="5" t="n"/>
      <c r="B446" s="5" t="n"/>
      <c r="C446" s="21">
        <f>IF(A446="","",SUMPRODUCT((('Metraj Mahal Listesi'!$A$5:$A$504=A446)+('Metraj Mahal Listesi'!$B$5:$B$504=A446)&gt;0)*'Metraj Mahal Listesi'!$K$5:$K$504))</f>
        <v/>
      </c>
      <c r="D446" s="27">
        <f>IF(OR(A446="",'Metraj Mahal Listesi'!$K$3=0),"",C446/'Metraj Mahal Listesi'!$K$3*100)</f>
        <v/>
      </c>
      <c r="E446" s="31">
        <f>IF(A446="","",SUMPRODUCT((('Metraj Mahal Listesi'!$A$5:$A$504=A446)+('Metraj Mahal Listesi'!$B$5:$B$504=A446)&gt;0)*('Metraj Mahal Listesi'!$C$5:$C$504&lt;&gt;"")))</f>
        <v/>
      </c>
      <c r="F446" s="31">
        <f>IF(A446="","",SUMPRODUCT((('Metraj Mahal Listesi'!$A$5:$A$504=A446)+('Metraj Mahal Listesi'!$B$5:$B$504=A446)&gt;0)*('Metraj Mahal Listesi'!$C$5:$C$504&lt;&gt;"")*(LEFT('Metraj Mahal Listesi'!$C$5:$C$504,1)&lt;&gt;"—")*('Metraj Mahal Listesi'!$F$5:$F$504="")))</f>
        <v/>
      </c>
      <c r="G446" s="31">
        <f>IF(A446="","",SUMPRODUCT((('Metraj Mahal Listesi'!$A$5:$A$504=A446)+('Metraj Mahal Listesi'!$B$5:$B$504=A446)&gt;0)*('Metraj Mahal Listesi'!$F$5:$F$504&lt;&gt;"")*(LEFT('Metraj Mahal Listesi'!$C$5:$C$504,1)&lt;&gt;"—")*('Metraj Mahal Listesi'!$J$5:$J$504=0)))</f>
        <v/>
      </c>
      <c r="H446" s="5" t="n"/>
    </row>
    <row r="447">
      <c r="A447" s="5" t="n"/>
      <c r="B447" s="5" t="n"/>
      <c r="C447" s="21">
        <f>IF(A447="","",SUMPRODUCT((('Metraj Mahal Listesi'!$A$5:$A$504=A447)+('Metraj Mahal Listesi'!$B$5:$B$504=A447)&gt;0)*'Metraj Mahal Listesi'!$K$5:$K$504))</f>
        <v/>
      </c>
      <c r="D447" s="27">
        <f>IF(OR(A447="",'Metraj Mahal Listesi'!$K$3=0),"",C447/'Metraj Mahal Listesi'!$K$3*100)</f>
        <v/>
      </c>
      <c r="E447" s="31">
        <f>IF(A447="","",SUMPRODUCT((('Metraj Mahal Listesi'!$A$5:$A$504=A447)+('Metraj Mahal Listesi'!$B$5:$B$504=A447)&gt;0)*('Metraj Mahal Listesi'!$C$5:$C$504&lt;&gt;"")))</f>
        <v/>
      </c>
      <c r="F447" s="31">
        <f>IF(A447="","",SUMPRODUCT((('Metraj Mahal Listesi'!$A$5:$A$504=A447)+('Metraj Mahal Listesi'!$B$5:$B$504=A447)&gt;0)*('Metraj Mahal Listesi'!$C$5:$C$504&lt;&gt;"")*(LEFT('Metraj Mahal Listesi'!$C$5:$C$504,1)&lt;&gt;"—")*('Metraj Mahal Listesi'!$F$5:$F$504="")))</f>
        <v/>
      </c>
      <c r="G447" s="31">
        <f>IF(A447="","",SUMPRODUCT((('Metraj Mahal Listesi'!$A$5:$A$504=A447)+('Metraj Mahal Listesi'!$B$5:$B$504=A447)&gt;0)*('Metraj Mahal Listesi'!$F$5:$F$504&lt;&gt;"")*(LEFT('Metraj Mahal Listesi'!$C$5:$C$504,1)&lt;&gt;"—")*('Metraj Mahal Listesi'!$J$5:$J$504=0)))</f>
        <v/>
      </c>
      <c r="H447" s="5" t="n"/>
    </row>
    <row r="448">
      <c r="A448" s="5" t="n"/>
      <c r="B448" s="5" t="n"/>
      <c r="C448" s="21">
        <f>IF(A448="","",SUMPRODUCT((('Metraj Mahal Listesi'!$A$5:$A$504=A448)+('Metraj Mahal Listesi'!$B$5:$B$504=A448)&gt;0)*'Metraj Mahal Listesi'!$K$5:$K$504))</f>
        <v/>
      </c>
      <c r="D448" s="27">
        <f>IF(OR(A448="",'Metraj Mahal Listesi'!$K$3=0),"",C448/'Metraj Mahal Listesi'!$K$3*100)</f>
        <v/>
      </c>
      <c r="E448" s="31">
        <f>IF(A448="","",SUMPRODUCT((('Metraj Mahal Listesi'!$A$5:$A$504=A448)+('Metraj Mahal Listesi'!$B$5:$B$504=A448)&gt;0)*('Metraj Mahal Listesi'!$C$5:$C$504&lt;&gt;"")))</f>
        <v/>
      </c>
      <c r="F448" s="31">
        <f>IF(A448="","",SUMPRODUCT((('Metraj Mahal Listesi'!$A$5:$A$504=A448)+('Metraj Mahal Listesi'!$B$5:$B$504=A448)&gt;0)*('Metraj Mahal Listesi'!$C$5:$C$504&lt;&gt;"")*(LEFT('Metraj Mahal Listesi'!$C$5:$C$504,1)&lt;&gt;"—")*('Metraj Mahal Listesi'!$F$5:$F$504="")))</f>
        <v/>
      </c>
      <c r="G448" s="31">
        <f>IF(A448="","",SUMPRODUCT((('Metraj Mahal Listesi'!$A$5:$A$504=A448)+('Metraj Mahal Listesi'!$B$5:$B$504=A448)&gt;0)*('Metraj Mahal Listesi'!$F$5:$F$504&lt;&gt;"")*(LEFT('Metraj Mahal Listesi'!$C$5:$C$504,1)&lt;&gt;"—")*('Metraj Mahal Listesi'!$J$5:$J$504=0)))</f>
        <v/>
      </c>
      <c r="H448" s="5" t="n"/>
    </row>
    <row r="449">
      <c r="A449" s="5" t="n"/>
      <c r="B449" s="5" t="n"/>
      <c r="C449" s="21">
        <f>IF(A449="","",SUMPRODUCT((('Metraj Mahal Listesi'!$A$5:$A$504=A449)+('Metraj Mahal Listesi'!$B$5:$B$504=A449)&gt;0)*'Metraj Mahal Listesi'!$K$5:$K$504))</f>
        <v/>
      </c>
      <c r="D449" s="27">
        <f>IF(OR(A449="",'Metraj Mahal Listesi'!$K$3=0),"",C449/'Metraj Mahal Listesi'!$K$3*100)</f>
        <v/>
      </c>
      <c r="E449" s="31">
        <f>IF(A449="","",SUMPRODUCT((('Metraj Mahal Listesi'!$A$5:$A$504=A449)+('Metraj Mahal Listesi'!$B$5:$B$504=A449)&gt;0)*('Metraj Mahal Listesi'!$C$5:$C$504&lt;&gt;"")))</f>
        <v/>
      </c>
      <c r="F449" s="31">
        <f>IF(A449="","",SUMPRODUCT((('Metraj Mahal Listesi'!$A$5:$A$504=A449)+('Metraj Mahal Listesi'!$B$5:$B$504=A449)&gt;0)*('Metraj Mahal Listesi'!$C$5:$C$504&lt;&gt;"")*(LEFT('Metraj Mahal Listesi'!$C$5:$C$504,1)&lt;&gt;"—")*('Metraj Mahal Listesi'!$F$5:$F$504="")))</f>
        <v/>
      </c>
      <c r="G449" s="31">
        <f>IF(A449="","",SUMPRODUCT((('Metraj Mahal Listesi'!$A$5:$A$504=A449)+('Metraj Mahal Listesi'!$B$5:$B$504=A449)&gt;0)*('Metraj Mahal Listesi'!$F$5:$F$504&lt;&gt;"")*(LEFT('Metraj Mahal Listesi'!$C$5:$C$504,1)&lt;&gt;"—")*('Metraj Mahal Listesi'!$J$5:$J$504=0)))</f>
        <v/>
      </c>
      <c r="H449" s="5" t="n"/>
    </row>
    <row r="450">
      <c r="A450" s="5" t="n"/>
      <c r="B450" s="5" t="n"/>
      <c r="C450" s="21">
        <f>IF(A450="","",SUMPRODUCT((('Metraj Mahal Listesi'!$A$5:$A$504=A450)+('Metraj Mahal Listesi'!$B$5:$B$504=A450)&gt;0)*'Metraj Mahal Listesi'!$K$5:$K$504))</f>
        <v/>
      </c>
      <c r="D450" s="27">
        <f>IF(OR(A450="",'Metraj Mahal Listesi'!$K$3=0),"",C450/'Metraj Mahal Listesi'!$K$3*100)</f>
        <v/>
      </c>
      <c r="E450" s="31">
        <f>IF(A450="","",SUMPRODUCT((('Metraj Mahal Listesi'!$A$5:$A$504=A450)+('Metraj Mahal Listesi'!$B$5:$B$504=A450)&gt;0)*('Metraj Mahal Listesi'!$C$5:$C$504&lt;&gt;"")))</f>
        <v/>
      </c>
      <c r="F450" s="31">
        <f>IF(A450="","",SUMPRODUCT((('Metraj Mahal Listesi'!$A$5:$A$504=A450)+('Metraj Mahal Listesi'!$B$5:$B$504=A450)&gt;0)*('Metraj Mahal Listesi'!$C$5:$C$504&lt;&gt;"")*(LEFT('Metraj Mahal Listesi'!$C$5:$C$504,1)&lt;&gt;"—")*('Metraj Mahal Listesi'!$F$5:$F$504="")))</f>
        <v/>
      </c>
      <c r="G450" s="31">
        <f>IF(A450="","",SUMPRODUCT((('Metraj Mahal Listesi'!$A$5:$A$504=A450)+('Metraj Mahal Listesi'!$B$5:$B$504=A450)&gt;0)*('Metraj Mahal Listesi'!$F$5:$F$504&lt;&gt;"")*(LEFT('Metraj Mahal Listesi'!$C$5:$C$504,1)&lt;&gt;"—")*('Metraj Mahal Listesi'!$J$5:$J$504=0)))</f>
        <v/>
      </c>
      <c r="H450" s="5" t="n"/>
    </row>
    <row r="451">
      <c r="A451" s="5" t="n"/>
      <c r="B451" s="5" t="n"/>
      <c r="C451" s="21">
        <f>IF(A451="","",SUMPRODUCT((('Metraj Mahal Listesi'!$A$5:$A$504=A451)+('Metraj Mahal Listesi'!$B$5:$B$504=A451)&gt;0)*'Metraj Mahal Listesi'!$K$5:$K$504))</f>
        <v/>
      </c>
      <c r="D451" s="27">
        <f>IF(OR(A451="",'Metraj Mahal Listesi'!$K$3=0),"",C451/'Metraj Mahal Listesi'!$K$3*100)</f>
        <v/>
      </c>
      <c r="E451" s="31">
        <f>IF(A451="","",SUMPRODUCT((('Metraj Mahal Listesi'!$A$5:$A$504=A451)+('Metraj Mahal Listesi'!$B$5:$B$504=A451)&gt;0)*('Metraj Mahal Listesi'!$C$5:$C$504&lt;&gt;"")))</f>
        <v/>
      </c>
      <c r="F451" s="31">
        <f>IF(A451="","",SUMPRODUCT((('Metraj Mahal Listesi'!$A$5:$A$504=A451)+('Metraj Mahal Listesi'!$B$5:$B$504=A451)&gt;0)*('Metraj Mahal Listesi'!$C$5:$C$504&lt;&gt;"")*(LEFT('Metraj Mahal Listesi'!$C$5:$C$504,1)&lt;&gt;"—")*('Metraj Mahal Listesi'!$F$5:$F$504="")))</f>
        <v/>
      </c>
      <c r="G451" s="31">
        <f>IF(A451="","",SUMPRODUCT((('Metraj Mahal Listesi'!$A$5:$A$504=A451)+('Metraj Mahal Listesi'!$B$5:$B$504=A451)&gt;0)*('Metraj Mahal Listesi'!$F$5:$F$504&lt;&gt;"")*(LEFT('Metraj Mahal Listesi'!$C$5:$C$504,1)&lt;&gt;"—")*('Metraj Mahal Listesi'!$J$5:$J$504=0)))</f>
        <v/>
      </c>
      <c r="H451" s="5" t="n"/>
    </row>
    <row r="452">
      <c r="A452" s="5" t="n"/>
      <c r="B452" s="5" t="n"/>
      <c r="C452" s="21">
        <f>IF(A452="","",SUMPRODUCT((('Metraj Mahal Listesi'!$A$5:$A$504=A452)+('Metraj Mahal Listesi'!$B$5:$B$504=A452)&gt;0)*'Metraj Mahal Listesi'!$K$5:$K$504))</f>
        <v/>
      </c>
      <c r="D452" s="27">
        <f>IF(OR(A452="",'Metraj Mahal Listesi'!$K$3=0),"",C452/'Metraj Mahal Listesi'!$K$3*100)</f>
        <v/>
      </c>
      <c r="E452" s="31">
        <f>IF(A452="","",SUMPRODUCT((('Metraj Mahal Listesi'!$A$5:$A$504=A452)+('Metraj Mahal Listesi'!$B$5:$B$504=A452)&gt;0)*('Metraj Mahal Listesi'!$C$5:$C$504&lt;&gt;"")))</f>
        <v/>
      </c>
      <c r="F452" s="31">
        <f>IF(A452="","",SUMPRODUCT((('Metraj Mahal Listesi'!$A$5:$A$504=A452)+('Metraj Mahal Listesi'!$B$5:$B$504=A452)&gt;0)*('Metraj Mahal Listesi'!$C$5:$C$504&lt;&gt;"")*(LEFT('Metraj Mahal Listesi'!$C$5:$C$504,1)&lt;&gt;"—")*('Metraj Mahal Listesi'!$F$5:$F$504="")))</f>
        <v/>
      </c>
      <c r="G452" s="31">
        <f>IF(A452="","",SUMPRODUCT((('Metraj Mahal Listesi'!$A$5:$A$504=A452)+('Metraj Mahal Listesi'!$B$5:$B$504=A452)&gt;0)*('Metraj Mahal Listesi'!$F$5:$F$504&lt;&gt;"")*(LEFT('Metraj Mahal Listesi'!$C$5:$C$504,1)&lt;&gt;"—")*('Metraj Mahal Listesi'!$J$5:$J$504=0)))</f>
        <v/>
      </c>
      <c r="H452" s="5" t="n"/>
    </row>
    <row r="453">
      <c r="A453" s="5" t="n"/>
      <c r="B453" s="5" t="n"/>
      <c r="C453" s="21">
        <f>IF(A453="","",SUMPRODUCT((('Metraj Mahal Listesi'!$A$5:$A$504=A453)+('Metraj Mahal Listesi'!$B$5:$B$504=A453)&gt;0)*'Metraj Mahal Listesi'!$K$5:$K$504))</f>
        <v/>
      </c>
      <c r="D453" s="27">
        <f>IF(OR(A453="",'Metraj Mahal Listesi'!$K$3=0),"",C453/'Metraj Mahal Listesi'!$K$3*100)</f>
        <v/>
      </c>
      <c r="E453" s="31">
        <f>IF(A453="","",SUMPRODUCT((('Metraj Mahal Listesi'!$A$5:$A$504=A453)+('Metraj Mahal Listesi'!$B$5:$B$504=A453)&gt;0)*('Metraj Mahal Listesi'!$C$5:$C$504&lt;&gt;"")))</f>
        <v/>
      </c>
      <c r="F453" s="31">
        <f>IF(A453="","",SUMPRODUCT((('Metraj Mahal Listesi'!$A$5:$A$504=A453)+('Metraj Mahal Listesi'!$B$5:$B$504=A453)&gt;0)*('Metraj Mahal Listesi'!$C$5:$C$504&lt;&gt;"")*(LEFT('Metraj Mahal Listesi'!$C$5:$C$504,1)&lt;&gt;"—")*('Metraj Mahal Listesi'!$F$5:$F$504="")))</f>
        <v/>
      </c>
      <c r="G453" s="31">
        <f>IF(A453="","",SUMPRODUCT((('Metraj Mahal Listesi'!$A$5:$A$504=A453)+('Metraj Mahal Listesi'!$B$5:$B$504=A453)&gt;0)*('Metraj Mahal Listesi'!$F$5:$F$504&lt;&gt;"")*(LEFT('Metraj Mahal Listesi'!$C$5:$C$504,1)&lt;&gt;"—")*('Metraj Mahal Listesi'!$J$5:$J$504=0)))</f>
        <v/>
      </c>
      <c r="H453" s="5" t="n"/>
    </row>
    <row r="454">
      <c r="A454" s="5" t="n"/>
      <c r="B454" s="5" t="n"/>
      <c r="C454" s="21">
        <f>IF(A454="","",SUMPRODUCT((('Metraj Mahal Listesi'!$A$5:$A$504=A454)+('Metraj Mahal Listesi'!$B$5:$B$504=A454)&gt;0)*'Metraj Mahal Listesi'!$K$5:$K$504))</f>
        <v/>
      </c>
      <c r="D454" s="27">
        <f>IF(OR(A454="",'Metraj Mahal Listesi'!$K$3=0),"",C454/'Metraj Mahal Listesi'!$K$3*100)</f>
        <v/>
      </c>
      <c r="E454" s="31">
        <f>IF(A454="","",SUMPRODUCT((('Metraj Mahal Listesi'!$A$5:$A$504=A454)+('Metraj Mahal Listesi'!$B$5:$B$504=A454)&gt;0)*('Metraj Mahal Listesi'!$C$5:$C$504&lt;&gt;"")))</f>
        <v/>
      </c>
      <c r="F454" s="31">
        <f>IF(A454="","",SUMPRODUCT((('Metraj Mahal Listesi'!$A$5:$A$504=A454)+('Metraj Mahal Listesi'!$B$5:$B$504=A454)&gt;0)*('Metraj Mahal Listesi'!$C$5:$C$504&lt;&gt;"")*(LEFT('Metraj Mahal Listesi'!$C$5:$C$504,1)&lt;&gt;"—")*('Metraj Mahal Listesi'!$F$5:$F$504="")))</f>
        <v/>
      </c>
      <c r="G454" s="31">
        <f>IF(A454="","",SUMPRODUCT((('Metraj Mahal Listesi'!$A$5:$A$504=A454)+('Metraj Mahal Listesi'!$B$5:$B$504=A454)&gt;0)*('Metraj Mahal Listesi'!$F$5:$F$504&lt;&gt;"")*(LEFT('Metraj Mahal Listesi'!$C$5:$C$504,1)&lt;&gt;"—")*('Metraj Mahal Listesi'!$J$5:$J$504=0)))</f>
        <v/>
      </c>
      <c r="H454" s="5" t="n"/>
    </row>
    <row r="455">
      <c r="A455" s="5" t="n"/>
      <c r="B455" s="5" t="n"/>
      <c r="C455" s="21">
        <f>IF(A455="","",SUMPRODUCT((('Metraj Mahal Listesi'!$A$5:$A$504=A455)+('Metraj Mahal Listesi'!$B$5:$B$504=A455)&gt;0)*'Metraj Mahal Listesi'!$K$5:$K$504))</f>
        <v/>
      </c>
      <c r="D455" s="27">
        <f>IF(OR(A455="",'Metraj Mahal Listesi'!$K$3=0),"",C455/'Metraj Mahal Listesi'!$K$3*100)</f>
        <v/>
      </c>
      <c r="E455" s="31">
        <f>IF(A455="","",SUMPRODUCT((('Metraj Mahal Listesi'!$A$5:$A$504=A455)+('Metraj Mahal Listesi'!$B$5:$B$504=A455)&gt;0)*('Metraj Mahal Listesi'!$C$5:$C$504&lt;&gt;"")))</f>
        <v/>
      </c>
      <c r="F455" s="31">
        <f>IF(A455="","",SUMPRODUCT((('Metraj Mahal Listesi'!$A$5:$A$504=A455)+('Metraj Mahal Listesi'!$B$5:$B$504=A455)&gt;0)*('Metraj Mahal Listesi'!$C$5:$C$504&lt;&gt;"")*(LEFT('Metraj Mahal Listesi'!$C$5:$C$504,1)&lt;&gt;"—")*('Metraj Mahal Listesi'!$F$5:$F$504="")))</f>
        <v/>
      </c>
      <c r="G455" s="31">
        <f>IF(A455="","",SUMPRODUCT((('Metraj Mahal Listesi'!$A$5:$A$504=A455)+('Metraj Mahal Listesi'!$B$5:$B$504=A455)&gt;0)*('Metraj Mahal Listesi'!$F$5:$F$504&lt;&gt;"")*(LEFT('Metraj Mahal Listesi'!$C$5:$C$504,1)&lt;&gt;"—")*('Metraj Mahal Listesi'!$J$5:$J$504=0)))</f>
        <v/>
      </c>
      <c r="H455" s="5" t="n"/>
    </row>
    <row r="456">
      <c r="A456" s="5" t="n"/>
      <c r="B456" s="5" t="n"/>
      <c r="C456" s="21">
        <f>IF(A456="","",SUMPRODUCT((('Metraj Mahal Listesi'!$A$5:$A$504=A456)+('Metraj Mahal Listesi'!$B$5:$B$504=A456)&gt;0)*'Metraj Mahal Listesi'!$K$5:$K$504))</f>
        <v/>
      </c>
      <c r="D456" s="27">
        <f>IF(OR(A456="",'Metraj Mahal Listesi'!$K$3=0),"",C456/'Metraj Mahal Listesi'!$K$3*100)</f>
        <v/>
      </c>
      <c r="E456" s="31">
        <f>IF(A456="","",SUMPRODUCT((('Metraj Mahal Listesi'!$A$5:$A$504=A456)+('Metraj Mahal Listesi'!$B$5:$B$504=A456)&gt;0)*('Metraj Mahal Listesi'!$C$5:$C$504&lt;&gt;"")))</f>
        <v/>
      </c>
      <c r="F456" s="31">
        <f>IF(A456="","",SUMPRODUCT((('Metraj Mahal Listesi'!$A$5:$A$504=A456)+('Metraj Mahal Listesi'!$B$5:$B$504=A456)&gt;0)*('Metraj Mahal Listesi'!$C$5:$C$504&lt;&gt;"")*(LEFT('Metraj Mahal Listesi'!$C$5:$C$504,1)&lt;&gt;"—")*('Metraj Mahal Listesi'!$F$5:$F$504="")))</f>
        <v/>
      </c>
      <c r="G456" s="31">
        <f>IF(A456="","",SUMPRODUCT((('Metraj Mahal Listesi'!$A$5:$A$504=A456)+('Metraj Mahal Listesi'!$B$5:$B$504=A456)&gt;0)*('Metraj Mahal Listesi'!$F$5:$F$504&lt;&gt;"")*(LEFT('Metraj Mahal Listesi'!$C$5:$C$504,1)&lt;&gt;"—")*('Metraj Mahal Listesi'!$J$5:$J$504=0)))</f>
        <v/>
      </c>
      <c r="H456" s="5" t="n"/>
    </row>
    <row r="457">
      <c r="A457" s="5" t="n"/>
      <c r="B457" s="5" t="n"/>
      <c r="C457" s="21">
        <f>IF(A457="","",SUMPRODUCT((('Metraj Mahal Listesi'!$A$5:$A$504=A457)+('Metraj Mahal Listesi'!$B$5:$B$504=A457)&gt;0)*'Metraj Mahal Listesi'!$K$5:$K$504))</f>
        <v/>
      </c>
      <c r="D457" s="27">
        <f>IF(OR(A457="",'Metraj Mahal Listesi'!$K$3=0),"",C457/'Metraj Mahal Listesi'!$K$3*100)</f>
        <v/>
      </c>
      <c r="E457" s="31">
        <f>IF(A457="","",SUMPRODUCT((('Metraj Mahal Listesi'!$A$5:$A$504=A457)+('Metraj Mahal Listesi'!$B$5:$B$504=A457)&gt;0)*('Metraj Mahal Listesi'!$C$5:$C$504&lt;&gt;"")))</f>
        <v/>
      </c>
      <c r="F457" s="31">
        <f>IF(A457="","",SUMPRODUCT((('Metraj Mahal Listesi'!$A$5:$A$504=A457)+('Metraj Mahal Listesi'!$B$5:$B$504=A457)&gt;0)*('Metraj Mahal Listesi'!$C$5:$C$504&lt;&gt;"")*(LEFT('Metraj Mahal Listesi'!$C$5:$C$504,1)&lt;&gt;"—")*('Metraj Mahal Listesi'!$F$5:$F$504="")))</f>
        <v/>
      </c>
      <c r="G457" s="31">
        <f>IF(A457="","",SUMPRODUCT((('Metraj Mahal Listesi'!$A$5:$A$504=A457)+('Metraj Mahal Listesi'!$B$5:$B$504=A457)&gt;0)*('Metraj Mahal Listesi'!$F$5:$F$504&lt;&gt;"")*(LEFT('Metraj Mahal Listesi'!$C$5:$C$504,1)&lt;&gt;"—")*('Metraj Mahal Listesi'!$J$5:$J$504=0)))</f>
        <v/>
      </c>
      <c r="H457" s="5" t="n"/>
    </row>
    <row r="458">
      <c r="A458" s="5" t="n"/>
      <c r="B458" s="5" t="n"/>
      <c r="C458" s="21">
        <f>IF(A458="","",SUMPRODUCT((('Metraj Mahal Listesi'!$A$5:$A$504=A458)+('Metraj Mahal Listesi'!$B$5:$B$504=A458)&gt;0)*'Metraj Mahal Listesi'!$K$5:$K$504))</f>
        <v/>
      </c>
      <c r="D458" s="27">
        <f>IF(OR(A458="",'Metraj Mahal Listesi'!$K$3=0),"",C458/'Metraj Mahal Listesi'!$K$3*100)</f>
        <v/>
      </c>
      <c r="E458" s="31">
        <f>IF(A458="","",SUMPRODUCT((('Metraj Mahal Listesi'!$A$5:$A$504=A458)+('Metraj Mahal Listesi'!$B$5:$B$504=A458)&gt;0)*('Metraj Mahal Listesi'!$C$5:$C$504&lt;&gt;"")))</f>
        <v/>
      </c>
      <c r="F458" s="31">
        <f>IF(A458="","",SUMPRODUCT((('Metraj Mahal Listesi'!$A$5:$A$504=A458)+('Metraj Mahal Listesi'!$B$5:$B$504=A458)&gt;0)*('Metraj Mahal Listesi'!$C$5:$C$504&lt;&gt;"")*(LEFT('Metraj Mahal Listesi'!$C$5:$C$504,1)&lt;&gt;"—")*('Metraj Mahal Listesi'!$F$5:$F$504="")))</f>
        <v/>
      </c>
      <c r="G458" s="31">
        <f>IF(A458="","",SUMPRODUCT((('Metraj Mahal Listesi'!$A$5:$A$504=A458)+('Metraj Mahal Listesi'!$B$5:$B$504=A458)&gt;0)*('Metraj Mahal Listesi'!$F$5:$F$504&lt;&gt;"")*(LEFT('Metraj Mahal Listesi'!$C$5:$C$504,1)&lt;&gt;"—")*('Metraj Mahal Listesi'!$J$5:$J$504=0)))</f>
        <v/>
      </c>
      <c r="H458" s="5" t="n"/>
    </row>
    <row r="459">
      <c r="A459" s="5" t="n"/>
      <c r="B459" s="5" t="n"/>
      <c r="C459" s="21">
        <f>IF(A459="","",SUMPRODUCT((('Metraj Mahal Listesi'!$A$5:$A$504=A459)+('Metraj Mahal Listesi'!$B$5:$B$504=A459)&gt;0)*'Metraj Mahal Listesi'!$K$5:$K$504))</f>
        <v/>
      </c>
      <c r="D459" s="27">
        <f>IF(OR(A459="",'Metraj Mahal Listesi'!$K$3=0),"",C459/'Metraj Mahal Listesi'!$K$3*100)</f>
        <v/>
      </c>
      <c r="E459" s="31">
        <f>IF(A459="","",SUMPRODUCT((('Metraj Mahal Listesi'!$A$5:$A$504=A459)+('Metraj Mahal Listesi'!$B$5:$B$504=A459)&gt;0)*('Metraj Mahal Listesi'!$C$5:$C$504&lt;&gt;"")))</f>
        <v/>
      </c>
      <c r="F459" s="31">
        <f>IF(A459="","",SUMPRODUCT((('Metraj Mahal Listesi'!$A$5:$A$504=A459)+('Metraj Mahal Listesi'!$B$5:$B$504=A459)&gt;0)*('Metraj Mahal Listesi'!$C$5:$C$504&lt;&gt;"")*(LEFT('Metraj Mahal Listesi'!$C$5:$C$504,1)&lt;&gt;"—")*('Metraj Mahal Listesi'!$F$5:$F$504="")))</f>
        <v/>
      </c>
      <c r="G459" s="31">
        <f>IF(A459="","",SUMPRODUCT((('Metraj Mahal Listesi'!$A$5:$A$504=A459)+('Metraj Mahal Listesi'!$B$5:$B$504=A459)&gt;0)*('Metraj Mahal Listesi'!$F$5:$F$504&lt;&gt;"")*(LEFT('Metraj Mahal Listesi'!$C$5:$C$504,1)&lt;&gt;"—")*('Metraj Mahal Listesi'!$J$5:$J$504=0)))</f>
        <v/>
      </c>
      <c r="H459" s="5" t="n"/>
    </row>
    <row r="460">
      <c r="A460" s="5" t="n"/>
      <c r="B460" s="5" t="n"/>
      <c r="C460" s="21">
        <f>IF(A460="","",SUMPRODUCT((('Metraj Mahal Listesi'!$A$5:$A$504=A460)+('Metraj Mahal Listesi'!$B$5:$B$504=A460)&gt;0)*'Metraj Mahal Listesi'!$K$5:$K$504))</f>
        <v/>
      </c>
      <c r="D460" s="27">
        <f>IF(OR(A460="",'Metraj Mahal Listesi'!$K$3=0),"",C460/'Metraj Mahal Listesi'!$K$3*100)</f>
        <v/>
      </c>
      <c r="E460" s="31">
        <f>IF(A460="","",SUMPRODUCT((('Metraj Mahal Listesi'!$A$5:$A$504=A460)+('Metraj Mahal Listesi'!$B$5:$B$504=A460)&gt;0)*('Metraj Mahal Listesi'!$C$5:$C$504&lt;&gt;"")))</f>
        <v/>
      </c>
      <c r="F460" s="31">
        <f>IF(A460="","",SUMPRODUCT((('Metraj Mahal Listesi'!$A$5:$A$504=A460)+('Metraj Mahal Listesi'!$B$5:$B$504=A460)&gt;0)*('Metraj Mahal Listesi'!$C$5:$C$504&lt;&gt;"")*(LEFT('Metraj Mahal Listesi'!$C$5:$C$504,1)&lt;&gt;"—")*('Metraj Mahal Listesi'!$F$5:$F$504="")))</f>
        <v/>
      </c>
      <c r="G460" s="31">
        <f>IF(A460="","",SUMPRODUCT((('Metraj Mahal Listesi'!$A$5:$A$504=A460)+('Metraj Mahal Listesi'!$B$5:$B$504=A460)&gt;0)*('Metraj Mahal Listesi'!$F$5:$F$504&lt;&gt;"")*(LEFT('Metraj Mahal Listesi'!$C$5:$C$504,1)&lt;&gt;"—")*('Metraj Mahal Listesi'!$J$5:$J$504=0)))</f>
        <v/>
      </c>
      <c r="H460" s="5" t="n"/>
    </row>
    <row r="461">
      <c r="A461" s="5" t="n"/>
      <c r="B461" s="5" t="n"/>
      <c r="C461" s="21">
        <f>IF(A461="","",SUMPRODUCT((('Metraj Mahal Listesi'!$A$5:$A$504=A461)+('Metraj Mahal Listesi'!$B$5:$B$504=A461)&gt;0)*'Metraj Mahal Listesi'!$K$5:$K$504))</f>
        <v/>
      </c>
      <c r="D461" s="27">
        <f>IF(OR(A461="",'Metraj Mahal Listesi'!$K$3=0),"",C461/'Metraj Mahal Listesi'!$K$3*100)</f>
        <v/>
      </c>
      <c r="E461" s="31">
        <f>IF(A461="","",SUMPRODUCT((('Metraj Mahal Listesi'!$A$5:$A$504=A461)+('Metraj Mahal Listesi'!$B$5:$B$504=A461)&gt;0)*('Metraj Mahal Listesi'!$C$5:$C$504&lt;&gt;"")))</f>
        <v/>
      </c>
      <c r="F461" s="31">
        <f>IF(A461="","",SUMPRODUCT((('Metraj Mahal Listesi'!$A$5:$A$504=A461)+('Metraj Mahal Listesi'!$B$5:$B$504=A461)&gt;0)*('Metraj Mahal Listesi'!$C$5:$C$504&lt;&gt;"")*(LEFT('Metraj Mahal Listesi'!$C$5:$C$504,1)&lt;&gt;"—")*('Metraj Mahal Listesi'!$F$5:$F$504="")))</f>
        <v/>
      </c>
      <c r="G461" s="31">
        <f>IF(A461="","",SUMPRODUCT((('Metraj Mahal Listesi'!$A$5:$A$504=A461)+('Metraj Mahal Listesi'!$B$5:$B$504=A461)&gt;0)*('Metraj Mahal Listesi'!$F$5:$F$504&lt;&gt;"")*(LEFT('Metraj Mahal Listesi'!$C$5:$C$504,1)&lt;&gt;"—")*('Metraj Mahal Listesi'!$J$5:$J$504=0)))</f>
        <v/>
      </c>
      <c r="H461" s="5" t="n"/>
    </row>
    <row r="462">
      <c r="A462" s="5" t="n"/>
      <c r="B462" s="5" t="n"/>
      <c r="C462" s="21">
        <f>IF(A462="","",SUMPRODUCT((('Metraj Mahal Listesi'!$A$5:$A$504=A462)+('Metraj Mahal Listesi'!$B$5:$B$504=A462)&gt;0)*'Metraj Mahal Listesi'!$K$5:$K$504))</f>
        <v/>
      </c>
      <c r="D462" s="27">
        <f>IF(OR(A462="",'Metraj Mahal Listesi'!$K$3=0),"",C462/'Metraj Mahal Listesi'!$K$3*100)</f>
        <v/>
      </c>
      <c r="E462" s="31">
        <f>IF(A462="","",SUMPRODUCT((('Metraj Mahal Listesi'!$A$5:$A$504=A462)+('Metraj Mahal Listesi'!$B$5:$B$504=A462)&gt;0)*('Metraj Mahal Listesi'!$C$5:$C$504&lt;&gt;"")))</f>
        <v/>
      </c>
      <c r="F462" s="31">
        <f>IF(A462="","",SUMPRODUCT((('Metraj Mahal Listesi'!$A$5:$A$504=A462)+('Metraj Mahal Listesi'!$B$5:$B$504=A462)&gt;0)*('Metraj Mahal Listesi'!$C$5:$C$504&lt;&gt;"")*(LEFT('Metraj Mahal Listesi'!$C$5:$C$504,1)&lt;&gt;"—")*('Metraj Mahal Listesi'!$F$5:$F$504="")))</f>
        <v/>
      </c>
      <c r="G462" s="31">
        <f>IF(A462="","",SUMPRODUCT((('Metraj Mahal Listesi'!$A$5:$A$504=A462)+('Metraj Mahal Listesi'!$B$5:$B$504=A462)&gt;0)*('Metraj Mahal Listesi'!$F$5:$F$504&lt;&gt;"")*(LEFT('Metraj Mahal Listesi'!$C$5:$C$504,1)&lt;&gt;"—")*('Metraj Mahal Listesi'!$J$5:$J$504=0)))</f>
        <v/>
      </c>
      <c r="H462" s="5" t="n"/>
    </row>
    <row r="463">
      <c r="A463" s="5" t="n"/>
      <c r="B463" s="5" t="n"/>
      <c r="C463" s="21">
        <f>IF(A463="","",SUMPRODUCT((('Metraj Mahal Listesi'!$A$5:$A$504=A463)+('Metraj Mahal Listesi'!$B$5:$B$504=A463)&gt;0)*'Metraj Mahal Listesi'!$K$5:$K$504))</f>
        <v/>
      </c>
      <c r="D463" s="27">
        <f>IF(OR(A463="",'Metraj Mahal Listesi'!$K$3=0),"",C463/'Metraj Mahal Listesi'!$K$3*100)</f>
        <v/>
      </c>
      <c r="E463" s="31">
        <f>IF(A463="","",SUMPRODUCT((('Metraj Mahal Listesi'!$A$5:$A$504=A463)+('Metraj Mahal Listesi'!$B$5:$B$504=A463)&gt;0)*('Metraj Mahal Listesi'!$C$5:$C$504&lt;&gt;"")))</f>
        <v/>
      </c>
      <c r="F463" s="31">
        <f>IF(A463="","",SUMPRODUCT((('Metraj Mahal Listesi'!$A$5:$A$504=A463)+('Metraj Mahal Listesi'!$B$5:$B$504=A463)&gt;0)*('Metraj Mahal Listesi'!$C$5:$C$504&lt;&gt;"")*(LEFT('Metraj Mahal Listesi'!$C$5:$C$504,1)&lt;&gt;"—")*('Metraj Mahal Listesi'!$F$5:$F$504="")))</f>
        <v/>
      </c>
      <c r="G463" s="31">
        <f>IF(A463="","",SUMPRODUCT((('Metraj Mahal Listesi'!$A$5:$A$504=A463)+('Metraj Mahal Listesi'!$B$5:$B$504=A463)&gt;0)*('Metraj Mahal Listesi'!$F$5:$F$504&lt;&gt;"")*(LEFT('Metraj Mahal Listesi'!$C$5:$C$504,1)&lt;&gt;"—")*('Metraj Mahal Listesi'!$J$5:$J$504=0)))</f>
        <v/>
      </c>
      <c r="H463" s="5" t="n"/>
    </row>
    <row r="464">
      <c r="A464" s="5" t="n"/>
      <c r="B464" s="5" t="n"/>
      <c r="C464" s="21">
        <f>IF(A464="","",SUMPRODUCT((('Metraj Mahal Listesi'!$A$5:$A$504=A464)+('Metraj Mahal Listesi'!$B$5:$B$504=A464)&gt;0)*'Metraj Mahal Listesi'!$K$5:$K$504))</f>
        <v/>
      </c>
      <c r="D464" s="27">
        <f>IF(OR(A464="",'Metraj Mahal Listesi'!$K$3=0),"",C464/'Metraj Mahal Listesi'!$K$3*100)</f>
        <v/>
      </c>
      <c r="E464" s="31">
        <f>IF(A464="","",SUMPRODUCT((('Metraj Mahal Listesi'!$A$5:$A$504=A464)+('Metraj Mahal Listesi'!$B$5:$B$504=A464)&gt;0)*('Metraj Mahal Listesi'!$C$5:$C$504&lt;&gt;"")))</f>
        <v/>
      </c>
      <c r="F464" s="31">
        <f>IF(A464="","",SUMPRODUCT((('Metraj Mahal Listesi'!$A$5:$A$504=A464)+('Metraj Mahal Listesi'!$B$5:$B$504=A464)&gt;0)*('Metraj Mahal Listesi'!$C$5:$C$504&lt;&gt;"")*(LEFT('Metraj Mahal Listesi'!$C$5:$C$504,1)&lt;&gt;"—")*('Metraj Mahal Listesi'!$F$5:$F$504="")))</f>
        <v/>
      </c>
      <c r="G464" s="31">
        <f>IF(A464="","",SUMPRODUCT((('Metraj Mahal Listesi'!$A$5:$A$504=A464)+('Metraj Mahal Listesi'!$B$5:$B$504=A464)&gt;0)*('Metraj Mahal Listesi'!$F$5:$F$504&lt;&gt;"")*(LEFT('Metraj Mahal Listesi'!$C$5:$C$504,1)&lt;&gt;"—")*('Metraj Mahal Listesi'!$J$5:$J$504=0)))</f>
        <v/>
      </c>
      <c r="H464" s="5" t="n"/>
    </row>
    <row r="465">
      <c r="A465" s="5" t="n"/>
      <c r="B465" s="5" t="n"/>
      <c r="C465" s="21">
        <f>IF(A465="","",SUMPRODUCT((('Metraj Mahal Listesi'!$A$5:$A$504=A465)+('Metraj Mahal Listesi'!$B$5:$B$504=A465)&gt;0)*'Metraj Mahal Listesi'!$K$5:$K$504))</f>
        <v/>
      </c>
      <c r="D465" s="27">
        <f>IF(OR(A465="",'Metraj Mahal Listesi'!$K$3=0),"",C465/'Metraj Mahal Listesi'!$K$3*100)</f>
        <v/>
      </c>
      <c r="E465" s="31">
        <f>IF(A465="","",SUMPRODUCT((('Metraj Mahal Listesi'!$A$5:$A$504=A465)+('Metraj Mahal Listesi'!$B$5:$B$504=A465)&gt;0)*('Metraj Mahal Listesi'!$C$5:$C$504&lt;&gt;"")))</f>
        <v/>
      </c>
      <c r="F465" s="31">
        <f>IF(A465="","",SUMPRODUCT((('Metraj Mahal Listesi'!$A$5:$A$504=A465)+('Metraj Mahal Listesi'!$B$5:$B$504=A465)&gt;0)*('Metraj Mahal Listesi'!$C$5:$C$504&lt;&gt;"")*(LEFT('Metraj Mahal Listesi'!$C$5:$C$504,1)&lt;&gt;"—")*('Metraj Mahal Listesi'!$F$5:$F$504="")))</f>
        <v/>
      </c>
      <c r="G465" s="31">
        <f>IF(A465="","",SUMPRODUCT((('Metraj Mahal Listesi'!$A$5:$A$504=A465)+('Metraj Mahal Listesi'!$B$5:$B$504=A465)&gt;0)*('Metraj Mahal Listesi'!$F$5:$F$504&lt;&gt;"")*(LEFT('Metraj Mahal Listesi'!$C$5:$C$504,1)&lt;&gt;"—")*('Metraj Mahal Listesi'!$J$5:$J$504=0)))</f>
        <v/>
      </c>
      <c r="H465" s="5" t="n"/>
    </row>
    <row r="466">
      <c r="A466" s="5" t="n"/>
      <c r="B466" s="5" t="n"/>
      <c r="C466" s="21">
        <f>IF(A466="","",SUMPRODUCT((('Metraj Mahal Listesi'!$A$5:$A$504=A466)+('Metraj Mahal Listesi'!$B$5:$B$504=A466)&gt;0)*'Metraj Mahal Listesi'!$K$5:$K$504))</f>
        <v/>
      </c>
      <c r="D466" s="27">
        <f>IF(OR(A466="",'Metraj Mahal Listesi'!$K$3=0),"",C466/'Metraj Mahal Listesi'!$K$3*100)</f>
        <v/>
      </c>
      <c r="E466" s="31">
        <f>IF(A466="","",SUMPRODUCT((('Metraj Mahal Listesi'!$A$5:$A$504=A466)+('Metraj Mahal Listesi'!$B$5:$B$504=A466)&gt;0)*('Metraj Mahal Listesi'!$C$5:$C$504&lt;&gt;"")))</f>
        <v/>
      </c>
      <c r="F466" s="31">
        <f>IF(A466="","",SUMPRODUCT((('Metraj Mahal Listesi'!$A$5:$A$504=A466)+('Metraj Mahal Listesi'!$B$5:$B$504=A466)&gt;0)*('Metraj Mahal Listesi'!$C$5:$C$504&lt;&gt;"")*(LEFT('Metraj Mahal Listesi'!$C$5:$C$504,1)&lt;&gt;"—")*('Metraj Mahal Listesi'!$F$5:$F$504="")))</f>
        <v/>
      </c>
      <c r="G466" s="31">
        <f>IF(A466="","",SUMPRODUCT((('Metraj Mahal Listesi'!$A$5:$A$504=A466)+('Metraj Mahal Listesi'!$B$5:$B$504=A466)&gt;0)*('Metraj Mahal Listesi'!$F$5:$F$504&lt;&gt;"")*(LEFT('Metraj Mahal Listesi'!$C$5:$C$504,1)&lt;&gt;"—")*('Metraj Mahal Listesi'!$J$5:$J$504=0)))</f>
        <v/>
      </c>
      <c r="H466" s="5" t="n"/>
    </row>
    <row r="467">
      <c r="A467" s="5" t="n"/>
      <c r="B467" s="5" t="n"/>
      <c r="C467" s="21">
        <f>IF(A467="","",SUMPRODUCT((('Metraj Mahal Listesi'!$A$5:$A$504=A467)+('Metraj Mahal Listesi'!$B$5:$B$504=A467)&gt;0)*'Metraj Mahal Listesi'!$K$5:$K$504))</f>
        <v/>
      </c>
      <c r="D467" s="27">
        <f>IF(OR(A467="",'Metraj Mahal Listesi'!$K$3=0),"",C467/'Metraj Mahal Listesi'!$K$3*100)</f>
        <v/>
      </c>
      <c r="E467" s="31">
        <f>IF(A467="","",SUMPRODUCT((('Metraj Mahal Listesi'!$A$5:$A$504=A467)+('Metraj Mahal Listesi'!$B$5:$B$504=A467)&gt;0)*('Metraj Mahal Listesi'!$C$5:$C$504&lt;&gt;"")))</f>
        <v/>
      </c>
      <c r="F467" s="31">
        <f>IF(A467="","",SUMPRODUCT((('Metraj Mahal Listesi'!$A$5:$A$504=A467)+('Metraj Mahal Listesi'!$B$5:$B$504=A467)&gt;0)*('Metraj Mahal Listesi'!$C$5:$C$504&lt;&gt;"")*(LEFT('Metraj Mahal Listesi'!$C$5:$C$504,1)&lt;&gt;"—")*('Metraj Mahal Listesi'!$F$5:$F$504="")))</f>
        <v/>
      </c>
      <c r="G467" s="31">
        <f>IF(A467="","",SUMPRODUCT((('Metraj Mahal Listesi'!$A$5:$A$504=A467)+('Metraj Mahal Listesi'!$B$5:$B$504=A467)&gt;0)*('Metraj Mahal Listesi'!$F$5:$F$504&lt;&gt;"")*(LEFT('Metraj Mahal Listesi'!$C$5:$C$504,1)&lt;&gt;"—")*('Metraj Mahal Listesi'!$J$5:$J$504=0)))</f>
        <v/>
      </c>
      <c r="H467" s="5" t="n"/>
    </row>
    <row r="468">
      <c r="A468" s="5" t="n"/>
      <c r="B468" s="5" t="n"/>
      <c r="C468" s="21">
        <f>IF(A468="","",SUMPRODUCT((('Metraj Mahal Listesi'!$A$5:$A$504=A468)+('Metraj Mahal Listesi'!$B$5:$B$504=A468)&gt;0)*'Metraj Mahal Listesi'!$K$5:$K$504))</f>
        <v/>
      </c>
      <c r="D468" s="27">
        <f>IF(OR(A468="",'Metraj Mahal Listesi'!$K$3=0),"",C468/'Metraj Mahal Listesi'!$K$3*100)</f>
        <v/>
      </c>
      <c r="E468" s="31">
        <f>IF(A468="","",SUMPRODUCT((('Metraj Mahal Listesi'!$A$5:$A$504=A468)+('Metraj Mahal Listesi'!$B$5:$B$504=A468)&gt;0)*('Metraj Mahal Listesi'!$C$5:$C$504&lt;&gt;"")))</f>
        <v/>
      </c>
      <c r="F468" s="31">
        <f>IF(A468="","",SUMPRODUCT((('Metraj Mahal Listesi'!$A$5:$A$504=A468)+('Metraj Mahal Listesi'!$B$5:$B$504=A468)&gt;0)*('Metraj Mahal Listesi'!$C$5:$C$504&lt;&gt;"")*(LEFT('Metraj Mahal Listesi'!$C$5:$C$504,1)&lt;&gt;"—")*('Metraj Mahal Listesi'!$F$5:$F$504="")))</f>
        <v/>
      </c>
      <c r="G468" s="31">
        <f>IF(A468="","",SUMPRODUCT((('Metraj Mahal Listesi'!$A$5:$A$504=A468)+('Metraj Mahal Listesi'!$B$5:$B$504=A468)&gt;0)*('Metraj Mahal Listesi'!$F$5:$F$504&lt;&gt;"")*(LEFT('Metraj Mahal Listesi'!$C$5:$C$504,1)&lt;&gt;"—")*('Metraj Mahal Listesi'!$J$5:$J$504=0)))</f>
        <v/>
      </c>
      <c r="H468" s="5" t="n"/>
    </row>
    <row r="469">
      <c r="A469" s="5" t="n"/>
      <c r="B469" s="5" t="n"/>
      <c r="C469" s="21">
        <f>IF(A469="","",SUMPRODUCT((('Metraj Mahal Listesi'!$A$5:$A$504=A469)+('Metraj Mahal Listesi'!$B$5:$B$504=A469)&gt;0)*'Metraj Mahal Listesi'!$K$5:$K$504))</f>
        <v/>
      </c>
      <c r="D469" s="27">
        <f>IF(OR(A469="",'Metraj Mahal Listesi'!$K$3=0),"",C469/'Metraj Mahal Listesi'!$K$3*100)</f>
        <v/>
      </c>
      <c r="E469" s="31">
        <f>IF(A469="","",SUMPRODUCT((('Metraj Mahal Listesi'!$A$5:$A$504=A469)+('Metraj Mahal Listesi'!$B$5:$B$504=A469)&gt;0)*('Metraj Mahal Listesi'!$C$5:$C$504&lt;&gt;"")))</f>
        <v/>
      </c>
      <c r="F469" s="31">
        <f>IF(A469="","",SUMPRODUCT((('Metraj Mahal Listesi'!$A$5:$A$504=A469)+('Metraj Mahal Listesi'!$B$5:$B$504=A469)&gt;0)*('Metraj Mahal Listesi'!$C$5:$C$504&lt;&gt;"")*(LEFT('Metraj Mahal Listesi'!$C$5:$C$504,1)&lt;&gt;"—")*('Metraj Mahal Listesi'!$F$5:$F$504="")))</f>
        <v/>
      </c>
      <c r="G469" s="31">
        <f>IF(A469="","",SUMPRODUCT((('Metraj Mahal Listesi'!$A$5:$A$504=A469)+('Metraj Mahal Listesi'!$B$5:$B$504=A469)&gt;0)*('Metraj Mahal Listesi'!$F$5:$F$504&lt;&gt;"")*(LEFT('Metraj Mahal Listesi'!$C$5:$C$504,1)&lt;&gt;"—")*('Metraj Mahal Listesi'!$J$5:$J$504=0)))</f>
        <v/>
      </c>
      <c r="H469" s="5" t="n"/>
    </row>
    <row r="470">
      <c r="A470" s="5" t="n"/>
      <c r="B470" s="5" t="n"/>
      <c r="C470" s="21">
        <f>IF(A470="","",SUMPRODUCT((('Metraj Mahal Listesi'!$A$5:$A$504=A470)+('Metraj Mahal Listesi'!$B$5:$B$504=A470)&gt;0)*'Metraj Mahal Listesi'!$K$5:$K$504))</f>
        <v/>
      </c>
      <c r="D470" s="27">
        <f>IF(OR(A470="",'Metraj Mahal Listesi'!$K$3=0),"",C470/'Metraj Mahal Listesi'!$K$3*100)</f>
        <v/>
      </c>
      <c r="E470" s="31">
        <f>IF(A470="","",SUMPRODUCT((('Metraj Mahal Listesi'!$A$5:$A$504=A470)+('Metraj Mahal Listesi'!$B$5:$B$504=A470)&gt;0)*('Metraj Mahal Listesi'!$C$5:$C$504&lt;&gt;"")))</f>
        <v/>
      </c>
      <c r="F470" s="31">
        <f>IF(A470="","",SUMPRODUCT((('Metraj Mahal Listesi'!$A$5:$A$504=A470)+('Metraj Mahal Listesi'!$B$5:$B$504=A470)&gt;0)*('Metraj Mahal Listesi'!$C$5:$C$504&lt;&gt;"")*(LEFT('Metraj Mahal Listesi'!$C$5:$C$504,1)&lt;&gt;"—")*('Metraj Mahal Listesi'!$F$5:$F$504="")))</f>
        <v/>
      </c>
      <c r="G470" s="31">
        <f>IF(A470="","",SUMPRODUCT((('Metraj Mahal Listesi'!$A$5:$A$504=A470)+('Metraj Mahal Listesi'!$B$5:$B$504=A470)&gt;0)*('Metraj Mahal Listesi'!$F$5:$F$504&lt;&gt;"")*(LEFT('Metraj Mahal Listesi'!$C$5:$C$504,1)&lt;&gt;"—")*('Metraj Mahal Listesi'!$J$5:$J$504=0)))</f>
        <v/>
      </c>
      <c r="H470" s="5" t="n"/>
    </row>
    <row r="471">
      <c r="A471" s="5" t="n"/>
      <c r="B471" s="5" t="n"/>
      <c r="C471" s="21">
        <f>IF(A471="","",SUMPRODUCT((('Metraj Mahal Listesi'!$A$5:$A$504=A471)+('Metraj Mahal Listesi'!$B$5:$B$504=A471)&gt;0)*'Metraj Mahal Listesi'!$K$5:$K$504))</f>
        <v/>
      </c>
      <c r="D471" s="27">
        <f>IF(OR(A471="",'Metraj Mahal Listesi'!$K$3=0),"",C471/'Metraj Mahal Listesi'!$K$3*100)</f>
        <v/>
      </c>
      <c r="E471" s="31">
        <f>IF(A471="","",SUMPRODUCT((('Metraj Mahal Listesi'!$A$5:$A$504=A471)+('Metraj Mahal Listesi'!$B$5:$B$504=A471)&gt;0)*('Metraj Mahal Listesi'!$C$5:$C$504&lt;&gt;"")))</f>
        <v/>
      </c>
      <c r="F471" s="31">
        <f>IF(A471="","",SUMPRODUCT((('Metraj Mahal Listesi'!$A$5:$A$504=A471)+('Metraj Mahal Listesi'!$B$5:$B$504=A471)&gt;0)*('Metraj Mahal Listesi'!$C$5:$C$504&lt;&gt;"")*(LEFT('Metraj Mahal Listesi'!$C$5:$C$504,1)&lt;&gt;"—")*('Metraj Mahal Listesi'!$F$5:$F$504="")))</f>
        <v/>
      </c>
      <c r="G471" s="31">
        <f>IF(A471="","",SUMPRODUCT((('Metraj Mahal Listesi'!$A$5:$A$504=A471)+('Metraj Mahal Listesi'!$B$5:$B$504=A471)&gt;0)*('Metraj Mahal Listesi'!$F$5:$F$504&lt;&gt;"")*(LEFT('Metraj Mahal Listesi'!$C$5:$C$504,1)&lt;&gt;"—")*('Metraj Mahal Listesi'!$J$5:$J$504=0)))</f>
        <v/>
      </c>
      <c r="H471" s="5" t="n"/>
    </row>
    <row r="472">
      <c r="A472" s="5" t="n"/>
      <c r="B472" s="5" t="n"/>
      <c r="C472" s="21">
        <f>IF(A472="","",SUMPRODUCT((('Metraj Mahal Listesi'!$A$5:$A$504=A472)+('Metraj Mahal Listesi'!$B$5:$B$504=A472)&gt;0)*'Metraj Mahal Listesi'!$K$5:$K$504))</f>
        <v/>
      </c>
      <c r="D472" s="27">
        <f>IF(OR(A472="",'Metraj Mahal Listesi'!$K$3=0),"",C472/'Metraj Mahal Listesi'!$K$3*100)</f>
        <v/>
      </c>
      <c r="E472" s="31">
        <f>IF(A472="","",SUMPRODUCT((('Metraj Mahal Listesi'!$A$5:$A$504=A472)+('Metraj Mahal Listesi'!$B$5:$B$504=A472)&gt;0)*('Metraj Mahal Listesi'!$C$5:$C$504&lt;&gt;"")))</f>
        <v/>
      </c>
      <c r="F472" s="31">
        <f>IF(A472="","",SUMPRODUCT((('Metraj Mahal Listesi'!$A$5:$A$504=A472)+('Metraj Mahal Listesi'!$B$5:$B$504=A472)&gt;0)*('Metraj Mahal Listesi'!$C$5:$C$504&lt;&gt;"")*(LEFT('Metraj Mahal Listesi'!$C$5:$C$504,1)&lt;&gt;"—")*('Metraj Mahal Listesi'!$F$5:$F$504="")))</f>
        <v/>
      </c>
      <c r="G472" s="31">
        <f>IF(A472="","",SUMPRODUCT((('Metraj Mahal Listesi'!$A$5:$A$504=A472)+('Metraj Mahal Listesi'!$B$5:$B$504=A472)&gt;0)*('Metraj Mahal Listesi'!$F$5:$F$504&lt;&gt;"")*(LEFT('Metraj Mahal Listesi'!$C$5:$C$504,1)&lt;&gt;"—")*('Metraj Mahal Listesi'!$J$5:$J$504=0)))</f>
        <v/>
      </c>
      <c r="H472" s="5" t="n"/>
    </row>
    <row r="473">
      <c r="A473" s="5" t="n"/>
      <c r="B473" s="5" t="n"/>
      <c r="C473" s="21">
        <f>IF(A473="","",SUMPRODUCT((('Metraj Mahal Listesi'!$A$5:$A$504=A473)+('Metraj Mahal Listesi'!$B$5:$B$504=A473)&gt;0)*'Metraj Mahal Listesi'!$K$5:$K$504))</f>
        <v/>
      </c>
      <c r="D473" s="27">
        <f>IF(OR(A473="",'Metraj Mahal Listesi'!$K$3=0),"",C473/'Metraj Mahal Listesi'!$K$3*100)</f>
        <v/>
      </c>
      <c r="E473" s="31">
        <f>IF(A473="","",SUMPRODUCT((('Metraj Mahal Listesi'!$A$5:$A$504=A473)+('Metraj Mahal Listesi'!$B$5:$B$504=A473)&gt;0)*('Metraj Mahal Listesi'!$C$5:$C$504&lt;&gt;"")))</f>
        <v/>
      </c>
      <c r="F473" s="31">
        <f>IF(A473="","",SUMPRODUCT((('Metraj Mahal Listesi'!$A$5:$A$504=A473)+('Metraj Mahal Listesi'!$B$5:$B$504=A473)&gt;0)*('Metraj Mahal Listesi'!$C$5:$C$504&lt;&gt;"")*(LEFT('Metraj Mahal Listesi'!$C$5:$C$504,1)&lt;&gt;"—")*('Metraj Mahal Listesi'!$F$5:$F$504="")))</f>
        <v/>
      </c>
      <c r="G473" s="31">
        <f>IF(A473="","",SUMPRODUCT((('Metraj Mahal Listesi'!$A$5:$A$504=A473)+('Metraj Mahal Listesi'!$B$5:$B$504=A473)&gt;0)*('Metraj Mahal Listesi'!$F$5:$F$504&lt;&gt;"")*(LEFT('Metraj Mahal Listesi'!$C$5:$C$504,1)&lt;&gt;"—")*('Metraj Mahal Listesi'!$J$5:$J$504=0)))</f>
        <v/>
      </c>
      <c r="H473" s="5" t="n"/>
    </row>
    <row r="474">
      <c r="A474" s="5" t="n"/>
      <c r="B474" s="5" t="n"/>
      <c r="C474" s="21">
        <f>IF(A474="","",SUMPRODUCT((('Metraj Mahal Listesi'!$A$5:$A$504=A474)+('Metraj Mahal Listesi'!$B$5:$B$504=A474)&gt;0)*'Metraj Mahal Listesi'!$K$5:$K$504))</f>
        <v/>
      </c>
      <c r="D474" s="27">
        <f>IF(OR(A474="",'Metraj Mahal Listesi'!$K$3=0),"",C474/'Metraj Mahal Listesi'!$K$3*100)</f>
        <v/>
      </c>
      <c r="E474" s="31">
        <f>IF(A474="","",SUMPRODUCT((('Metraj Mahal Listesi'!$A$5:$A$504=A474)+('Metraj Mahal Listesi'!$B$5:$B$504=A474)&gt;0)*('Metraj Mahal Listesi'!$C$5:$C$504&lt;&gt;"")))</f>
        <v/>
      </c>
      <c r="F474" s="31">
        <f>IF(A474="","",SUMPRODUCT((('Metraj Mahal Listesi'!$A$5:$A$504=A474)+('Metraj Mahal Listesi'!$B$5:$B$504=A474)&gt;0)*('Metraj Mahal Listesi'!$C$5:$C$504&lt;&gt;"")*(LEFT('Metraj Mahal Listesi'!$C$5:$C$504,1)&lt;&gt;"—")*('Metraj Mahal Listesi'!$F$5:$F$504="")))</f>
        <v/>
      </c>
      <c r="G474" s="31">
        <f>IF(A474="","",SUMPRODUCT((('Metraj Mahal Listesi'!$A$5:$A$504=A474)+('Metraj Mahal Listesi'!$B$5:$B$504=A474)&gt;0)*('Metraj Mahal Listesi'!$F$5:$F$504&lt;&gt;"")*(LEFT('Metraj Mahal Listesi'!$C$5:$C$504,1)&lt;&gt;"—")*('Metraj Mahal Listesi'!$J$5:$J$504=0)))</f>
        <v/>
      </c>
      <c r="H474" s="5" t="n"/>
    </row>
    <row r="475">
      <c r="A475" s="5" t="n"/>
      <c r="B475" s="5" t="n"/>
      <c r="C475" s="21">
        <f>IF(A475="","",SUMPRODUCT((('Metraj Mahal Listesi'!$A$5:$A$504=A475)+('Metraj Mahal Listesi'!$B$5:$B$504=A475)&gt;0)*'Metraj Mahal Listesi'!$K$5:$K$504))</f>
        <v/>
      </c>
      <c r="D475" s="27">
        <f>IF(OR(A475="",'Metraj Mahal Listesi'!$K$3=0),"",C475/'Metraj Mahal Listesi'!$K$3*100)</f>
        <v/>
      </c>
      <c r="E475" s="31">
        <f>IF(A475="","",SUMPRODUCT((('Metraj Mahal Listesi'!$A$5:$A$504=A475)+('Metraj Mahal Listesi'!$B$5:$B$504=A475)&gt;0)*('Metraj Mahal Listesi'!$C$5:$C$504&lt;&gt;"")))</f>
        <v/>
      </c>
      <c r="F475" s="31">
        <f>IF(A475="","",SUMPRODUCT((('Metraj Mahal Listesi'!$A$5:$A$504=A475)+('Metraj Mahal Listesi'!$B$5:$B$504=A475)&gt;0)*('Metraj Mahal Listesi'!$C$5:$C$504&lt;&gt;"")*(LEFT('Metraj Mahal Listesi'!$C$5:$C$504,1)&lt;&gt;"—")*('Metraj Mahal Listesi'!$F$5:$F$504="")))</f>
        <v/>
      </c>
      <c r="G475" s="31">
        <f>IF(A475="","",SUMPRODUCT((('Metraj Mahal Listesi'!$A$5:$A$504=A475)+('Metraj Mahal Listesi'!$B$5:$B$504=A475)&gt;0)*('Metraj Mahal Listesi'!$F$5:$F$504&lt;&gt;"")*(LEFT('Metraj Mahal Listesi'!$C$5:$C$504,1)&lt;&gt;"—")*('Metraj Mahal Listesi'!$J$5:$J$504=0)))</f>
        <v/>
      </c>
      <c r="H475" s="5" t="n"/>
    </row>
    <row r="476">
      <c r="A476" s="5" t="n"/>
      <c r="B476" s="5" t="n"/>
      <c r="C476" s="21">
        <f>IF(A476="","",SUMPRODUCT((('Metraj Mahal Listesi'!$A$5:$A$504=A476)+('Metraj Mahal Listesi'!$B$5:$B$504=A476)&gt;0)*'Metraj Mahal Listesi'!$K$5:$K$504))</f>
        <v/>
      </c>
      <c r="D476" s="27">
        <f>IF(OR(A476="",'Metraj Mahal Listesi'!$K$3=0),"",C476/'Metraj Mahal Listesi'!$K$3*100)</f>
        <v/>
      </c>
      <c r="E476" s="31">
        <f>IF(A476="","",SUMPRODUCT((('Metraj Mahal Listesi'!$A$5:$A$504=A476)+('Metraj Mahal Listesi'!$B$5:$B$504=A476)&gt;0)*('Metraj Mahal Listesi'!$C$5:$C$504&lt;&gt;"")))</f>
        <v/>
      </c>
      <c r="F476" s="31">
        <f>IF(A476="","",SUMPRODUCT((('Metraj Mahal Listesi'!$A$5:$A$504=A476)+('Metraj Mahal Listesi'!$B$5:$B$504=A476)&gt;0)*('Metraj Mahal Listesi'!$C$5:$C$504&lt;&gt;"")*(LEFT('Metraj Mahal Listesi'!$C$5:$C$504,1)&lt;&gt;"—")*('Metraj Mahal Listesi'!$F$5:$F$504="")))</f>
        <v/>
      </c>
      <c r="G476" s="31">
        <f>IF(A476="","",SUMPRODUCT((('Metraj Mahal Listesi'!$A$5:$A$504=A476)+('Metraj Mahal Listesi'!$B$5:$B$504=A476)&gt;0)*('Metraj Mahal Listesi'!$F$5:$F$504&lt;&gt;"")*(LEFT('Metraj Mahal Listesi'!$C$5:$C$504,1)&lt;&gt;"—")*('Metraj Mahal Listesi'!$J$5:$J$504=0)))</f>
        <v/>
      </c>
      <c r="H476" s="5" t="n"/>
    </row>
    <row r="477">
      <c r="A477" s="5" t="n"/>
      <c r="B477" s="5" t="n"/>
      <c r="C477" s="21">
        <f>IF(A477="","",SUMPRODUCT((('Metraj Mahal Listesi'!$A$5:$A$504=A477)+('Metraj Mahal Listesi'!$B$5:$B$504=A477)&gt;0)*'Metraj Mahal Listesi'!$K$5:$K$504))</f>
        <v/>
      </c>
      <c r="D477" s="27">
        <f>IF(OR(A477="",'Metraj Mahal Listesi'!$K$3=0),"",C477/'Metraj Mahal Listesi'!$K$3*100)</f>
        <v/>
      </c>
      <c r="E477" s="31">
        <f>IF(A477="","",SUMPRODUCT((('Metraj Mahal Listesi'!$A$5:$A$504=A477)+('Metraj Mahal Listesi'!$B$5:$B$504=A477)&gt;0)*('Metraj Mahal Listesi'!$C$5:$C$504&lt;&gt;"")))</f>
        <v/>
      </c>
      <c r="F477" s="31">
        <f>IF(A477="","",SUMPRODUCT((('Metraj Mahal Listesi'!$A$5:$A$504=A477)+('Metraj Mahal Listesi'!$B$5:$B$504=A477)&gt;0)*('Metraj Mahal Listesi'!$C$5:$C$504&lt;&gt;"")*(LEFT('Metraj Mahal Listesi'!$C$5:$C$504,1)&lt;&gt;"—")*('Metraj Mahal Listesi'!$F$5:$F$504="")))</f>
        <v/>
      </c>
      <c r="G477" s="31">
        <f>IF(A477="","",SUMPRODUCT((('Metraj Mahal Listesi'!$A$5:$A$504=A477)+('Metraj Mahal Listesi'!$B$5:$B$504=A477)&gt;0)*('Metraj Mahal Listesi'!$F$5:$F$504&lt;&gt;"")*(LEFT('Metraj Mahal Listesi'!$C$5:$C$504,1)&lt;&gt;"—")*('Metraj Mahal Listesi'!$J$5:$J$504=0)))</f>
        <v/>
      </c>
      <c r="H477" s="5" t="n"/>
    </row>
    <row r="478">
      <c r="A478" s="5" t="n"/>
      <c r="B478" s="5" t="n"/>
      <c r="C478" s="21">
        <f>IF(A478="","",SUMPRODUCT((('Metraj Mahal Listesi'!$A$5:$A$504=A478)+('Metraj Mahal Listesi'!$B$5:$B$504=A478)&gt;0)*'Metraj Mahal Listesi'!$K$5:$K$504))</f>
        <v/>
      </c>
      <c r="D478" s="27">
        <f>IF(OR(A478="",'Metraj Mahal Listesi'!$K$3=0),"",C478/'Metraj Mahal Listesi'!$K$3*100)</f>
        <v/>
      </c>
      <c r="E478" s="31">
        <f>IF(A478="","",SUMPRODUCT((('Metraj Mahal Listesi'!$A$5:$A$504=A478)+('Metraj Mahal Listesi'!$B$5:$B$504=A478)&gt;0)*('Metraj Mahal Listesi'!$C$5:$C$504&lt;&gt;"")))</f>
        <v/>
      </c>
      <c r="F478" s="31">
        <f>IF(A478="","",SUMPRODUCT((('Metraj Mahal Listesi'!$A$5:$A$504=A478)+('Metraj Mahal Listesi'!$B$5:$B$504=A478)&gt;0)*('Metraj Mahal Listesi'!$C$5:$C$504&lt;&gt;"")*(LEFT('Metraj Mahal Listesi'!$C$5:$C$504,1)&lt;&gt;"—")*('Metraj Mahal Listesi'!$F$5:$F$504="")))</f>
        <v/>
      </c>
      <c r="G478" s="31">
        <f>IF(A478="","",SUMPRODUCT((('Metraj Mahal Listesi'!$A$5:$A$504=A478)+('Metraj Mahal Listesi'!$B$5:$B$504=A478)&gt;0)*('Metraj Mahal Listesi'!$F$5:$F$504&lt;&gt;"")*(LEFT('Metraj Mahal Listesi'!$C$5:$C$504,1)&lt;&gt;"—")*('Metraj Mahal Listesi'!$J$5:$J$504=0)))</f>
        <v/>
      </c>
      <c r="H478" s="5" t="n"/>
    </row>
    <row r="479">
      <c r="A479" s="5" t="n"/>
      <c r="B479" s="5" t="n"/>
      <c r="C479" s="21">
        <f>IF(A479="","",SUMPRODUCT((('Metraj Mahal Listesi'!$A$5:$A$504=A479)+('Metraj Mahal Listesi'!$B$5:$B$504=A479)&gt;0)*'Metraj Mahal Listesi'!$K$5:$K$504))</f>
        <v/>
      </c>
      <c r="D479" s="27">
        <f>IF(OR(A479="",'Metraj Mahal Listesi'!$K$3=0),"",C479/'Metraj Mahal Listesi'!$K$3*100)</f>
        <v/>
      </c>
      <c r="E479" s="31">
        <f>IF(A479="","",SUMPRODUCT((('Metraj Mahal Listesi'!$A$5:$A$504=A479)+('Metraj Mahal Listesi'!$B$5:$B$504=A479)&gt;0)*('Metraj Mahal Listesi'!$C$5:$C$504&lt;&gt;"")))</f>
        <v/>
      </c>
      <c r="F479" s="31">
        <f>IF(A479="","",SUMPRODUCT((('Metraj Mahal Listesi'!$A$5:$A$504=A479)+('Metraj Mahal Listesi'!$B$5:$B$504=A479)&gt;0)*('Metraj Mahal Listesi'!$C$5:$C$504&lt;&gt;"")*(LEFT('Metraj Mahal Listesi'!$C$5:$C$504,1)&lt;&gt;"—")*('Metraj Mahal Listesi'!$F$5:$F$504="")))</f>
        <v/>
      </c>
      <c r="G479" s="31">
        <f>IF(A479="","",SUMPRODUCT((('Metraj Mahal Listesi'!$A$5:$A$504=A479)+('Metraj Mahal Listesi'!$B$5:$B$504=A479)&gt;0)*('Metraj Mahal Listesi'!$F$5:$F$504&lt;&gt;"")*(LEFT('Metraj Mahal Listesi'!$C$5:$C$504,1)&lt;&gt;"—")*('Metraj Mahal Listesi'!$J$5:$J$504=0)))</f>
        <v/>
      </c>
      <c r="H479" s="5" t="n"/>
    </row>
    <row r="480">
      <c r="A480" s="5" t="n"/>
      <c r="B480" s="5" t="n"/>
      <c r="C480" s="21">
        <f>IF(A480="","",SUMPRODUCT((('Metraj Mahal Listesi'!$A$5:$A$504=A480)+('Metraj Mahal Listesi'!$B$5:$B$504=A480)&gt;0)*'Metraj Mahal Listesi'!$K$5:$K$504))</f>
        <v/>
      </c>
      <c r="D480" s="27">
        <f>IF(OR(A480="",'Metraj Mahal Listesi'!$K$3=0),"",C480/'Metraj Mahal Listesi'!$K$3*100)</f>
        <v/>
      </c>
      <c r="E480" s="31">
        <f>IF(A480="","",SUMPRODUCT((('Metraj Mahal Listesi'!$A$5:$A$504=A480)+('Metraj Mahal Listesi'!$B$5:$B$504=A480)&gt;0)*('Metraj Mahal Listesi'!$C$5:$C$504&lt;&gt;"")))</f>
        <v/>
      </c>
      <c r="F480" s="31">
        <f>IF(A480="","",SUMPRODUCT((('Metraj Mahal Listesi'!$A$5:$A$504=A480)+('Metraj Mahal Listesi'!$B$5:$B$504=A480)&gt;0)*('Metraj Mahal Listesi'!$C$5:$C$504&lt;&gt;"")*(LEFT('Metraj Mahal Listesi'!$C$5:$C$504,1)&lt;&gt;"—")*('Metraj Mahal Listesi'!$F$5:$F$504="")))</f>
        <v/>
      </c>
      <c r="G480" s="31">
        <f>IF(A480="","",SUMPRODUCT((('Metraj Mahal Listesi'!$A$5:$A$504=A480)+('Metraj Mahal Listesi'!$B$5:$B$504=A480)&gt;0)*('Metraj Mahal Listesi'!$F$5:$F$504&lt;&gt;"")*(LEFT('Metraj Mahal Listesi'!$C$5:$C$504,1)&lt;&gt;"—")*('Metraj Mahal Listesi'!$J$5:$J$504=0)))</f>
        <v/>
      </c>
      <c r="H480" s="5" t="n"/>
    </row>
    <row r="481">
      <c r="A481" s="5" t="n"/>
      <c r="B481" s="5" t="n"/>
      <c r="C481" s="21">
        <f>IF(A481="","",SUMPRODUCT((('Metraj Mahal Listesi'!$A$5:$A$504=A481)+('Metraj Mahal Listesi'!$B$5:$B$504=A481)&gt;0)*'Metraj Mahal Listesi'!$K$5:$K$504))</f>
        <v/>
      </c>
      <c r="D481" s="27">
        <f>IF(OR(A481="",'Metraj Mahal Listesi'!$K$3=0),"",C481/'Metraj Mahal Listesi'!$K$3*100)</f>
        <v/>
      </c>
      <c r="E481" s="31">
        <f>IF(A481="","",SUMPRODUCT((('Metraj Mahal Listesi'!$A$5:$A$504=A481)+('Metraj Mahal Listesi'!$B$5:$B$504=A481)&gt;0)*('Metraj Mahal Listesi'!$C$5:$C$504&lt;&gt;"")))</f>
        <v/>
      </c>
      <c r="F481" s="31">
        <f>IF(A481="","",SUMPRODUCT((('Metraj Mahal Listesi'!$A$5:$A$504=A481)+('Metraj Mahal Listesi'!$B$5:$B$504=A481)&gt;0)*('Metraj Mahal Listesi'!$C$5:$C$504&lt;&gt;"")*(LEFT('Metraj Mahal Listesi'!$C$5:$C$504,1)&lt;&gt;"—")*('Metraj Mahal Listesi'!$F$5:$F$504="")))</f>
        <v/>
      </c>
      <c r="G481" s="31">
        <f>IF(A481="","",SUMPRODUCT((('Metraj Mahal Listesi'!$A$5:$A$504=A481)+('Metraj Mahal Listesi'!$B$5:$B$504=A481)&gt;0)*('Metraj Mahal Listesi'!$F$5:$F$504&lt;&gt;"")*(LEFT('Metraj Mahal Listesi'!$C$5:$C$504,1)&lt;&gt;"—")*('Metraj Mahal Listesi'!$J$5:$J$504=0)))</f>
        <v/>
      </c>
      <c r="H481" s="5" t="n"/>
    </row>
    <row r="482">
      <c r="A482" s="5" t="n"/>
      <c r="B482" s="5" t="n"/>
      <c r="C482" s="21">
        <f>IF(A482="","",SUMPRODUCT((('Metraj Mahal Listesi'!$A$5:$A$504=A482)+('Metraj Mahal Listesi'!$B$5:$B$504=A482)&gt;0)*'Metraj Mahal Listesi'!$K$5:$K$504))</f>
        <v/>
      </c>
      <c r="D482" s="27">
        <f>IF(OR(A482="",'Metraj Mahal Listesi'!$K$3=0),"",C482/'Metraj Mahal Listesi'!$K$3*100)</f>
        <v/>
      </c>
      <c r="E482" s="31">
        <f>IF(A482="","",SUMPRODUCT((('Metraj Mahal Listesi'!$A$5:$A$504=A482)+('Metraj Mahal Listesi'!$B$5:$B$504=A482)&gt;0)*('Metraj Mahal Listesi'!$C$5:$C$504&lt;&gt;"")))</f>
        <v/>
      </c>
      <c r="F482" s="31">
        <f>IF(A482="","",SUMPRODUCT((('Metraj Mahal Listesi'!$A$5:$A$504=A482)+('Metraj Mahal Listesi'!$B$5:$B$504=A482)&gt;0)*('Metraj Mahal Listesi'!$C$5:$C$504&lt;&gt;"")*(LEFT('Metraj Mahal Listesi'!$C$5:$C$504,1)&lt;&gt;"—")*('Metraj Mahal Listesi'!$F$5:$F$504="")))</f>
        <v/>
      </c>
      <c r="G482" s="31">
        <f>IF(A482="","",SUMPRODUCT((('Metraj Mahal Listesi'!$A$5:$A$504=A482)+('Metraj Mahal Listesi'!$B$5:$B$504=A482)&gt;0)*('Metraj Mahal Listesi'!$F$5:$F$504&lt;&gt;"")*(LEFT('Metraj Mahal Listesi'!$C$5:$C$504,1)&lt;&gt;"—")*('Metraj Mahal Listesi'!$J$5:$J$504=0)))</f>
        <v/>
      </c>
      <c r="H482" s="5" t="n"/>
    </row>
    <row r="483">
      <c r="A483" s="5" t="n"/>
      <c r="B483" s="5" t="n"/>
      <c r="C483" s="21">
        <f>IF(A483="","",SUMPRODUCT((('Metraj Mahal Listesi'!$A$5:$A$504=A483)+('Metraj Mahal Listesi'!$B$5:$B$504=A483)&gt;0)*'Metraj Mahal Listesi'!$K$5:$K$504))</f>
        <v/>
      </c>
      <c r="D483" s="27">
        <f>IF(OR(A483="",'Metraj Mahal Listesi'!$K$3=0),"",C483/'Metraj Mahal Listesi'!$K$3*100)</f>
        <v/>
      </c>
      <c r="E483" s="31">
        <f>IF(A483="","",SUMPRODUCT((('Metraj Mahal Listesi'!$A$5:$A$504=A483)+('Metraj Mahal Listesi'!$B$5:$B$504=A483)&gt;0)*('Metraj Mahal Listesi'!$C$5:$C$504&lt;&gt;"")))</f>
        <v/>
      </c>
      <c r="F483" s="31">
        <f>IF(A483="","",SUMPRODUCT((('Metraj Mahal Listesi'!$A$5:$A$504=A483)+('Metraj Mahal Listesi'!$B$5:$B$504=A483)&gt;0)*('Metraj Mahal Listesi'!$C$5:$C$504&lt;&gt;"")*(LEFT('Metraj Mahal Listesi'!$C$5:$C$504,1)&lt;&gt;"—")*('Metraj Mahal Listesi'!$F$5:$F$504="")))</f>
        <v/>
      </c>
      <c r="G483" s="31">
        <f>IF(A483="","",SUMPRODUCT((('Metraj Mahal Listesi'!$A$5:$A$504=A483)+('Metraj Mahal Listesi'!$B$5:$B$504=A483)&gt;0)*('Metraj Mahal Listesi'!$F$5:$F$504&lt;&gt;"")*(LEFT('Metraj Mahal Listesi'!$C$5:$C$504,1)&lt;&gt;"—")*('Metraj Mahal Listesi'!$J$5:$J$504=0)))</f>
        <v/>
      </c>
      <c r="H483" s="5" t="n"/>
    </row>
    <row r="484">
      <c r="A484" s="5" t="n"/>
      <c r="B484" s="5" t="n"/>
      <c r="C484" s="21">
        <f>IF(A484="","",SUMPRODUCT((('Metraj Mahal Listesi'!$A$5:$A$504=A484)+('Metraj Mahal Listesi'!$B$5:$B$504=A484)&gt;0)*'Metraj Mahal Listesi'!$K$5:$K$504))</f>
        <v/>
      </c>
      <c r="D484" s="27">
        <f>IF(OR(A484="",'Metraj Mahal Listesi'!$K$3=0),"",C484/'Metraj Mahal Listesi'!$K$3*100)</f>
        <v/>
      </c>
      <c r="E484" s="31">
        <f>IF(A484="","",SUMPRODUCT((('Metraj Mahal Listesi'!$A$5:$A$504=A484)+('Metraj Mahal Listesi'!$B$5:$B$504=A484)&gt;0)*('Metraj Mahal Listesi'!$C$5:$C$504&lt;&gt;"")))</f>
        <v/>
      </c>
      <c r="F484" s="31">
        <f>IF(A484="","",SUMPRODUCT((('Metraj Mahal Listesi'!$A$5:$A$504=A484)+('Metraj Mahal Listesi'!$B$5:$B$504=A484)&gt;0)*('Metraj Mahal Listesi'!$C$5:$C$504&lt;&gt;"")*(LEFT('Metraj Mahal Listesi'!$C$5:$C$504,1)&lt;&gt;"—")*('Metraj Mahal Listesi'!$F$5:$F$504="")))</f>
        <v/>
      </c>
      <c r="G484" s="31">
        <f>IF(A484="","",SUMPRODUCT((('Metraj Mahal Listesi'!$A$5:$A$504=A484)+('Metraj Mahal Listesi'!$B$5:$B$504=A484)&gt;0)*('Metraj Mahal Listesi'!$F$5:$F$504&lt;&gt;"")*(LEFT('Metraj Mahal Listesi'!$C$5:$C$504,1)&lt;&gt;"—")*('Metraj Mahal Listesi'!$J$5:$J$504=0)))</f>
        <v/>
      </c>
      <c r="H484" s="5" t="n"/>
    </row>
    <row r="485">
      <c r="A485" s="5" t="n"/>
      <c r="B485" s="5" t="n"/>
      <c r="C485" s="21">
        <f>IF(A485="","",SUMPRODUCT((('Metraj Mahal Listesi'!$A$5:$A$504=A485)+('Metraj Mahal Listesi'!$B$5:$B$504=A485)&gt;0)*'Metraj Mahal Listesi'!$K$5:$K$504))</f>
        <v/>
      </c>
      <c r="D485" s="27">
        <f>IF(OR(A485="",'Metraj Mahal Listesi'!$K$3=0),"",C485/'Metraj Mahal Listesi'!$K$3*100)</f>
        <v/>
      </c>
      <c r="E485" s="31">
        <f>IF(A485="","",SUMPRODUCT((('Metraj Mahal Listesi'!$A$5:$A$504=A485)+('Metraj Mahal Listesi'!$B$5:$B$504=A485)&gt;0)*('Metraj Mahal Listesi'!$C$5:$C$504&lt;&gt;"")))</f>
        <v/>
      </c>
      <c r="F485" s="31">
        <f>IF(A485="","",SUMPRODUCT((('Metraj Mahal Listesi'!$A$5:$A$504=A485)+('Metraj Mahal Listesi'!$B$5:$B$504=A485)&gt;0)*('Metraj Mahal Listesi'!$C$5:$C$504&lt;&gt;"")*(LEFT('Metraj Mahal Listesi'!$C$5:$C$504,1)&lt;&gt;"—")*('Metraj Mahal Listesi'!$F$5:$F$504="")))</f>
        <v/>
      </c>
      <c r="G485" s="31">
        <f>IF(A485="","",SUMPRODUCT((('Metraj Mahal Listesi'!$A$5:$A$504=A485)+('Metraj Mahal Listesi'!$B$5:$B$504=A485)&gt;0)*('Metraj Mahal Listesi'!$F$5:$F$504&lt;&gt;"")*(LEFT('Metraj Mahal Listesi'!$C$5:$C$504,1)&lt;&gt;"—")*('Metraj Mahal Listesi'!$J$5:$J$504=0)))</f>
        <v/>
      </c>
      <c r="H485" s="5" t="n"/>
    </row>
    <row r="486">
      <c r="A486" s="5" t="n"/>
      <c r="B486" s="5" t="n"/>
      <c r="C486" s="21">
        <f>IF(A486="","",SUMPRODUCT((('Metraj Mahal Listesi'!$A$5:$A$504=A486)+('Metraj Mahal Listesi'!$B$5:$B$504=A486)&gt;0)*'Metraj Mahal Listesi'!$K$5:$K$504))</f>
        <v/>
      </c>
      <c r="D486" s="27">
        <f>IF(OR(A486="",'Metraj Mahal Listesi'!$K$3=0),"",C486/'Metraj Mahal Listesi'!$K$3*100)</f>
        <v/>
      </c>
      <c r="E486" s="31">
        <f>IF(A486="","",SUMPRODUCT((('Metraj Mahal Listesi'!$A$5:$A$504=A486)+('Metraj Mahal Listesi'!$B$5:$B$504=A486)&gt;0)*('Metraj Mahal Listesi'!$C$5:$C$504&lt;&gt;"")))</f>
        <v/>
      </c>
      <c r="F486" s="31">
        <f>IF(A486="","",SUMPRODUCT((('Metraj Mahal Listesi'!$A$5:$A$504=A486)+('Metraj Mahal Listesi'!$B$5:$B$504=A486)&gt;0)*('Metraj Mahal Listesi'!$C$5:$C$504&lt;&gt;"")*(LEFT('Metraj Mahal Listesi'!$C$5:$C$504,1)&lt;&gt;"—")*('Metraj Mahal Listesi'!$F$5:$F$504="")))</f>
        <v/>
      </c>
      <c r="G486" s="31">
        <f>IF(A486="","",SUMPRODUCT((('Metraj Mahal Listesi'!$A$5:$A$504=A486)+('Metraj Mahal Listesi'!$B$5:$B$504=A486)&gt;0)*('Metraj Mahal Listesi'!$F$5:$F$504&lt;&gt;"")*(LEFT('Metraj Mahal Listesi'!$C$5:$C$504,1)&lt;&gt;"—")*('Metraj Mahal Listesi'!$J$5:$J$504=0)))</f>
        <v/>
      </c>
      <c r="H486" s="5" t="n"/>
    </row>
    <row r="487">
      <c r="A487" s="5" t="n"/>
      <c r="B487" s="5" t="n"/>
      <c r="C487" s="21">
        <f>IF(A487="","",SUMPRODUCT((('Metraj Mahal Listesi'!$A$5:$A$504=A487)+('Metraj Mahal Listesi'!$B$5:$B$504=A487)&gt;0)*'Metraj Mahal Listesi'!$K$5:$K$504))</f>
        <v/>
      </c>
      <c r="D487" s="27">
        <f>IF(OR(A487="",'Metraj Mahal Listesi'!$K$3=0),"",C487/'Metraj Mahal Listesi'!$K$3*100)</f>
        <v/>
      </c>
      <c r="E487" s="31">
        <f>IF(A487="","",SUMPRODUCT((('Metraj Mahal Listesi'!$A$5:$A$504=A487)+('Metraj Mahal Listesi'!$B$5:$B$504=A487)&gt;0)*('Metraj Mahal Listesi'!$C$5:$C$504&lt;&gt;"")))</f>
        <v/>
      </c>
      <c r="F487" s="31">
        <f>IF(A487="","",SUMPRODUCT((('Metraj Mahal Listesi'!$A$5:$A$504=A487)+('Metraj Mahal Listesi'!$B$5:$B$504=A487)&gt;0)*('Metraj Mahal Listesi'!$C$5:$C$504&lt;&gt;"")*(LEFT('Metraj Mahal Listesi'!$C$5:$C$504,1)&lt;&gt;"—")*('Metraj Mahal Listesi'!$F$5:$F$504="")))</f>
        <v/>
      </c>
      <c r="G487" s="31">
        <f>IF(A487="","",SUMPRODUCT((('Metraj Mahal Listesi'!$A$5:$A$504=A487)+('Metraj Mahal Listesi'!$B$5:$B$504=A487)&gt;0)*('Metraj Mahal Listesi'!$F$5:$F$504&lt;&gt;"")*(LEFT('Metraj Mahal Listesi'!$C$5:$C$504,1)&lt;&gt;"—")*('Metraj Mahal Listesi'!$J$5:$J$504=0)))</f>
        <v/>
      </c>
      <c r="H487" s="5" t="n"/>
    </row>
    <row r="488">
      <c r="A488" s="5" t="n"/>
      <c r="B488" s="5" t="n"/>
      <c r="C488" s="21">
        <f>IF(A488="","",SUMPRODUCT((('Metraj Mahal Listesi'!$A$5:$A$504=A488)+('Metraj Mahal Listesi'!$B$5:$B$504=A488)&gt;0)*'Metraj Mahal Listesi'!$K$5:$K$504))</f>
        <v/>
      </c>
      <c r="D488" s="27">
        <f>IF(OR(A488="",'Metraj Mahal Listesi'!$K$3=0),"",C488/'Metraj Mahal Listesi'!$K$3*100)</f>
        <v/>
      </c>
      <c r="E488" s="31">
        <f>IF(A488="","",SUMPRODUCT((('Metraj Mahal Listesi'!$A$5:$A$504=A488)+('Metraj Mahal Listesi'!$B$5:$B$504=A488)&gt;0)*('Metraj Mahal Listesi'!$C$5:$C$504&lt;&gt;"")))</f>
        <v/>
      </c>
      <c r="F488" s="31">
        <f>IF(A488="","",SUMPRODUCT((('Metraj Mahal Listesi'!$A$5:$A$504=A488)+('Metraj Mahal Listesi'!$B$5:$B$504=A488)&gt;0)*('Metraj Mahal Listesi'!$C$5:$C$504&lt;&gt;"")*(LEFT('Metraj Mahal Listesi'!$C$5:$C$504,1)&lt;&gt;"—")*('Metraj Mahal Listesi'!$F$5:$F$504="")))</f>
        <v/>
      </c>
      <c r="G488" s="31">
        <f>IF(A488="","",SUMPRODUCT((('Metraj Mahal Listesi'!$A$5:$A$504=A488)+('Metraj Mahal Listesi'!$B$5:$B$504=A488)&gt;0)*('Metraj Mahal Listesi'!$F$5:$F$504&lt;&gt;"")*(LEFT('Metraj Mahal Listesi'!$C$5:$C$504,1)&lt;&gt;"—")*('Metraj Mahal Listesi'!$J$5:$J$504=0)))</f>
        <v/>
      </c>
      <c r="H488" s="5" t="n"/>
    </row>
    <row r="489">
      <c r="A489" s="5" t="n"/>
      <c r="B489" s="5" t="n"/>
      <c r="C489" s="21">
        <f>IF(A489="","",SUMPRODUCT((('Metraj Mahal Listesi'!$A$5:$A$504=A489)+('Metraj Mahal Listesi'!$B$5:$B$504=A489)&gt;0)*'Metraj Mahal Listesi'!$K$5:$K$504))</f>
        <v/>
      </c>
      <c r="D489" s="27">
        <f>IF(OR(A489="",'Metraj Mahal Listesi'!$K$3=0),"",C489/'Metraj Mahal Listesi'!$K$3*100)</f>
        <v/>
      </c>
      <c r="E489" s="31">
        <f>IF(A489="","",SUMPRODUCT((('Metraj Mahal Listesi'!$A$5:$A$504=A489)+('Metraj Mahal Listesi'!$B$5:$B$504=A489)&gt;0)*('Metraj Mahal Listesi'!$C$5:$C$504&lt;&gt;"")))</f>
        <v/>
      </c>
      <c r="F489" s="31">
        <f>IF(A489="","",SUMPRODUCT((('Metraj Mahal Listesi'!$A$5:$A$504=A489)+('Metraj Mahal Listesi'!$B$5:$B$504=A489)&gt;0)*('Metraj Mahal Listesi'!$C$5:$C$504&lt;&gt;"")*(LEFT('Metraj Mahal Listesi'!$C$5:$C$504,1)&lt;&gt;"—")*('Metraj Mahal Listesi'!$F$5:$F$504="")))</f>
        <v/>
      </c>
      <c r="G489" s="31">
        <f>IF(A489="","",SUMPRODUCT((('Metraj Mahal Listesi'!$A$5:$A$504=A489)+('Metraj Mahal Listesi'!$B$5:$B$504=A489)&gt;0)*('Metraj Mahal Listesi'!$F$5:$F$504&lt;&gt;"")*(LEFT('Metraj Mahal Listesi'!$C$5:$C$504,1)&lt;&gt;"—")*('Metraj Mahal Listesi'!$J$5:$J$504=0)))</f>
        <v/>
      </c>
      <c r="H489" s="5" t="n"/>
    </row>
    <row r="490">
      <c r="A490" s="5" t="n"/>
      <c r="B490" s="5" t="n"/>
      <c r="C490" s="21">
        <f>IF(A490="","",SUMPRODUCT((('Metraj Mahal Listesi'!$A$5:$A$504=A490)+('Metraj Mahal Listesi'!$B$5:$B$504=A490)&gt;0)*'Metraj Mahal Listesi'!$K$5:$K$504))</f>
        <v/>
      </c>
      <c r="D490" s="27">
        <f>IF(OR(A490="",'Metraj Mahal Listesi'!$K$3=0),"",C490/'Metraj Mahal Listesi'!$K$3*100)</f>
        <v/>
      </c>
      <c r="E490" s="31">
        <f>IF(A490="","",SUMPRODUCT((('Metraj Mahal Listesi'!$A$5:$A$504=A490)+('Metraj Mahal Listesi'!$B$5:$B$504=A490)&gt;0)*('Metraj Mahal Listesi'!$C$5:$C$504&lt;&gt;"")))</f>
        <v/>
      </c>
      <c r="F490" s="31">
        <f>IF(A490="","",SUMPRODUCT((('Metraj Mahal Listesi'!$A$5:$A$504=A490)+('Metraj Mahal Listesi'!$B$5:$B$504=A490)&gt;0)*('Metraj Mahal Listesi'!$C$5:$C$504&lt;&gt;"")*(LEFT('Metraj Mahal Listesi'!$C$5:$C$504,1)&lt;&gt;"—")*('Metraj Mahal Listesi'!$F$5:$F$504="")))</f>
        <v/>
      </c>
      <c r="G490" s="31">
        <f>IF(A490="","",SUMPRODUCT((('Metraj Mahal Listesi'!$A$5:$A$504=A490)+('Metraj Mahal Listesi'!$B$5:$B$504=A490)&gt;0)*('Metraj Mahal Listesi'!$F$5:$F$504&lt;&gt;"")*(LEFT('Metraj Mahal Listesi'!$C$5:$C$504,1)&lt;&gt;"—")*('Metraj Mahal Listesi'!$J$5:$J$504=0)))</f>
        <v/>
      </c>
      <c r="H490" s="5" t="n"/>
    </row>
    <row r="491">
      <c r="A491" s="5" t="n"/>
      <c r="B491" s="5" t="n"/>
      <c r="C491" s="21">
        <f>IF(A491="","",SUMPRODUCT((('Metraj Mahal Listesi'!$A$5:$A$504=A491)+('Metraj Mahal Listesi'!$B$5:$B$504=A491)&gt;0)*'Metraj Mahal Listesi'!$K$5:$K$504))</f>
        <v/>
      </c>
      <c r="D491" s="27">
        <f>IF(OR(A491="",'Metraj Mahal Listesi'!$K$3=0),"",C491/'Metraj Mahal Listesi'!$K$3*100)</f>
        <v/>
      </c>
      <c r="E491" s="31">
        <f>IF(A491="","",SUMPRODUCT((('Metraj Mahal Listesi'!$A$5:$A$504=A491)+('Metraj Mahal Listesi'!$B$5:$B$504=A491)&gt;0)*('Metraj Mahal Listesi'!$C$5:$C$504&lt;&gt;"")))</f>
        <v/>
      </c>
      <c r="F491" s="31">
        <f>IF(A491="","",SUMPRODUCT((('Metraj Mahal Listesi'!$A$5:$A$504=A491)+('Metraj Mahal Listesi'!$B$5:$B$504=A491)&gt;0)*('Metraj Mahal Listesi'!$C$5:$C$504&lt;&gt;"")*(LEFT('Metraj Mahal Listesi'!$C$5:$C$504,1)&lt;&gt;"—")*('Metraj Mahal Listesi'!$F$5:$F$504="")))</f>
        <v/>
      </c>
      <c r="G491" s="31">
        <f>IF(A491="","",SUMPRODUCT((('Metraj Mahal Listesi'!$A$5:$A$504=A491)+('Metraj Mahal Listesi'!$B$5:$B$504=A491)&gt;0)*('Metraj Mahal Listesi'!$F$5:$F$504&lt;&gt;"")*(LEFT('Metraj Mahal Listesi'!$C$5:$C$504,1)&lt;&gt;"—")*('Metraj Mahal Listesi'!$J$5:$J$504=0)))</f>
        <v/>
      </c>
      <c r="H491" s="5" t="n"/>
    </row>
    <row r="492">
      <c r="A492" s="5" t="n"/>
      <c r="B492" s="5" t="n"/>
      <c r="C492" s="21">
        <f>IF(A492="","",SUMPRODUCT((('Metraj Mahal Listesi'!$A$5:$A$504=A492)+('Metraj Mahal Listesi'!$B$5:$B$504=A492)&gt;0)*'Metraj Mahal Listesi'!$K$5:$K$504))</f>
        <v/>
      </c>
      <c r="D492" s="27">
        <f>IF(OR(A492="",'Metraj Mahal Listesi'!$K$3=0),"",C492/'Metraj Mahal Listesi'!$K$3*100)</f>
        <v/>
      </c>
      <c r="E492" s="31">
        <f>IF(A492="","",SUMPRODUCT((('Metraj Mahal Listesi'!$A$5:$A$504=A492)+('Metraj Mahal Listesi'!$B$5:$B$504=A492)&gt;0)*('Metraj Mahal Listesi'!$C$5:$C$504&lt;&gt;"")))</f>
        <v/>
      </c>
      <c r="F492" s="31">
        <f>IF(A492="","",SUMPRODUCT((('Metraj Mahal Listesi'!$A$5:$A$504=A492)+('Metraj Mahal Listesi'!$B$5:$B$504=A492)&gt;0)*('Metraj Mahal Listesi'!$C$5:$C$504&lt;&gt;"")*(LEFT('Metraj Mahal Listesi'!$C$5:$C$504,1)&lt;&gt;"—")*('Metraj Mahal Listesi'!$F$5:$F$504="")))</f>
        <v/>
      </c>
      <c r="G492" s="31">
        <f>IF(A492="","",SUMPRODUCT((('Metraj Mahal Listesi'!$A$5:$A$504=A492)+('Metraj Mahal Listesi'!$B$5:$B$504=A492)&gt;0)*('Metraj Mahal Listesi'!$F$5:$F$504&lt;&gt;"")*(LEFT('Metraj Mahal Listesi'!$C$5:$C$504,1)&lt;&gt;"—")*('Metraj Mahal Listesi'!$J$5:$J$504=0)))</f>
        <v/>
      </c>
      <c r="H492" s="5" t="n"/>
    </row>
    <row r="493">
      <c r="A493" s="5" t="n"/>
      <c r="B493" s="5" t="n"/>
      <c r="C493" s="21">
        <f>IF(A493="","",SUMPRODUCT((('Metraj Mahal Listesi'!$A$5:$A$504=A493)+('Metraj Mahal Listesi'!$B$5:$B$504=A493)&gt;0)*'Metraj Mahal Listesi'!$K$5:$K$504))</f>
        <v/>
      </c>
      <c r="D493" s="27">
        <f>IF(OR(A493="",'Metraj Mahal Listesi'!$K$3=0),"",C493/'Metraj Mahal Listesi'!$K$3*100)</f>
        <v/>
      </c>
      <c r="E493" s="31">
        <f>IF(A493="","",SUMPRODUCT((('Metraj Mahal Listesi'!$A$5:$A$504=A493)+('Metraj Mahal Listesi'!$B$5:$B$504=A493)&gt;0)*('Metraj Mahal Listesi'!$C$5:$C$504&lt;&gt;"")))</f>
        <v/>
      </c>
      <c r="F493" s="31">
        <f>IF(A493="","",SUMPRODUCT((('Metraj Mahal Listesi'!$A$5:$A$504=A493)+('Metraj Mahal Listesi'!$B$5:$B$504=A493)&gt;0)*('Metraj Mahal Listesi'!$C$5:$C$504&lt;&gt;"")*(LEFT('Metraj Mahal Listesi'!$C$5:$C$504,1)&lt;&gt;"—")*('Metraj Mahal Listesi'!$F$5:$F$504="")))</f>
        <v/>
      </c>
      <c r="G493" s="31">
        <f>IF(A493="","",SUMPRODUCT((('Metraj Mahal Listesi'!$A$5:$A$504=A493)+('Metraj Mahal Listesi'!$B$5:$B$504=A493)&gt;0)*('Metraj Mahal Listesi'!$F$5:$F$504&lt;&gt;"")*(LEFT('Metraj Mahal Listesi'!$C$5:$C$504,1)&lt;&gt;"—")*('Metraj Mahal Listesi'!$J$5:$J$504=0)))</f>
        <v/>
      </c>
      <c r="H493" s="5" t="n"/>
    </row>
    <row r="494">
      <c r="A494" s="5" t="n"/>
      <c r="B494" s="5" t="n"/>
      <c r="C494" s="21">
        <f>IF(A494="","",SUMPRODUCT((('Metraj Mahal Listesi'!$A$5:$A$504=A494)+('Metraj Mahal Listesi'!$B$5:$B$504=A494)&gt;0)*'Metraj Mahal Listesi'!$K$5:$K$504))</f>
        <v/>
      </c>
      <c r="D494" s="27">
        <f>IF(OR(A494="",'Metraj Mahal Listesi'!$K$3=0),"",C494/'Metraj Mahal Listesi'!$K$3*100)</f>
        <v/>
      </c>
      <c r="E494" s="31">
        <f>IF(A494="","",SUMPRODUCT((('Metraj Mahal Listesi'!$A$5:$A$504=A494)+('Metraj Mahal Listesi'!$B$5:$B$504=A494)&gt;0)*('Metraj Mahal Listesi'!$C$5:$C$504&lt;&gt;"")))</f>
        <v/>
      </c>
      <c r="F494" s="31">
        <f>IF(A494="","",SUMPRODUCT((('Metraj Mahal Listesi'!$A$5:$A$504=A494)+('Metraj Mahal Listesi'!$B$5:$B$504=A494)&gt;0)*('Metraj Mahal Listesi'!$C$5:$C$504&lt;&gt;"")*(LEFT('Metraj Mahal Listesi'!$C$5:$C$504,1)&lt;&gt;"—")*('Metraj Mahal Listesi'!$F$5:$F$504="")))</f>
        <v/>
      </c>
      <c r="G494" s="31">
        <f>IF(A494="","",SUMPRODUCT((('Metraj Mahal Listesi'!$A$5:$A$504=A494)+('Metraj Mahal Listesi'!$B$5:$B$504=A494)&gt;0)*('Metraj Mahal Listesi'!$F$5:$F$504&lt;&gt;"")*(LEFT('Metraj Mahal Listesi'!$C$5:$C$504,1)&lt;&gt;"—")*('Metraj Mahal Listesi'!$J$5:$J$504=0)))</f>
        <v/>
      </c>
      <c r="H494" s="5" t="n"/>
    </row>
    <row r="495">
      <c r="A495" s="5" t="n"/>
      <c r="B495" s="5" t="n"/>
      <c r="C495" s="21">
        <f>IF(A495="","",SUMPRODUCT((('Metraj Mahal Listesi'!$A$5:$A$504=A495)+('Metraj Mahal Listesi'!$B$5:$B$504=A495)&gt;0)*'Metraj Mahal Listesi'!$K$5:$K$504))</f>
        <v/>
      </c>
      <c r="D495" s="27">
        <f>IF(OR(A495="",'Metraj Mahal Listesi'!$K$3=0),"",C495/'Metraj Mahal Listesi'!$K$3*100)</f>
        <v/>
      </c>
      <c r="E495" s="31">
        <f>IF(A495="","",SUMPRODUCT((('Metraj Mahal Listesi'!$A$5:$A$504=A495)+('Metraj Mahal Listesi'!$B$5:$B$504=A495)&gt;0)*('Metraj Mahal Listesi'!$C$5:$C$504&lt;&gt;"")))</f>
        <v/>
      </c>
      <c r="F495" s="31">
        <f>IF(A495="","",SUMPRODUCT((('Metraj Mahal Listesi'!$A$5:$A$504=A495)+('Metraj Mahal Listesi'!$B$5:$B$504=A495)&gt;0)*('Metraj Mahal Listesi'!$C$5:$C$504&lt;&gt;"")*(LEFT('Metraj Mahal Listesi'!$C$5:$C$504,1)&lt;&gt;"—")*('Metraj Mahal Listesi'!$F$5:$F$504="")))</f>
        <v/>
      </c>
      <c r="G495" s="31">
        <f>IF(A495="","",SUMPRODUCT((('Metraj Mahal Listesi'!$A$5:$A$504=A495)+('Metraj Mahal Listesi'!$B$5:$B$504=A495)&gt;0)*('Metraj Mahal Listesi'!$F$5:$F$504&lt;&gt;"")*(LEFT('Metraj Mahal Listesi'!$C$5:$C$504,1)&lt;&gt;"—")*('Metraj Mahal Listesi'!$J$5:$J$504=0)))</f>
        <v/>
      </c>
      <c r="H495" s="5" t="n"/>
    </row>
    <row r="496">
      <c r="A496" s="5" t="n"/>
      <c r="B496" s="5" t="n"/>
      <c r="C496" s="21">
        <f>IF(A496="","",SUMPRODUCT((('Metraj Mahal Listesi'!$A$5:$A$504=A496)+('Metraj Mahal Listesi'!$B$5:$B$504=A496)&gt;0)*'Metraj Mahal Listesi'!$K$5:$K$504))</f>
        <v/>
      </c>
      <c r="D496" s="27">
        <f>IF(OR(A496="",'Metraj Mahal Listesi'!$K$3=0),"",C496/'Metraj Mahal Listesi'!$K$3*100)</f>
        <v/>
      </c>
      <c r="E496" s="31">
        <f>IF(A496="","",SUMPRODUCT((('Metraj Mahal Listesi'!$A$5:$A$504=A496)+('Metraj Mahal Listesi'!$B$5:$B$504=A496)&gt;0)*('Metraj Mahal Listesi'!$C$5:$C$504&lt;&gt;"")))</f>
        <v/>
      </c>
      <c r="F496" s="31">
        <f>IF(A496="","",SUMPRODUCT((('Metraj Mahal Listesi'!$A$5:$A$504=A496)+('Metraj Mahal Listesi'!$B$5:$B$504=A496)&gt;0)*('Metraj Mahal Listesi'!$C$5:$C$504&lt;&gt;"")*(LEFT('Metraj Mahal Listesi'!$C$5:$C$504,1)&lt;&gt;"—")*('Metraj Mahal Listesi'!$F$5:$F$504="")))</f>
        <v/>
      </c>
      <c r="G496" s="31">
        <f>IF(A496="","",SUMPRODUCT((('Metraj Mahal Listesi'!$A$5:$A$504=A496)+('Metraj Mahal Listesi'!$B$5:$B$504=A496)&gt;0)*('Metraj Mahal Listesi'!$F$5:$F$504&lt;&gt;"")*(LEFT('Metraj Mahal Listesi'!$C$5:$C$504,1)&lt;&gt;"—")*('Metraj Mahal Listesi'!$J$5:$J$504=0)))</f>
        <v/>
      </c>
      <c r="H496" s="5" t="n"/>
    </row>
    <row r="497">
      <c r="A497" s="5" t="n"/>
      <c r="B497" s="5" t="n"/>
      <c r="C497" s="21">
        <f>IF(A497="","",SUMPRODUCT((('Metraj Mahal Listesi'!$A$5:$A$504=A497)+('Metraj Mahal Listesi'!$B$5:$B$504=A497)&gt;0)*'Metraj Mahal Listesi'!$K$5:$K$504))</f>
        <v/>
      </c>
      <c r="D497" s="27">
        <f>IF(OR(A497="",'Metraj Mahal Listesi'!$K$3=0),"",C497/'Metraj Mahal Listesi'!$K$3*100)</f>
        <v/>
      </c>
      <c r="E497" s="31">
        <f>IF(A497="","",SUMPRODUCT((('Metraj Mahal Listesi'!$A$5:$A$504=A497)+('Metraj Mahal Listesi'!$B$5:$B$504=A497)&gt;0)*('Metraj Mahal Listesi'!$C$5:$C$504&lt;&gt;"")))</f>
        <v/>
      </c>
      <c r="F497" s="31">
        <f>IF(A497="","",SUMPRODUCT((('Metraj Mahal Listesi'!$A$5:$A$504=A497)+('Metraj Mahal Listesi'!$B$5:$B$504=A497)&gt;0)*('Metraj Mahal Listesi'!$C$5:$C$504&lt;&gt;"")*(LEFT('Metraj Mahal Listesi'!$C$5:$C$504,1)&lt;&gt;"—")*('Metraj Mahal Listesi'!$F$5:$F$504="")))</f>
        <v/>
      </c>
      <c r="G497" s="31">
        <f>IF(A497="","",SUMPRODUCT((('Metraj Mahal Listesi'!$A$5:$A$504=A497)+('Metraj Mahal Listesi'!$B$5:$B$504=A497)&gt;0)*('Metraj Mahal Listesi'!$F$5:$F$504&lt;&gt;"")*(LEFT('Metraj Mahal Listesi'!$C$5:$C$504,1)&lt;&gt;"—")*('Metraj Mahal Listesi'!$J$5:$J$504=0)))</f>
        <v/>
      </c>
      <c r="H497" s="5" t="n"/>
    </row>
    <row r="498">
      <c r="A498" s="5" t="n"/>
      <c r="B498" s="5" t="n"/>
      <c r="C498" s="21">
        <f>IF(A498="","",SUMPRODUCT((('Metraj Mahal Listesi'!$A$5:$A$504=A498)+('Metraj Mahal Listesi'!$B$5:$B$504=A498)&gt;0)*'Metraj Mahal Listesi'!$K$5:$K$504))</f>
        <v/>
      </c>
      <c r="D498" s="27">
        <f>IF(OR(A498="",'Metraj Mahal Listesi'!$K$3=0),"",C498/'Metraj Mahal Listesi'!$K$3*100)</f>
        <v/>
      </c>
      <c r="E498" s="31">
        <f>IF(A498="","",SUMPRODUCT((('Metraj Mahal Listesi'!$A$5:$A$504=A498)+('Metraj Mahal Listesi'!$B$5:$B$504=A498)&gt;0)*('Metraj Mahal Listesi'!$C$5:$C$504&lt;&gt;"")))</f>
        <v/>
      </c>
      <c r="F498" s="31">
        <f>IF(A498="","",SUMPRODUCT((('Metraj Mahal Listesi'!$A$5:$A$504=A498)+('Metraj Mahal Listesi'!$B$5:$B$504=A498)&gt;0)*('Metraj Mahal Listesi'!$C$5:$C$504&lt;&gt;"")*(LEFT('Metraj Mahal Listesi'!$C$5:$C$504,1)&lt;&gt;"—")*('Metraj Mahal Listesi'!$F$5:$F$504="")))</f>
        <v/>
      </c>
      <c r="G498" s="31">
        <f>IF(A498="","",SUMPRODUCT((('Metraj Mahal Listesi'!$A$5:$A$504=A498)+('Metraj Mahal Listesi'!$B$5:$B$504=A498)&gt;0)*('Metraj Mahal Listesi'!$F$5:$F$504&lt;&gt;"")*(LEFT('Metraj Mahal Listesi'!$C$5:$C$504,1)&lt;&gt;"—")*('Metraj Mahal Listesi'!$J$5:$J$504=0)))</f>
        <v/>
      </c>
      <c r="H498" s="5" t="n"/>
    </row>
    <row r="499">
      <c r="A499" s="5" t="n"/>
      <c r="B499" s="5" t="n"/>
      <c r="C499" s="21">
        <f>IF(A499="","",SUMPRODUCT((('Metraj Mahal Listesi'!$A$5:$A$504=A499)+('Metraj Mahal Listesi'!$B$5:$B$504=A499)&gt;0)*'Metraj Mahal Listesi'!$K$5:$K$504))</f>
        <v/>
      </c>
      <c r="D499" s="27">
        <f>IF(OR(A499="",'Metraj Mahal Listesi'!$K$3=0),"",C499/'Metraj Mahal Listesi'!$K$3*100)</f>
        <v/>
      </c>
      <c r="E499" s="31">
        <f>IF(A499="","",SUMPRODUCT((('Metraj Mahal Listesi'!$A$5:$A$504=A499)+('Metraj Mahal Listesi'!$B$5:$B$504=A499)&gt;0)*('Metraj Mahal Listesi'!$C$5:$C$504&lt;&gt;"")))</f>
        <v/>
      </c>
      <c r="F499" s="31">
        <f>IF(A499="","",SUMPRODUCT((('Metraj Mahal Listesi'!$A$5:$A$504=A499)+('Metraj Mahal Listesi'!$B$5:$B$504=A499)&gt;0)*('Metraj Mahal Listesi'!$C$5:$C$504&lt;&gt;"")*(LEFT('Metraj Mahal Listesi'!$C$5:$C$504,1)&lt;&gt;"—")*('Metraj Mahal Listesi'!$F$5:$F$504="")))</f>
        <v/>
      </c>
      <c r="G499" s="31">
        <f>IF(A499="","",SUMPRODUCT((('Metraj Mahal Listesi'!$A$5:$A$504=A499)+('Metraj Mahal Listesi'!$B$5:$B$504=A499)&gt;0)*('Metraj Mahal Listesi'!$F$5:$F$504&lt;&gt;"")*(LEFT('Metraj Mahal Listesi'!$C$5:$C$504,1)&lt;&gt;"—")*('Metraj Mahal Listesi'!$J$5:$J$504=0)))</f>
        <v/>
      </c>
      <c r="H499" s="5" t="n"/>
    </row>
    <row r="500">
      <c r="A500" s="5" t="n"/>
      <c r="B500" s="5" t="n"/>
      <c r="C500" s="21">
        <f>IF(A500="","",SUMPRODUCT((('Metraj Mahal Listesi'!$A$5:$A$504=A500)+('Metraj Mahal Listesi'!$B$5:$B$504=A500)&gt;0)*'Metraj Mahal Listesi'!$K$5:$K$504))</f>
        <v/>
      </c>
      <c r="D500" s="27">
        <f>IF(OR(A500="",'Metraj Mahal Listesi'!$K$3=0),"",C500/'Metraj Mahal Listesi'!$K$3*100)</f>
        <v/>
      </c>
      <c r="E500" s="31">
        <f>IF(A500="","",SUMPRODUCT((('Metraj Mahal Listesi'!$A$5:$A$504=A500)+('Metraj Mahal Listesi'!$B$5:$B$504=A500)&gt;0)*('Metraj Mahal Listesi'!$C$5:$C$504&lt;&gt;"")))</f>
        <v/>
      </c>
      <c r="F500" s="31">
        <f>IF(A500="","",SUMPRODUCT((('Metraj Mahal Listesi'!$A$5:$A$504=A500)+('Metraj Mahal Listesi'!$B$5:$B$504=A500)&gt;0)*('Metraj Mahal Listesi'!$C$5:$C$504&lt;&gt;"")*(LEFT('Metraj Mahal Listesi'!$C$5:$C$504,1)&lt;&gt;"—")*('Metraj Mahal Listesi'!$F$5:$F$504="")))</f>
        <v/>
      </c>
      <c r="G500" s="31">
        <f>IF(A500="","",SUMPRODUCT((('Metraj Mahal Listesi'!$A$5:$A$504=A500)+('Metraj Mahal Listesi'!$B$5:$B$504=A500)&gt;0)*('Metraj Mahal Listesi'!$F$5:$F$504&lt;&gt;"")*(LEFT('Metraj Mahal Listesi'!$C$5:$C$504,1)&lt;&gt;"—")*('Metraj Mahal Listesi'!$J$5:$J$504=0)))</f>
        <v/>
      </c>
      <c r="H500" s="5" t="n"/>
    </row>
    <row r="501">
      <c r="A501" s="5" t="n"/>
      <c r="B501" s="5" t="n"/>
      <c r="C501" s="21">
        <f>IF(A501="","",SUMPRODUCT((('Metraj Mahal Listesi'!$A$5:$A$504=A501)+('Metraj Mahal Listesi'!$B$5:$B$504=A501)&gt;0)*'Metraj Mahal Listesi'!$K$5:$K$504))</f>
        <v/>
      </c>
      <c r="D501" s="27">
        <f>IF(OR(A501="",'Metraj Mahal Listesi'!$K$3=0),"",C501/'Metraj Mahal Listesi'!$K$3*100)</f>
        <v/>
      </c>
      <c r="E501" s="31">
        <f>IF(A501="","",SUMPRODUCT((('Metraj Mahal Listesi'!$A$5:$A$504=A501)+('Metraj Mahal Listesi'!$B$5:$B$504=A501)&gt;0)*('Metraj Mahal Listesi'!$C$5:$C$504&lt;&gt;"")))</f>
        <v/>
      </c>
      <c r="F501" s="31">
        <f>IF(A501="","",SUMPRODUCT((('Metraj Mahal Listesi'!$A$5:$A$504=A501)+('Metraj Mahal Listesi'!$B$5:$B$504=A501)&gt;0)*('Metraj Mahal Listesi'!$C$5:$C$504&lt;&gt;"")*(LEFT('Metraj Mahal Listesi'!$C$5:$C$504,1)&lt;&gt;"—")*('Metraj Mahal Listesi'!$F$5:$F$504="")))</f>
        <v/>
      </c>
      <c r="G501" s="31">
        <f>IF(A501="","",SUMPRODUCT((('Metraj Mahal Listesi'!$A$5:$A$504=A501)+('Metraj Mahal Listesi'!$B$5:$B$504=A501)&gt;0)*('Metraj Mahal Listesi'!$F$5:$F$504&lt;&gt;"")*(LEFT('Metraj Mahal Listesi'!$C$5:$C$504,1)&lt;&gt;"—")*('Metraj Mahal Listesi'!$J$5:$J$504=0)))</f>
        <v/>
      </c>
      <c r="H501" s="5" t="n"/>
    </row>
    <row r="502">
      <c r="A502" s="5" t="n"/>
      <c r="B502" s="5" t="n"/>
      <c r="C502" s="21">
        <f>IF(A502="","",SUMPRODUCT((('Metraj Mahal Listesi'!$A$5:$A$504=A502)+('Metraj Mahal Listesi'!$B$5:$B$504=A502)&gt;0)*'Metraj Mahal Listesi'!$K$5:$K$504))</f>
        <v/>
      </c>
      <c r="D502" s="27">
        <f>IF(OR(A502="",'Metraj Mahal Listesi'!$K$3=0),"",C502/'Metraj Mahal Listesi'!$K$3*100)</f>
        <v/>
      </c>
      <c r="E502" s="31">
        <f>IF(A502="","",SUMPRODUCT((('Metraj Mahal Listesi'!$A$5:$A$504=A502)+('Metraj Mahal Listesi'!$B$5:$B$504=A502)&gt;0)*('Metraj Mahal Listesi'!$C$5:$C$504&lt;&gt;"")))</f>
        <v/>
      </c>
      <c r="F502" s="31">
        <f>IF(A502="","",SUMPRODUCT((('Metraj Mahal Listesi'!$A$5:$A$504=A502)+('Metraj Mahal Listesi'!$B$5:$B$504=A502)&gt;0)*('Metraj Mahal Listesi'!$C$5:$C$504&lt;&gt;"")*(LEFT('Metraj Mahal Listesi'!$C$5:$C$504,1)&lt;&gt;"—")*('Metraj Mahal Listesi'!$F$5:$F$504="")))</f>
        <v/>
      </c>
      <c r="G502" s="31">
        <f>IF(A502="","",SUMPRODUCT((('Metraj Mahal Listesi'!$A$5:$A$504=A502)+('Metraj Mahal Listesi'!$B$5:$B$504=A502)&gt;0)*('Metraj Mahal Listesi'!$F$5:$F$504&lt;&gt;"")*(LEFT('Metraj Mahal Listesi'!$C$5:$C$504,1)&lt;&gt;"—")*('Metraj Mahal Listesi'!$J$5:$J$504=0)))</f>
        <v/>
      </c>
      <c r="H502" s="5" t="n"/>
    </row>
    <row r="503">
      <c r="A503" s="5" t="n"/>
      <c r="B503" s="5" t="n"/>
      <c r="C503" s="21">
        <f>IF(A503="","",SUMPRODUCT((('Metraj Mahal Listesi'!$A$5:$A$504=A503)+('Metraj Mahal Listesi'!$B$5:$B$504=A503)&gt;0)*'Metraj Mahal Listesi'!$K$5:$K$504))</f>
        <v/>
      </c>
      <c r="D503" s="27">
        <f>IF(OR(A503="",'Metraj Mahal Listesi'!$K$3=0),"",C503/'Metraj Mahal Listesi'!$K$3*100)</f>
        <v/>
      </c>
      <c r="E503" s="31">
        <f>IF(A503="","",SUMPRODUCT((('Metraj Mahal Listesi'!$A$5:$A$504=A503)+('Metraj Mahal Listesi'!$B$5:$B$504=A503)&gt;0)*('Metraj Mahal Listesi'!$C$5:$C$504&lt;&gt;"")))</f>
        <v/>
      </c>
      <c r="F503" s="31">
        <f>IF(A503="","",SUMPRODUCT((('Metraj Mahal Listesi'!$A$5:$A$504=A503)+('Metraj Mahal Listesi'!$B$5:$B$504=A503)&gt;0)*('Metraj Mahal Listesi'!$C$5:$C$504&lt;&gt;"")*(LEFT('Metraj Mahal Listesi'!$C$5:$C$504,1)&lt;&gt;"—")*('Metraj Mahal Listesi'!$F$5:$F$504="")))</f>
        <v/>
      </c>
      <c r="G503" s="31">
        <f>IF(A503="","",SUMPRODUCT((('Metraj Mahal Listesi'!$A$5:$A$504=A503)+('Metraj Mahal Listesi'!$B$5:$B$504=A503)&gt;0)*('Metraj Mahal Listesi'!$F$5:$F$504&lt;&gt;"")*(LEFT('Metraj Mahal Listesi'!$C$5:$C$504,1)&lt;&gt;"—")*('Metraj Mahal Listesi'!$J$5:$J$504=0)))</f>
        <v/>
      </c>
      <c r="H503" s="5" t="n"/>
    </row>
    <row r="504">
      <c r="A504" s="5" t="n"/>
      <c r="B504" s="5" t="n"/>
      <c r="C504" s="21">
        <f>IF(A504="","",SUMPRODUCT((('Metraj Mahal Listesi'!$A$5:$A$504=A504)+('Metraj Mahal Listesi'!$B$5:$B$504=A504)&gt;0)*'Metraj Mahal Listesi'!$K$5:$K$504))</f>
        <v/>
      </c>
      <c r="D504" s="27">
        <f>IF(OR(A504="",'Metraj Mahal Listesi'!$K$3=0),"",C504/'Metraj Mahal Listesi'!$K$3*100)</f>
        <v/>
      </c>
      <c r="E504" s="31">
        <f>IF(A504="","",SUMPRODUCT((('Metraj Mahal Listesi'!$A$5:$A$504=A504)+('Metraj Mahal Listesi'!$B$5:$B$504=A504)&gt;0)*('Metraj Mahal Listesi'!$C$5:$C$504&lt;&gt;"")))</f>
        <v/>
      </c>
      <c r="F504" s="31">
        <f>IF(A504="","",SUMPRODUCT((('Metraj Mahal Listesi'!$A$5:$A$504=A504)+('Metraj Mahal Listesi'!$B$5:$B$504=A504)&gt;0)*('Metraj Mahal Listesi'!$C$5:$C$504&lt;&gt;"")*(LEFT('Metraj Mahal Listesi'!$C$5:$C$504,1)&lt;&gt;"—")*('Metraj Mahal Listesi'!$F$5:$F$504="")))</f>
        <v/>
      </c>
      <c r="G504" s="31">
        <f>IF(A504="","",SUMPRODUCT((('Metraj Mahal Listesi'!$A$5:$A$504=A504)+('Metraj Mahal Listesi'!$B$5:$B$504=A504)&gt;0)*('Metraj Mahal Listesi'!$F$5:$F$504&lt;&gt;"")*(LEFT('Metraj Mahal Listesi'!$C$5:$C$504,1)&lt;&gt;"—")*('Metraj Mahal Listesi'!$J$5:$J$504=0)))</f>
        <v/>
      </c>
      <c r="H504" s="5" t="n"/>
    </row>
  </sheetData>
  <autoFilter ref="A4:H504"/>
  <mergeCells count="2">
    <mergeCell ref="A2:H2"/>
    <mergeCell ref="A1:H1"/>
  </mergeCells>
  <dataValidations count="1">
    <dataValidation sqref="B5:B504" showDropDown="0" showInputMessage="0" showErrorMessage="0" allowBlank="1" type="list">
      <formula1>'Pursantaj Keşif Analizi'!$A$5:$A$504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56" customWidth="1" min="3" max="3"/>
    <col width="16" customWidth="1" min="4" max="4"/>
    <col width="18" customWidth="1" min="5" max="5"/>
    <col width="50" customWidth="1" min="6" max="6"/>
  </cols>
  <sheetData>
    <row r="1" ht="28" customHeight="1">
      <c r="A1" s="1" t="inlineStr">
        <is>
          <t>AÇIK SORULAR / KARARLAR</t>
        </is>
      </c>
    </row>
    <row r="2" ht="30" customHeight="1">
      <c r="A2" s="2" t="inlineStr">
        <is>
          <t>Hiçbir kalem eksik kalmasın: kullanıcıya ya da idareye sorulacaklar, tutara etkisi ve verilen cevap.</t>
        </is>
      </c>
    </row>
    <row r="3">
      <c r="A3" s="15" t="inlineStr">
        <is>
          <t>TOPLAM</t>
        </is>
      </c>
      <c r="B3" s="16" t="n"/>
      <c r="C3" s="16" t="n"/>
      <c r="D3" s="17">
        <f>SUM(D5:D504)</f>
        <v/>
      </c>
      <c r="E3" s="16" t="n"/>
      <c r="F3" s="16" t="n"/>
    </row>
    <row r="4" ht="32" customHeight="1">
      <c r="A4" s="18" t="inlineStr">
        <is>
          <t>No</t>
        </is>
      </c>
      <c r="B4" s="18" t="inlineStr">
        <is>
          <t>Satır / Poz</t>
        </is>
      </c>
      <c r="C4" s="18" t="inlineStr">
        <is>
          <t>Soru</t>
        </is>
      </c>
      <c r="D4" s="18" t="inlineStr">
        <is>
          <t>Etki (TL)</t>
        </is>
      </c>
      <c r="E4" s="18" t="inlineStr">
        <is>
          <t>Durum</t>
        </is>
      </c>
      <c r="F4" s="18" t="inlineStr">
        <is>
          <t>Cevap / Not</t>
        </is>
      </c>
    </row>
    <row r="5">
      <c r="A5" s="5" t="n"/>
      <c r="B5" s="5" t="n"/>
      <c r="C5" s="5" t="n"/>
      <c r="D5" s="20" t="n"/>
      <c r="E5" s="5" t="n"/>
      <c r="F5" s="5" t="n"/>
    </row>
    <row r="6">
      <c r="A6" s="5" t="n"/>
      <c r="B6" s="5" t="n"/>
      <c r="C6" s="5" t="n"/>
      <c r="D6" s="20" t="n"/>
      <c r="E6" s="5" t="n"/>
      <c r="F6" s="5" t="n"/>
    </row>
    <row r="7">
      <c r="A7" s="5" t="n"/>
      <c r="B7" s="5" t="n"/>
      <c r="C7" s="5" t="n"/>
      <c r="D7" s="20" t="n"/>
      <c r="E7" s="5" t="n"/>
      <c r="F7" s="5" t="n"/>
    </row>
    <row r="8">
      <c r="A8" s="5" t="n"/>
      <c r="B8" s="5" t="n"/>
      <c r="C8" s="5" t="n"/>
      <c r="D8" s="20" t="n"/>
      <c r="E8" s="5" t="n"/>
      <c r="F8" s="5" t="n"/>
    </row>
    <row r="9">
      <c r="A9" s="5" t="n"/>
      <c r="B9" s="5" t="n"/>
      <c r="C9" s="5" t="n"/>
      <c r="D9" s="20" t="n"/>
      <c r="E9" s="5" t="n"/>
      <c r="F9" s="5" t="n"/>
    </row>
    <row r="10">
      <c r="A10" s="5" t="n"/>
      <c r="B10" s="5" t="n"/>
      <c r="C10" s="5" t="n"/>
      <c r="D10" s="20" t="n"/>
      <c r="E10" s="5" t="n"/>
      <c r="F10" s="5" t="n"/>
    </row>
    <row r="11">
      <c r="A11" s="5" t="n"/>
      <c r="B11" s="5" t="n"/>
      <c r="C11" s="5" t="n"/>
      <c r="D11" s="20" t="n"/>
      <c r="E11" s="5" t="n"/>
      <c r="F11" s="5" t="n"/>
    </row>
    <row r="12">
      <c r="A12" s="5" t="n"/>
      <c r="B12" s="5" t="n"/>
      <c r="C12" s="5" t="n"/>
      <c r="D12" s="20" t="n"/>
      <c r="E12" s="5" t="n"/>
      <c r="F12" s="5" t="n"/>
    </row>
    <row r="13">
      <c r="A13" s="5" t="n"/>
      <c r="B13" s="5" t="n"/>
      <c r="C13" s="5" t="n"/>
      <c r="D13" s="20" t="n"/>
      <c r="E13" s="5" t="n"/>
      <c r="F13" s="5" t="n"/>
    </row>
    <row r="14">
      <c r="A14" s="5" t="n"/>
      <c r="B14" s="5" t="n"/>
      <c r="C14" s="5" t="n"/>
      <c r="D14" s="20" t="n"/>
      <c r="E14" s="5" t="n"/>
      <c r="F14" s="5" t="n"/>
    </row>
    <row r="15">
      <c r="A15" s="5" t="n"/>
      <c r="B15" s="5" t="n"/>
      <c r="C15" s="5" t="n"/>
      <c r="D15" s="20" t="n"/>
      <c r="E15" s="5" t="n"/>
      <c r="F15" s="5" t="n"/>
    </row>
    <row r="16">
      <c r="A16" s="5" t="n"/>
      <c r="B16" s="5" t="n"/>
      <c r="C16" s="5" t="n"/>
      <c r="D16" s="20" t="n"/>
      <c r="E16" s="5" t="n"/>
      <c r="F16" s="5" t="n"/>
    </row>
    <row r="17">
      <c r="A17" s="5" t="n"/>
      <c r="B17" s="5" t="n"/>
      <c r="C17" s="5" t="n"/>
      <c r="D17" s="20" t="n"/>
      <c r="E17" s="5" t="n"/>
      <c r="F17" s="5" t="n"/>
    </row>
    <row r="18">
      <c r="A18" s="5" t="n"/>
      <c r="B18" s="5" t="n"/>
      <c r="C18" s="5" t="n"/>
      <c r="D18" s="20" t="n"/>
      <c r="E18" s="5" t="n"/>
      <c r="F18" s="5" t="n"/>
    </row>
    <row r="19">
      <c r="A19" s="5" t="n"/>
      <c r="B19" s="5" t="n"/>
      <c r="C19" s="5" t="n"/>
      <c r="D19" s="20" t="n"/>
      <c r="E19" s="5" t="n"/>
      <c r="F19" s="5" t="n"/>
    </row>
    <row r="20">
      <c r="A20" s="5" t="n"/>
      <c r="B20" s="5" t="n"/>
      <c r="C20" s="5" t="n"/>
      <c r="D20" s="20" t="n"/>
      <c r="E20" s="5" t="n"/>
      <c r="F20" s="5" t="n"/>
    </row>
    <row r="21">
      <c r="A21" s="5" t="n"/>
      <c r="B21" s="5" t="n"/>
      <c r="C21" s="5" t="n"/>
      <c r="D21" s="20" t="n"/>
      <c r="E21" s="5" t="n"/>
      <c r="F21" s="5" t="n"/>
    </row>
    <row r="22">
      <c r="A22" s="5" t="n"/>
      <c r="B22" s="5" t="n"/>
      <c r="C22" s="5" t="n"/>
      <c r="D22" s="20" t="n"/>
      <c r="E22" s="5" t="n"/>
      <c r="F22" s="5" t="n"/>
    </row>
    <row r="23">
      <c r="A23" s="5" t="n"/>
      <c r="B23" s="5" t="n"/>
      <c r="C23" s="5" t="n"/>
      <c r="D23" s="20" t="n"/>
      <c r="E23" s="5" t="n"/>
      <c r="F23" s="5" t="n"/>
    </row>
    <row r="24">
      <c r="A24" s="5" t="n"/>
      <c r="B24" s="5" t="n"/>
      <c r="C24" s="5" t="n"/>
      <c r="D24" s="20" t="n"/>
      <c r="E24" s="5" t="n"/>
      <c r="F24" s="5" t="n"/>
    </row>
    <row r="25">
      <c r="A25" s="5" t="n"/>
      <c r="B25" s="5" t="n"/>
      <c r="C25" s="5" t="n"/>
      <c r="D25" s="20" t="n"/>
      <c r="E25" s="5" t="n"/>
      <c r="F25" s="5" t="n"/>
    </row>
    <row r="26">
      <c r="A26" s="5" t="n"/>
      <c r="B26" s="5" t="n"/>
      <c r="C26" s="5" t="n"/>
      <c r="D26" s="20" t="n"/>
      <c r="E26" s="5" t="n"/>
      <c r="F26" s="5" t="n"/>
    </row>
    <row r="27">
      <c r="A27" s="5" t="n"/>
      <c r="B27" s="5" t="n"/>
      <c r="C27" s="5" t="n"/>
      <c r="D27" s="20" t="n"/>
      <c r="E27" s="5" t="n"/>
      <c r="F27" s="5" t="n"/>
    </row>
    <row r="28">
      <c r="A28" s="5" t="n"/>
      <c r="B28" s="5" t="n"/>
      <c r="C28" s="5" t="n"/>
      <c r="D28" s="20" t="n"/>
      <c r="E28" s="5" t="n"/>
      <c r="F28" s="5" t="n"/>
    </row>
    <row r="29">
      <c r="A29" s="5" t="n"/>
      <c r="B29" s="5" t="n"/>
      <c r="C29" s="5" t="n"/>
      <c r="D29" s="20" t="n"/>
      <c r="E29" s="5" t="n"/>
      <c r="F29" s="5" t="n"/>
    </row>
    <row r="30">
      <c r="A30" s="5" t="n"/>
      <c r="B30" s="5" t="n"/>
      <c r="C30" s="5" t="n"/>
      <c r="D30" s="20" t="n"/>
      <c r="E30" s="5" t="n"/>
      <c r="F30" s="5" t="n"/>
    </row>
    <row r="31">
      <c r="A31" s="5" t="n"/>
      <c r="B31" s="5" t="n"/>
      <c r="C31" s="5" t="n"/>
      <c r="D31" s="20" t="n"/>
      <c r="E31" s="5" t="n"/>
      <c r="F31" s="5" t="n"/>
    </row>
    <row r="32">
      <c r="A32" s="5" t="n"/>
      <c r="B32" s="5" t="n"/>
      <c r="C32" s="5" t="n"/>
      <c r="D32" s="20" t="n"/>
      <c r="E32" s="5" t="n"/>
      <c r="F32" s="5" t="n"/>
    </row>
    <row r="33">
      <c r="A33" s="5" t="n"/>
      <c r="B33" s="5" t="n"/>
      <c r="C33" s="5" t="n"/>
      <c r="D33" s="20" t="n"/>
      <c r="E33" s="5" t="n"/>
      <c r="F33" s="5" t="n"/>
    </row>
    <row r="34">
      <c r="A34" s="5" t="n"/>
      <c r="B34" s="5" t="n"/>
      <c r="C34" s="5" t="n"/>
      <c r="D34" s="20" t="n"/>
      <c r="E34" s="5" t="n"/>
      <c r="F34" s="5" t="n"/>
    </row>
    <row r="35">
      <c r="A35" s="5" t="n"/>
      <c r="B35" s="5" t="n"/>
      <c r="C35" s="5" t="n"/>
      <c r="D35" s="20" t="n"/>
      <c r="E35" s="5" t="n"/>
      <c r="F35" s="5" t="n"/>
    </row>
    <row r="36">
      <c r="A36" s="5" t="n"/>
      <c r="B36" s="5" t="n"/>
      <c r="C36" s="5" t="n"/>
      <c r="D36" s="20" t="n"/>
      <c r="E36" s="5" t="n"/>
      <c r="F36" s="5" t="n"/>
    </row>
    <row r="37">
      <c r="A37" s="5" t="n"/>
      <c r="B37" s="5" t="n"/>
      <c r="C37" s="5" t="n"/>
      <c r="D37" s="20" t="n"/>
      <c r="E37" s="5" t="n"/>
      <c r="F37" s="5" t="n"/>
    </row>
    <row r="38">
      <c r="A38" s="5" t="n"/>
      <c r="B38" s="5" t="n"/>
      <c r="C38" s="5" t="n"/>
      <c r="D38" s="20" t="n"/>
      <c r="E38" s="5" t="n"/>
      <c r="F38" s="5" t="n"/>
    </row>
    <row r="39">
      <c r="A39" s="5" t="n"/>
      <c r="B39" s="5" t="n"/>
      <c r="C39" s="5" t="n"/>
      <c r="D39" s="20" t="n"/>
      <c r="E39" s="5" t="n"/>
      <c r="F39" s="5" t="n"/>
    </row>
    <row r="40">
      <c r="A40" s="5" t="n"/>
      <c r="B40" s="5" t="n"/>
      <c r="C40" s="5" t="n"/>
      <c r="D40" s="20" t="n"/>
      <c r="E40" s="5" t="n"/>
      <c r="F40" s="5" t="n"/>
    </row>
    <row r="41">
      <c r="A41" s="5" t="n"/>
      <c r="B41" s="5" t="n"/>
      <c r="C41" s="5" t="n"/>
      <c r="D41" s="20" t="n"/>
      <c r="E41" s="5" t="n"/>
      <c r="F41" s="5" t="n"/>
    </row>
    <row r="42">
      <c r="A42" s="5" t="n"/>
      <c r="B42" s="5" t="n"/>
      <c r="C42" s="5" t="n"/>
      <c r="D42" s="20" t="n"/>
      <c r="E42" s="5" t="n"/>
      <c r="F42" s="5" t="n"/>
    </row>
    <row r="43">
      <c r="A43" s="5" t="n"/>
      <c r="B43" s="5" t="n"/>
      <c r="C43" s="5" t="n"/>
      <c r="D43" s="20" t="n"/>
      <c r="E43" s="5" t="n"/>
      <c r="F43" s="5" t="n"/>
    </row>
    <row r="44">
      <c r="A44" s="5" t="n"/>
      <c r="B44" s="5" t="n"/>
      <c r="C44" s="5" t="n"/>
      <c r="D44" s="20" t="n"/>
      <c r="E44" s="5" t="n"/>
      <c r="F44" s="5" t="n"/>
    </row>
    <row r="45">
      <c r="A45" s="5" t="n"/>
      <c r="B45" s="5" t="n"/>
      <c r="C45" s="5" t="n"/>
      <c r="D45" s="20" t="n"/>
      <c r="E45" s="5" t="n"/>
      <c r="F45" s="5" t="n"/>
    </row>
    <row r="46">
      <c r="A46" s="5" t="n"/>
      <c r="B46" s="5" t="n"/>
      <c r="C46" s="5" t="n"/>
      <c r="D46" s="20" t="n"/>
      <c r="E46" s="5" t="n"/>
      <c r="F46" s="5" t="n"/>
    </row>
    <row r="47">
      <c r="A47" s="5" t="n"/>
      <c r="B47" s="5" t="n"/>
      <c r="C47" s="5" t="n"/>
      <c r="D47" s="20" t="n"/>
      <c r="E47" s="5" t="n"/>
      <c r="F47" s="5" t="n"/>
    </row>
    <row r="48">
      <c r="A48" s="5" t="n"/>
      <c r="B48" s="5" t="n"/>
      <c r="C48" s="5" t="n"/>
      <c r="D48" s="20" t="n"/>
      <c r="E48" s="5" t="n"/>
      <c r="F48" s="5" t="n"/>
    </row>
    <row r="49">
      <c r="A49" s="5" t="n"/>
      <c r="B49" s="5" t="n"/>
      <c r="C49" s="5" t="n"/>
      <c r="D49" s="20" t="n"/>
      <c r="E49" s="5" t="n"/>
      <c r="F49" s="5" t="n"/>
    </row>
    <row r="50">
      <c r="A50" s="5" t="n"/>
      <c r="B50" s="5" t="n"/>
      <c r="C50" s="5" t="n"/>
      <c r="D50" s="20" t="n"/>
      <c r="E50" s="5" t="n"/>
      <c r="F50" s="5" t="n"/>
    </row>
    <row r="51">
      <c r="A51" s="5" t="n"/>
      <c r="B51" s="5" t="n"/>
      <c r="C51" s="5" t="n"/>
      <c r="D51" s="20" t="n"/>
      <c r="E51" s="5" t="n"/>
      <c r="F51" s="5" t="n"/>
    </row>
    <row r="52">
      <c r="A52" s="5" t="n"/>
      <c r="B52" s="5" t="n"/>
      <c r="C52" s="5" t="n"/>
      <c r="D52" s="20" t="n"/>
      <c r="E52" s="5" t="n"/>
      <c r="F52" s="5" t="n"/>
    </row>
    <row r="53">
      <c r="A53" s="5" t="n"/>
      <c r="B53" s="5" t="n"/>
      <c r="C53" s="5" t="n"/>
      <c r="D53" s="20" t="n"/>
      <c r="E53" s="5" t="n"/>
      <c r="F53" s="5" t="n"/>
    </row>
    <row r="54">
      <c r="A54" s="5" t="n"/>
      <c r="B54" s="5" t="n"/>
      <c r="C54" s="5" t="n"/>
      <c r="D54" s="20" t="n"/>
      <c r="E54" s="5" t="n"/>
      <c r="F54" s="5" t="n"/>
    </row>
    <row r="55">
      <c r="A55" s="5" t="n"/>
      <c r="B55" s="5" t="n"/>
      <c r="C55" s="5" t="n"/>
      <c r="D55" s="20" t="n"/>
      <c r="E55" s="5" t="n"/>
      <c r="F55" s="5" t="n"/>
    </row>
    <row r="56">
      <c r="A56" s="5" t="n"/>
      <c r="B56" s="5" t="n"/>
      <c r="C56" s="5" t="n"/>
      <c r="D56" s="20" t="n"/>
      <c r="E56" s="5" t="n"/>
      <c r="F56" s="5" t="n"/>
    </row>
    <row r="57">
      <c r="A57" s="5" t="n"/>
      <c r="B57" s="5" t="n"/>
      <c r="C57" s="5" t="n"/>
      <c r="D57" s="20" t="n"/>
      <c r="E57" s="5" t="n"/>
      <c r="F57" s="5" t="n"/>
    </row>
    <row r="58">
      <c r="A58" s="5" t="n"/>
      <c r="B58" s="5" t="n"/>
      <c r="C58" s="5" t="n"/>
      <c r="D58" s="20" t="n"/>
      <c r="E58" s="5" t="n"/>
      <c r="F58" s="5" t="n"/>
    </row>
    <row r="59">
      <c r="A59" s="5" t="n"/>
      <c r="B59" s="5" t="n"/>
      <c r="C59" s="5" t="n"/>
      <c r="D59" s="20" t="n"/>
      <c r="E59" s="5" t="n"/>
      <c r="F59" s="5" t="n"/>
    </row>
    <row r="60">
      <c r="A60" s="5" t="n"/>
      <c r="B60" s="5" t="n"/>
      <c r="C60" s="5" t="n"/>
      <c r="D60" s="20" t="n"/>
      <c r="E60" s="5" t="n"/>
      <c r="F60" s="5" t="n"/>
    </row>
    <row r="61">
      <c r="A61" s="5" t="n"/>
      <c r="B61" s="5" t="n"/>
      <c r="C61" s="5" t="n"/>
      <c r="D61" s="20" t="n"/>
      <c r="E61" s="5" t="n"/>
      <c r="F61" s="5" t="n"/>
    </row>
    <row r="62">
      <c r="A62" s="5" t="n"/>
      <c r="B62" s="5" t="n"/>
      <c r="C62" s="5" t="n"/>
      <c r="D62" s="20" t="n"/>
      <c r="E62" s="5" t="n"/>
      <c r="F62" s="5" t="n"/>
    </row>
    <row r="63">
      <c r="A63" s="5" t="n"/>
      <c r="B63" s="5" t="n"/>
      <c r="C63" s="5" t="n"/>
      <c r="D63" s="20" t="n"/>
      <c r="E63" s="5" t="n"/>
      <c r="F63" s="5" t="n"/>
    </row>
    <row r="64">
      <c r="A64" s="5" t="n"/>
      <c r="B64" s="5" t="n"/>
      <c r="C64" s="5" t="n"/>
      <c r="D64" s="20" t="n"/>
      <c r="E64" s="5" t="n"/>
      <c r="F64" s="5" t="n"/>
    </row>
    <row r="65">
      <c r="A65" s="5" t="n"/>
      <c r="B65" s="5" t="n"/>
      <c r="C65" s="5" t="n"/>
      <c r="D65" s="20" t="n"/>
      <c r="E65" s="5" t="n"/>
      <c r="F65" s="5" t="n"/>
    </row>
    <row r="66">
      <c r="A66" s="5" t="n"/>
      <c r="B66" s="5" t="n"/>
      <c r="C66" s="5" t="n"/>
      <c r="D66" s="20" t="n"/>
      <c r="E66" s="5" t="n"/>
      <c r="F66" s="5" t="n"/>
    </row>
    <row r="67">
      <c r="A67" s="5" t="n"/>
      <c r="B67" s="5" t="n"/>
      <c r="C67" s="5" t="n"/>
      <c r="D67" s="20" t="n"/>
      <c r="E67" s="5" t="n"/>
      <c r="F67" s="5" t="n"/>
    </row>
    <row r="68">
      <c r="A68" s="5" t="n"/>
      <c r="B68" s="5" t="n"/>
      <c r="C68" s="5" t="n"/>
      <c r="D68" s="20" t="n"/>
      <c r="E68" s="5" t="n"/>
      <c r="F68" s="5" t="n"/>
    </row>
    <row r="69">
      <c r="A69" s="5" t="n"/>
      <c r="B69" s="5" t="n"/>
      <c r="C69" s="5" t="n"/>
      <c r="D69" s="20" t="n"/>
      <c r="E69" s="5" t="n"/>
      <c r="F69" s="5" t="n"/>
    </row>
    <row r="70">
      <c r="A70" s="5" t="n"/>
      <c r="B70" s="5" t="n"/>
      <c r="C70" s="5" t="n"/>
      <c r="D70" s="20" t="n"/>
      <c r="E70" s="5" t="n"/>
      <c r="F70" s="5" t="n"/>
    </row>
    <row r="71">
      <c r="A71" s="5" t="n"/>
      <c r="B71" s="5" t="n"/>
      <c r="C71" s="5" t="n"/>
      <c r="D71" s="20" t="n"/>
      <c r="E71" s="5" t="n"/>
      <c r="F71" s="5" t="n"/>
    </row>
    <row r="72">
      <c r="A72" s="5" t="n"/>
      <c r="B72" s="5" t="n"/>
      <c r="C72" s="5" t="n"/>
      <c r="D72" s="20" t="n"/>
      <c r="E72" s="5" t="n"/>
      <c r="F72" s="5" t="n"/>
    </row>
    <row r="73">
      <c r="A73" s="5" t="n"/>
      <c r="B73" s="5" t="n"/>
      <c r="C73" s="5" t="n"/>
      <c r="D73" s="20" t="n"/>
      <c r="E73" s="5" t="n"/>
      <c r="F73" s="5" t="n"/>
    </row>
    <row r="74">
      <c r="A74" s="5" t="n"/>
      <c r="B74" s="5" t="n"/>
      <c r="C74" s="5" t="n"/>
      <c r="D74" s="20" t="n"/>
      <c r="E74" s="5" t="n"/>
      <c r="F74" s="5" t="n"/>
    </row>
    <row r="75">
      <c r="A75" s="5" t="n"/>
      <c r="B75" s="5" t="n"/>
      <c r="C75" s="5" t="n"/>
      <c r="D75" s="20" t="n"/>
      <c r="E75" s="5" t="n"/>
      <c r="F75" s="5" t="n"/>
    </row>
    <row r="76">
      <c r="A76" s="5" t="n"/>
      <c r="B76" s="5" t="n"/>
      <c r="C76" s="5" t="n"/>
      <c r="D76" s="20" t="n"/>
      <c r="E76" s="5" t="n"/>
      <c r="F76" s="5" t="n"/>
    </row>
    <row r="77">
      <c r="A77" s="5" t="n"/>
      <c r="B77" s="5" t="n"/>
      <c r="C77" s="5" t="n"/>
      <c r="D77" s="20" t="n"/>
      <c r="E77" s="5" t="n"/>
      <c r="F77" s="5" t="n"/>
    </row>
    <row r="78">
      <c r="A78" s="5" t="n"/>
      <c r="B78" s="5" t="n"/>
      <c r="C78" s="5" t="n"/>
      <c r="D78" s="20" t="n"/>
      <c r="E78" s="5" t="n"/>
      <c r="F78" s="5" t="n"/>
    </row>
    <row r="79">
      <c r="A79" s="5" t="n"/>
      <c r="B79" s="5" t="n"/>
      <c r="C79" s="5" t="n"/>
      <c r="D79" s="20" t="n"/>
      <c r="E79" s="5" t="n"/>
      <c r="F79" s="5" t="n"/>
    </row>
    <row r="80">
      <c r="A80" s="5" t="n"/>
      <c r="B80" s="5" t="n"/>
      <c r="C80" s="5" t="n"/>
      <c r="D80" s="20" t="n"/>
      <c r="E80" s="5" t="n"/>
      <c r="F80" s="5" t="n"/>
    </row>
    <row r="81">
      <c r="A81" s="5" t="n"/>
      <c r="B81" s="5" t="n"/>
      <c r="C81" s="5" t="n"/>
      <c r="D81" s="20" t="n"/>
      <c r="E81" s="5" t="n"/>
      <c r="F81" s="5" t="n"/>
    </row>
    <row r="82">
      <c r="A82" s="5" t="n"/>
      <c r="B82" s="5" t="n"/>
      <c r="C82" s="5" t="n"/>
      <c r="D82" s="20" t="n"/>
      <c r="E82" s="5" t="n"/>
      <c r="F82" s="5" t="n"/>
    </row>
    <row r="83">
      <c r="A83" s="5" t="n"/>
      <c r="B83" s="5" t="n"/>
      <c r="C83" s="5" t="n"/>
      <c r="D83" s="20" t="n"/>
      <c r="E83" s="5" t="n"/>
      <c r="F83" s="5" t="n"/>
    </row>
    <row r="84">
      <c r="A84" s="5" t="n"/>
      <c r="B84" s="5" t="n"/>
      <c r="C84" s="5" t="n"/>
      <c r="D84" s="20" t="n"/>
      <c r="E84" s="5" t="n"/>
      <c r="F84" s="5" t="n"/>
    </row>
    <row r="85">
      <c r="A85" s="5" t="n"/>
      <c r="B85" s="5" t="n"/>
      <c r="C85" s="5" t="n"/>
      <c r="D85" s="20" t="n"/>
      <c r="E85" s="5" t="n"/>
      <c r="F85" s="5" t="n"/>
    </row>
    <row r="86">
      <c r="A86" s="5" t="n"/>
      <c r="B86" s="5" t="n"/>
      <c r="C86" s="5" t="n"/>
      <c r="D86" s="20" t="n"/>
      <c r="E86" s="5" t="n"/>
      <c r="F86" s="5" t="n"/>
    </row>
    <row r="87">
      <c r="A87" s="5" t="n"/>
      <c r="B87" s="5" t="n"/>
      <c r="C87" s="5" t="n"/>
      <c r="D87" s="20" t="n"/>
      <c r="E87" s="5" t="n"/>
      <c r="F87" s="5" t="n"/>
    </row>
    <row r="88">
      <c r="A88" s="5" t="n"/>
      <c r="B88" s="5" t="n"/>
      <c r="C88" s="5" t="n"/>
      <c r="D88" s="20" t="n"/>
      <c r="E88" s="5" t="n"/>
      <c r="F88" s="5" t="n"/>
    </row>
    <row r="89">
      <c r="A89" s="5" t="n"/>
      <c r="B89" s="5" t="n"/>
      <c r="C89" s="5" t="n"/>
      <c r="D89" s="20" t="n"/>
      <c r="E89" s="5" t="n"/>
      <c r="F89" s="5" t="n"/>
    </row>
    <row r="90">
      <c r="A90" s="5" t="n"/>
      <c r="B90" s="5" t="n"/>
      <c r="C90" s="5" t="n"/>
      <c r="D90" s="20" t="n"/>
      <c r="E90" s="5" t="n"/>
      <c r="F90" s="5" t="n"/>
    </row>
    <row r="91">
      <c r="A91" s="5" t="n"/>
      <c r="B91" s="5" t="n"/>
      <c r="C91" s="5" t="n"/>
      <c r="D91" s="20" t="n"/>
      <c r="E91" s="5" t="n"/>
      <c r="F91" s="5" t="n"/>
    </row>
    <row r="92">
      <c r="A92" s="5" t="n"/>
      <c r="B92" s="5" t="n"/>
      <c r="C92" s="5" t="n"/>
      <c r="D92" s="20" t="n"/>
      <c r="E92" s="5" t="n"/>
      <c r="F92" s="5" t="n"/>
    </row>
    <row r="93">
      <c r="A93" s="5" t="n"/>
      <c r="B93" s="5" t="n"/>
      <c r="C93" s="5" t="n"/>
      <c r="D93" s="20" t="n"/>
      <c r="E93" s="5" t="n"/>
      <c r="F93" s="5" t="n"/>
    </row>
    <row r="94">
      <c r="A94" s="5" t="n"/>
      <c r="B94" s="5" t="n"/>
      <c r="C94" s="5" t="n"/>
      <c r="D94" s="20" t="n"/>
      <c r="E94" s="5" t="n"/>
      <c r="F94" s="5" t="n"/>
    </row>
    <row r="95">
      <c r="A95" s="5" t="n"/>
      <c r="B95" s="5" t="n"/>
      <c r="C95" s="5" t="n"/>
      <c r="D95" s="20" t="n"/>
      <c r="E95" s="5" t="n"/>
      <c r="F95" s="5" t="n"/>
    </row>
    <row r="96">
      <c r="A96" s="5" t="n"/>
      <c r="B96" s="5" t="n"/>
      <c r="C96" s="5" t="n"/>
      <c r="D96" s="20" t="n"/>
      <c r="E96" s="5" t="n"/>
      <c r="F96" s="5" t="n"/>
    </row>
    <row r="97">
      <c r="A97" s="5" t="n"/>
      <c r="B97" s="5" t="n"/>
      <c r="C97" s="5" t="n"/>
      <c r="D97" s="20" t="n"/>
      <c r="E97" s="5" t="n"/>
      <c r="F97" s="5" t="n"/>
    </row>
    <row r="98">
      <c r="A98" s="5" t="n"/>
      <c r="B98" s="5" t="n"/>
      <c r="C98" s="5" t="n"/>
      <c r="D98" s="20" t="n"/>
      <c r="E98" s="5" t="n"/>
      <c r="F98" s="5" t="n"/>
    </row>
    <row r="99">
      <c r="A99" s="5" t="n"/>
      <c r="B99" s="5" t="n"/>
      <c r="C99" s="5" t="n"/>
      <c r="D99" s="20" t="n"/>
      <c r="E99" s="5" t="n"/>
      <c r="F99" s="5" t="n"/>
    </row>
    <row r="100">
      <c r="A100" s="5" t="n"/>
      <c r="B100" s="5" t="n"/>
      <c r="C100" s="5" t="n"/>
      <c r="D100" s="20" t="n"/>
      <c r="E100" s="5" t="n"/>
      <c r="F100" s="5" t="n"/>
    </row>
    <row r="101">
      <c r="A101" s="5" t="n"/>
      <c r="B101" s="5" t="n"/>
      <c r="C101" s="5" t="n"/>
      <c r="D101" s="20" t="n"/>
      <c r="E101" s="5" t="n"/>
      <c r="F101" s="5" t="n"/>
    </row>
    <row r="102">
      <c r="A102" s="5" t="n"/>
      <c r="B102" s="5" t="n"/>
      <c r="C102" s="5" t="n"/>
      <c r="D102" s="20" t="n"/>
      <c r="E102" s="5" t="n"/>
      <c r="F102" s="5" t="n"/>
    </row>
    <row r="103">
      <c r="A103" s="5" t="n"/>
      <c r="B103" s="5" t="n"/>
      <c r="C103" s="5" t="n"/>
      <c r="D103" s="20" t="n"/>
      <c r="E103" s="5" t="n"/>
      <c r="F103" s="5" t="n"/>
    </row>
    <row r="104">
      <c r="A104" s="5" t="n"/>
      <c r="B104" s="5" t="n"/>
      <c r="C104" s="5" t="n"/>
      <c r="D104" s="20" t="n"/>
      <c r="E104" s="5" t="n"/>
      <c r="F104" s="5" t="n"/>
    </row>
    <row r="105">
      <c r="A105" s="5" t="n"/>
      <c r="B105" s="5" t="n"/>
      <c r="C105" s="5" t="n"/>
      <c r="D105" s="20" t="n"/>
      <c r="E105" s="5" t="n"/>
      <c r="F105" s="5" t="n"/>
    </row>
    <row r="106">
      <c r="A106" s="5" t="n"/>
      <c r="B106" s="5" t="n"/>
      <c r="C106" s="5" t="n"/>
      <c r="D106" s="20" t="n"/>
      <c r="E106" s="5" t="n"/>
      <c r="F106" s="5" t="n"/>
    </row>
    <row r="107">
      <c r="A107" s="5" t="n"/>
      <c r="B107" s="5" t="n"/>
      <c r="C107" s="5" t="n"/>
      <c r="D107" s="20" t="n"/>
      <c r="E107" s="5" t="n"/>
      <c r="F107" s="5" t="n"/>
    </row>
    <row r="108">
      <c r="A108" s="5" t="n"/>
      <c r="B108" s="5" t="n"/>
      <c r="C108" s="5" t="n"/>
      <c r="D108" s="20" t="n"/>
      <c r="E108" s="5" t="n"/>
      <c r="F108" s="5" t="n"/>
    </row>
    <row r="109">
      <c r="A109" s="5" t="n"/>
      <c r="B109" s="5" t="n"/>
      <c r="C109" s="5" t="n"/>
      <c r="D109" s="20" t="n"/>
      <c r="E109" s="5" t="n"/>
      <c r="F109" s="5" t="n"/>
    </row>
    <row r="110">
      <c r="A110" s="5" t="n"/>
      <c r="B110" s="5" t="n"/>
      <c r="C110" s="5" t="n"/>
      <c r="D110" s="20" t="n"/>
      <c r="E110" s="5" t="n"/>
      <c r="F110" s="5" t="n"/>
    </row>
    <row r="111">
      <c r="A111" s="5" t="n"/>
      <c r="B111" s="5" t="n"/>
      <c r="C111" s="5" t="n"/>
      <c r="D111" s="20" t="n"/>
      <c r="E111" s="5" t="n"/>
      <c r="F111" s="5" t="n"/>
    </row>
    <row r="112">
      <c r="A112" s="5" t="n"/>
      <c r="B112" s="5" t="n"/>
      <c r="C112" s="5" t="n"/>
      <c r="D112" s="20" t="n"/>
      <c r="E112" s="5" t="n"/>
      <c r="F112" s="5" t="n"/>
    </row>
    <row r="113">
      <c r="A113" s="5" t="n"/>
      <c r="B113" s="5" t="n"/>
      <c r="C113" s="5" t="n"/>
      <c r="D113" s="20" t="n"/>
      <c r="E113" s="5" t="n"/>
      <c r="F113" s="5" t="n"/>
    </row>
    <row r="114">
      <c r="A114" s="5" t="n"/>
      <c r="B114" s="5" t="n"/>
      <c r="C114" s="5" t="n"/>
      <c r="D114" s="20" t="n"/>
      <c r="E114" s="5" t="n"/>
      <c r="F114" s="5" t="n"/>
    </row>
    <row r="115">
      <c r="A115" s="5" t="n"/>
      <c r="B115" s="5" t="n"/>
      <c r="C115" s="5" t="n"/>
      <c r="D115" s="20" t="n"/>
      <c r="E115" s="5" t="n"/>
      <c r="F115" s="5" t="n"/>
    </row>
    <row r="116">
      <c r="A116" s="5" t="n"/>
      <c r="B116" s="5" t="n"/>
      <c r="C116" s="5" t="n"/>
      <c r="D116" s="20" t="n"/>
      <c r="E116" s="5" t="n"/>
      <c r="F116" s="5" t="n"/>
    </row>
    <row r="117">
      <c r="A117" s="5" t="n"/>
      <c r="B117" s="5" t="n"/>
      <c r="C117" s="5" t="n"/>
      <c r="D117" s="20" t="n"/>
      <c r="E117" s="5" t="n"/>
      <c r="F117" s="5" t="n"/>
    </row>
    <row r="118">
      <c r="A118" s="5" t="n"/>
      <c r="B118" s="5" t="n"/>
      <c r="C118" s="5" t="n"/>
      <c r="D118" s="20" t="n"/>
      <c r="E118" s="5" t="n"/>
      <c r="F118" s="5" t="n"/>
    </row>
    <row r="119">
      <c r="A119" s="5" t="n"/>
      <c r="B119" s="5" t="n"/>
      <c r="C119" s="5" t="n"/>
      <c r="D119" s="20" t="n"/>
      <c r="E119" s="5" t="n"/>
      <c r="F119" s="5" t="n"/>
    </row>
    <row r="120">
      <c r="A120" s="5" t="n"/>
      <c r="B120" s="5" t="n"/>
      <c r="C120" s="5" t="n"/>
      <c r="D120" s="20" t="n"/>
      <c r="E120" s="5" t="n"/>
      <c r="F120" s="5" t="n"/>
    </row>
    <row r="121">
      <c r="A121" s="5" t="n"/>
      <c r="B121" s="5" t="n"/>
      <c r="C121" s="5" t="n"/>
      <c r="D121" s="20" t="n"/>
      <c r="E121" s="5" t="n"/>
      <c r="F121" s="5" t="n"/>
    </row>
    <row r="122">
      <c r="A122" s="5" t="n"/>
      <c r="B122" s="5" t="n"/>
      <c r="C122" s="5" t="n"/>
      <c r="D122" s="20" t="n"/>
      <c r="E122" s="5" t="n"/>
      <c r="F122" s="5" t="n"/>
    </row>
    <row r="123">
      <c r="A123" s="5" t="n"/>
      <c r="B123" s="5" t="n"/>
      <c r="C123" s="5" t="n"/>
      <c r="D123" s="20" t="n"/>
      <c r="E123" s="5" t="n"/>
      <c r="F123" s="5" t="n"/>
    </row>
    <row r="124">
      <c r="A124" s="5" t="n"/>
      <c r="B124" s="5" t="n"/>
      <c r="C124" s="5" t="n"/>
      <c r="D124" s="20" t="n"/>
      <c r="E124" s="5" t="n"/>
      <c r="F124" s="5" t="n"/>
    </row>
    <row r="125">
      <c r="A125" s="5" t="n"/>
      <c r="B125" s="5" t="n"/>
      <c r="C125" s="5" t="n"/>
      <c r="D125" s="20" t="n"/>
      <c r="E125" s="5" t="n"/>
      <c r="F125" s="5" t="n"/>
    </row>
    <row r="126">
      <c r="A126" s="5" t="n"/>
      <c r="B126" s="5" t="n"/>
      <c r="C126" s="5" t="n"/>
      <c r="D126" s="20" t="n"/>
      <c r="E126" s="5" t="n"/>
      <c r="F126" s="5" t="n"/>
    </row>
    <row r="127">
      <c r="A127" s="5" t="n"/>
      <c r="B127" s="5" t="n"/>
      <c r="C127" s="5" t="n"/>
      <c r="D127" s="20" t="n"/>
      <c r="E127" s="5" t="n"/>
      <c r="F127" s="5" t="n"/>
    </row>
    <row r="128">
      <c r="A128" s="5" t="n"/>
      <c r="B128" s="5" t="n"/>
      <c r="C128" s="5" t="n"/>
      <c r="D128" s="20" t="n"/>
      <c r="E128" s="5" t="n"/>
      <c r="F128" s="5" t="n"/>
    </row>
    <row r="129">
      <c r="A129" s="5" t="n"/>
      <c r="B129" s="5" t="n"/>
      <c r="C129" s="5" t="n"/>
      <c r="D129" s="20" t="n"/>
      <c r="E129" s="5" t="n"/>
      <c r="F129" s="5" t="n"/>
    </row>
    <row r="130">
      <c r="A130" s="5" t="n"/>
      <c r="B130" s="5" t="n"/>
      <c r="C130" s="5" t="n"/>
      <c r="D130" s="20" t="n"/>
      <c r="E130" s="5" t="n"/>
      <c r="F130" s="5" t="n"/>
    </row>
    <row r="131">
      <c r="A131" s="5" t="n"/>
      <c r="B131" s="5" t="n"/>
      <c r="C131" s="5" t="n"/>
      <c r="D131" s="20" t="n"/>
      <c r="E131" s="5" t="n"/>
      <c r="F131" s="5" t="n"/>
    </row>
    <row r="132">
      <c r="A132" s="5" t="n"/>
      <c r="B132" s="5" t="n"/>
      <c r="C132" s="5" t="n"/>
      <c r="D132" s="20" t="n"/>
      <c r="E132" s="5" t="n"/>
      <c r="F132" s="5" t="n"/>
    </row>
    <row r="133">
      <c r="A133" s="5" t="n"/>
      <c r="B133" s="5" t="n"/>
      <c r="C133" s="5" t="n"/>
      <c r="D133" s="20" t="n"/>
      <c r="E133" s="5" t="n"/>
      <c r="F133" s="5" t="n"/>
    </row>
    <row r="134">
      <c r="A134" s="5" t="n"/>
      <c r="B134" s="5" t="n"/>
      <c r="C134" s="5" t="n"/>
      <c r="D134" s="20" t="n"/>
      <c r="E134" s="5" t="n"/>
      <c r="F134" s="5" t="n"/>
    </row>
    <row r="135">
      <c r="A135" s="5" t="n"/>
      <c r="B135" s="5" t="n"/>
      <c r="C135" s="5" t="n"/>
      <c r="D135" s="20" t="n"/>
      <c r="E135" s="5" t="n"/>
      <c r="F135" s="5" t="n"/>
    </row>
    <row r="136">
      <c r="A136" s="5" t="n"/>
      <c r="B136" s="5" t="n"/>
      <c r="C136" s="5" t="n"/>
      <c r="D136" s="20" t="n"/>
      <c r="E136" s="5" t="n"/>
      <c r="F136" s="5" t="n"/>
    </row>
    <row r="137">
      <c r="A137" s="5" t="n"/>
      <c r="B137" s="5" t="n"/>
      <c r="C137" s="5" t="n"/>
      <c r="D137" s="20" t="n"/>
      <c r="E137" s="5" t="n"/>
      <c r="F137" s="5" t="n"/>
    </row>
    <row r="138">
      <c r="A138" s="5" t="n"/>
      <c r="B138" s="5" t="n"/>
      <c r="C138" s="5" t="n"/>
      <c r="D138" s="20" t="n"/>
      <c r="E138" s="5" t="n"/>
      <c r="F138" s="5" t="n"/>
    </row>
    <row r="139">
      <c r="A139" s="5" t="n"/>
      <c r="B139" s="5" t="n"/>
      <c r="C139" s="5" t="n"/>
      <c r="D139" s="20" t="n"/>
      <c r="E139" s="5" t="n"/>
      <c r="F139" s="5" t="n"/>
    </row>
    <row r="140">
      <c r="A140" s="5" t="n"/>
      <c r="B140" s="5" t="n"/>
      <c r="C140" s="5" t="n"/>
      <c r="D140" s="20" t="n"/>
      <c r="E140" s="5" t="n"/>
      <c r="F140" s="5" t="n"/>
    </row>
    <row r="141">
      <c r="A141" s="5" t="n"/>
      <c r="B141" s="5" t="n"/>
      <c r="C141" s="5" t="n"/>
      <c r="D141" s="20" t="n"/>
      <c r="E141" s="5" t="n"/>
      <c r="F141" s="5" t="n"/>
    </row>
    <row r="142">
      <c r="A142" s="5" t="n"/>
      <c r="B142" s="5" t="n"/>
      <c r="C142" s="5" t="n"/>
      <c r="D142" s="20" t="n"/>
      <c r="E142" s="5" t="n"/>
      <c r="F142" s="5" t="n"/>
    </row>
    <row r="143">
      <c r="A143" s="5" t="n"/>
      <c r="B143" s="5" t="n"/>
      <c r="C143" s="5" t="n"/>
      <c r="D143" s="20" t="n"/>
      <c r="E143" s="5" t="n"/>
      <c r="F143" s="5" t="n"/>
    </row>
    <row r="144">
      <c r="A144" s="5" t="n"/>
      <c r="B144" s="5" t="n"/>
      <c r="C144" s="5" t="n"/>
      <c r="D144" s="20" t="n"/>
      <c r="E144" s="5" t="n"/>
      <c r="F144" s="5" t="n"/>
    </row>
    <row r="145">
      <c r="A145" s="5" t="n"/>
      <c r="B145" s="5" t="n"/>
      <c r="C145" s="5" t="n"/>
      <c r="D145" s="20" t="n"/>
      <c r="E145" s="5" t="n"/>
      <c r="F145" s="5" t="n"/>
    </row>
    <row r="146">
      <c r="A146" s="5" t="n"/>
      <c r="B146" s="5" t="n"/>
      <c r="C146" s="5" t="n"/>
      <c r="D146" s="20" t="n"/>
      <c r="E146" s="5" t="n"/>
      <c r="F146" s="5" t="n"/>
    </row>
    <row r="147">
      <c r="A147" s="5" t="n"/>
      <c r="B147" s="5" t="n"/>
      <c r="C147" s="5" t="n"/>
      <c r="D147" s="20" t="n"/>
      <c r="E147" s="5" t="n"/>
      <c r="F147" s="5" t="n"/>
    </row>
    <row r="148">
      <c r="A148" s="5" t="n"/>
      <c r="B148" s="5" t="n"/>
      <c r="C148" s="5" t="n"/>
      <c r="D148" s="20" t="n"/>
      <c r="E148" s="5" t="n"/>
      <c r="F148" s="5" t="n"/>
    </row>
    <row r="149">
      <c r="A149" s="5" t="n"/>
      <c r="B149" s="5" t="n"/>
      <c r="C149" s="5" t="n"/>
      <c r="D149" s="20" t="n"/>
      <c r="E149" s="5" t="n"/>
      <c r="F149" s="5" t="n"/>
    </row>
    <row r="150">
      <c r="A150" s="5" t="n"/>
      <c r="B150" s="5" t="n"/>
      <c r="C150" s="5" t="n"/>
      <c r="D150" s="20" t="n"/>
      <c r="E150" s="5" t="n"/>
      <c r="F150" s="5" t="n"/>
    </row>
    <row r="151">
      <c r="A151" s="5" t="n"/>
      <c r="B151" s="5" t="n"/>
      <c r="C151" s="5" t="n"/>
      <c r="D151" s="20" t="n"/>
      <c r="E151" s="5" t="n"/>
      <c r="F151" s="5" t="n"/>
    </row>
    <row r="152">
      <c r="A152" s="5" t="n"/>
      <c r="B152" s="5" t="n"/>
      <c r="C152" s="5" t="n"/>
      <c r="D152" s="20" t="n"/>
      <c r="E152" s="5" t="n"/>
      <c r="F152" s="5" t="n"/>
    </row>
    <row r="153">
      <c r="A153" s="5" t="n"/>
      <c r="B153" s="5" t="n"/>
      <c r="C153" s="5" t="n"/>
      <c r="D153" s="20" t="n"/>
      <c r="E153" s="5" t="n"/>
      <c r="F153" s="5" t="n"/>
    </row>
    <row r="154">
      <c r="A154" s="5" t="n"/>
      <c r="B154" s="5" t="n"/>
      <c r="C154" s="5" t="n"/>
      <c r="D154" s="20" t="n"/>
      <c r="E154" s="5" t="n"/>
      <c r="F154" s="5" t="n"/>
    </row>
    <row r="155">
      <c r="A155" s="5" t="n"/>
      <c r="B155" s="5" t="n"/>
      <c r="C155" s="5" t="n"/>
      <c r="D155" s="20" t="n"/>
      <c r="E155" s="5" t="n"/>
      <c r="F155" s="5" t="n"/>
    </row>
    <row r="156">
      <c r="A156" s="5" t="n"/>
      <c r="B156" s="5" t="n"/>
      <c r="C156" s="5" t="n"/>
      <c r="D156" s="20" t="n"/>
      <c r="E156" s="5" t="n"/>
      <c r="F156" s="5" t="n"/>
    </row>
    <row r="157">
      <c r="A157" s="5" t="n"/>
      <c r="B157" s="5" t="n"/>
      <c r="C157" s="5" t="n"/>
      <c r="D157" s="20" t="n"/>
      <c r="E157" s="5" t="n"/>
      <c r="F157" s="5" t="n"/>
    </row>
    <row r="158">
      <c r="A158" s="5" t="n"/>
      <c r="B158" s="5" t="n"/>
      <c r="C158" s="5" t="n"/>
      <c r="D158" s="20" t="n"/>
      <c r="E158" s="5" t="n"/>
      <c r="F158" s="5" t="n"/>
    </row>
    <row r="159">
      <c r="A159" s="5" t="n"/>
      <c r="B159" s="5" t="n"/>
      <c r="C159" s="5" t="n"/>
      <c r="D159" s="20" t="n"/>
      <c r="E159" s="5" t="n"/>
      <c r="F159" s="5" t="n"/>
    </row>
    <row r="160">
      <c r="A160" s="5" t="n"/>
      <c r="B160" s="5" t="n"/>
      <c r="C160" s="5" t="n"/>
      <c r="D160" s="20" t="n"/>
      <c r="E160" s="5" t="n"/>
      <c r="F160" s="5" t="n"/>
    </row>
    <row r="161">
      <c r="A161" s="5" t="n"/>
      <c r="B161" s="5" t="n"/>
      <c r="C161" s="5" t="n"/>
      <c r="D161" s="20" t="n"/>
      <c r="E161" s="5" t="n"/>
      <c r="F161" s="5" t="n"/>
    </row>
    <row r="162">
      <c r="A162" s="5" t="n"/>
      <c r="B162" s="5" t="n"/>
      <c r="C162" s="5" t="n"/>
      <c r="D162" s="20" t="n"/>
      <c r="E162" s="5" t="n"/>
      <c r="F162" s="5" t="n"/>
    </row>
    <row r="163">
      <c r="A163" s="5" t="n"/>
      <c r="B163" s="5" t="n"/>
      <c r="C163" s="5" t="n"/>
      <c r="D163" s="20" t="n"/>
      <c r="E163" s="5" t="n"/>
      <c r="F163" s="5" t="n"/>
    </row>
    <row r="164">
      <c r="A164" s="5" t="n"/>
      <c r="B164" s="5" t="n"/>
      <c r="C164" s="5" t="n"/>
      <c r="D164" s="20" t="n"/>
      <c r="E164" s="5" t="n"/>
      <c r="F164" s="5" t="n"/>
    </row>
    <row r="165">
      <c r="A165" s="5" t="n"/>
      <c r="B165" s="5" t="n"/>
      <c r="C165" s="5" t="n"/>
      <c r="D165" s="20" t="n"/>
      <c r="E165" s="5" t="n"/>
      <c r="F165" s="5" t="n"/>
    </row>
    <row r="166">
      <c r="A166" s="5" t="n"/>
      <c r="B166" s="5" t="n"/>
      <c r="C166" s="5" t="n"/>
      <c r="D166" s="20" t="n"/>
      <c r="E166" s="5" t="n"/>
      <c r="F166" s="5" t="n"/>
    </row>
    <row r="167">
      <c r="A167" s="5" t="n"/>
      <c r="B167" s="5" t="n"/>
      <c r="C167" s="5" t="n"/>
      <c r="D167" s="20" t="n"/>
      <c r="E167" s="5" t="n"/>
      <c r="F167" s="5" t="n"/>
    </row>
    <row r="168">
      <c r="A168" s="5" t="n"/>
      <c r="B168" s="5" t="n"/>
      <c r="C168" s="5" t="n"/>
      <c r="D168" s="20" t="n"/>
      <c r="E168" s="5" t="n"/>
      <c r="F168" s="5" t="n"/>
    </row>
    <row r="169">
      <c r="A169" s="5" t="n"/>
      <c r="B169" s="5" t="n"/>
      <c r="C169" s="5" t="n"/>
      <c r="D169" s="20" t="n"/>
      <c r="E169" s="5" t="n"/>
      <c r="F169" s="5" t="n"/>
    </row>
    <row r="170">
      <c r="A170" s="5" t="n"/>
      <c r="B170" s="5" t="n"/>
      <c r="C170" s="5" t="n"/>
      <c r="D170" s="20" t="n"/>
      <c r="E170" s="5" t="n"/>
      <c r="F170" s="5" t="n"/>
    </row>
    <row r="171">
      <c r="A171" s="5" t="n"/>
      <c r="B171" s="5" t="n"/>
      <c r="C171" s="5" t="n"/>
      <c r="D171" s="20" t="n"/>
      <c r="E171" s="5" t="n"/>
      <c r="F171" s="5" t="n"/>
    </row>
    <row r="172">
      <c r="A172" s="5" t="n"/>
      <c r="B172" s="5" t="n"/>
      <c r="C172" s="5" t="n"/>
      <c r="D172" s="20" t="n"/>
      <c r="E172" s="5" t="n"/>
      <c r="F172" s="5" t="n"/>
    </row>
    <row r="173">
      <c r="A173" s="5" t="n"/>
      <c r="B173" s="5" t="n"/>
      <c r="C173" s="5" t="n"/>
      <c r="D173" s="20" t="n"/>
      <c r="E173" s="5" t="n"/>
      <c r="F173" s="5" t="n"/>
    </row>
    <row r="174">
      <c r="A174" s="5" t="n"/>
      <c r="B174" s="5" t="n"/>
      <c r="C174" s="5" t="n"/>
      <c r="D174" s="20" t="n"/>
      <c r="E174" s="5" t="n"/>
      <c r="F174" s="5" t="n"/>
    </row>
    <row r="175">
      <c r="A175" s="5" t="n"/>
      <c r="B175" s="5" t="n"/>
      <c r="C175" s="5" t="n"/>
      <c r="D175" s="20" t="n"/>
      <c r="E175" s="5" t="n"/>
      <c r="F175" s="5" t="n"/>
    </row>
    <row r="176">
      <c r="A176" s="5" t="n"/>
      <c r="B176" s="5" t="n"/>
      <c r="C176" s="5" t="n"/>
      <c r="D176" s="20" t="n"/>
      <c r="E176" s="5" t="n"/>
      <c r="F176" s="5" t="n"/>
    </row>
    <row r="177">
      <c r="A177" s="5" t="n"/>
      <c r="B177" s="5" t="n"/>
      <c r="C177" s="5" t="n"/>
      <c r="D177" s="20" t="n"/>
      <c r="E177" s="5" t="n"/>
      <c r="F177" s="5" t="n"/>
    </row>
    <row r="178">
      <c r="A178" s="5" t="n"/>
      <c r="B178" s="5" t="n"/>
      <c r="C178" s="5" t="n"/>
      <c r="D178" s="20" t="n"/>
      <c r="E178" s="5" t="n"/>
      <c r="F178" s="5" t="n"/>
    </row>
    <row r="179">
      <c r="A179" s="5" t="n"/>
      <c r="B179" s="5" t="n"/>
      <c r="C179" s="5" t="n"/>
      <c r="D179" s="20" t="n"/>
      <c r="E179" s="5" t="n"/>
      <c r="F179" s="5" t="n"/>
    </row>
    <row r="180">
      <c r="A180" s="5" t="n"/>
      <c r="B180" s="5" t="n"/>
      <c r="C180" s="5" t="n"/>
      <c r="D180" s="20" t="n"/>
      <c r="E180" s="5" t="n"/>
      <c r="F180" s="5" t="n"/>
    </row>
    <row r="181">
      <c r="A181" s="5" t="n"/>
      <c r="B181" s="5" t="n"/>
      <c r="C181" s="5" t="n"/>
      <c r="D181" s="20" t="n"/>
      <c r="E181" s="5" t="n"/>
      <c r="F181" s="5" t="n"/>
    </row>
    <row r="182">
      <c r="A182" s="5" t="n"/>
      <c r="B182" s="5" t="n"/>
      <c r="C182" s="5" t="n"/>
      <c r="D182" s="20" t="n"/>
      <c r="E182" s="5" t="n"/>
      <c r="F182" s="5" t="n"/>
    </row>
    <row r="183">
      <c r="A183" s="5" t="n"/>
      <c r="B183" s="5" t="n"/>
      <c r="C183" s="5" t="n"/>
      <c r="D183" s="20" t="n"/>
      <c r="E183" s="5" t="n"/>
      <c r="F183" s="5" t="n"/>
    </row>
    <row r="184">
      <c r="A184" s="5" t="n"/>
      <c r="B184" s="5" t="n"/>
      <c r="C184" s="5" t="n"/>
      <c r="D184" s="20" t="n"/>
      <c r="E184" s="5" t="n"/>
      <c r="F184" s="5" t="n"/>
    </row>
    <row r="185">
      <c r="A185" s="5" t="n"/>
      <c r="B185" s="5" t="n"/>
      <c r="C185" s="5" t="n"/>
      <c r="D185" s="20" t="n"/>
      <c r="E185" s="5" t="n"/>
      <c r="F185" s="5" t="n"/>
    </row>
    <row r="186">
      <c r="A186" s="5" t="n"/>
      <c r="B186" s="5" t="n"/>
      <c r="C186" s="5" t="n"/>
      <c r="D186" s="20" t="n"/>
      <c r="E186" s="5" t="n"/>
      <c r="F186" s="5" t="n"/>
    </row>
    <row r="187">
      <c r="A187" s="5" t="n"/>
      <c r="B187" s="5" t="n"/>
      <c r="C187" s="5" t="n"/>
      <c r="D187" s="20" t="n"/>
      <c r="E187" s="5" t="n"/>
      <c r="F187" s="5" t="n"/>
    </row>
    <row r="188">
      <c r="A188" s="5" t="n"/>
      <c r="B188" s="5" t="n"/>
      <c r="C188" s="5" t="n"/>
      <c r="D188" s="20" t="n"/>
      <c r="E188" s="5" t="n"/>
      <c r="F188" s="5" t="n"/>
    </row>
    <row r="189">
      <c r="A189" s="5" t="n"/>
      <c r="B189" s="5" t="n"/>
      <c r="C189" s="5" t="n"/>
      <c r="D189" s="20" t="n"/>
      <c r="E189" s="5" t="n"/>
      <c r="F189" s="5" t="n"/>
    </row>
    <row r="190">
      <c r="A190" s="5" t="n"/>
      <c r="B190" s="5" t="n"/>
      <c r="C190" s="5" t="n"/>
      <c r="D190" s="20" t="n"/>
      <c r="E190" s="5" t="n"/>
      <c r="F190" s="5" t="n"/>
    </row>
    <row r="191">
      <c r="A191" s="5" t="n"/>
      <c r="B191" s="5" t="n"/>
      <c r="C191" s="5" t="n"/>
      <c r="D191" s="20" t="n"/>
      <c r="E191" s="5" t="n"/>
      <c r="F191" s="5" t="n"/>
    </row>
    <row r="192">
      <c r="A192" s="5" t="n"/>
      <c r="B192" s="5" t="n"/>
      <c r="C192" s="5" t="n"/>
      <c r="D192" s="20" t="n"/>
      <c r="E192" s="5" t="n"/>
      <c r="F192" s="5" t="n"/>
    </row>
    <row r="193">
      <c r="A193" s="5" t="n"/>
      <c r="B193" s="5" t="n"/>
      <c r="C193" s="5" t="n"/>
      <c r="D193" s="20" t="n"/>
      <c r="E193" s="5" t="n"/>
      <c r="F193" s="5" t="n"/>
    </row>
    <row r="194">
      <c r="A194" s="5" t="n"/>
      <c r="B194" s="5" t="n"/>
      <c r="C194" s="5" t="n"/>
      <c r="D194" s="20" t="n"/>
      <c r="E194" s="5" t="n"/>
      <c r="F194" s="5" t="n"/>
    </row>
    <row r="195">
      <c r="A195" s="5" t="n"/>
      <c r="B195" s="5" t="n"/>
      <c r="C195" s="5" t="n"/>
      <c r="D195" s="20" t="n"/>
      <c r="E195" s="5" t="n"/>
      <c r="F195" s="5" t="n"/>
    </row>
    <row r="196">
      <c r="A196" s="5" t="n"/>
      <c r="B196" s="5" t="n"/>
      <c r="C196" s="5" t="n"/>
      <c r="D196" s="20" t="n"/>
      <c r="E196" s="5" t="n"/>
      <c r="F196" s="5" t="n"/>
    </row>
    <row r="197">
      <c r="A197" s="5" t="n"/>
      <c r="B197" s="5" t="n"/>
      <c r="C197" s="5" t="n"/>
      <c r="D197" s="20" t="n"/>
      <c r="E197" s="5" t="n"/>
      <c r="F197" s="5" t="n"/>
    </row>
    <row r="198">
      <c r="A198" s="5" t="n"/>
      <c r="B198" s="5" t="n"/>
      <c r="C198" s="5" t="n"/>
      <c r="D198" s="20" t="n"/>
      <c r="E198" s="5" t="n"/>
      <c r="F198" s="5" t="n"/>
    </row>
    <row r="199">
      <c r="A199" s="5" t="n"/>
      <c r="B199" s="5" t="n"/>
      <c r="C199" s="5" t="n"/>
      <c r="D199" s="20" t="n"/>
      <c r="E199" s="5" t="n"/>
      <c r="F199" s="5" t="n"/>
    </row>
    <row r="200">
      <c r="A200" s="5" t="n"/>
      <c r="B200" s="5" t="n"/>
      <c r="C200" s="5" t="n"/>
      <c r="D200" s="20" t="n"/>
      <c r="E200" s="5" t="n"/>
      <c r="F200" s="5" t="n"/>
    </row>
    <row r="201">
      <c r="A201" s="5" t="n"/>
      <c r="B201" s="5" t="n"/>
      <c r="C201" s="5" t="n"/>
      <c r="D201" s="20" t="n"/>
      <c r="E201" s="5" t="n"/>
      <c r="F201" s="5" t="n"/>
    </row>
    <row r="202">
      <c r="A202" s="5" t="n"/>
      <c r="B202" s="5" t="n"/>
      <c r="C202" s="5" t="n"/>
      <c r="D202" s="20" t="n"/>
      <c r="E202" s="5" t="n"/>
      <c r="F202" s="5" t="n"/>
    </row>
    <row r="203">
      <c r="A203" s="5" t="n"/>
      <c r="B203" s="5" t="n"/>
      <c r="C203" s="5" t="n"/>
      <c r="D203" s="20" t="n"/>
      <c r="E203" s="5" t="n"/>
      <c r="F203" s="5" t="n"/>
    </row>
    <row r="204">
      <c r="A204" s="5" t="n"/>
      <c r="B204" s="5" t="n"/>
      <c r="C204" s="5" t="n"/>
      <c r="D204" s="20" t="n"/>
      <c r="E204" s="5" t="n"/>
      <c r="F204" s="5" t="n"/>
    </row>
    <row r="205">
      <c r="A205" s="5" t="n"/>
      <c r="B205" s="5" t="n"/>
      <c r="C205" s="5" t="n"/>
      <c r="D205" s="20" t="n"/>
      <c r="E205" s="5" t="n"/>
      <c r="F205" s="5" t="n"/>
    </row>
    <row r="206">
      <c r="A206" s="5" t="n"/>
      <c r="B206" s="5" t="n"/>
      <c r="C206" s="5" t="n"/>
      <c r="D206" s="20" t="n"/>
      <c r="E206" s="5" t="n"/>
      <c r="F206" s="5" t="n"/>
    </row>
    <row r="207">
      <c r="A207" s="5" t="n"/>
      <c r="B207" s="5" t="n"/>
      <c r="C207" s="5" t="n"/>
      <c r="D207" s="20" t="n"/>
      <c r="E207" s="5" t="n"/>
      <c r="F207" s="5" t="n"/>
    </row>
    <row r="208">
      <c r="A208" s="5" t="n"/>
      <c r="B208" s="5" t="n"/>
      <c r="C208" s="5" t="n"/>
      <c r="D208" s="20" t="n"/>
      <c r="E208" s="5" t="n"/>
      <c r="F208" s="5" t="n"/>
    </row>
    <row r="209">
      <c r="A209" s="5" t="n"/>
      <c r="B209" s="5" t="n"/>
      <c r="C209" s="5" t="n"/>
      <c r="D209" s="20" t="n"/>
      <c r="E209" s="5" t="n"/>
      <c r="F209" s="5" t="n"/>
    </row>
    <row r="210">
      <c r="A210" s="5" t="n"/>
      <c r="B210" s="5" t="n"/>
      <c r="C210" s="5" t="n"/>
      <c r="D210" s="20" t="n"/>
      <c r="E210" s="5" t="n"/>
      <c r="F210" s="5" t="n"/>
    </row>
    <row r="211">
      <c r="A211" s="5" t="n"/>
      <c r="B211" s="5" t="n"/>
      <c r="C211" s="5" t="n"/>
      <c r="D211" s="20" t="n"/>
      <c r="E211" s="5" t="n"/>
      <c r="F211" s="5" t="n"/>
    </row>
    <row r="212">
      <c r="A212" s="5" t="n"/>
      <c r="B212" s="5" t="n"/>
      <c r="C212" s="5" t="n"/>
      <c r="D212" s="20" t="n"/>
      <c r="E212" s="5" t="n"/>
      <c r="F212" s="5" t="n"/>
    </row>
    <row r="213">
      <c r="A213" s="5" t="n"/>
      <c r="B213" s="5" t="n"/>
      <c r="C213" s="5" t="n"/>
      <c r="D213" s="20" t="n"/>
      <c r="E213" s="5" t="n"/>
      <c r="F213" s="5" t="n"/>
    </row>
    <row r="214">
      <c r="A214" s="5" t="n"/>
      <c r="B214" s="5" t="n"/>
      <c r="C214" s="5" t="n"/>
      <c r="D214" s="20" t="n"/>
      <c r="E214" s="5" t="n"/>
      <c r="F214" s="5" t="n"/>
    </row>
    <row r="215">
      <c r="A215" s="5" t="n"/>
      <c r="B215" s="5" t="n"/>
      <c r="C215" s="5" t="n"/>
      <c r="D215" s="20" t="n"/>
      <c r="E215" s="5" t="n"/>
      <c r="F215" s="5" t="n"/>
    </row>
    <row r="216">
      <c r="A216" s="5" t="n"/>
      <c r="B216" s="5" t="n"/>
      <c r="C216" s="5" t="n"/>
      <c r="D216" s="20" t="n"/>
      <c r="E216" s="5" t="n"/>
      <c r="F216" s="5" t="n"/>
    </row>
    <row r="217">
      <c r="A217" s="5" t="n"/>
      <c r="B217" s="5" t="n"/>
      <c r="C217" s="5" t="n"/>
      <c r="D217" s="20" t="n"/>
      <c r="E217" s="5" t="n"/>
      <c r="F217" s="5" t="n"/>
    </row>
    <row r="218">
      <c r="A218" s="5" t="n"/>
      <c r="B218" s="5" t="n"/>
      <c r="C218" s="5" t="n"/>
      <c r="D218" s="20" t="n"/>
      <c r="E218" s="5" t="n"/>
      <c r="F218" s="5" t="n"/>
    </row>
    <row r="219">
      <c r="A219" s="5" t="n"/>
      <c r="B219" s="5" t="n"/>
      <c r="C219" s="5" t="n"/>
      <c r="D219" s="20" t="n"/>
      <c r="E219" s="5" t="n"/>
      <c r="F219" s="5" t="n"/>
    </row>
    <row r="220">
      <c r="A220" s="5" t="n"/>
      <c r="B220" s="5" t="n"/>
      <c r="C220" s="5" t="n"/>
      <c r="D220" s="20" t="n"/>
      <c r="E220" s="5" t="n"/>
      <c r="F220" s="5" t="n"/>
    </row>
    <row r="221">
      <c r="A221" s="5" t="n"/>
      <c r="B221" s="5" t="n"/>
      <c r="C221" s="5" t="n"/>
      <c r="D221" s="20" t="n"/>
      <c r="E221" s="5" t="n"/>
      <c r="F221" s="5" t="n"/>
    </row>
    <row r="222">
      <c r="A222" s="5" t="n"/>
      <c r="B222" s="5" t="n"/>
      <c r="C222" s="5" t="n"/>
      <c r="D222" s="20" t="n"/>
      <c r="E222" s="5" t="n"/>
      <c r="F222" s="5" t="n"/>
    </row>
    <row r="223">
      <c r="A223" s="5" t="n"/>
      <c r="B223" s="5" t="n"/>
      <c r="C223" s="5" t="n"/>
      <c r="D223" s="20" t="n"/>
      <c r="E223" s="5" t="n"/>
      <c r="F223" s="5" t="n"/>
    </row>
    <row r="224">
      <c r="A224" s="5" t="n"/>
      <c r="B224" s="5" t="n"/>
      <c r="C224" s="5" t="n"/>
      <c r="D224" s="20" t="n"/>
      <c r="E224" s="5" t="n"/>
      <c r="F224" s="5" t="n"/>
    </row>
    <row r="225">
      <c r="A225" s="5" t="n"/>
      <c r="B225" s="5" t="n"/>
      <c r="C225" s="5" t="n"/>
      <c r="D225" s="20" t="n"/>
      <c r="E225" s="5" t="n"/>
      <c r="F225" s="5" t="n"/>
    </row>
    <row r="226">
      <c r="A226" s="5" t="n"/>
      <c r="B226" s="5" t="n"/>
      <c r="C226" s="5" t="n"/>
      <c r="D226" s="20" t="n"/>
      <c r="E226" s="5" t="n"/>
      <c r="F226" s="5" t="n"/>
    </row>
    <row r="227">
      <c r="A227" s="5" t="n"/>
      <c r="B227" s="5" t="n"/>
      <c r="C227" s="5" t="n"/>
      <c r="D227" s="20" t="n"/>
      <c r="E227" s="5" t="n"/>
      <c r="F227" s="5" t="n"/>
    </row>
    <row r="228">
      <c r="A228" s="5" t="n"/>
      <c r="B228" s="5" t="n"/>
      <c r="C228" s="5" t="n"/>
      <c r="D228" s="20" t="n"/>
      <c r="E228" s="5" t="n"/>
      <c r="F228" s="5" t="n"/>
    </row>
    <row r="229">
      <c r="A229" s="5" t="n"/>
      <c r="B229" s="5" t="n"/>
      <c r="C229" s="5" t="n"/>
      <c r="D229" s="20" t="n"/>
      <c r="E229" s="5" t="n"/>
      <c r="F229" s="5" t="n"/>
    </row>
    <row r="230">
      <c r="A230" s="5" t="n"/>
      <c r="B230" s="5" t="n"/>
      <c r="C230" s="5" t="n"/>
      <c r="D230" s="20" t="n"/>
      <c r="E230" s="5" t="n"/>
      <c r="F230" s="5" t="n"/>
    </row>
    <row r="231">
      <c r="A231" s="5" t="n"/>
      <c r="B231" s="5" t="n"/>
      <c r="C231" s="5" t="n"/>
      <c r="D231" s="20" t="n"/>
      <c r="E231" s="5" t="n"/>
      <c r="F231" s="5" t="n"/>
    </row>
    <row r="232">
      <c r="A232" s="5" t="n"/>
      <c r="B232" s="5" t="n"/>
      <c r="C232" s="5" t="n"/>
      <c r="D232" s="20" t="n"/>
      <c r="E232" s="5" t="n"/>
      <c r="F232" s="5" t="n"/>
    </row>
    <row r="233">
      <c r="A233" s="5" t="n"/>
      <c r="B233" s="5" t="n"/>
      <c r="C233" s="5" t="n"/>
      <c r="D233" s="20" t="n"/>
      <c r="E233" s="5" t="n"/>
      <c r="F233" s="5" t="n"/>
    </row>
    <row r="234">
      <c r="A234" s="5" t="n"/>
      <c r="B234" s="5" t="n"/>
      <c r="C234" s="5" t="n"/>
      <c r="D234" s="20" t="n"/>
      <c r="E234" s="5" t="n"/>
      <c r="F234" s="5" t="n"/>
    </row>
    <row r="235">
      <c r="A235" s="5" t="n"/>
      <c r="B235" s="5" t="n"/>
      <c r="C235" s="5" t="n"/>
      <c r="D235" s="20" t="n"/>
      <c r="E235" s="5" t="n"/>
      <c r="F235" s="5" t="n"/>
    </row>
    <row r="236">
      <c r="A236" s="5" t="n"/>
      <c r="B236" s="5" t="n"/>
      <c r="C236" s="5" t="n"/>
      <c r="D236" s="20" t="n"/>
      <c r="E236" s="5" t="n"/>
      <c r="F236" s="5" t="n"/>
    </row>
    <row r="237">
      <c r="A237" s="5" t="n"/>
      <c r="B237" s="5" t="n"/>
      <c r="C237" s="5" t="n"/>
      <c r="D237" s="20" t="n"/>
      <c r="E237" s="5" t="n"/>
      <c r="F237" s="5" t="n"/>
    </row>
    <row r="238">
      <c r="A238" s="5" t="n"/>
      <c r="B238" s="5" t="n"/>
      <c r="C238" s="5" t="n"/>
      <c r="D238" s="20" t="n"/>
      <c r="E238" s="5" t="n"/>
      <c r="F238" s="5" t="n"/>
    </row>
    <row r="239">
      <c r="A239" s="5" t="n"/>
      <c r="B239" s="5" t="n"/>
      <c r="C239" s="5" t="n"/>
      <c r="D239" s="20" t="n"/>
      <c r="E239" s="5" t="n"/>
      <c r="F239" s="5" t="n"/>
    </row>
    <row r="240">
      <c r="A240" s="5" t="n"/>
      <c r="B240" s="5" t="n"/>
      <c r="C240" s="5" t="n"/>
      <c r="D240" s="20" t="n"/>
      <c r="E240" s="5" t="n"/>
      <c r="F240" s="5" t="n"/>
    </row>
    <row r="241">
      <c r="A241" s="5" t="n"/>
      <c r="B241" s="5" t="n"/>
      <c r="C241" s="5" t="n"/>
      <c r="D241" s="20" t="n"/>
      <c r="E241" s="5" t="n"/>
      <c r="F241" s="5" t="n"/>
    </row>
    <row r="242">
      <c r="A242" s="5" t="n"/>
      <c r="B242" s="5" t="n"/>
      <c r="C242" s="5" t="n"/>
      <c r="D242" s="20" t="n"/>
      <c r="E242" s="5" t="n"/>
      <c r="F242" s="5" t="n"/>
    </row>
    <row r="243">
      <c r="A243" s="5" t="n"/>
      <c r="B243" s="5" t="n"/>
      <c r="C243" s="5" t="n"/>
      <c r="D243" s="20" t="n"/>
      <c r="E243" s="5" t="n"/>
      <c r="F243" s="5" t="n"/>
    </row>
    <row r="244">
      <c r="A244" s="5" t="n"/>
      <c r="B244" s="5" t="n"/>
      <c r="C244" s="5" t="n"/>
      <c r="D244" s="20" t="n"/>
      <c r="E244" s="5" t="n"/>
      <c r="F244" s="5" t="n"/>
    </row>
    <row r="245">
      <c r="A245" s="5" t="n"/>
      <c r="B245" s="5" t="n"/>
      <c r="C245" s="5" t="n"/>
      <c r="D245" s="20" t="n"/>
      <c r="E245" s="5" t="n"/>
      <c r="F245" s="5" t="n"/>
    </row>
    <row r="246">
      <c r="A246" s="5" t="n"/>
      <c r="B246" s="5" t="n"/>
      <c r="C246" s="5" t="n"/>
      <c r="D246" s="20" t="n"/>
      <c r="E246" s="5" t="n"/>
      <c r="F246" s="5" t="n"/>
    </row>
    <row r="247">
      <c r="A247" s="5" t="n"/>
      <c r="B247" s="5" t="n"/>
      <c r="C247" s="5" t="n"/>
      <c r="D247" s="20" t="n"/>
      <c r="E247" s="5" t="n"/>
      <c r="F247" s="5" t="n"/>
    </row>
    <row r="248">
      <c r="A248" s="5" t="n"/>
      <c r="B248" s="5" t="n"/>
      <c r="C248" s="5" t="n"/>
      <c r="D248" s="20" t="n"/>
      <c r="E248" s="5" t="n"/>
      <c r="F248" s="5" t="n"/>
    </row>
    <row r="249">
      <c r="A249" s="5" t="n"/>
      <c r="B249" s="5" t="n"/>
      <c r="C249" s="5" t="n"/>
      <c r="D249" s="20" t="n"/>
      <c r="E249" s="5" t="n"/>
      <c r="F249" s="5" t="n"/>
    </row>
    <row r="250">
      <c r="A250" s="5" t="n"/>
      <c r="B250" s="5" t="n"/>
      <c r="C250" s="5" t="n"/>
      <c r="D250" s="20" t="n"/>
      <c r="E250" s="5" t="n"/>
      <c r="F250" s="5" t="n"/>
    </row>
    <row r="251">
      <c r="A251" s="5" t="n"/>
      <c r="B251" s="5" t="n"/>
      <c r="C251" s="5" t="n"/>
      <c r="D251" s="20" t="n"/>
      <c r="E251" s="5" t="n"/>
      <c r="F251" s="5" t="n"/>
    </row>
    <row r="252">
      <c r="A252" s="5" t="n"/>
      <c r="B252" s="5" t="n"/>
      <c r="C252" s="5" t="n"/>
      <c r="D252" s="20" t="n"/>
      <c r="E252" s="5" t="n"/>
      <c r="F252" s="5" t="n"/>
    </row>
    <row r="253">
      <c r="A253" s="5" t="n"/>
      <c r="B253" s="5" t="n"/>
      <c r="C253" s="5" t="n"/>
      <c r="D253" s="20" t="n"/>
      <c r="E253" s="5" t="n"/>
      <c r="F253" s="5" t="n"/>
    </row>
    <row r="254">
      <c r="A254" s="5" t="n"/>
      <c r="B254" s="5" t="n"/>
      <c r="C254" s="5" t="n"/>
      <c r="D254" s="20" t="n"/>
      <c r="E254" s="5" t="n"/>
      <c r="F254" s="5" t="n"/>
    </row>
    <row r="255">
      <c r="A255" s="5" t="n"/>
      <c r="B255" s="5" t="n"/>
      <c r="C255" s="5" t="n"/>
      <c r="D255" s="20" t="n"/>
      <c r="E255" s="5" t="n"/>
      <c r="F255" s="5" t="n"/>
    </row>
    <row r="256">
      <c r="A256" s="5" t="n"/>
      <c r="B256" s="5" t="n"/>
      <c r="C256" s="5" t="n"/>
      <c r="D256" s="20" t="n"/>
      <c r="E256" s="5" t="n"/>
      <c r="F256" s="5" t="n"/>
    </row>
    <row r="257">
      <c r="A257" s="5" t="n"/>
      <c r="B257" s="5" t="n"/>
      <c r="C257" s="5" t="n"/>
      <c r="D257" s="20" t="n"/>
      <c r="E257" s="5" t="n"/>
      <c r="F257" s="5" t="n"/>
    </row>
    <row r="258">
      <c r="A258" s="5" t="n"/>
      <c r="B258" s="5" t="n"/>
      <c r="C258" s="5" t="n"/>
      <c r="D258" s="20" t="n"/>
      <c r="E258" s="5" t="n"/>
      <c r="F258" s="5" t="n"/>
    </row>
    <row r="259">
      <c r="A259" s="5" t="n"/>
      <c r="B259" s="5" t="n"/>
      <c r="C259" s="5" t="n"/>
      <c r="D259" s="20" t="n"/>
      <c r="E259" s="5" t="n"/>
      <c r="F259" s="5" t="n"/>
    </row>
    <row r="260">
      <c r="A260" s="5" t="n"/>
      <c r="B260" s="5" t="n"/>
      <c r="C260" s="5" t="n"/>
      <c r="D260" s="20" t="n"/>
      <c r="E260" s="5" t="n"/>
      <c r="F260" s="5" t="n"/>
    </row>
    <row r="261">
      <c r="A261" s="5" t="n"/>
      <c r="B261" s="5" t="n"/>
      <c r="C261" s="5" t="n"/>
      <c r="D261" s="20" t="n"/>
      <c r="E261" s="5" t="n"/>
      <c r="F261" s="5" t="n"/>
    </row>
    <row r="262">
      <c r="A262" s="5" t="n"/>
      <c r="B262" s="5" t="n"/>
      <c r="C262" s="5" t="n"/>
      <c r="D262" s="20" t="n"/>
      <c r="E262" s="5" t="n"/>
      <c r="F262" s="5" t="n"/>
    </row>
    <row r="263">
      <c r="A263" s="5" t="n"/>
      <c r="B263" s="5" t="n"/>
      <c r="C263" s="5" t="n"/>
      <c r="D263" s="20" t="n"/>
      <c r="E263" s="5" t="n"/>
      <c r="F263" s="5" t="n"/>
    </row>
    <row r="264">
      <c r="A264" s="5" t="n"/>
      <c r="B264" s="5" t="n"/>
      <c r="C264" s="5" t="n"/>
      <c r="D264" s="20" t="n"/>
      <c r="E264" s="5" t="n"/>
      <c r="F264" s="5" t="n"/>
    </row>
    <row r="265">
      <c r="A265" s="5" t="n"/>
      <c r="B265" s="5" t="n"/>
      <c r="C265" s="5" t="n"/>
      <c r="D265" s="20" t="n"/>
      <c r="E265" s="5" t="n"/>
      <c r="F265" s="5" t="n"/>
    </row>
    <row r="266">
      <c r="A266" s="5" t="n"/>
      <c r="B266" s="5" t="n"/>
      <c r="C266" s="5" t="n"/>
      <c r="D266" s="20" t="n"/>
      <c r="E266" s="5" t="n"/>
      <c r="F266" s="5" t="n"/>
    </row>
    <row r="267">
      <c r="A267" s="5" t="n"/>
      <c r="B267" s="5" t="n"/>
      <c r="C267" s="5" t="n"/>
      <c r="D267" s="20" t="n"/>
      <c r="E267" s="5" t="n"/>
      <c r="F267" s="5" t="n"/>
    </row>
    <row r="268">
      <c r="A268" s="5" t="n"/>
      <c r="B268" s="5" t="n"/>
      <c r="C268" s="5" t="n"/>
      <c r="D268" s="20" t="n"/>
      <c r="E268" s="5" t="n"/>
      <c r="F268" s="5" t="n"/>
    </row>
    <row r="269">
      <c r="A269" s="5" t="n"/>
      <c r="B269" s="5" t="n"/>
      <c r="C269" s="5" t="n"/>
      <c r="D269" s="20" t="n"/>
      <c r="E269" s="5" t="n"/>
      <c r="F269" s="5" t="n"/>
    </row>
    <row r="270">
      <c r="A270" s="5" t="n"/>
      <c r="B270" s="5" t="n"/>
      <c r="C270" s="5" t="n"/>
      <c r="D270" s="20" t="n"/>
      <c r="E270" s="5" t="n"/>
      <c r="F270" s="5" t="n"/>
    </row>
    <row r="271">
      <c r="A271" s="5" t="n"/>
      <c r="B271" s="5" t="n"/>
      <c r="C271" s="5" t="n"/>
      <c r="D271" s="20" t="n"/>
      <c r="E271" s="5" t="n"/>
      <c r="F271" s="5" t="n"/>
    </row>
    <row r="272">
      <c r="A272" s="5" t="n"/>
      <c r="B272" s="5" t="n"/>
      <c r="C272" s="5" t="n"/>
      <c r="D272" s="20" t="n"/>
      <c r="E272" s="5" t="n"/>
      <c r="F272" s="5" t="n"/>
    </row>
    <row r="273">
      <c r="A273" s="5" t="n"/>
      <c r="B273" s="5" t="n"/>
      <c r="C273" s="5" t="n"/>
      <c r="D273" s="20" t="n"/>
      <c r="E273" s="5" t="n"/>
      <c r="F273" s="5" t="n"/>
    </row>
    <row r="274">
      <c r="A274" s="5" t="n"/>
      <c r="B274" s="5" t="n"/>
      <c r="C274" s="5" t="n"/>
      <c r="D274" s="20" t="n"/>
      <c r="E274" s="5" t="n"/>
      <c r="F274" s="5" t="n"/>
    </row>
    <row r="275">
      <c r="A275" s="5" t="n"/>
      <c r="B275" s="5" t="n"/>
      <c r="C275" s="5" t="n"/>
      <c r="D275" s="20" t="n"/>
      <c r="E275" s="5" t="n"/>
      <c r="F275" s="5" t="n"/>
    </row>
    <row r="276">
      <c r="A276" s="5" t="n"/>
      <c r="B276" s="5" t="n"/>
      <c r="C276" s="5" t="n"/>
      <c r="D276" s="20" t="n"/>
      <c r="E276" s="5" t="n"/>
      <c r="F276" s="5" t="n"/>
    </row>
    <row r="277">
      <c r="A277" s="5" t="n"/>
      <c r="B277" s="5" t="n"/>
      <c r="C277" s="5" t="n"/>
      <c r="D277" s="20" t="n"/>
      <c r="E277" s="5" t="n"/>
      <c r="F277" s="5" t="n"/>
    </row>
    <row r="278">
      <c r="A278" s="5" t="n"/>
      <c r="B278" s="5" t="n"/>
      <c r="C278" s="5" t="n"/>
      <c r="D278" s="20" t="n"/>
      <c r="E278" s="5" t="n"/>
      <c r="F278" s="5" t="n"/>
    </row>
    <row r="279">
      <c r="A279" s="5" t="n"/>
      <c r="B279" s="5" t="n"/>
      <c r="C279" s="5" t="n"/>
      <c r="D279" s="20" t="n"/>
      <c r="E279" s="5" t="n"/>
      <c r="F279" s="5" t="n"/>
    </row>
    <row r="280">
      <c r="A280" s="5" t="n"/>
      <c r="B280" s="5" t="n"/>
      <c r="C280" s="5" t="n"/>
      <c r="D280" s="20" t="n"/>
      <c r="E280" s="5" t="n"/>
      <c r="F280" s="5" t="n"/>
    </row>
    <row r="281">
      <c r="A281" s="5" t="n"/>
      <c r="B281" s="5" t="n"/>
      <c r="C281" s="5" t="n"/>
      <c r="D281" s="20" t="n"/>
      <c r="E281" s="5" t="n"/>
      <c r="F281" s="5" t="n"/>
    </row>
    <row r="282">
      <c r="A282" s="5" t="n"/>
      <c r="B282" s="5" t="n"/>
      <c r="C282" s="5" t="n"/>
      <c r="D282" s="20" t="n"/>
      <c r="E282" s="5" t="n"/>
      <c r="F282" s="5" t="n"/>
    </row>
    <row r="283">
      <c r="A283" s="5" t="n"/>
      <c r="B283" s="5" t="n"/>
      <c r="C283" s="5" t="n"/>
      <c r="D283" s="20" t="n"/>
      <c r="E283" s="5" t="n"/>
      <c r="F283" s="5" t="n"/>
    </row>
    <row r="284">
      <c r="A284" s="5" t="n"/>
      <c r="B284" s="5" t="n"/>
      <c r="C284" s="5" t="n"/>
      <c r="D284" s="20" t="n"/>
      <c r="E284" s="5" t="n"/>
      <c r="F284" s="5" t="n"/>
    </row>
    <row r="285">
      <c r="A285" s="5" t="n"/>
      <c r="B285" s="5" t="n"/>
      <c r="C285" s="5" t="n"/>
      <c r="D285" s="20" t="n"/>
      <c r="E285" s="5" t="n"/>
      <c r="F285" s="5" t="n"/>
    </row>
    <row r="286">
      <c r="A286" s="5" t="n"/>
      <c r="B286" s="5" t="n"/>
      <c r="C286" s="5" t="n"/>
      <c r="D286" s="20" t="n"/>
      <c r="E286" s="5" t="n"/>
      <c r="F286" s="5" t="n"/>
    </row>
    <row r="287">
      <c r="A287" s="5" t="n"/>
      <c r="B287" s="5" t="n"/>
      <c r="C287" s="5" t="n"/>
      <c r="D287" s="20" t="n"/>
      <c r="E287" s="5" t="n"/>
      <c r="F287" s="5" t="n"/>
    </row>
    <row r="288">
      <c r="A288" s="5" t="n"/>
      <c r="B288" s="5" t="n"/>
      <c r="C288" s="5" t="n"/>
      <c r="D288" s="20" t="n"/>
      <c r="E288" s="5" t="n"/>
      <c r="F288" s="5" t="n"/>
    </row>
    <row r="289">
      <c r="A289" s="5" t="n"/>
      <c r="B289" s="5" t="n"/>
      <c r="C289" s="5" t="n"/>
      <c r="D289" s="20" t="n"/>
      <c r="E289" s="5" t="n"/>
      <c r="F289" s="5" t="n"/>
    </row>
    <row r="290">
      <c r="A290" s="5" t="n"/>
      <c r="B290" s="5" t="n"/>
      <c r="C290" s="5" t="n"/>
      <c r="D290" s="20" t="n"/>
      <c r="E290" s="5" t="n"/>
      <c r="F290" s="5" t="n"/>
    </row>
    <row r="291">
      <c r="A291" s="5" t="n"/>
      <c r="B291" s="5" t="n"/>
      <c r="C291" s="5" t="n"/>
      <c r="D291" s="20" t="n"/>
      <c r="E291" s="5" t="n"/>
      <c r="F291" s="5" t="n"/>
    </row>
    <row r="292">
      <c r="A292" s="5" t="n"/>
      <c r="B292" s="5" t="n"/>
      <c r="C292" s="5" t="n"/>
      <c r="D292" s="20" t="n"/>
      <c r="E292" s="5" t="n"/>
      <c r="F292" s="5" t="n"/>
    </row>
    <row r="293">
      <c r="A293" s="5" t="n"/>
      <c r="B293" s="5" t="n"/>
      <c r="C293" s="5" t="n"/>
      <c r="D293" s="20" t="n"/>
      <c r="E293" s="5" t="n"/>
      <c r="F293" s="5" t="n"/>
    </row>
    <row r="294">
      <c r="A294" s="5" t="n"/>
      <c r="B294" s="5" t="n"/>
      <c r="C294" s="5" t="n"/>
      <c r="D294" s="20" t="n"/>
      <c r="E294" s="5" t="n"/>
      <c r="F294" s="5" t="n"/>
    </row>
    <row r="295">
      <c r="A295" s="5" t="n"/>
      <c r="B295" s="5" t="n"/>
      <c r="C295" s="5" t="n"/>
      <c r="D295" s="20" t="n"/>
      <c r="E295" s="5" t="n"/>
      <c r="F295" s="5" t="n"/>
    </row>
    <row r="296">
      <c r="A296" s="5" t="n"/>
      <c r="B296" s="5" t="n"/>
      <c r="C296" s="5" t="n"/>
      <c r="D296" s="20" t="n"/>
      <c r="E296" s="5" t="n"/>
      <c r="F296" s="5" t="n"/>
    </row>
    <row r="297">
      <c r="A297" s="5" t="n"/>
      <c r="B297" s="5" t="n"/>
      <c r="C297" s="5" t="n"/>
      <c r="D297" s="20" t="n"/>
      <c r="E297" s="5" t="n"/>
      <c r="F297" s="5" t="n"/>
    </row>
    <row r="298">
      <c r="A298" s="5" t="n"/>
      <c r="B298" s="5" t="n"/>
      <c r="C298" s="5" t="n"/>
      <c r="D298" s="20" t="n"/>
      <c r="E298" s="5" t="n"/>
      <c r="F298" s="5" t="n"/>
    </row>
    <row r="299">
      <c r="A299" s="5" t="n"/>
      <c r="B299" s="5" t="n"/>
      <c r="C299" s="5" t="n"/>
      <c r="D299" s="20" t="n"/>
      <c r="E299" s="5" t="n"/>
      <c r="F299" s="5" t="n"/>
    </row>
    <row r="300">
      <c r="A300" s="5" t="n"/>
      <c r="B300" s="5" t="n"/>
      <c r="C300" s="5" t="n"/>
      <c r="D300" s="20" t="n"/>
      <c r="E300" s="5" t="n"/>
      <c r="F300" s="5" t="n"/>
    </row>
    <row r="301">
      <c r="A301" s="5" t="n"/>
      <c r="B301" s="5" t="n"/>
      <c r="C301" s="5" t="n"/>
      <c r="D301" s="20" t="n"/>
      <c r="E301" s="5" t="n"/>
      <c r="F301" s="5" t="n"/>
    </row>
    <row r="302">
      <c r="A302" s="5" t="n"/>
      <c r="B302" s="5" t="n"/>
      <c r="C302" s="5" t="n"/>
      <c r="D302" s="20" t="n"/>
      <c r="E302" s="5" t="n"/>
      <c r="F302" s="5" t="n"/>
    </row>
    <row r="303">
      <c r="A303" s="5" t="n"/>
      <c r="B303" s="5" t="n"/>
      <c r="C303" s="5" t="n"/>
      <c r="D303" s="20" t="n"/>
      <c r="E303" s="5" t="n"/>
      <c r="F303" s="5" t="n"/>
    </row>
    <row r="304">
      <c r="A304" s="5" t="n"/>
      <c r="B304" s="5" t="n"/>
      <c r="C304" s="5" t="n"/>
      <c r="D304" s="20" t="n"/>
      <c r="E304" s="5" t="n"/>
      <c r="F304" s="5" t="n"/>
    </row>
    <row r="305">
      <c r="A305" s="5" t="n"/>
      <c r="B305" s="5" t="n"/>
      <c r="C305" s="5" t="n"/>
      <c r="D305" s="20" t="n"/>
      <c r="E305" s="5" t="n"/>
      <c r="F305" s="5" t="n"/>
    </row>
    <row r="306">
      <c r="A306" s="5" t="n"/>
      <c r="B306" s="5" t="n"/>
      <c r="C306" s="5" t="n"/>
      <c r="D306" s="20" t="n"/>
      <c r="E306" s="5" t="n"/>
      <c r="F306" s="5" t="n"/>
    </row>
    <row r="307">
      <c r="A307" s="5" t="n"/>
      <c r="B307" s="5" t="n"/>
      <c r="C307" s="5" t="n"/>
      <c r="D307" s="20" t="n"/>
      <c r="E307" s="5" t="n"/>
      <c r="F307" s="5" t="n"/>
    </row>
    <row r="308">
      <c r="A308" s="5" t="n"/>
      <c r="B308" s="5" t="n"/>
      <c r="C308" s="5" t="n"/>
      <c r="D308" s="20" t="n"/>
      <c r="E308" s="5" t="n"/>
      <c r="F308" s="5" t="n"/>
    </row>
    <row r="309">
      <c r="A309" s="5" t="n"/>
      <c r="B309" s="5" t="n"/>
      <c r="C309" s="5" t="n"/>
      <c r="D309" s="20" t="n"/>
      <c r="E309" s="5" t="n"/>
      <c r="F309" s="5" t="n"/>
    </row>
    <row r="310">
      <c r="A310" s="5" t="n"/>
      <c r="B310" s="5" t="n"/>
      <c r="C310" s="5" t="n"/>
      <c r="D310" s="20" t="n"/>
      <c r="E310" s="5" t="n"/>
      <c r="F310" s="5" t="n"/>
    </row>
    <row r="311">
      <c r="A311" s="5" t="n"/>
      <c r="B311" s="5" t="n"/>
      <c r="C311" s="5" t="n"/>
      <c r="D311" s="20" t="n"/>
      <c r="E311" s="5" t="n"/>
      <c r="F311" s="5" t="n"/>
    </row>
    <row r="312">
      <c r="A312" s="5" t="n"/>
      <c r="B312" s="5" t="n"/>
      <c r="C312" s="5" t="n"/>
      <c r="D312" s="20" t="n"/>
      <c r="E312" s="5" t="n"/>
      <c r="F312" s="5" t="n"/>
    </row>
    <row r="313">
      <c r="A313" s="5" t="n"/>
      <c r="B313" s="5" t="n"/>
      <c r="C313" s="5" t="n"/>
      <c r="D313" s="20" t="n"/>
      <c r="E313" s="5" t="n"/>
      <c r="F313" s="5" t="n"/>
    </row>
    <row r="314">
      <c r="A314" s="5" t="n"/>
      <c r="B314" s="5" t="n"/>
      <c r="C314" s="5" t="n"/>
      <c r="D314" s="20" t="n"/>
      <c r="E314" s="5" t="n"/>
      <c r="F314" s="5" t="n"/>
    </row>
    <row r="315">
      <c r="A315" s="5" t="n"/>
      <c r="B315" s="5" t="n"/>
      <c r="C315" s="5" t="n"/>
      <c r="D315" s="20" t="n"/>
      <c r="E315" s="5" t="n"/>
      <c r="F315" s="5" t="n"/>
    </row>
    <row r="316">
      <c r="A316" s="5" t="n"/>
      <c r="B316" s="5" t="n"/>
      <c r="C316" s="5" t="n"/>
      <c r="D316" s="20" t="n"/>
      <c r="E316" s="5" t="n"/>
      <c r="F316" s="5" t="n"/>
    </row>
    <row r="317">
      <c r="A317" s="5" t="n"/>
      <c r="B317" s="5" t="n"/>
      <c r="C317" s="5" t="n"/>
      <c r="D317" s="20" t="n"/>
      <c r="E317" s="5" t="n"/>
      <c r="F317" s="5" t="n"/>
    </row>
    <row r="318">
      <c r="A318" s="5" t="n"/>
      <c r="B318" s="5" t="n"/>
      <c r="C318" s="5" t="n"/>
      <c r="D318" s="20" t="n"/>
      <c r="E318" s="5" t="n"/>
      <c r="F318" s="5" t="n"/>
    </row>
    <row r="319">
      <c r="A319" s="5" t="n"/>
      <c r="B319" s="5" t="n"/>
      <c r="C319" s="5" t="n"/>
      <c r="D319" s="20" t="n"/>
      <c r="E319" s="5" t="n"/>
      <c r="F319" s="5" t="n"/>
    </row>
    <row r="320">
      <c r="A320" s="5" t="n"/>
      <c r="B320" s="5" t="n"/>
      <c r="C320" s="5" t="n"/>
      <c r="D320" s="20" t="n"/>
      <c r="E320" s="5" t="n"/>
      <c r="F320" s="5" t="n"/>
    </row>
    <row r="321">
      <c r="A321" s="5" t="n"/>
      <c r="B321" s="5" t="n"/>
      <c r="C321" s="5" t="n"/>
      <c r="D321" s="20" t="n"/>
      <c r="E321" s="5" t="n"/>
      <c r="F321" s="5" t="n"/>
    </row>
    <row r="322">
      <c r="A322" s="5" t="n"/>
      <c r="B322" s="5" t="n"/>
      <c r="C322" s="5" t="n"/>
      <c r="D322" s="20" t="n"/>
      <c r="E322" s="5" t="n"/>
      <c r="F322" s="5" t="n"/>
    </row>
    <row r="323">
      <c r="A323" s="5" t="n"/>
      <c r="B323" s="5" t="n"/>
      <c r="C323" s="5" t="n"/>
      <c r="D323" s="20" t="n"/>
      <c r="E323" s="5" t="n"/>
      <c r="F323" s="5" t="n"/>
    </row>
    <row r="324">
      <c r="A324" s="5" t="n"/>
      <c r="B324" s="5" t="n"/>
      <c r="C324" s="5" t="n"/>
      <c r="D324" s="20" t="n"/>
      <c r="E324" s="5" t="n"/>
      <c r="F324" s="5" t="n"/>
    </row>
    <row r="325">
      <c r="A325" s="5" t="n"/>
      <c r="B325" s="5" t="n"/>
      <c r="C325" s="5" t="n"/>
      <c r="D325" s="20" t="n"/>
      <c r="E325" s="5" t="n"/>
      <c r="F325" s="5" t="n"/>
    </row>
    <row r="326">
      <c r="A326" s="5" t="n"/>
      <c r="B326" s="5" t="n"/>
      <c r="C326" s="5" t="n"/>
      <c r="D326" s="20" t="n"/>
      <c r="E326" s="5" t="n"/>
      <c r="F326" s="5" t="n"/>
    </row>
    <row r="327">
      <c r="A327" s="5" t="n"/>
      <c r="B327" s="5" t="n"/>
      <c r="C327" s="5" t="n"/>
      <c r="D327" s="20" t="n"/>
      <c r="E327" s="5" t="n"/>
      <c r="F327" s="5" t="n"/>
    </row>
    <row r="328">
      <c r="A328" s="5" t="n"/>
      <c r="B328" s="5" t="n"/>
      <c r="C328" s="5" t="n"/>
      <c r="D328" s="20" t="n"/>
      <c r="E328" s="5" t="n"/>
      <c r="F328" s="5" t="n"/>
    </row>
    <row r="329">
      <c r="A329" s="5" t="n"/>
      <c r="B329" s="5" t="n"/>
      <c r="C329" s="5" t="n"/>
      <c r="D329" s="20" t="n"/>
      <c r="E329" s="5" t="n"/>
      <c r="F329" s="5" t="n"/>
    </row>
    <row r="330">
      <c r="A330" s="5" t="n"/>
      <c r="B330" s="5" t="n"/>
      <c r="C330" s="5" t="n"/>
      <c r="D330" s="20" t="n"/>
      <c r="E330" s="5" t="n"/>
      <c r="F330" s="5" t="n"/>
    </row>
    <row r="331">
      <c r="A331" s="5" t="n"/>
      <c r="B331" s="5" t="n"/>
      <c r="C331" s="5" t="n"/>
      <c r="D331" s="20" t="n"/>
      <c r="E331" s="5" t="n"/>
      <c r="F331" s="5" t="n"/>
    </row>
    <row r="332">
      <c r="A332" s="5" t="n"/>
      <c r="B332" s="5" t="n"/>
      <c r="C332" s="5" t="n"/>
      <c r="D332" s="20" t="n"/>
      <c r="E332" s="5" t="n"/>
      <c r="F332" s="5" t="n"/>
    </row>
    <row r="333">
      <c r="A333" s="5" t="n"/>
      <c r="B333" s="5" t="n"/>
      <c r="C333" s="5" t="n"/>
      <c r="D333" s="20" t="n"/>
      <c r="E333" s="5" t="n"/>
      <c r="F333" s="5" t="n"/>
    </row>
    <row r="334">
      <c r="A334" s="5" t="n"/>
      <c r="B334" s="5" t="n"/>
      <c r="C334" s="5" t="n"/>
      <c r="D334" s="20" t="n"/>
      <c r="E334" s="5" t="n"/>
      <c r="F334" s="5" t="n"/>
    </row>
    <row r="335">
      <c r="A335" s="5" t="n"/>
      <c r="B335" s="5" t="n"/>
      <c r="C335" s="5" t="n"/>
      <c r="D335" s="20" t="n"/>
      <c r="E335" s="5" t="n"/>
      <c r="F335" s="5" t="n"/>
    </row>
    <row r="336">
      <c r="A336" s="5" t="n"/>
      <c r="B336" s="5" t="n"/>
      <c r="C336" s="5" t="n"/>
      <c r="D336" s="20" t="n"/>
      <c r="E336" s="5" t="n"/>
      <c r="F336" s="5" t="n"/>
    </row>
    <row r="337">
      <c r="A337" s="5" t="n"/>
      <c r="B337" s="5" t="n"/>
      <c r="C337" s="5" t="n"/>
      <c r="D337" s="20" t="n"/>
      <c r="E337" s="5" t="n"/>
      <c r="F337" s="5" t="n"/>
    </row>
    <row r="338">
      <c r="A338" s="5" t="n"/>
      <c r="B338" s="5" t="n"/>
      <c r="C338" s="5" t="n"/>
      <c r="D338" s="20" t="n"/>
      <c r="E338" s="5" t="n"/>
      <c r="F338" s="5" t="n"/>
    </row>
    <row r="339">
      <c r="A339" s="5" t="n"/>
      <c r="B339" s="5" t="n"/>
      <c r="C339" s="5" t="n"/>
      <c r="D339" s="20" t="n"/>
      <c r="E339" s="5" t="n"/>
      <c r="F339" s="5" t="n"/>
    </row>
    <row r="340">
      <c r="A340" s="5" t="n"/>
      <c r="B340" s="5" t="n"/>
      <c r="C340" s="5" t="n"/>
      <c r="D340" s="20" t="n"/>
      <c r="E340" s="5" t="n"/>
      <c r="F340" s="5" t="n"/>
    </row>
    <row r="341">
      <c r="A341" s="5" t="n"/>
      <c r="B341" s="5" t="n"/>
      <c r="C341" s="5" t="n"/>
      <c r="D341" s="20" t="n"/>
      <c r="E341" s="5" t="n"/>
      <c r="F341" s="5" t="n"/>
    </row>
    <row r="342">
      <c r="A342" s="5" t="n"/>
      <c r="B342" s="5" t="n"/>
      <c r="C342" s="5" t="n"/>
      <c r="D342" s="20" t="n"/>
      <c r="E342" s="5" t="n"/>
      <c r="F342" s="5" t="n"/>
    </row>
    <row r="343">
      <c r="A343" s="5" t="n"/>
      <c r="B343" s="5" t="n"/>
      <c r="C343" s="5" t="n"/>
      <c r="D343" s="20" t="n"/>
      <c r="E343" s="5" t="n"/>
      <c r="F343" s="5" t="n"/>
    </row>
    <row r="344">
      <c r="A344" s="5" t="n"/>
      <c r="B344" s="5" t="n"/>
      <c r="C344" s="5" t="n"/>
      <c r="D344" s="20" t="n"/>
      <c r="E344" s="5" t="n"/>
      <c r="F344" s="5" t="n"/>
    </row>
    <row r="345">
      <c r="A345" s="5" t="n"/>
      <c r="B345" s="5" t="n"/>
      <c r="C345" s="5" t="n"/>
      <c r="D345" s="20" t="n"/>
      <c r="E345" s="5" t="n"/>
      <c r="F345" s="5" t="n"/>
    </row>
    <row r="346">
      <c r="A346" s="5" t="n"/>
      <c r="B346" s="5" t="n"/>
      <c r="C346" s="5" t="n"/>
      <c r="D346" s="20" t="n"/>
      <c r="E346" s="5" t="n"/>
      <c r="F346" s="5" t="n"/>
    </row>
    <row r="347">
      <c r="A347" s="5" t="n"/>
      <c r="B347" s="5" t="n"/>
      <c r="C347" s="5" t="n"/>
      <c r="D347" s="20" t="n"/>
      <c r="E347" s="5" t="n"/>
      <c r="F347" s="5" t="n"/>
    </row>
    <row r="348">
      <c r="A348" s="5" t="n"/>
      <c r="B348" s="5" t="n"/>
      <c r="C348" s="5" t="n"/>
      <c r="D348" s="20" t="n"/>
      <c r="E348" s="5" t="n"/>
      <c r="F348" s="5" t="n"/>
    </row>
    <row r="349">
      <c r="A349" s="5" t="n"/>
      <c r="B349" s="5" t="n"/>
      <c r="C349" s="5" t="n"/>
      <c r="D349" s="20" t="n"/>
      <c r="E349" s="5" t="n"/>
      <c r="F349" s="5" t="n"/>
    </row>
    <row r="350">
      <c r="A350" s="5" t="n"/>
      <c r="B350" s="5" t="n"/>
      <c r="C350" s="5" t="n"/>
      <c r="D350" s="20" t="n"/>
      <c r="E350" s="5" t="n"/>
      <c r="F350" s="5" t="n"/>
    </row>
    <row r="351">
      <c r="A351" s="5" t="n"/>
      <c r="B351" s="5" t="n"/>
      <c r="C351" s="5" t="n"/>
      <c r="D351" s="20" t="n"/>
      <c r="E351" s="5" t="n"/>
      <c r="F351" s="5" t="n"/>
    </row>
    <row r="352">
      <c r="A352" s="5" t="n"/>
      <c r="B352" s="5" t="n"/>
      <c r="C352" s="5" t="n"/>
      <c r="D352" s="20" t="n"/>
      <c r="E352" s="5" t="n"/>
      <c r="F352" s="5" t="n"/>
    </row>
    <row r="353">
      <c r="A353" s="5" t="n"/>
      <c r="B353" s="5" t="n"/>
      <c r="C353" s="5" t="n"/>
      <c r="D353" s="20" t="n"/>
      <c r="E353" s="5" t="n"/>
      <c r="F353" s="5" t="n"/>
    </row>
    <row r="354">
      <c r="A354" s="5" t="n"/>
      <c r="B354" s="5" t="n"/>
      <c r="C354" s="5" t="n"/>
      <c r="D354" s="20" t="n"/>
      <c r="E354" s="5" t="n"/>
      <c r="F354" s="5" t="n"/>
    </row>
    <row r="355">
      <c r="A355" s="5" t="n"/>
      <c r="B355" s="5" t="n"/>
      <c r="C355" s="5" t="n"/>
      <c r="D355" s="20" t="n"/>
      <c r="E355" s="5" t="n"/>
      <c r="F355" s="5" t="n"/>
    </row>
    <row r="356">
      <c r="A356" s="5" t="n"/>
      <c r="B356" s="5" t="n"/>
      <c r="C356" s="5" t="n"/>
      <c r="D356" s="20" t="n"/>
      <c r="E356" s="5" t="n"/>
      <c r="F356" s="5" t="n"/>
    </row>
    <row r="357">
      <c r="A357" s="5" t="n"/>
      <c r="B357" s="5" t="n"/>
      <c r="C357" s="5" t="n"/>
      <c r="D357" s="20" t="n"/>
      <c r="E357" s="5" t="n"/>
      <c r="F357" s="5" t="n"/>
    </row>
    <row r="358">
      <c r="A358" s="5" t="n"/>
      <c r="B358" s="5" t="n"/>
      <c r="C358" s="5" t="n"/>
      <c r="D358" s="20" t="n"/>
      <c r="E358" s="5" t="n"/>
      <c r="F358" s="5" t="n"/>
    </row>
    <row r="359">
      <c r="A359" s="5" t="n"/>
      <c r="B359" s="5" t="n"/>
      <c r="C359" s="5" t="n"/>
      <c r="D359" s="20" t="n"/>
      <c r="E359" s="5" t="n"/>
      <c r="F359" s="5" t="n"/>
    </row>
    <row r="360">
      <c r="A360" s="5" t="n"/>
      <c r="B360" s="5" t="n"/>
      <c r="C360" s="5" t="n"/>
      <c r="D360" s="20" t="n"/>
      <c r="E360" s="5" t="n"/>
      <c r="F360" s="5" t="n"/>
    </row>
    <row r="361">
      <c r="A361" s="5" t="n"/>
      <c r="B361" s="5" t="n"/>
      <c r="C361" s="5" t="n"/>
      <c r="D361" s="20" t="n"/>
      <c r="E361" s="5" t="n"/>
      <c r="F361" s="5" t="n"/>
    </row>
    <row r="362">
      <c r="A362" s="5" t="n"/>
      <c r="B362" s="5" t="n"/>
      <c r="C362" s="5" t="n"/>
      <c r="D362" s="20" t="n"/>
      <c r="E362" s="5" t="n"/>
      <c r="F362" s="5" t="n"/>
    </row>
    <row r="363">
      <c r="A363" s="5" t="n"/>
      <c r="B363" s="5" t="n"/>
      <c r="C363" s="5" t="n"/>
      <c r="D363" s="20" t="n"/>
      <c r="E363" s="5" t="n"/>
      <c r="F363" s="5" t="n"/>
    </row>
    <row r="364">
      <c r="A364" s="5" t="n"/>
      <c r="B364" s="5" t="n"/>
      <c r="C364" s="5" t="n"/>
      <c r="D364" s="20" t="n"/>
      <c r="E364" s="5" t="n"/>
      <c r="F364" s="5" t="n"/>
    </row>
    <row r="365">
      <c r="A365" s="5" t="n"/>
      <c r="B365" s="5" t="n"/>
      <c r="C365" s="5" t="n"/>
      <c r="D365" s="20" t="n"/>
      <c r="E365" s="5" t="n"/>
      <c r="F365" s="5" t="n"/>
    </row>
    <row r="366">
      <c r="A366" s="5" t="n"/>
      <c r="B366" s="5" t="n"/>
      <c r="C366" s="5" t="n"/>
      <c r="D366" s="20" t="n"/>
      <c r="E366" s="5" t="n"/>
      <c r="F366" s="5" t="n"/>
    </row>
    <row r="367">
      <c r="A367" s="5" t="n"/>
      <c r="B367" s="5" t="n"/>
      <c r="C367" s="5" t="n"/>
      <c r="D367" s="20" t="n"/>
      <c r="E367" s="5" t="n"/>
      <c r="F367" s="5" t="n"/>
    </row>
    <row r="368">
      <c r="A368" s="5" t="n"/>
      <c r="B368" s="5" t="n"/>
      <c r="C368" s="5" t="n"/>
      <c r="D368" s="20" t="n"/>
      <c r="E368" s="5" t="n"/>
      <c r="F368" s="5" t="n"/>
    </row>
    <row r="369">
      <c r="A369" s="5" t="n"/>
      <c r="B369" s="5" t="n"/>
      <c r="C369" s="5" t="n"/>
      <c r="D369" s="20" t="n"/>
      <c r="E369" s="5" t="n"/>
      <c r="F369" s="5" t="n"/>
    </row>
    <row r="370">
      <c r="A370" s="5" t="n"/>
      <c r="B370" s="5" t="n"/>
      <c r="C370" s="5" t="n"/>
      <c r="D370" s="20" t="n"/>
      <c r="E370" s="5" t="n"/>
      <c r="F370" s="5" t="n"/>
    </row>
    <row r="371">
      <c r="A371" s="5" t="n"/>
      <c r="B371" s="5" t="n"/>
      <c r="C371" s="5" t="n"/>
      <c r="D371" s="20" t="n"/>
      <c r="E371" s="5" t="n"/>
      <c r="F371" s="5" t="n"/>
    </row>
    <row r="372">
      <c r="A372" s="5" t="n"/>
      <c r="B372" s="5" t="n"/>
      <c r="C372" s="5" t="n"/>
      <c r="D372" s="20" t="n"/>
      <c r="E372" s="5" t="n"/>
      <c r="F372" s="5" t="n"/>
    </row>
    <row r="373">
      <c r="A373" s="5" t="n"/>
      <c r="B373" s="5" t="n"/>
      <c r="C373" s="5" t="n"/>
      <c r="D373" s="20" t="n"/>
      <c r="E373" s="5" t="n"/>
      <c r="F373" s="5" t="n"/>
    </row>
    <row r="374">
      <c r="A374" s="5" t="n"/>
      <c r="B374" s="5" t="n"/>
      <c r="C374" s="5" t="n"/>
      <c r="D374" s="20" t="n"/>
      <c r="E374" s="5" t="n"/>
      <c r="F374" s="5" t="n"/>
    </row>
    <row r="375">
      <c r="A375" s="5" t="n"/>
      <c r="B375" s="5" t="n"/>
      <c r="C375" s="5" t="n"/>
      <c r="D375" s="20" t="n"/>
      <c r="E375" s="5" t="n"/>
      <c r="F375" s="5" t="n"/>
    </row>
    <row r="376">
      <c r="A376" s="5" t="n"/>
      <c r="B376" s="5" t="n"/>
      <c r="C376" s="5" t="n"/>
      <c r="D376" s="20" t="n"/>
      <c r="E376" s="5" t="n"/>
      <c r="F376" s="5" t="n"/>
    </row>
    <row r="377">
      <c r="A377" s="5" t="n"/>
      <c r="B377" s="5" t="n"/>
      <c r="C377" s="5" t="n"/>
      <c r="D377" s="20" t="n"/>
      <c r="E377" s="5" t="n"/>
      <c r="F377" s="5" t="n"/>
    </row>
    <row r="378">
      <c r="A378" s="5" t="n"/>
      <c r="B378" s="5" t="n"/>
      <c r="C378" s="5" t="n"/>
      <c r="D378" s="20" t="n"/>
      <c r="E378" s="5" t="n"/>
      <c r="F378" s="5" t="n"/>
    </row>
    <row r="379">
      <c r="A379" s="5" t="n"/>
      <c r="B379" s="5" t="n"/>
      <c r="C379" s="5" t="n"/>
      <c r="D379" s="20" t="n"/>
      <c r="E379" s="5" t="n"/>
      <c r="F379" s="5" t="n"/>
    </row>
    <row r="380">
      <c r="A380" s="5" t="n"/>
      <c r="B380" s="5" t="n"/>
      <c r="C380" s="5" t="n"/>
      <c r="D380" s="20" t="n"/>
      <c r="E380" s="5" t="n"/>
      <c r="F380" s="5" t="n"/>
    </row>
    <row r="381">
      <c r="A381" s="5" t="n"/>
      <c r="B381" s="5" t="n"/>
      <c r="C381" s="5" t="n"/>
      <c r="D381" s="20" t="n"/>
      <c r="E381" s="5" t="n"/>
      <c r="F381" s="5" t="n"/>
    </row>
    <row r="382">
      <c r="A382" s="5" t="n"/>
      <c r="B382" s="5" t="n"/>
      <c r="C382" s="5" t="n"/>
      <c r="D382" s="20" t="n"/>
      <c r="E382" s="5" t="n"/>
      <c r="F382" s="5" t="n"/>
    </row>
    <row r="383">
      <c r="A383" s="5" t="n"/>
      <c r="B383" s="5" t="n"/>
      <c r="C383" s="5" t="n"/>
      <c r="D383" s="20" t="n"/>
      <c r="E383" s="5" t="n"/>
      <c r="F383" s="5" t="n"/>
    </row>
    <row r="384">
      <c r="A384" s="5" t="n"/>
      <c r="B384" s="5" t="n"/>
      <c r="C384" s="5" t="n"/>
      <c r="D384" s="20" t="n"/>
      <c r="E384" s="5" t="n"/>
      <c r="F384" s="5" t="n"/>
    </row>
    <row r="385">
      <c r="A385" s="5" t="n"/>
      <c r="B385" s="5" t="n"/>
      <c r="C385" s="5" t="n"/>
      <c r="D385" s="20" t="n"/>
      <c r="E385" s="5" t="n"/>
      <c r="F385" s="5" t="n"/>
    </row>
    <row r="386">
      <c r="A386" s="5" t="n"/>
      <c r="B386" s="5" t="n"/>
      <c r="C386" s="5" t="n"/>
      <c r="D386" s="20" t="n"/>
      <c r="E386" s="5" t="n"/>
      <c r="F386" s="5" t="n"/>
    </row>
    <row r="387">
      <c r="A387" s="5" t="n"/>
      <c r="B387" s="5" t="n"/>
      <c r="C387" s="5" t="n"/>
      <c r="D387" s="20" t="n"/>
      <c r="E387" s="5" t="n"/>
      <c r="F387" s="5" t="n"/>
    </row>
    <row r="388">
      <c r="A388" s="5" t="n"/>
      <c r="B388" s="5" t="n"/>
      <c r="C388" s="5" t="n"/>
      <c r="D388" s="20" t="n"/>
      <c r="E388" s="5" t="n"/>
      <c r="F388" s="5" t="n"/>
    </row>
    <row r="389">
      <c r="A389" s="5" t="n"/>
      <c r="B389" s="5" t="n"/>
      <c r="C389" s="5" t="n"/>
      <c r="D389" s="20" t="n"/>
      <c r="E389" s="5" t="n"/>
      <c r="F389" s="5" t="n"/>
    </row>
    <row r="390">
      <c r="A390" s="5" t="n"/>
      <c r="B390" s="5" t="n"/>
      <c r="C390" s="5" t="n"/>
      <c r="D390" s="20" t="n"/>
      <c r="E390" s="5" t="n"/>
      <c r="F390" s="5" t="n"/>
    </row>
    <row r="391">
      <c r="A391" s="5" t="n"/>
      <c r="B391" s="5" t="n"/>
      <c r="C391" s="5" t="n"/>
      <c r="D391" s="20" t="n"/>
      <c r="E391" s="5" t="n"/>
      <c r="F391" s="5" t="n"/>
    </row>
    <row r="392">
      <c r="A392" s="5" t="n"/>
      <c r="B392" s="5" t="n"/>
      <c r="C392" s="5" t="n"/>
      <c r="D392" s="20" t="n"/>
      <c r="E392" s="5" t="n"/>
      <c r="F392" s="5" t="n"/>
    </row>
    <row r="393">
      <c r="A393" s="5" t="n"/>
      <c r="B393" s="5" t="n"/>
      <c r="C393" s="5" t="n"/>
      <c r="D393" s="20" t="n"/>
      <c r="E393" s="5" t="n"/>
      <c r="F393" s="5" t="n"/>
    </row>
    <row r="394">
      <c r="A394" s="5" t="n"/>
      <c r="B394" s="5" t="n"/>
      <c r="C394" s="5" t="n"/>
      <c r="D394" s="20" t="n"/>
      <c r="E394" s="5" t="n"/>
      <c r="F394" s="5" t="n"/>
    </row>
    <row r="395">
      <c r="A395" s="5" t="n"/>
      <c r="B395" s="5" t="n"/>
      <c r="C395" s="5" t="n"/>
      <c r="D395" s="20" t="n"/>
      <c r="E395" s="5" t="n"/>
      <c r="F395" s="5" t="n"/>
    </row>
    <row r="396">
      <c r="A396" s="5" t="n"/>
      <c r="B396" s="5" t="n"/>
      <c r="C396" s="5" t="n"/>
      <c r="D396" s="20" t="n"/>
      <c r="E396" s="5" t="n"/>
      <c r="F396" s="5" t="n"/>
    </row>
    <row r="397">
      <c r="A397" s="5" t="n"/>
      <c r="B397" s="5" t="n"/>
      <c r="C397" s="5" t="n"/>
      <c r="D397" s="20" t="n"/>
      <c r="E397" s="5" t="n"/>
      <c r="F397" s="5" t="n"/>
    </row>
    <row r="398">
      <c r="A398" s="5" t="n"/>
      <c r="B398" s="5" t="n"/>
      <c r="C398" s="5" t="n"/>
      <c r="D398" s="20" t="n"/>
      <c r="E398" s="5" t="n"/>
      <c r="F398" s="5" t="n"/>
    </row>
    <row r="399">
      <c r="A399" s="5" t="n"/>
      <c r="B399" s="5" t="n"/>
      <c r="C399" s="5" t="n"/>
      <c r="D399" s="20" t="n"/>
      <c r="E399" s="5" t="n"/>
      <c r="F399" s="5" t="n"/>
    </row>
    <row r="400">
      <c r="A400" s="5" t="n"/>
      <c r="B400" s="5" t="n"/>
      <c r="C400" s="5" t="n"/>
      <c r="D400" s="20" t="n"/>
      <c r="E400" s="5" t="n"/>
      <c r="F400" s="5" t="n"/>
    </row>
    <row r="401">
      <c r="A401" s="5" t="n"/>
      <c r="B401" s="5" t="n"/>
      <c r="C401" s="5" t="n"/>
      <c r="D401" s="20" t="n"/>
      <c r="E401" s="5" t="n"/>
      <c r="F401" s="5" t="n"/>
    </row>
    <row r="402">
      <c r="A402" s="5" t="n"/>
      <c r="B402" s="5" t="n"/>
      <c r="C402" s="5" t="n"/>
      <c r="D402" s="20" t="n"/>
      <c r="E402" s="5" t="n"/>
      <c r="F402" s="5" t="n"/>
    </row>
    <row r="403">
      <c r="A403" s="5" t="n"/>
      <c r="B403" s="5" t="n"/>
      <c r="C403" s="5" t="n"/>
      <c r="D403" s="20" t="n"/>
      <c r="E403" s="5" t="n"/>
      <c r="F403" s="5" t="n"/>
    </row>
    <row r="404">
      <c r="A404" s="5" t="n"/>
      <c r="B404" s="5" t="n"/>
      <c r="C404" s="5" t="n"/>
      <c r="D404" s="20" t="n"/>
      <c r="E404" s="5" t="n"/>
      <c r="F404" s="5" t="n"/>
    </row>
    <row r="405">
      <c r="A405" s="5" t="n"/>
      <c r="B405" s="5" t="n"/>
      <c r="C405" s="5" t="n"/>
      <c r="D405" s="20" t="n"/>
      <c r="E405" s="5" t="n"/>
      <c r="F405" s="5" t="n"/>
    </row>
    <row r="406">
      <c r="A406" s="5" t="n"/>
      <c r="B406" s="5" t="n"/>
      <c r="C406" s="5" t="n"/>
      <c r="D406" s="20" t="n"/>
      <c r="E406" s="5" t="n"/>
      <c r="F406" s="5" t="n"/>
    </row>
    <row r="407">
      <c r="A407" s="5" t="n"/>
      <c r="B407" s="5" t="n"/>
      <c r="C407" s="5" t="n"/>
      <c r="D407" s="20" t="n"/>
      <c r="E407" s="5" t="n"/>
      <c r="F407" s="5" t="n"/>
    </row>
    <row r="408">
      <c r="A408" s="5" t="n"/>
      <c r="B408" s="5" t="n"/>
      <c r="C408" s="5" t="n"/>
      <c r="D408" s="20" t="n"/>
      <c r="E408" s="5" t="n"/>
      <c r="F408" s="5" t="n"/>
    </row>
    <row r="409">
      <c r="A409" s="5" t="n"/>
      <c r="B409" s="5" t="n"/>
      <c r="C409" s="5" t="n"/>
      <c r="D409" s="20" t="n"/>
      <c r="E409" s="5" t="n"/>
      <c r="F409" s="5" t="n"/>
    </row>
    <row r="410">
      <c r="A410" s="5" t="n"/>
      <c r="B410" s="5" t="n"/>
      <c r="C410" s="5" t="n"/>
      <c r="D410" s="20" t="n"/>
      <c r="E410" s="5" t="n"/>
      <c r="F410" s="5" t="n"/>
    </row>
    <row r="411">
      <c r="A411" s="5" t="n"/>
      <c r="B411" s="5" t="n"/>
      <c r="C411" s="5" t="n"/>
      <c r="D411" s="20" t="n"/>
      <c r="E411" s="5" t="n"/>
      <c r="F411" s="5" t="n"/>
    </row>
    <row r="412">
      <c r="A412" s="5" t="n"/>
      <c r="B412" s="5" t="n"/>
      <c r="C412" s="5" t="n"/>
      <c r="D412" s="20" t="n"/>
      <c r="E412" s="5" t="n"/>
      <c r="F412" s="5" t="n"/>
    </row>
    <row r="413">
      <c r="A413" s="5" t="n"/>
      <c r="B413" s="5" t="n"/>
      <c r="C413" s="5" t="n"/>
      <c r="D413" s="20" t="n"/>
      <c r="E413" s="5" t="n"/>
      <c r="F413" s="5" t="n"/>
    </row>
    <row r="414">
      <c r="A414" s="5" t="n"/>
      <c r="B414" s="5" t="n"/>
      <c r="C414" s="5" t="n"/>
      <c r="D414" s="20" t="n"/>
      <c r="E414" s="5" t="n"/>
      <c r="F414" s="5" t="n"/>
    </row>
    <row r="415">
      <c r="A415" s="5" t="n"/>
      <c r="B415" s="5" t="n"/>
      <c r="C415" s="5" t="n"/>
      <c r="D415" s="20" t="n"/>
      <c r="E415" s="5" t="n"/>
      <c r="F415" s="5" t="n"/>
    </row>
    <row r="416">
      <c r="A416" s="5" t="n"/>
      <c r="B416" s="5" t="n"/>
      <c r="C416" s="5" t="n"/>
      <c r="D416" s="20" t="n"/>
      <c r="E416" s="5" t="n"/>
      <c r="F416" s="5" t="n"/>
    </row>
    <row r="417">
      <c r="A417" s="5" t="n"/>
      <c r="B417" s="5" t="n"/>
      <c r="C417" s="5" t="n"/>
      <c r="D417" s="20" t="n"/>
      <c r="E417" s="5" t="n"/>
      <c r="F417" s="5" t="n"/>
    </row>
    <row r="418">
      <c r="A418" s="5" t="n"/>
      <c r="B418" s="5" t="n"/>
      <c r="C418" s="5" t="n"/>
      <c r="D418" s="20" t="n"/>
      <c r="E418" s="5" t="n"/>
      <c r="F418" s="5" t="n"/>
    </row>
    <row r="419">
      <c r="A419" s="5" t="n"/>
      <c r="B419" s="5" t="n"/>
      <c r="C419" s="5" t="n"/>
      <c r="D419" s="20" t="n"/>
      <c r="E419" s="5" t="n"/>
      <c r="F419" s="5" t="n"/>
    </row>
    <row r="420">
      <c r="A420" s="5" t="n"/>
      <c r="B420" s="5" t="n"/>
      <c r="C420" s="5" t="n"/>
      <c r="D420" s="20" t="n"/>
      <c r="E420" s="5" t="n"/>
      <c r="F420" s="5" t="n"/>
    </row>
    <row r="421">
      <c r="A421" s="5" t="n"/>
      <c r="B421" s="5" t="n"/>
      <c r="C421" s="5" t="n"/>
      <c r="D421" s="20" t="n"/>
      <c r="E421" s="5" t="n"/>
      <c r="F421" s="5" t="n"/>
    </row>
    <row r="422">
      <c r="A422" s="5" t="n"/>
      <c r="B422" s="5" t="n"/>
      <c r="C422" s="5" t="n"/>
      <c r="D422" s="20" t="n"/>
      <c r="E422" s="5" t="n"/>
      <c r="F422" s="5" t="n"/>
    </row>
    <row r="423">
      <c r="A423" s="5" t="n"/>
      <c r="B423" s="5" t="n"/>
      <c r="C423" s="5" t="n"/>
      <c r="D423" s="20" t="n"/>
      <c r="E423" s="5" t="n"/>
      <c r="F423" s="5" t="n"/>
    </row>
    <row r="424">
      <c r="A424" s="5" t="n"/>
      <c r="B424" s="5" t="n"/>
      <c r="C424" s="5" t="n"/>
      <c r="D424" s="20" t="n"/>
      <c r="E424" s="5" t="n"/>
      <c r="F424" s="5" t="n"/>
    </row>
    <row r="425">
      <c r="A425" s="5" t="n"/>
      <c r="B425" s="5" t="n"/>
      <c r="C425" s="5" t="n"/>
      <c r="D425" s="20" t="n"/>
      <c r="E425" s="5" t="n"/>
      <c r="F425" s="5" t="n"/>
    </row>
    <row r="426">
      <c r="A426" s="5" t="n"/>
      <c r="B426" s="5" t="n"/>
      <c r="C426" s="5" t="n"/>
      <c r="D426" s="20" t="n"/>
      <c r="E426" s="5" t="n"/>
      <c r="F426" s="5" t="n"/>
    </row>
    <row r="427">
      <c r="A427" s="5" t="n"/>
      <c r="B427" s="5" t="n"/>
      <c r="C427" s="5" t="n"/>
      <c r="D427" s="20" t="n"/>
      <c r="E427" s="5" t="n"/>
      <c r="F427" s="5" t="n"/>
    </row>
    <row r="428">
      <c r="A428" s="5" t="n"/>
      <c r="B428" s="5" t="n"/>
      <c r="C428" s="5" t="n"/>
      <c r="D428" s="20" t="n"/>
      <c r="E428" s="5" t="n"/>
      <c r="F428" s="5" t="n"/>
    </row>
    <row r="429">
      <c r="A429" s="5" t="n"/>
      <c r="B429" s="5" t="n"/>
      <c r="C429" s="5" t="n"/>
      <c r="D429" s="20" t="n"/>
      <c r="E429" s="5" t="n"/>
      <c r="F429" s="5" t="n"/>
    </row>
    <row r="430">
      <c r="A430" s="5" t="n"/>
      <c r="B430" s="5" t="n"/>
      <c r="C430" s="5" t="n"/>
      <c r="D430" s="20" t="n"/>
      <c r="E430" s="5" t="n"/>
      <c r="F430" s="5" t="n"/>
    </row>
    <row r="431">
      <c r="A431" s="5" t="n"/>
      <c r="B431" s="5" t="n"/>
      <c r="C431" s="5" t="n"/>
      <c r="D431" s="20" t="n"/>
      <c r="E431" s="5" t="n"/>
      <c r="F431" s="5" t="n"/>
    </row>
    <row r="432">
      <c r="A432" s="5" t="n"/>
      <c r="B432" s="5" t="n"/>
      <c r="C432" s="5" t="n"/>
      <c r="D432" s="20" t="n"/>
      <c r="E432" s="5" t="n"/>
      <c r="F432" s="5" t="n"/>
    </row>
    <row r="433">
      <c r="A433" s="5" t="n"/>
      <c r="B433" s="5" t="n"/>
      <c r="C433" s="5" t="n"/>
      <c r="D433" s="20" t="n"/>
      <c r="E433" s="5" t="n"/>
      <c r="F433" s="5" t="n"/>
    </row>
    <row r="434">
      <c r="A434" s="5" t="n"/>
      <c r="B434" s="5" t="n"/>
      <c r="C434" s="5" t="n"/>
      <c r="D434" s="20" t="n"/>
      <c r="E434" s="5" t="n"/>
      <c r="F434" s="5" t="n"/>
    </row>
    <row r="435">
      <c r="A435" s="5" t="n"/>
      <c r="B435" s="5" t="n"/>
      <c r="C435" s="5" t="n"/>
      <c r="D435" s="20" t="n"/>
      <c r="E435" s="5" t="n"/>
      <c r="F435" s="5" t="n"/>
    </row>
    <row r="436">
      <c r="A436" s="5" t="n"/>
      <c r="B436" s="5" t="n"/>
      <c r="C436" s="5" t="n"/>
      <c r="D436" s="20" t="n"/>
      <c r="E436" s="5" t="n"/>
      <c r="F436" s="5" t="n"/>
    </row>
    <row r="437">
      <c r="A437" s="5" t="n"/>
      <c r="B437" s="5" t="n"/>
      <c r="C437" s="5" t="n"/>
      <c r="D437" s="20" t="n"/>
      <c r="E437" s="5" t="n"/>
      <c r="F437" s="5" t="n"/>
    </row>
    <row r="438">
      <c r="A438" s="5" t="n"/>
      <c r="B438" s="5" t="n"/>
      <c r="C438" s="5" t="n"/>
      <c r="D438" s="20" t="n"/>
      <c r="E438" s="5" t="n"/>
      <c r="F438" s="5" t="n"/>
    </row>
    <row r="439">
      <c r="A439" s="5" t="n"/>
      <c r="B439" s="5" t="n"/>
      <c r="C439" s="5" t="n"/>
      <c r="D439" s="20" t="n"/>
      <c r="E439" s="5" t="n"/>
      <c r="F439" s="5" t="n"/>
    </row>
    <row r="440">
      <c r="A440" s="5" t="n"/>
      <c r="B440" s="5" t="n"/>
      <c r="C440" s="5" t="n"/>
      <c r="D440" s="20" t="n"/>
      <c r="E440" s="5" t="n"/>
      <c r="F440" s="5" t="n"/>
    </row>
    <row r="441">
      <c r="A441" s="5" t="n"/>
      <c r="B441" s="5" t="n"/>
      <c r="C441" s="5" t="n"/>
      <c r="D441" s="20" t="n"/>
      <c r="E441" s="5" t="n"/>
      <c r="F441" s="5" t="n"/>
    </row>
    <row r="442">
      <c r="A442" s="5" t="n"/>
      <c r="B442" s="5" t="n"/>
      <c r="C442" s="5" t="n"/>
      <c r="D442" s="20" t="n"/>
      <c r="E442" s="5" t="n"/>
      <c r="F442" s="5" t="n"/>
    </row>
    <row r="443">
      <c r="A443" s="5" t="n"/>
      <c r="B443" s="5" t="n"/>
      <c r="C443" s="5" t="n"/>
      <c r="D443" s="20" t="n"/>
      <c r="E443" s="5" t="n"/>
      <c r="F443" s="5" t="n"/>
    </row>
    <row r="444">
      <c r="A444" s="5" t="n"/>
      <c r="B444" s="5" t="n"/>
      <c r="C444" s="5" t="n"/>
      <c r="D444" s="20" t="n"/>
      <c r="E444" s="5" t="n"/>
      <c r="F444" s="5" t="n"/>
    </row>
    <row r="445">
      <c r="A445" s="5" t="n"/>
      <c r="B445" s="5" t="n"/>
      <c r="C445" s="5" t="n"/>
      <c r="D445" s="20" t="n"/>
      <c r="E445" s="5" t="n"/>
      <c r="F445" s="5" t="n"/>
    </row>
    <row r="446">
      <c r="A446" s="5" t="n"/>
      <c r="B446" s="5" t="n"/>
      <c r="C446" s="5" t="n"/>
      <c r="D446" s="20" t="n"/>
      <c r="E446" s="5" t="n"/>
      <c r="F446" s="5" t="n"/>
    </row>
    <row r="447">
      <c r="A447" s="5" t="n"/>
      <c r="B447" s="5" t="n"/>
      <c r="C447" s="5" t="n"/>
      <c r="D447" s="20" t="n"/>
      <c r="E447" s="5" t="n"/>
      <c r="F447" s="5" t="n"/>
    </row>
    <row r="448">
      <c r="A448" s="5" t="n"/>
      <c r="B448" s="5" t="n"/>
      <c r="C448" s="5" t="n"/>
      <c r="D448" s="20" t="n"/>
      <c r="E448" s="5" t="n"/>
      <c r="F448" s="5" t="n"/>
    </row>
    <row r="449">
      <c r="A449" s="5" t="n"/>
      <c r="B449" s="5" t="n"/>
      <c r="C449" s="5" t="n"/>
      <c r="D449" s="20" t="n"/>
      <c r="E449" s="5" t="n"/>
      <c r="F449" s="5" t="n"/>
    </row>
    <row r="450">
      <c r="A450" s="5" t="n"/>
      <c r="B450" s="5" t="n"/>
      <c r="C450" s="5" t="n"/>
      <c r="D450" s="20" t="n"/>
      <c r="E450" s="5" t="n"/>
      <c r="F450" s="5" t="n"/>
    </row>
    <row r="451">
      <c r="A451" s="5" t="n"/>
      <c r="B451" s="5" t="n"/>
      <c r="C451" s="5" t="n"/>
      <c r="D451" s="20" t="n"/>
      <c r="E451" s="5" t="n"/>
      <c r="F451" s="5" t="n"/>
    </row>
    <row r="452">
      <c r="A452" s="5" t="n"/>
      <c r="B452" s="5" t="n"/>
      <c r="C452" s="5" t="n"/>
      <c r="D452" s="20" t="n"/>
      <c r="E452" s="5" t="n"/>
      <c r="F452" s="5" t="n"/>
    </row>
    <row r="453">
      <c r="A453" s="5" t="n"/>
      <c r="B453" s="5" t="n"/>
      <c r="C453" s="5" t="n"/>
      <c r="D453" s="20" t="n"/>
      <c r="E453" s="5" t="n"/>
      <c r="F453" s="5" t="n"/>
    </row>
    <row r="454">
      <c r="A454" s="5" t="n"/>
      <c r="B454" s="5" t="n"/>
      <c r="C454" s="5" t="n"/>
      <c r="D454" s="20" t="n"/>
      <c r="E454" s="5" t="n"/>
      <c r="F454" s="5" t="n"/>
    </row>
    <row r="455">
      <c r="A455" s="5" t="n"/>
      <c r="B455" s="5" t="n"/>
      <c r="C455" s="5" t="n"/>
      <c r="D455" s="20" t="n"/>
      <c r="E455" s="5" t="n"/>
      <c r="F455" s="5" t="n"/>
    </row>
    <row r="456">
      <c r="A456" s="5" t="n"/>
      <c r="B456" s="5" t="n"/>
      <c r="C456" s="5" t="n"/>
      <c r="D456" s="20" t="n"/>
      <c r="E456" s="5" t="n"/>
      <c r="F456" s="5" t="n"/>
    </row>
    <row r="457">
      <c r="A457" s="5" t="n"/>
      <c r="B457" s="5" t="n"/>
      <c r="C457" s="5" t="n"/>
      <c r="D457" s="20" t="n"/>
      <c r="E457" s="5" t="n"/>
      <c r="F457" s="5" t="n"/>
    </row>
    <row r="458">
      <c r="A458" s="5" t="n"/>
      <c r="B458" s="5" t="n"/>
      <c r="C458" s="5" t="n"/>
      <c r="D458" s="20" t="n"/>
      <c r="E458" s="5" t="n"/>
      <c r="F458" s="5" t="n"/>
    </row>
    <row r="459">
      <c r="A459" s="5" t="n"/>
      <c r="B459" s="5" t="n"/>
      <c r="C459" s="5" t="n"/>
      <c r="D459" s="20" t="n"/>
      <c r="E459" s="5" t="n"/>
      <c r="F459" s="5" t="n"/>
    </row>
    <row r="460">
      <c r="A460" s="5" t="n"/>
      <c r="B460" s="5" t="n"/>
      <c r="C460" s="5" t="n"/>
      <c r="D460" s="20" t="n"/>
      <c r="E460" s="5" t="n"/>
      <c r="F460" s="5" t="n"/>
    </row>
    <row r="461">
      <c r="A461" s="5" t="n"/>
      <c r="B461" s="5" t="n"/>
      <c r="C461" s="5" t="n"/>
      <c r="D461" s="20" t="n"/>
      <c r="E461" s="5" t="n"/>
      <c r="F461" s="5" t="n"/>
    </row>
    <row r="462">
      <c r="A462" s="5" t="n"/>
      <c r="B462" s="5" t="n"/>
      <c r="C462" s="5" t="n"/>
      <c r="D462" s="20" t="n"/>
      <c r="E462" s="5" t="n"/>
      <c r="F462" s="5" t="n"/>
    </row>
    <row r="463">
      <c r="A463" s="5" t="n"/>
      <c r="B463" s="5" t="n"/>
      <c r="C463" s="5" t="n"/>
      <c r="D463" s="20" t="n"/>
      <c r="E463" s="5" t="n"/>
      <c r="F463" s="5" t="n"/>
    </row>
    <row r="464">
      <c r="A464" s="5" t="n"/>
      <c r="B464" s="5" t="n"/>
      <c r="C464" s="5" t="n"/>
      <c r="D464" s="20" t="n"/>
      <c r="E464" s="5" t="n"/>
      <c r="F464" s="5" t="n"/>
    </row>
    <row r="465">
      <c r="A465" s="5" t="n"/>
      <c r="B465" s="5" t="n"/>
      <c r="C465" s="5" t="n"/>
      <c r="D465" s="20" t="n"/>
      <c r="E465" s="5" t="n"/>
      <c r="F465" s="5" t="n"/>
    </row>
    <row r="466">
      <c r="A466" s="5" t="n"/>
      <c r="B466" s="5" t="n"/>
      <c r="C466" s="5" t="n"/>
      <c r="D466" s="20" t="n"/>
      <c r="E466" s="5" t="n"/>
      <c r="F466" s="5" t="n"/>
    </row>
    <row r="467">
      <c r="A467" s="5" t="n"/>
      <c r="B467" s="5" t="n"/>
      <c r="C467" s="5" t="n"/>
      <c r="D467" s="20" t="n"/>
      <c r="E467" s="5" t="n"/>
      <c r="F467" s="5" t="n"/>
    </row>
    <row r="468">
      <c r="A468" s="5" t="n"/>
      <c r="B468" s="5" t="n"/>
      <c r="C468" s="5" t="n"/>
      <c r="D468" s="20" t="n"/>
      <c r="E468" s="5" t="n"/>
      <c r="F468" s="5" t="n"/>
    </row>
    <row r="469">
      <c r="A469" s="5" t="n"/>
      <c r="B469" s="5" t="n"/>
      <c r="C469" s="5" t="n"/>
      <c r="D469" s="20" t="n"/>
      <c r="E469" s="5" t="n"/>
      <c r="F469" s="5" t="n"/>
    </row>
    <row r="470">
      <c r="A470" s="5" t="n"/>
      <c r="B470" s="5" t="n"/>
      <c r="C470" s="5" t="n"/>
      <c r="D470" s="20" t="n"/>
      <c r="E470" s="5" t="n"/>
      <c r="F470" s="5" t="n"/>
    </row>
    <row r="471">
      <c r="A471" s="5" t="n"/>
      <c r="B471" s="5" t="n"/>
      <c r="C471" s="5" t="n"/>
      <c r="D471" s="20" t="n"/>
      <c r="E471" s="5" t="n"/>
      <c r="F471" s="5" t="n"/>
    </row>
    <row r="472">
      <c r="A472" s="5" t="n"/>
      <c r="B472" s="5" t="n"/>
      <c r="C472" s="5" t="n"/>
      <c r="D472" s="20" t="n"/>
      <c r="E472" s="5" t="n"/>
      <c r="F472" s="5" t="n"/>
    </row>
    <row r="473">
      <c r="A473" s="5" t="n"/>
      <c r="B473" s="5" t="n"/>
      <c r="C473" s="5" t="n"/>
      <c r="D473" s="20" t="n"/>
      <c r="E473" s="5" t="n"/>
      <c r="F473" s="5" t="n"/>
    </row>
    <row r="474">
      <c r="A474" s="5" t="n"/>
      <c r="B474" s="5" t="n"/>
      <c r="C474" s="5" t="n"/>
      <c r="D474" s="20" t="n"/>
      <c r="E474" s="5" t="n"/>
      <c r="F474" s="5" t="n"/>
    </row>
    <row r="475">
      <c r="A475" s="5" t="n"/>
      <c r="B475" s="5" t="n"/>
      <c r="C475" s="5" t="n"/>
      <c r="D475" s="20" t="n"/>
      <c r="E475" s="5" t="n"/>
      <c r="F475" s="5" t="n"/>
    </row>
    <row r="476">
      <c r="A476" s="5" t="n"/>
      <c r="B476" s="5" t="n"/>
      <c r="C476" s="5" t="n"/>
      <c r="D476" s="20" t="n"/>
      <c r="E476" s="5" t="n"/>
      <c r="F476" s="5" t="n"/>
    </row>
    <row r="477">
      <c r="A477" s="5" t="n"/>
      <c r="B477" s="5" t="n"/>
      <c r="C477" s="5" t="n"/>
      <c r="D477" s="20" t="n"/>
      <c r="E477" s="5" t="n"/>
      <c r="F477" s="5" t="n"/>
    </row>
    <row r="478">
      <c r="A478" s="5" t="n"/>
      <c r="B478" s="5" t="n"/>
      <c r="C478" s="5" t="n"/>
      <c r="D478" s="20" t="n"/>
      <c r="E478" s="5" t="n"/>
      <c r="F478" s="5" t="n"/>
    </row>
    <row r="479">
      <c r="A479" s="5" t="n"/>
      <c r="B479" s="5" t="n"/>
      <c r="C479" s="5" t="n"/>
      <c r="D479" s="20" t="n"/>
      <c r="E479" s="5" t="n"/>
      <c r="F479" s="5" t="n"/>
    </row>
    <row r="480">
      <c r="A480" s="5" t="n"/>
      <c r="B480" s="5" t="n"/>
      <c r="C480" s="5" t="n"/>
      <c r="D480" s="20" t="n"/>
      <c r="E480" s="5" t="n"/>
      <c r="F480" s="5" t="n"/>
    </row>
    <row r="481">
      <c r="A481" s="5" t="n"/>
      <c r="B481" s="5" t="n"/>
      <c r="C481" s="5" t="n"/>
      <c r="D481" s="20" t="n"/>
      <c r="E481" s="5" t="n"/>
      <c r="F481" s="5" t="n"/>
    </row>
    <row r="482">
      <c r="A482" s="5" t="n"/>
      <c r="B482" s="5" t="n"/>
      <c r="C482" s="5" t="n"/>
      <c r="D482" s="20" t="n"/>
      <c r="E482" s="5" t="n"/>
      <c r="F482" s="5" t="n"/>
    </row>
    <row r="483">
      <c r="A483" s="5" t="n"/>
      <c r="B483" s="5" t="n"/>
      <c r="C483" s="5" t="n"/>
      <c r="D483" s="20" t="n"/>
      <c r="E483" s="5" t="n"/>
      <c r="F483" s="5" t="n"/>
    </row>
    <row r="484">
      <c r="A484" s="5" t="n"/>
      <c r="B484" s="5" t="n"/>
      <c r="C484" s="5" t="n"/>
      <c r="D484" s="20" t="n"/>
      <c r="E484" s="5" t="n"/>
      <c r="F484" s="5" t="n"/>
    </row>
    <row r="485">
      <c r="A485" s="5" t="n"/>
      <c r="B485" s="5" t="n"/>
      <c r="C485" s="5" t="n"/>
      <c r="D485" s="20" t="n"/>
      <c r="E485" s="5" t="n"/>
      <c r="F485" s="5" t="n"/>
    </row>
    <row r="486">
      <c r="A486" s="5" t="n"/>
      <c r="B486" s="5" t="n"/>
      <c r="C486" s="5" t="n"/>
      <c r="D486" s="20" t="n"/>
      <c r="E486" s="5" t="n"/>
      <c r="F486" s="5" t="n"/>
    </row>
    <row r="487">
      <c r="A487" s="5" t="n"/>
      <c r="B487" s="5" t="n"/>
      <c r="C487" s="5" t="n"/>
      <c r="D487" s="20" t="n"/>
      <c r="E487" s="5" t="n"/>
      <c r="F487" s="5" t="n"/>
    </row>
    <row r="488">
      <c r="A488" s="5" t="n"/>
      <c r="B488" s="5" t="n"/>
      <c r="C488" s="5" t="n"/>
      <c r="D488" s="20" t="n"/>
      <c r="E488" s="5" t="n"/>
      <c r="F488" s="5" t="n"/>
    </row>
    <row r="489">
      <c r="A489" s="5" t="n"/>
      <c r="B489" s="5" t="n"/>
      <c r="C489" s="5" t="n"/>
      <c r="D489" s="20" t="n"/>
      <c r="E489" s="5" t="n"/>
      <c r="F489" s="5" t="n"/>
    </row>
    <row r="490">
      <c r="A490" s="5" t="n"/>
      <c r="B490" s="5" t="n"/>
      <c r="C490" s="5" t="n"/>
      <c r="D490" s="20" t="n"/>
      <c r="E490" s="5" t="n"/>
      <c r="F490" s="5" t="n"/>
    </row>
    <row r="491">
      <c r="A491" s="5" t="n"/>
      <c r="B491" s="5" t="n"/>
      <c r="C491" s="5" t="n"/>
      <c r="D491" s="20" t="n"/>
      <c r="E491" s="5" t="n"/>
      <c r="F491" s="5" t="n"/>
    </row>
    <row r="492">
      <c r="A492" s="5" t="n"/>
      <c r="B492" s="5" t="n"/>
      <c r="C492" s="5" t="n"/>
      <c r="D492" s="20" t="n"/>
      <c r="E492" s="5" t="n"/>
      <c r="F492" s="5" t="n"/>
    </row>
    <row r="493">
      <c r="A493" s="5" t="n"/>
      <c r="B493" s="5" t="n"/>
      <c r="C493" s="5" t="n"/>
      <c r="D493" s="20" t="n"/>
      <c r="E493" s="5" t="n"/>
      <c r="F493" s="5" t="n"/>
    </row>
    <row r="494">
      <c r="A494" s="5" t="n"/>
      <c r="B494" s="5" t="n"/>
      <c r="C494" s="5" t="n"/>
      <c r="D494" s="20" t="n"/>
      <c r="E494" s="5" t="n"/>
      <c r="F494" s="5" t="n"/>
    </row>
    <row r="495">
      <c r="A495" s="5" t="n"/>
      <c r="B495" s="5" t="n"/>
      <c r="C495" s="5" t="n"/>
      <c r="D495" s="20" t="n"/>
      <c r="E495" s="5" t="n"/>
      <c r="F495" s="5" t="n"/>
    </row>
    <row r="496">
      <c r="A496" s="5" t="n"/>
      <c r="B496" s="5" t="n"/>
      <c r="C496" s="5" t="n"/>
      <c r="D496" s="20" t="n"/>
      <c r="E496" s="5" t="n"/>
      <c r="F496" s="5" t="n"/>
    </row>
    <row r="497">
      <c r="A497" s="5" t="n"/>
      <c r="B497" s="5" t="n"/>
      <c r="C497" s="5" t="n"/>
      <c r="D497" s="20" t="n"/>
      <c r="E497" s="5" t="n"/>
      <c r="F497" s="5" t="n"/>
    </row>
    <row r="498">
      <c r="A498" s="5" t="n"/>
      <c r="B498" s="5" t="n"/>
      <c r="C498" s="5" t="n"/>
      <c r="D498" s="20" t="n"/>
      <c r="E498" s="5" t="n"/>
      <c r="F498" s="5" t="n"/>
    </row>
    <row r="499">
      <c r="A499" s="5" t="n"/>
      <c r="B499" s="5" t="n"/>
      <c r="C499" s="5" t="n"/>
      <c r="D499" s="20" t="n"/>
      <c r="E499" s="5" t="n"/>
      <c r="F499" s="5" t="n"/>
    </row>
    <row r="500">
      <c r="A500" s="5" t="n"/>
      <c r="B500" s="5" t="n"/>
      <c r="C500" s="5" t="n"/>
      <c r="D500" s="20" t="n"/>
      <c r="E500" s="5" t="n"/>
      <c r="F500" s="5" t="n"/>
    </row>
    <row r="501">
      <c r="A501" s="5" t="n"/>
      <c r="B501" s="5" t="n"/>
      <c r="C501" s="5" t="n"/>
      <c r="D501" s="20" t="n"/>
      <c r="E501" s="5" t="n"/>
      <c r="F501" s="5" t="n"/>
    </row>
    <row r="502">
      <c r="A502" s="5" t="n"/>
      <c r="B502" s="5" t="n"/>
      <c r="C502" s="5" t="n"/>
      <c r="D502" s="20" t="n"/>
      <c r="E502" s="5" t="n"/>
      <c r="F502" s="5" t="n"/>
    </row>
    <row r="503">
      <c r="A503" s="5" t="n"/>
      <c r="B503" s="5" t="n"/>
      <c r="C503" s="5" t="n"/>
      <c r="D503" s="20" t="n"/>
      <c r="E503" s="5" t="n"/>
      <c r="F503" s="5" t="n"/>
    </row>
    <row r="504">
      <c r="A504" s="5" t="n"/>
      <c r="B504" s="5" t="n"/>
      <c r="C504" s="5" t="n"/>
      <c r="D504" s="20" t="n"/>
      <c r="E504" s="5" t="n"/>
      <c r="F504" s="5" t="n"/>
    </row>
  </sheetData>
  <autoFilter ref="A4:F504"/>
  <mergeCells count="2">
    <mergeCell ref="A2:F2"/>
    <mergeCell ref="A1:F1"/>
  </mergeCells>
  <conditionalFormatting sqref="E5:E504">
    <cfRule type="expression" priority="1" dxfId="0">
      <formula>ISNUMBER(SEARCH("CEVAPLAND",E5))</formula>
    </cfRule>
    <cfRule type="expression" priority="2" dxfId="1">
      <formula>ISNUMBER(SEARCH("BEKL",E5))</formula>
    </cfRule>
    <cfRule type="expression" priority="3" dxfId="3">
      <formula>ISNUMBER(SEARCH("AÇ",E5))</formula>
    </cfRule>
  </conditionalFormatting>
  <dataValidations count="1">
    <dataValidation sqref="E5:E504" showDropDown="0" showInputMessage="0" showErrorMessage="0" allowBlank="1" type="list">
      <formula1>"Açık,Karar bekliyor,Cevaplandı"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6" max="6"/>
    <col width="9" customWidth="1" min="7" max="7"/>
    <col width="9" customWidth="1" min="8" max="8"/>
    <col width="11" customWidth="1" min="9" max="9"/>
    <col width="14" customWidth="1" min="10" max="10"/>
    <col width="14" customWidth="1" min="11" max="11"/>
    <col width="30" customWidth="1" min="12" max="12"/>
  </cols>
  <sheetData>
    <row r="1" ht="28" customHeight="1">
      <c r="A1" s="1" t="inlineStr">
        <is>
          <t>KAZI DERİNLİK ANALİZİ</t>
        </is>
      </c>
    </row>
    <row r="2" ht="30" customHeight="1">
      <c r="A2" s="2" t="inlineStr">
        <is>
          <t>Boykesitlerden koşu koşu kazı derinliği: H = (zemin kotu − akar kot) + kazı ek derinliği. İksa, H iksa eşiğini geçen koşularda iki yüz için 2×H×L; kazı hendek genişliği × H × L. Parametreler Özet sayfasındadır.</t>
        </is>
      </c>
    </row>
    <row r="3">
      <c r="A3" s="15" t="inlineStr">
        <is>
          <t>TOPLAM</t>
        </is>
      </c>
      <c r="B3" s="16" t="n"/>
      <c r="C3" s="16" t="n"/>
      <c r="D3" s="16" t="n"/>
      <c r="E3" s="16" t="n"/>
      <c r="F3" s="16" t="n"/>
      <c r="G3" s="16" t="n"/>
      <c r="H3" s="16" t="n"/>
      <c r="I3" s="17">
        <f>SUM(I5:I504)</f>
        <v/>
      </c>
      <c r="J3" s="17">
        <f>SUM(J5:J504)</f>
        <v/>
      </c>
      <c r="K3" s="17">
        <f>SUM(K5:K504)</f>
        <v/>
      </c>
      <c r="L3" s="16" t="n"/>
    </row>
    <row r="4" ht="32" customHeight="1">
      <c r="A4" s="18" t="inlineStr">
        <is>
          <t>Pafta</t>
        </is>
      </c>
      <c r="B4" s="18" t="inlineStr">
        <is>
          <t>Baca (baş)</t>
        </is>
      </c>
      <c r="C4" s="18" t="inlineStr">
        <is>
          <t>Baca (son)</t>
        </is>
      </c>
      <c r="D4" s="18" t="inlineStr">
        <is>
          <t>Zemin−Akar Baş (m)</t>
        </is>
      </c>
      <c r="E4" s="18" t="inlineStr">
        <is>
          <t>Zemin−Akar Son (m)</t>
        </is>
      </c>
      <c r="F4" s="18" t="inlineStr">
        <is>
          <t>H1 (m)</t>
        </is>
      </c>
      <c r="G4" s="18" t="inlineStr">
        <is>
          <t>H2 (m)</t>
        </is>
      </c>
      <c r="H4" s="18" t="inlineStr">
        <is>
          <t>H Ort. (m)</t>
        </is>
      </c>
      <c r="I4" s="18" t="inlineStr">
        <is>
          <t>Uzunluk (m)</t>
        </is>
      </c>
      <c r="J4" s="18" t="inlineStr">
        <is>
          <t>İksa 2×H×L (m²)</t>
        </is>
      </c>
      <c r="K4" s="18" t="inlineStr">
        <is>
          <t>Kazı B×H×L (m³)</t>
        </is>
      </c>
      <c r="L4" s="18" t="inlineStr">
        <is>
          <t>Not</t>
        </is>
      </c>
    </row>
    <row r="5">
      <c r="A5" s="5" t="n"/>
      <c r="B5" s="5" t="n"/>
      <c r="C5" s="5" t="n"/>
      <c r="D5" s="32" t="n"/>
      <c r="E5" s="32" t="n"/>
      <c r="F5" s="33">
        <f>IF(D5="","",D5+KaziEk)</f>
        <v/>
      </c>
      <c r="G5" s="33">
        <f>IF(E5="","",E5+KaziEk)</f>
        <v/>
      </c>
      <c r="H5" s="34">
        <f>IF(OR(F5="",G5=""),"",(F5+G5)/2)</f>
        <v/>
      </c>
      <c r="I5" s="20" t="n"/>
      <c r="J5" s="21">
        <f>IF(OR(H5="",I5=""),"",IF(H5&gt;=IksaH,2*H5*I5,0))</f>
        <v/>
      </c>
      <c r="K5" s="21">
        <f>IF(OR(H5="",I5=""),"",HendekB*H5*I5)</f>
        <v/>
      </c>
      <c r="L5" s="5" t="n"/>
    </row>
    <row r="6">
      <c r="A6" s="5" t="n"/>
      <c r="B6" s="5" t="n"/>
      <c r="C6" s="5" t="n"/>
      <c r="D6" s="32" t="n"/>
      <c r="E6" s="32" t="n"/>
      <c r="F6" s="33">
        <f>IF(D6="","",D6+KaziEk)</f>
        <v/>
      </c>
      <c r="G6" s="33">
        <f>IF(E6="","",E6+KaziEk)</f>
        <v/>
      </c>
      <c r="H6" s="34">
        <f>IF(OR(F6="",G6=""),"",(F6+G6)/2)</f>
        <v/>
      </c>
      <c r="I6" s="20" t="n"/>
      <c r="J6" s="21">
        <f>IF(OR(H6="",I6=""),"",IF(H6&gt;=IksaH,2*H6*I6,0))</f>
        <v/>
      </c>
      <c r="K6" s="21">
        <f>IF(OR(H6="",I6=""),"",HendekB*H6*I6)</f>
        <v/>
      </c>
      <c r="L6" s="5" t="n"/>
    </row>
    <row r="7">
      <c r="A7" s="5" t="n"/>
      <c r="B7" s="5" t="n"/>
      <c r="C7" s="5" t="n"/>
      <c r="D7" s="32" t="n"/>
      <c r="E7" s="32" t="n"/>
      <c r="F7" s="33">
        <f>IF(D7="","",D7+KaziEk)</f>
        <v/>
      </c>
      <c r="G7" s="33">
        <f>IF(E7="","",E7+KaziEk)</f>
        <v/>
      </c>
      <c r="H7" s="34">
        <f>IF(OR(F7="",G7=""),"",(F7+G7)/2)</f>
        <v/>
      </c>
      <c r="I7" s="20" t="n"/>
      <c r="J7" s="21">
        <f>IF(OR(H7="",I7=""),"",IF(H7&gt;=IksaH,2*H7*I7,0))</f>
        <v/>
      </c>
      <c r="K7" s="21">
        <f>IF(OR(H7="",I7=""),"",HendekB*H7*I7)</f>
        <v/>
      </c>
      <c r="L7" s="5" t="n"/>
    </row>
    <row r="8">
      <c r="A8" s="5" t="n"/>
      <c r="B8" s="5" t="n"/>
      <c r="C8" s="5" t="n"/>
      <c r="D8" s="32" t="n"/>
      <c r="E8" s="32" t="n"/>
      <c r="F8" s="33">
        <f>IF(D8="","",D8+KaziEk)</f>
        <v/>
      </c>
      <c r="G8" s="33">
        <f>IF(E8="","",E8+KaziEk)</f>
        <v/>
      </c>
      <c r="H8" s="34">
        <f>IF(OR(F8="",G8=""),"",(F8+G8)/2)</f>
        <v/>
      </c>
      <c r="I8" s="20" t="n"/>
      <c r="J8" s="21">
        <f>IF(OR(H8="",I8=""),"",IF(H8&gt;=IksaH,2*H8*I8,0))</f>
        <v/>
      </c>
      <c r="K8" s="21">
        <f>IF(OR(H8="",I8=""),"",HendekB*H8*I8)</f>
        <v/>
      </c>
      <c r="L8" s="5" t="n"/>
    </row>
    <row r="9">
      <c r="A9" s="5" t="n"/>
      <c r="B9" s="5" t="n"/>
      <c r="C9" s="5" t="n"/>
      <c r="D9" s="32" t="n"/>
      <c r="E9" s="32" t="n"/>
      <c r="F9" s="33">
        <f>IF(D9="","",D9+KaziEk)</f>
        <v/>
      </c>
      <c r="G9" s="33">
        <f>IF(E9="","",E9+KaziEk)</f>
        <v/>
      </c>
      <c r="H9" s="34">
        <f>IF(OR(F9="",G9=""),"",(F9+G9)/2)</f>
        <v/>
      </c>
      <c r="I9" s="20" t="n"/>
      <c r="J9" s="21">
        <f>IF(OR(H9="",I9=""),"",IF(H9&gt;=IksaH,2*H9*I9,0))</f>
        <v/>
      </c>
      <c r="K9" s="21">
        <f>IF(OR(H9="",I9=""),"",HendekB*H9*I9)</f>
        <v/>
      </c>
      <c r="L9" s="5" t="n"/>
    </row>
    <row r="10">
      <c r="A10" s="5" t="n"/>
      <c r="B10" s="5" t="n"/>
      <c r="C10" s="5" t="n"/>
      <c r="D10" s="32" t="n"/>
      <c r="E10" s="32" t="n"/>
      <c r="F10" s="33">
        <f>IF(D10="","",D10+KaziEk)</f>
        <v/>
      </c>
      <c r="G10" s="33">
        <f>IF(E10="","",E10+KaziEk)</f>
        <v/>
      </c>
      <c r="H10" s="34">
        <f>IF(OR(F10="",G10=""),"",(F10+G10)/2)</f>
        <v/>
      </c>
      <c r="I10" s="20" t="n"/>
      <c r="J10" s="21">
        <f>IF(OR(H10="",I10=""),"",IF(H10&gt;=IksaH,2*H10*I10,0))</f>
        <v/>
      </c>
      <c r="K10" s="21">
        <f>IF(OR(H10="",I10=""),"",HendekB*H10*I10)</f>
        <v/>
      </c>
      <c r="L10" s="5" t="n"/>
    </row>
    <row r="11">
      <c r="A11" s="5" t="n"/>
      <c r="B11" s="5" t="n"/>
      <c r="C11" s="5" t="n"/>
      <c r="D11" s="32" t="n"/>
      <c r="E11" s="32" t="n"/>
      <c r="F11" s="33">
        <f>IF(D11="","",D11+KaziEk)</f>
        <v/>
      </c>
      <c r="G11" s="33">
        <f>IF(E11="","",E11+KaziEk)</f>
        <v/>
      </c>
      <c r="H11" s="34">
        <f>IF(OR(F11="",G11=""),"",(F11+G11)/2)</f>
        <v/>
      </c>
      <c r="I11" s="20" t="n"/>
      <c r="J11" s="21">
        <f>IF(OR(H11="",I11=""),"",IF(H11&gt;=IksaH,2*H11*I11,0))</f>
        <v/>
      </c>
      <c r="K11" s="21">
        <f>IF(OR(H11="",I11=""),"",HendekB*H11*I11)</f>
        <v/>
      </c>
      <c r="L11" s="5" t="n"/>
    </row>
    <row r="12">
      <c r="A12" s="5" t="n"/>
      <c r="B12" s="5" t="n"/>
      <c r="C12" s="5" t="n"/>
      <c r="D12" s="32" t="n"/>
      <c r="E12" s="32" t="n"/>
      <c r="F12" s="33">
        <f>IF(D12="","",D12+KaziEk)</f>
        <v/>
      </c>
      <c r="G12" s="33">
        <f>IF(E12="","",E12+KaziEk)</f>
        <v/>
      </c>
      <c r="H12" s="34">
        <f>IF(OR(F12="",G12=""),"",(F12+G12)/2)</f>
        <v/>
      </c>
      <c r="I12" s="20" t="n"/>
      <c r="J12" s="21">
        <f>IF(OR(H12="",I12=""),"",IF(H12&gt;=IksaH,2*H12*I12,0))</f>
        <v/>
      </c>
      <c r="K12" s="21">
        <f>IF(OR(H12="",I12=""),"",HendekB*H12*I12)</f>
        <v/>
      </c>
      <c r="L12" s="5" t="n"/>
    </row>
    <row r="13">
      <c r="A13" s="5" t="n"/>
      <c r="B13" s="5" t="n"/>
      <c r="C13" s="5" t="n"/>
      <c r="D13" s="32" t="n"/>
      <c r="E13" s="32" t="n"/>
      <c r="F13" s="33">
        <f>IF(D13="","",D13+KaziEk)</f>
        <v/>
      </c>
      <c r="G13" s="33">
        <f>IF(E13="","",E13+KaziEk)</f>
        <v/>
      </c>
      <c r="H13" s="34">
        <f>IF(OR(F13="",G13=""),"",(F13+G13)/2)</f>
        <v/>
      </c>
      <c r="I13" s="20" t="n"/>
      <c r="J13" s="21">
        <f>IF(OR(H13="",I13=""),"",IF(H13&gt;=IksaH,2*H13*I13,0))</f>
        <v/>
      </c>
      <c r="K13" s="21">
        <f>IF(OR(H13="",I13=""),"",HendekB*H13*I13)</f>
        <v/>
      </c>
      <c r="L13" s="5" t="n"/>
    </row>
    <row r="14">
      <c r="A14" s="5" t="n"/>
      <c r="B14" s="5" t="n"/>
      <c r="C14" s="5" t="n"/>
      <c r="D14" s="32" t="n"/>
      <c r="E14" s="32" t="n"/>
      <c r="F14" s="33">
        <f>IF(D14="","",D14+KaziEk)</f>
        <v/>
      </c>
      <c r="G14" s="33">
        <f>IF(E14="","",E14+KaziEk)</f>
        <v/>
      </c>
      <c r="H14" s="34">
        <f>IF(OR(F14="",G14=""),"",(F14+G14)/2)</f>
        <v/>
      </c>
      <c r="I14" s="20" t="n"/>
      <c r="J14" s="21">
        <f>IF(OR(H14="",I14=""),"",IF(H14&gt;=IksaH,2*H14*I14,0))</f>
        <v/>
      </c>
      <c r="K14" s="21">
        <f>IF(OR(H14="",I14=""),"",HendekB*H14*I14)</f>
        <v/>
      </c>
      <c r="L14" s="5" t="n"/>
    </row>
    <row r="15">
      <c r="A15" s="5" t="n"/>
      <c r="B15" s="5" t="n"/>
      <c r="C15" s="5" t="n"/>
      <c r="D15" s="32" t="n"/>
      <c r="E15" s="32" t="n"/>
      <c r="F15" s="33">
        <f>IF(D15="","",D15+KaziEk)</f>
        <v/>
      </c>
      <c r="G15" s="33">
        <f>IF(E15="","",E15+KaziEk)</f>
        <v/>
      </c>
      <c r="H15" s="34">
        <f>IF(OR(F15="",G15=""),"",(F15+G15)/2)</f>
        <v/>
      </c>
      <c r="I15" s="20" t="n"/>
      <c r="J15" s="21">
        <f>IF(OR(H15="",I15=""),"",IF(H15&gt;=IksaH,2*H15*I15,0))</f>
        <v/>
      </c>
      <c r="K15" s="21">
        <f>IF(OR(H15="",I15=""),"",HendekB*H15*I15)</f>
        <v/>
      </c>
      <c r="L15" s="5" t="n"/>
    </row>
    <row r="16">
      <c r="A16" s="5" t="n"/>
      <c r="B16" s="5" t="n"/>
      <c r="C16" s="5" t="n"/>
      <c r="D16" s="32" t="n"/>
      <c r="E16" s="32" t="n"/>
      <c r="F16" s="33">
        <f>IF(D16="","",D16+KaziEk)</f>
        <v/>
      </c>
      <c r="G16" s="33">
        <f>IF(E16="","",E16+KaziEk)</f>
        <v/>
      </c>
      <c r="H16" s="34">
        <f>IF(OR(F16="",G16=""),"",(F16+G16)/2)</f>
        <v/>
      </c>
      <c r="I16" s="20" t="n"/>
      <c r="J16" s="21">
        <f>IF(OR(H16="",I16=""),"",IF(H16&gt;=IksaH,2*H16*I16,0))</f>
        <v/>
      </c>
      <c r="K16" s="21">
        <f>IF(OR(H16="",I16=""),"",HendekB*H16*I16)</f>
        <v/>
      </c>
      <c r="L16" s="5" t="n"/>
    </row>
    <row r="17">
      <c r="A17" s="5" t="n"/>
      <c r="B17" s="5" t="n"/>
      <c r="C17" s="5" t="n"/>
      <c r="D17" s="32" t="n"/>
      <c r="E17" s="32" t="n"/>
      <c r="F17" s="33">
        <f>IF(D17="","",D17+KaziEk)</f>
        <v/>
      </c>
      <c r="G17" s="33">
        <f>IF(E17="","",E17+KaziEk)</f>
        <v/>
      </c>
      <c r="H17" s="34">
        <f>IF(OR(F17="",G17=""),"",(F17+G17)/2)</f>
        <v/>
      </c>
      <c r="I17" s="20" t="n"/>
      <c r="J17" s="21">
        <f>IF(OR(H17="",I17=""),"",IF(H17&gt;=IksaH,2*H17*I17,0))</f>
        <v/>
      </c>
      <c r="K17" s="21">
        <f>IF(OR(H17="",I17=""),"",HendekB*H17*I17)</f>
        <v/>
      </c>
      <c r="L17" s="5" t="n"/>
    </row>
    <row r="18">
      <c r="A18" s="5" t="n"/>
      <c r="B18" s="5" t="n"/>
      <c r="C18" s="5" t="n"/>
      <c r="D18" s="32" t="n"/>
      <c r="E18" s="32" t="n"/>
      <c r="F18" s="33">
        <f>IF(D18="","",D18+KaziEk)</f>
        <v/>
      </c>
      <c r="G18" s="33">
        <f>IF(E18="","",E18+KaziEk)</f>
        <v/>
      </c>
      <c r="H18" s="34">
        <f>IF(OR(F18="",G18=""),"",(F18+G18)/2)</f>
        <v/>
      </c>
      <c r="I18" s="20" t="n"/>
      <c r="J18" s="21">
        <f>IF(OR(H18="",I18=""),"",IF(H18&gt;=IksaH,2*H18*I18,0))</f>
        <v/>
      </c>
      <c r="K18" s="21">
        <f>IF(OR(H18="",I18=""),"",HendekB*H18*I18)</f>
        <v/>
      </c>
      <c r="L18" s="5" t="n"/>
    </row>
    <row r="19">
      <c r="A19" s="5" t="n"/>
      <c r="B19" s="5" t="n"/>
      <c r="C19" s="5" t="n"/>
      <c r="D19" s="32" t="n"/>
      <c r="E19" s="32" t="n"/>
      <c r="F19" s="33">
        <f>IF(D19="","",D19+KaziEk)</f>
        <v/>
      </c>
      <c r="G19" s="33">
        <f>IF(E19="","",E19+KaziEk)</f>
        <v/>
      </c>
      <c r="H19" s="34">
        <f>IF(OR(F19="",G19=""),"",(F19+G19)/2)</f>
        <v/>
      </c>
      <c r="I19" s="20" t="n"/>
      <c r="J19" s="21">
        <f>IF(OR(H19="",I19=""),"",IF(H19&gt;=IksaH,2*H19*I19,0))</f>
        <v/>
      </c>
      <c r="K19" s="21">
        <f>IF(OR(H19="",I19=""),"",HendekB*H19*I19)</f>
        <v/>
      </c>
      <c r="L19" s="5" t="n"/>
    </row>
    <row r="20">
      <c r="A20" s="5" t="n"/>
      <c r="B20" s="5" t="n"/>
      <c r="C20" s="5" t="n"/>
      <c r="D20" s="32" t="n"/>
      <c r="E20" s="32" t="n"/>
      <c r="F20" s="33">
        <f>IF(D20="","",D20+KaziEk)</f>
        <v/>
      </c>
      <c r="G20" s="33">
        <f>IF(E20="","",E20+KaziEk)</f>
        <v/>
      </c>
      <c r="H20" s="34">
        <f>IF(OR(F20="",G20=""),"",(F20+G20)/2)</f>
        <v/>
      </c>
      <c r="I20" s="20" t="n"/>
      <c r="J20" s="21">
        <f>IF(OR(H20="",I20=""),"",IF(H20&gt;=IksaH,2*H20*I20,0))</f>
        <v/>
      </c>
      <c r="K20" s="21">
        <f>IF(OR(H20="",I20=""),"",HendekB*H20*I20)</f>
        <v/>
      </c>
      <c r="L20" s="5" t="n"/>
    </row>
    <row r="21">
      <c r="A21" s="5" t="n"/>
      <c r="B21" s="5" t="n"/>
      <c r="C21" s="5" t="n"/>
      <c r="D21" s="32" t="n"/>
      <c r="E21" s="32" t="n"/>
      <c r="F21" s="33">
        <f>IF(D21="","",D21+KaziEk)</f>
        <v/>
      </c>
      <c r="G21" s="33">
        <f>IF(E21="","",E21+KaziEk)</f>
        <v/>
      </c>
      <c r="H21" s="34">
        <f>IF(OR(F21="",G21=""),"",(F21+G21)/2)</f>
        <v/>
      </c>
      <c r="I21" s="20" t="n"/>
      <c r="J21" s="21">
        <f>IF(OR(H21="",I21=""),"",IF(H21&gt;=IksaH,2*H21*I21,0))</f>
        <v/>
      </c>
      <c r="K21" s="21">
        <f>IF(OR(H21="",I21=""),"",HendekB*H21*I21)</f>
        <v/>
      </c>
      <c r="L21" s="5" t="n"/>
    </row>
    <row r="22">
      <c r="A22" s="5" t="n"/>
      <c r="B22" s="5" t="n"/>
      <c r="C22" s="5" t="n"/>
      <c r="D22" s="32" t="n"/>
      <c r="E22" s="32" t="n"/>
      <c r="F22" s="33">
        <f>IF(D22="","",D22+KaziEk)</f>
        <v/>
      </c>
      <c r="G22" s="33">
        <f>IF(E22="","",E22+KaziEk)</f>
        <v/>
      </c>
      <c r="H22" s="34">
        <f>IF(OR(F22="",G22=""),"",(F22+G22)/2)</f>
        <v/>
      </c>
      <c r="I22" s="20" t="n"/>
      <c r="J22" s="21">
        <f>IF(OR(H22="",I22=""),"",IF(H22&gt;=IksaH,2*H22*I22,0))</f>
        <v/>
      </c>
      <c r="K22" s="21">
        <f>IF(OR(H22="",I22=""),"",HendekB*H22*I22)</f>
        <v/>
      </c>
      <c r="L22" s="5" t="n"/>
    </row>
    <row r="23">
      <c r="A23" s="5" t="n"/>
      <c r="B23" s="5" t="n"/>
      <c r="C23" s="5" t="n"/>
      <c r="D23" s="32" t="n"/>
      <c r="E23" s="32" t="n"/>
      <c r="F23" s="33">
        <f>IF(D23="","",D23+KaziEk)</f>
        <v/>
      </c>
      <c r="G23" s="33">
        <f>IF(E23="","",E23+KaziEk)</f>
        <v/>
      </c>
      <c r="H23" s="34">
        <f>IF(OR(F23="",G23=""),"",(F23+G23)/2)</f>
        <v/>
      </c>
      <c r="I23" s="20" t="n"/>
      <c r="J23" s="21">
        <f>IF(OR(H23="",I23=""),"",IF(H23&gt;=IksaH,2*H23*I23,0))</f>
        <v/>
      </c>
      <c r="K23" s="21">
        <f>IF(OR(H23="",I23=""),"",HendekB*H23*I23)</f>
        <v/>
      </c>
      <c r="L23" s="5" t="n"/>
    </row>
    <row r="24">
      <c r="A24" s="5" t="n"/>
      <c r="B24" s="5" t="n"/>
      <c r="C24" s="5" t="n"/>
      <c r="D24" s="32" t="n"/>
      <c r="E24" s="32" t="n"/>
      <c r="F24" s="33">
        <f>IF(D24="","",D24+KaziEk)</f>
        <v/>
      </c>
      <c r="G24" s="33">
        <f>IF(E24="","",E24+KaziEk)</f>
        <v/>
      </c>
      <c r="H24" s="34">
        <f>IF(OR(F24="",G24=""),"",(F24+G24)/2)</f>
        <v/>
      </c>
      <c r="I24" s="20" t="n"/>
      <c r="J24" s="21">
        <f>IF(OR(H24="",I24=""),"",IF(H24&gt;=IksaH,2*H24*I24,0))</f>
        <v/>
      </c>
      <c r="K24" s="21">
        <f>IF(OR(H24="",I24=""),"",HendekB*H24*I24)</f>
        <v/>
      </c>
      <c r="L24" s="5" t="n"/>
    </row>
    <row r="25">
      <c r="A25" s="5" t="n"/>
      <c r="B25" s="5" t="n"/>
      <c r="C25" s="5" t="n"/>
      <c r="D25" s="32" t="n"/>
      <c r="E25" s="32" t="n"/>
      <c r="F25" s="33">
        <f>IF(D25="","",D25+KaziEk)</f>
        <v/>
      </c>
      <c r="G25" s="33">
        <f>IF(E25="","",E25+KaziEk)</f>
        <v/>
      </c>
      <c r="H25" s="34">
        <f>IF(OR(F25="",G25=""),"",(F25+G25)/2)</f>
        <v/>
      </c>
      <c r="I25" s="20" t="n"/>
      <c r="J25" s="21">
        <f>IF(OR(H25="",I25=""),"",IF(H25&gt;=IksaH,2*H25*I25,0))</f>
        <v/>
      </c>
      <c r="K25" s="21">
        <f>IF(OR(H25="",I25=""),"",HendekB*H25*I25)</f>
        <v/>
      </c>
      <c r="L25" s="5" t="n"/>
    </row>
    <row r="26">
      <c r="A26" s="5" t="n"/>
      <c r="B26" s="5" t="n"/>
      <c r="C26" s="5" t="n"/>
      <c r="D26" s="32" t="n"/>
      <c r="E26" s="32" t="n"/>
      <c r="F26" s="33">
        <f>IF(D26="","",D26+KaziEk)</f>
        <v/>
      </c>
      <c r="G26" s="33">
        <f>IF(E26="","",E26+KaziEk)</f>
        <v/>
      </c>
      <c r="H26" s="34">
        <f>IF(OR(F26="",G26=""),"",(F26+G26)/2)</f>
        <v/>
      </c>
      <c r="I26" s="20" t="n"/>
      <c r="J26" s="21">
        <f>IF(OR(H26="",I26=""),"",IF(H26&gt;=IksaH,2*H26*I26,0))</f>
        <v/>
      </c>
      <c r="K26" s="21">
        <f>IF(OR(H26="",I26=""),"",HendekB*H26*I26)</f>
        <v/>
      </c>
      <c r="L26" s="5" t="n"/>
    </row>
    <row r="27">
      <c r="A27" s="5" t="n"/>
      <c r="B27" s="5" t="n"/>
      <c r="C27" s="5" t="n"/>
      <c r="D27" s="32" t="n"/>
      <c r="E27" s="32" t="n"/>
      <c r="F27" s="33">
        <f>IF(D27="","",D27+KaziEk)</f>
        <v/>
      </c>
      <c r="G27" s="33">
        <f>IF(E27="","",E27+KaziEk)</f>
        <v/>
      </c>
      <c r="H27" s="34">
        <f>IF(OR(F27="",G27=""),"",(F27+G27)/2)</f>
        <v/>
      </c>
      <c r="I27" s="20" t="n"/>
      <c r="J27" s="21">
        <f>IF(OR(H27="",I27=""),"",IF(H27&gt;=IksaH,2*H27*I27,0))</f>
        <v/>
      </c>
      <c r="K27" s="21">
        <f>IF(OR(H27="",I27=""),"",HendekB*H27*I27)</f>
        <v/>
      </c>
      <c r="L27" s="5" t="n"/>
    </row>
    <row r="28">
      <c r="A28" s="5" t="n"/>
      <c r="B28" s="5" t="n"/>
      <c r="C28" s="5" t="n"/>
      <c r="D28" s="32" t="n"/>
      <c r="E28" s="32" t="n"/>
      <c r="F28" s="33">
        <f>IF(D28="","",D28+KaziEk)</f>
        <v/>
      </c>
      <c r="G28" s="33">
        <f>IF(E28="","",E28+KaziEk)</f>
        <v/>
      </c>
      <c r="H28" s="34">
        <f>IF(OR(F28="",G28=""),"",(F28+G28)/2)</f>
        <v/>
      </c>
      <c r="I28" s="20" t="n"/>
      <c r="J28" s="21">
        <f>IF(OR(H28="",I28=""),"",IF(H28&gt;=IksaH,2*H28*I28,0))</f>
        <v/>
      </c>
      <c r="K28" s="21">
        <f>IF(OR(H28="",I28=""),"",HendekB*H28*I28)</f>
        <v/>
      </c>
      <c r="L28" s="5" t="n"/>
    </row>
    <row r="29">
      <c r="A29" s="5" t="n"/>
      <c r="B29" s="5" t="n"/>
      <c r="C29" s="5" t="n"/>
      <c r="D29" s="32" t="n"/>
      <c r="E29" s="32" t="n"/>
      <c r="F29" s="33">
        <f>IF(D29="","",D29+KaziEk)</f>
        <v/>
      </c>
      <c r="G29" s="33">
        <f>IF(E29="","",E29+KaziEk)</f>
        <v/>
      </c>
      <c r="H29" s="34">
        <f>IF(OR(F29="",G29=""),"",(F29+G29)/2)</f>
        <v/>
      </c>
      <c r="I29" s="20" t="n"/>
      <c r="J29" s="21">
        <f>IF(OR(H29="",I29=""),"",IF(H29&gt;=IksaH,2*H29*I29,0))</f>
        <v/>
      </c>
      <c r="K29" s="21">
        <f>IF(OR(H29="",I29=""),"",HendekB*H29*I29)</f>
        <v/>
      </c>
      <c r="L29" s="5" t="n"/>
    </row>
    <row r="30">
      <c r="A30" s="5" t="n"/>
      <c r="B30" s="5" t="n"/>
      <c r="C30" s="5" t="n"/>
      <c r="D30" s="32" t="n"/>
      <c r="E30" s="32" t="n"/>
      <c r="F30" s="33">
        <f>IF(D30="","",D30+KaziEk)</f>
        <v/>
      </c>
      <c r="G30" s="33">
        <f>IF(E30="","",E30+KaziEk)</f>
        <v/>
      </c>
      <c r="H30" s="34">
        <f>IF(OR(F30="",G30=""),"",(F30+G30)/2)</f>
        <v/>
      </c>
      <c r="I30" s="20" t="n"/>
      <c r="J30" s="21">
        <f>IF(OR(H30="",I30=""),"",IF(H30&gt;=IksaH,2*H30*I30,0))</f>
        <v/>
      </c>
      <c r="K30" s="21">
        <f>IF(OR(H30="",I30=""),"",HendekB*H30*I30)</f>
        <v/>
      </c>
      <c r="L30" s="5" t="n"/>
    </row>
    <row r="31">
      <c r="A31" s="5" t="n"/>
      <c r="B31" s="5" t="n"/>
      <c r="C31" s="5" t="n"/>
      <c r="D31" s="32" t="n"/>
      <c r="E31" s="32" t="n"/>
      <c r="F31" s="33">
        <f>IF(D31="","",D31+KaziEk)</f>
        <v/>
      </c>
      <c r="G31" s="33">
        <f>IF(E31="","",E31+KaziEk)</f>
        <v/>
      </c>
      <c r="H31" s="34">
        <f>IF(OR(F31="",G31=""),"",(F31+G31)/2)</f>
        <v/>
      </c>
      <c r="I31" s="20" t="n"/>
      <c r="J31" s="21">
        <f>IF(OR(H31="",I31=""),"",IF(H31&gt;=IksaH,2*H31*I31,0))</f>
        <v/>
      </c>
      <c r="K31" s="21">
        <f>IF(OR(H31="",I31=""),"",HendekB*H31*I31)</f>
        <v/>
      </c>
      <c r="L31" s="5" t="n"/>
    </row>
    <row r="32">
      <c r="A32" s="5" t="n"/>
      <c r="B32" s="5" t="n"/>
      <c r="C32" s="5" t="n"/>
      <c r="D32" s="32" t="n"/>
      <c r="E32" s="32" t="n"/>
      <c r="F32" s="33">
        <f>IF(D32="","",D32+KaziEk)</f>
        <v/>
      </c>
      <c r="G32" s="33">
        <f>IF(E32="","",E32+KaziEk)</f>
        <v/>
      </c>
      <c r="H32" s="34">
        <f>IF(OR(F32="",G32=""),"",(F32+G32)/2)</f>
        <v/>
      </c>
      <c r="I32" s="20" t="n"/>
      <c r="J32" s="21">
        <f>IF(OR(H32="",I32=""),"",IF(H32&gt;=IksaH,2*H32*I32,0))</f>
        <v/>
      </c>
      <c r="K32" s="21">
        <f>IF(OR(H32="",I32=""),"",HendekB*H32*I32)</f>
        <v/>
      </c>
      <c r="L32" s="5" t="n"/>
    </row>
    <row r="33">
      <c r="A33" s="5" t="n"/>
      <c r="B33" s="5" t="n"/>
      <c r="C33" s="5" t="n"/>
      <c r="D33" s="32" t="n"/>
      <c r="E33" s="32" t="n"/>
      <c r="F33" s="33">
        <f>IF(D33="","",D33+KaziEk)</f>
        <v/>
      </c>
      <c r="G33" s="33">
        <f>IF(E33="","",E33+KaziEk)</f>
        <v/>
      </c>
      <c r="H33" s="34">
        <f>IF(OR(F33="",G33=""),"",(F33+G33)/2)</f>
        <v/>
      </c>
      <c r="I33" s="20" t="n"/>
      <c r="J33" s="21">
        <f>IF(OR(H33="",I33=""),"",IF(H33&gt;=IksaH,2*H33*I33,0))</f>
        <v/>
      </c>
      <c r="K33" s="21">
        <f>IF(OR(H33="",I33=""),"",HendekB*H33*I33)</f>
        <v/>
      </c>
      <c r="L33" s="5" t="n"/>
    </row>
    <row r="34">
      <c r="A34" s="5" t="n"/>
      <c r="B34" s="5" t="n"/>
      <c r="C34" s="5" t="n"/>
      <c r="D34" s="32" t="n"/>
      <c r="E34" s="32" t="n"/>
      <c r="F34" s="33">
        <f>IF(D34="","",D34+KaziEk)</f>
        <v/>
      </c>
      <c r="G34" s="33">
        <f>IF(E34="","",E34+KaziEk)</f>
        <v/>
      </c>
      <c r="H34" s="34">
        <f>IF(OR(F34="",G34=""),"",(F34+G34)/2)</f>
        <v/>
      </c>
      <c r="I34" s="20" t="n"/>
      <c r="J34" s="21">
        <f>IF(OR(H34="",I34=""),"",IF(H34&gt;=IksaH,2*H34*I34,0))</f>
        <v/>
      </c>
      <c r="K34" s="21">
        <f>IF(OR(H34="",I34=""),"",HendekB*H34*I34)</f>
        <v/>
      </c>
      <c r="L34" s="5" t="n"/>
    </row>
    <row r="35">
      <c r="A35" s="5" t="n"/>
      <c r="B35" s="5" t="n"/>
      <c r="C35" s="5" t="n"/>
      <c r="D35" s="32" t="n"/>
      <c r="E35" s="32" t="n"/>
      <c r="F35" s="33">
        <f>IF(D35="","",D35+KaziEk)</f>
        <v/>
      </c>
      <c r="G35" s="33">
        <f>IF(E35="","",E35+KaziEk)</f>
        <v/>
      </c>
      <c r="H35" s="34">
        <f>IF(OR(F35="",G35=""),"",(F35+G35)/2)</f>
        <v/>
      </c>
      <c r="I35" s="20" t="n"/>
      <c r="J35" s="21">
        <f>IF(OR(H35="",I35=""),"",IF(H35&gt;=IksaH,2*H35*I35,0))</f>
        <v/>
      </c>
      <c r="K35" s="21">
        <f>IF(OR(H35="",I35=""),"",HendekB*H35*I35)</f>
        <v/>
      </c>
      <c r="L35" s="5" t="n"/>
    </row>
    <row r="36">
      <c r="A36" s="5" t="n"/>
      <c r="B36" s="5" t="n"/>
      <c r="C36" s="5" t="n"/>
      <c r="D36" s="32" t="n"/>
      <c r="E36" s="32" t="n"/>
      <c r="F36" s="33">
        <f>IF(D36="","",D36+KaziEk)</f>
        <v/>
      </c>
      <c r="G36" s="33">
        <f>IF(E36="","",E36+KaziEk)</f>
        <v/>
      </c>
      <c r="H36" s="34">
        <f>IF(OR(F36="",G36=""),"",(F36+G36)/2)</f>
        <v/>
      </c>
      <c r="I36" s="20" t="n"/>
      <c r="J36" s="21">
        <f>IF(OR(H36="",I36=""),"",IF(H36&gt;=IksaH,2*H36*I36,0))</f>
        <v/>
      </c>
      <c r="K36" s="21">
        <f>IF(OR(H36="",I36=""),"",HendekB*H36*I36)</f>
        <v/>
      </c>
      <c r="L36" s="5" t="n"/>
    </row>
    <row r="37">
      <c r="A37" s="5" t="n"/>
      <c r="B37" s="5" t="n"/>
      <c r="C37" s="5" t="n"/>
      <c r="D37" s="32" t="n"/>
      <c r="E37" s="32" t="n"/>
      <c r="F37" s="33">
        <f>IF(D37="","",D37+KaziEk)</f>
        <v/>
      </c>
      <c r="G37" s="33">
        <f>IF(E37="","",E37+KaziEk)</f>
        <v/>
      </c>
      <c r="H37" s="34">
        <f>IF(OR(F37="",G37=""),"",(F37+G37)/2)</f>
        <v/>
      </c>
      <c r="I37" s="20" t="n"/>
      <c r="J37" s="21">
        <f>IF(OR(H37="",I37=""),"",IF(H37&gt;=IksaH,2*H37*I37,0))</f>
        <v/>
      </c>
      <c r="K37" s="21">
        <f>IF(OR(H37="",I37=""),"",HendekB*H37*I37)</f>
        <v/>
      </c>
      <c r="L37" s="5" t="n"/>
    </row>
    <row r="38">
      <c r="A38" s="5" t="n"/>
      <c r="B38" s="5" t="n"/>
      <c r="C38" s="5" t="n"/>
      <c r="D38" s="32" t="n"/>
      <c r="E38" s="32" t="n"/>
      <c r="F38" s="33">
        <f>IF(D38="","",D38+KaziEk)</f>
        <v/>
      </c>
      <c r="G38" s="33">
        <f>IF(E38="","",E38+KaziEk)</f>
        <v/>
      </c>
      <c r="H38" s="34">
        <f>IF(OR(F38="",G38=""),"",(F38+G38)/2)</f>
        <v/>
      </c>
      <c r="I38" s="20" t="n"/>
      <c r="J38" s="21">
        <f>IF(OR(H38="",I38=""),"",IF(H38&gt;=IksaH,2*H38*I38,0))</f>
        <v/>
      </c>
      <c r="K38" s="21">
        <f>IF(OR(H38="",I38=""),"",HendekB*H38*I38)</f>
        <v/>
      </c>
      <c r="L38" s="5" t="n"/>
    </row>
    <row r="39">
      <c r="A39" s="5" t="n"/>
      <c r="B39" s="5" t="n"/>
      <c r="C39" s="5" t="n"/>
      <c r="D39" s="32" t="n"/>
      <c r="E39" s="32" t="n"/>
      <c r="F39" s="33">
        <f>IF(D39="","",D39+KaziEk)</f>
        <v/>
      </c>
      <c r="G39" s="33">
        <f>IF(E39="","",E39+KaziEk)</f>
        <v/>
      </c>
      <c r="H39" s="34">
        <f>IF(OR(F39="",G39=""),"",(F39+G39)/2)</f>
        <v/>
      </c>
      <c r="I39" s="20" t="n"/>
      <c r="J39" s="21">
        <f>IF(OR(H39="",I39=""),"",IF(H39&gt;=IksaH,2*H39*I39,0))</f>
        <v/>
      </c>
      <c r="K39" s="21">
        <f>IF(OR(H39="",I39=""),"",HendekB*H39*I39)</f>
        <v/>
      </c>
      <c r="L39" s="5" t="n"/>
    </row>
    <row r="40">
      <c r="A40" s="5" t="n"/>
      <c r="B40" s="5" t="n"/>
      <c r="C40" s="5" t="n"/>
      <c r="D40" s="32" t="n"/>
      <c r="E40" s="32" t="n"/>
      <c r="F40" s="33">
        <f>IF(D40="","",D40+KaziEk)</f>
        <v/>
      </c>
      <c r="G40" s="33">
        <f>IF(E40="","",E40+KaziEk)</f>
        <v/>
      </c>
      <c r="H40" s="34">
        <f>IF(OR(F40="",G40=""),"",(F40+G40)/2)</f>
        <v/>
      </c>
      <c r="I40" s="20" t="n"/>
      <c r="J40" s="21">
        <f>IF(OR(H40="",I40=""),"",IF(H40&gt;=IksaH,2*H40*I40,0))</f>
        <v/>
      </c>
      <c r="K40" s="21">
        <f>IF(OR(H40="",I40=""),"",HendekB*H40*I40)</f>
        <v/>
      </c>
      <c r="L40" s="5" t="n"/>
    </row>
    <row r="41">
      <c r="A41" s="5" t="n"/>
      <c r="B41" s="5" t="n"/>
      <c r="C41" s="5" t="n"/>
      <c r="D41" s="32" t="n"/>
      <c r="E41" s="32" t="n"/>
      <c r="F41" s="33">
        <f>IF(D41="","",D41+KaziEk)</f>
        <v/>
      </c>
      <c r="G41" s="33">
        <f>IF(E41="","",E41+KaziEk)</f>
        <v/>
      </c>
      <c r="H41" s="34">
        <f>IF(OR(F41="",G41=""),"",(F41+G41)/2)</f>
        <v/>
      </c>
      <c r="I41" s="20" t="n"/>
      <c r="J41" s="21">
        <f>IF(OR(H41="",I41=""),"",IF(H41&gt;=IksaH,2*H41*I41,0))</f>
        <v/>
      </c>
      <c r="K41" s="21">
        <f>IF(OR(H41="",I41=""),"",HendekB*H41*I41)</f>
        <v/>
      </c>
      <c r="L41" s="5" t="n"/>
    </row>
    <row r="42">
      <c r="A42" s="5" t="n"/>
      <c r="B42" s="5" t="n"/>
      <c r="C42" s="5" t="n"/>
      <c r="D42" s="32" t="n"/>
      <c r="E42" s="32" t="n"/>
      <c r="F42" s="33">
        <f>IF(D42="","",D42+KaziEk)</f>
        <v/>
      </c>
      <c r="G42" s="33">
        <f>IF(E42="","",E42+KaziEk)</f>
        <v/>
      </c>
      <c r="H42" s="34">
        <f>IF(OR(F42="",G42=""),"",(F42+G42)/2)</f>
        <v/>
      </c>
      <c r="I42" s="20" t="n"/>
      <c r="J42" s="21">
        <f>IF(OR(H42="",I42=""),"",IF(H42&gt;=IksaH,2*H42*I42,0))</f>
        <v/>
      </c>
      <c r="K42" s="21">
        <f>IF(OR(H42="",I42=""),"",HendekB*H42*I42)</f>
        <v/>
      </c>
      <c r="L42" s="5" t="n"/>
    </row>
    <row r="43">
      <c r="A43" s="5" t="n"/>
      <c r="B43" s="5" t="n"/>
      <c r="C43" s="5" t="n"/>
      <c r="D43" s="32" t="n"/>
      <c r="E43" s="32" t="n"/>
      <c r="F43" s="33">
        <f>IF(D43="","",D43+KaziEk)</f>
        <v/>
      </c>
      <c r="G43" s="33">
        <f>IF(E43="","",E43+KaziEk)</f>
        <v/>
      </c>
      <c r="H43" s="34">
        <f>IF(OR(F43="",G43=""),"",(F43+G43)/2)</f>
        <v/>
      </c>
      <c r="I43" s="20" t="n"/>
      <c r="J43" s="21">
        <f>IF(OR(H43="",I43=""),"",IF(H43&gt;=IksaH,2*H43*I43,0))</f>
        <v/>
      </c>
      <c r="K43" s="21">
        <f>IF(OR(H43="",I43=""),"",HendekB*H43*I43)</f>
        <v/>
      </c>
      <c r="L43" s="5" t="n"/>
    </row>
    <row r="44">
      <c r="A44" s="5" t="n"/>
      <c r="B44" s="5" t="n"/>
      <c r="C44" s="5" t="n"/>
      <c r="D44" s="32" t="n"/>
      <c r="E44" s="32" t="n"/>
      <c r="F44" s="33">
        <f>IF(D44="","",D44+KaziEk)</f>
        <v/>
      </c>
      <c r="G44" s="33">
        <f>IF(E44="","",E44+KaziEk)</f>
        <v/>
      </c>
      <c r="H44" s="34">
        <f>IF(OR(F44="",G44=""),"",(F44+G44)/2)</f>
        <v/>
      </c>
      <c r="I44" s="20" t="n"/>
      <c r="J44" s="21">
        <f>IF(OR(H44="",I44=""),"",IF(H44&gt;=IksaH,2*H44*I44,0))</f>
        <v/>
      </c>
      <c r="K44" s="21">
        <f>IF(OR(H44="",I44=""),"",HendekB*H44*I44)</f>
        <v/>
      </c>
      <c r="L44" s="5" t="n"/>
    </row>
    <row r="45">
      <c r="A45" s="5" t="n"/>
      <c r="B45" s="5" t="n"/>
      <c r="C45" s="5" t="n"/>
      <c r="D45" s="32" t="n"/>
      <c r="E45" s="32" t="n"/>
      <c r="F45" s="33">
        <f>IF(D45="","",D45+KaziEk)</f>
        <v/>
      </c>
      <c r="G45" s="33">
        <f>IF(E45="","",E45+KaziEk)</f>
        <v/>
      </c>
      <c r="H45" s="34">
        <f>IF(OR(F45="",G45=""),"",(F45+G45)/2)</f>
        <v/>
      </c>
      <c r="I45" s="20" t="n"/>
      <c r="J45" s="21">
        <f>IF(OR(H45="",I45=""),"",IF(H45&gt;=IksaH,2*H45*I45,0))</f>
        <v/>
      </c>
      <c r="K45" s="21">
        <f>IF(OR(H45="",I45=""),"",HendekB*H45*I45)</f>
        <v/>
      </c>
      <c r="L45" s="5" t="n"/>
    </row>
    <row r="46">
      <c r="A46" s="5" t="n"/>
      <c r="B46" s="5" t="n"/>
      <c r="C46" s="5" t="n"/>
      <c r="D46" s="32" t="n"/>
      <c r="E46" s="32" t="n"/>
      <c r="F46" s="33">
        <f>IF(D46="","",D46+KaziEk)</f>
        <v/>
      </c>
      <c r="G46" s="33">
        <f>IF(E46="","",E46+KaziEk)</f>
        <v/>
      </c>
      <c r="H46" s="34">
        <f>IF(OR(F46="",G46=""),"",(F46+G46)/2)</f>
        <v/>
      </c>
      <c r="I46" s="20" t="n"/>
      <c r="J46" s="21">
        <f>IF(OR(H46="",I46=""),"",IF(H46&gt;=IksaH,2*H46*I46,0))</f>
        <v/>
      </c>
      <c r="K46" s="21">
        <f>IF(OR(H46="",I46=""),"",HendekB*H46*I46)</f>
        <v/>
      </c>
      <c r="L46" s="5" t="n"/>
    </row>
    <row r="47">
      <c r="A47" s="5" t="n"/>
      <c r="B47" s="5" t="n"/>
      <c r="C47" s="5" t="n"/>
      <c r="D47" s="32" t="n"/>
      <c r="E47" s="32" t="n"/>
      <c r="F47" s="33">
        <f>IF(D47="","",D47+KaziEk)</f>
        <v/>
      </c>
      <c r="G47" s="33">
        <f>IF(E47="","",E47+KaziEk)</f>
        <v/>
      </c>
      <c r="H47" s="34">
        <f>IF(OR(F47="",G47=""),"",(F47+G47)/2)</f>
        <v/>
      </c>
      <c r="I47" s="20" t="n"/>
      <c r="J47" s="21">
        <f>IF(OR(H47="",I47=""),"",IF(H47&gt;=IksaH,2*H47*I47,0))</f>
        <v/>
      </c>
      <c r="K47" s="21">
        <f>IF(OR(H47="",I47=""),"",HendekB*H47*I47)</f>
        <v/>
      </c>
      <c r="L47" s="5" t="n"/>
    </row>
    <row r="48">
      <c r="A48" s="5" t="n"/>
      <c r="B48" s="5" t="n"/>
      <c r="C48" s="5" t="n"/>
      <c r="D48" s="32" t="n"/>
      <c r="E48" s="32" t="n"/>
      <c r="F48" s="33">
        <f>IF(D48="","",D48+KaziEk)</f>
        <v/>
      </c>
      <c r="G48" s="33">
        <f>IF(E48="","",E48+KaziEk)</f>
        <v/>
      </c>
      <c r="H48" s="34">
        <f>IF(OR(F48="",G48=""),"",(F48+G48)/2)</f>
        <v/>
      </c>
      <c r="I48" s="20" t="n"/>
      <c r="J48" s="21">
        <f>IF(OR(H48="",I48=""),"",IF(H48&gt;=IksaH,2*H48*I48,0))</f>
        <v/>
      </c>
      <c r="K48" s="21">
        <f>IF(OR(H48="",I48=""),"",HendekB*H48*I48)</f>
        <v/>
      </c>
      <c r="L48" s="5" t="n"/>
    </row>
    <row r="49">
      <c r="A49" s="5" t="n"/>
      <c r="B49" s="5" t="n"/>
      <c r="C49" s="5" t="n"/>
      <c r="D49" s="32" t="n"/>
      <c r="E49" s="32" t="n"/>
      <c r="F49" s="33">
        <f>IF(D49="","",D49+KaziEk)</f>
        <v/>
      </c>
      <c r="G49" s="33">
        <f>IF(E49="","",E49+KaziEk)</f>
        <v/>
      </c>
      <c r="H49" s="34">
        <f>IF(OR(F49="",G49=""),"",(F49+G49)/2)</f>
        <v/>
      </c>
      <c r="I49" s="20" t="n"/>
      <c r="J49" s="21">
        <f>IF(OR(H49="",I49=""),"",IF(H49&gt;=IksaH,2*H49*I49,0))</f>
        <v/>
      </c>
      <c r="K49" s="21">
        <f>IF(OR(H49="",I49=""),"",HendekB*H49*I49)</f>
        <v/>
      </c>
      <c r="L49" s="5" t="n"/>
    </row>
    <row r="50">
      <c r="A50" s="5" t="n"/>
      <c r="B50" s="5" t="n"/>
      <c r="C50" s="5" t="n"/>
      <c r="D50" s="32" t="n"/>
      <c r="E50" s="32" t="n"/>
      <c r="F50" s="33">
        <f>IF(D50="","",D50+KaziEk)</f>
        <v/>
      </c>
      <c r="G50" s="33">
        <f>IF(E50="","",E50+KaziEk)</f>
        <v/>
      </c>
      <c r="H50" s="34">
        <f>IF(OR(F50="",G50=""),"",(F50+G50)/2)</f>
        <v/>
      </c>
      <c r="I50" s="20" t="n"/>
      <c r="J50" s="21">
        <f>IF(OR(H50="",I50=""),"",IF(H50&gt;=IksaH,2*H50*I50,0))</f>
        <v/>
      </c>
      <c r="K50" s="21">
        <f>IF(OR(H50="",I50=""),"",HendekB*H50*I50)</f>
        <v/>
      </c>
      <c r="L50" s="5" t="n"/>
    </row>
    <row r="51">
      <c r="A51" s="5" t="n"/>
      <c r="B51" s="5" t="n"/>
      <c r="C51" s="5" t="n"/>
      <c r="D51" s="32" t="n"/>
      <c r="E51" s="32" t="n"/>
      <c r="F51" s="33">
        <f>IF(D51="","",D51+KaziEk)</f>
        <v/>
      </c>
      <c r="G51" s="33">
        <f>IF(E51="","",E51+KaziEk)</f>
        <v/>
      </c>
      <c r="H51" s="34">
        <f>IF(OR(F51="",G51=""),"",(F51+G51)/2)</f>
        <v/>
      </c>
      <c r="I51" s="20" t="n"/>
      <c r="J51" s="21">
        <f>IF(OR(H51="",I51=""),"",IF(H51&gt;=IksaH,2*H51*I51,0))</f>
        <v/>
      </c>
      <c r="K51" s="21">
        <f>IF(OR(H51="",I51=""),"",HendekB*H51*I51)</f>
        <v/>
      </c>
      <c r="L51" s="5" t="n"/>
    </row>
    <row r="52">
      <c r="A52" s="5" t="n"/>
      <c r="B52" s="5" t="n"/>
      <c r="C52" s="5" t="n"/>
      <c r="D52" s="32" t="n"/>
      <c r="E52" s="32" t="n"/>
      <c r="F52" s="33">
        <f>IF(D52="","",D52+KaziEk)</f>
        <v/>
      </c>
      <c r="G52" s="33">
        <f>IF(E52="","",E52+KaziEk)</f>
        <v/>
      </c>
      <c r="H52" s="34">
        <f>IF(OR(F52="",G52=""),"",(F52+G52)/2)</f>
        <v/>
      </c>
      <c r="I52" s="20" t="n"/>
      <c r="J52" s="21">
        <f>IF(OR(H52="",I52=""),"",IF(H52&gt;=IksaH,2*H52*I52,0))</f>
        <v/>
      </c>
      <c r="K52" s="21">
        <f>IF(OR(H52="",I52=""),"",HendekB*H52*I52)</f>
        <v/>
      </c>
      <c r="L52" s="5" t="n"/>
    </row>
    <row r="53">
      <c r="A53" s="5" t="n"/>
      <c r="B53" s="5" t="n"/>
      <c r="C53" s="5" t="n"/>
      <c r="D53" s="32" t="n"/>
      <c r="E53" s="32" t="n"/>
      <c r="F53" s="33">
        <f>IF(D53="","",D53+KaziEk)</f>
        <v/>
      </c>
      <c r="G53" s="33">
        <f>IF(E53="","",E53+KaziEk)</f>
        <v/>
      </c>
      <c r="H53" s="34">
        <f>IF(OR(F53="",G53=""),"",(F53+G53)/2)</f>
        <v/>
      </c>
      <c r="I53" s="20" t="n"/>
      <c r="J53" s="21">
        <f>IF(OR(H53="",I53=""),"",IF(H53&gt;=IksaH,2*H53*I53,0))</f>
        <v/>
      </c>
      <c r="K53" s="21">
        <f>IF(OR(H53="",I53=""),"",HendekB*H53*I53)</f>
        <v/>
      </c>
      <c r="L53" s="5" t="n"/>
    </row>
    <row r="54">
      <c r="A54" s="5" t="n"/>
      <c r="B54" s="5" t="n"/>
      <c r="C54" s="5" t="n"/>
      <c r="D54" s="32" t="n"/>
      <c r="E54" s="32" t="n"/>
      <c r="F54" s="33">
        <f>IF(D54="","",D54+KaziEk)</f>
        <v/>
      </c>
      <c r="G54" s="33">
        <f>IF(E54="","",E54+KaziEk)</f>
        <v/>
      </c>
      <c r="H54" s="34">
        <f>IF(OR(F54="",G54=""),"",(F54+G54)/2)</f>
        <v/>
      </c>
      <c r="I54" s="20" t="n"/>
      <c r="J54" s="21">
        <f>IF(OR(H54="",I54=""),"",IF(H54&gt;=IksaH,2*H54*I54,0))</f>
        <v/>
      </c>
      <c r="K54" s="21">
        <f>IF(OR(H54="",I54=""),"",HendekB*H54*I54)</f>
        <v/>
      </c>
      <c r="L54" s="5" t="n"/>
    </row>
    <row r="55">
      <c r="A55" s="5" t="n"/>
      <c r="B55" s="5" t="n"/>
      <c r="C55" s="5" t="n"/>
      <c r="D55" s="32" t="n"/>
      <c r="E55" s="32" t="n"/>
      <c r="F55" s="33">
        <f>IF(D55="","",D55+KaziEk)</f>
        <v/>
      </c>
      <c r="G55" s="33">
        <f>IF(E55="","",E55+KaziEk)</f>
        <v/>
      </c>
      <c r="H55" s="34">
        <f>IF(OR(F55="",G55=""),"",(F55+G55)/2)</f>
        <v/>
      </c>
      <c r="I55" s="20" t="n"/>
      <c r="J55" s="21">
        <f>IF(OR(H55="",I55=""),"",IF(H55&gt;=IksaH,2*H55*I55,0))</f>
        <v/>
      </c>
      <c r="K55" s="21">
        <f>IF(OR(H55="",I55=""),"",HendekB*H55*I55)</f>
        <v/>
      </c>
      <c r="L55" s="5" t="n"/>
    </row>
    <row r="56">
      <c r="A56" s="5" t="n"/>
      <c r="B56" s="5" t="n"/>
      <c r="C56" s="5" t="n"/>
      <c r="D56" s="32" t="n"/>
      <c r="E56" s="32" t="n"/>
      <c r="F56" s="33">
        <f>IF(D56="","",D56+KaziEk)</f>
        <v/>
      </c>
      <c r="G56" s="33">
        <f>IF(E56="","",E56+KaziEk)</f>
        <v/>
      </c>
      <c r="H56" s="34">
        <f>IF(OR(F56="",G56=""),"",(F56+G56)/2)</f>
        <v/>
      </c>
      <c r="I56" s="20" t="n"/>
      <c r="J56" s="21">
        <f>IF(OR(H56="",I56=""),"",IF(H56&gt;=IksaH,2*H56*I56,0))</f>
        <v/>
      </c>
      <c r="K56" s="21">
        <f>IF(OR(H56="",I56=""),"",HendekB*H56*I56)</f>
        <v/>
      </c>
      <c r="L56" s="5" t="n"/>
    </row>
    <row r="57">
      <c r="A57" s="5" t="n"/>
      <c r="B57" s="5" t="n"/>
      <c r="C57" s="5" t="n"/>
      <c r="D57" s="32" t="n"/>
      <c r="E57" s="32" t="n"/>
      <c r="F57" s="33">
        <f>IF(D57="","",D57+KaziEk)</f>
        <v/>
      </c>
      <c r="G57" s="33">
        <f>IF(E57="","",E57+KaziEk)</f>
        <v/>
      </c>
      <c r="H57" s="34">
        <f>IF(OR(F57="",G57=""),"",(F57+G57)/2)</f>
        <v/>
      </c>
      <c r="I57" s="20" t="n"/>
      <c r="J57" s="21">
        <f>IF(OR(H57="",I57=""),"",IF(H57&gt;=IksaH,2*H57*I57,0))</f>
        <v/>
      </c>
      <c r="K57" s="21">
        <f>IF(OR(H57="",I57=""),"",HendekB*H57*I57)</f>
        <v/>
      </c>
      <c r="L57" s="5" t="n"/>
    </row>
    <row r="58">
      <c r="A58" s="5" t="n"/>
      <c r="B58" s="5" t="n"/>
      <c r="C58" s="5" t="n"/>
      <c r="D58" s="32" t="n"/>
      <c r="E58" s="32" t="n"/>
      <c r="F58" s="33">
        <f>IF(D58="","",D58+KaziEk)</f>
        <v/>
      </c>
      <c r="G58" s="33">
        <f>IF(E58="","",E58+KaziEk)</f>
        <v/>
      </c>
      <c r="H58" s="34">
        <f>IF(OR(F58="",G58=""),"",(F58+G58)/2)</f>
        <v/>
      </c>
      <c r="I58" s="20" t="n"/>
      <c r="J58" s="21">
        <f>IF(OR(H58="",I58=""),"",IF(H58&gt;=IksaH,2*H58*I58,0))</f>
        <v/>
      </c>
      <c r="K58" s="21">
        <f>IF(OR(H58="",I58=""),"",HendekB*H58*I58)</f>
        <v/>
      </c>
      <c r="L58" s="5" t="n"/>
    </row>
    <row r="59">
      <c r="A59" s="5" t="n"/>
      <c r="B59" s="5" t="n"/>
      <c r="C59" s="5" t="n"/>
      <c r="D59" s="32" t="n"/>
      <c r="E59" s="32" t="n"/>
      <c r="F59" s="33">
        <f>IF(D59="","",D59+KaziEk)</f>
        <v/>
      </c>
      <c r="G59" s="33">
        <f>IF(E59="","",E59+KaziEk)</f>
        <v/>
      </c>
      <c r="H59" s="34">
        <f>IF(OR(F59="",G59=""),"",(F59+G59)/2)</f>
        <v/>
      </c>
      <c r="I59" s="20" t="n"/>
      <c r="J59" s="21">
        <f>IF(OR(H59="",I59=""),"",IF(H59&gt;=IksaH,2*H59*I59,0))</f>
        <v/>
      </c>
      <c r="K59" s="21">
        <f>IF(OR(H59="",I59=""),"",HendekB*H59*I59)</f>
        <v/>
      </c>
      <c r="L59" s="5" t="n"/>
    </row>
    <row r="60">
      <c r="A60" s="5" t="n"/>
      <c r="B60" s="5" t="n"/>
      <c r="C60" s="5" t="n"/>
      <c r="D60" s="32" t="n"/>
      <c r="E60" s="32" t="n"/>
      <c r="F60" s="33">
        <f>IF(D60="","",D60+KaziEk)</f>
        <v/>
      </c>
      <c r="G60" s="33">
        <f>IF(E60="","",E60+KaziEk)</f>
        <v/>
      </c>
      <c r="H60" s="34">
        <f>IF(OR(F60="",G60=""),"",(F60+G60)/2)</f>
        <v/>
      </c>
      <c r="I60" s="20" t="n"/>
      <c r="J60" s="21">
        <f>IF(OR(H60="",I60=""),"",IF(H60&gt;=IksaH,2*H60*I60,0))</f>
        <v/>
      </c>
      <c r="K60" s="21">
        <f>IF(OR(H60="",I60=""),"",HendekB*H60*I60)</f>
        <v/>
      </c>
      <c r="L60" s="5" t="n"/>
    </row>
    <row r="61">
      <c r="A61" s="5" t="n"/>
      <c r="B61" s="5" t="n"/>
      <c r="C61" s="5" t="n"/>
      <c r="D61" s="32" t="n"/>
      <c r="E61" s="32" t="n"/>
      <c r="F61" s="33">
        <f>IF(D61="","",D61+KaziEk)</f>
        <v/>
      </c>
      <c r="G61" s="33">
        <f>IF(E61="","",E61+KaziEk)</f>
        <v/>
      </c>
      <c r="H61" s="34">
        <f>IF(OR(F61="",G61=""),"",(F61+G61)/2)</f>
        <v/>
      </c>
      <c r="I61" s="20" t="n"/>
      <c r="J61" s="21">
        <f>IF(OR(H61="",I61=""),"",IF(H61&gt;=IksaH,2*H61*I61,0))</f>
        <v/>
      </c>
      <c r="K61" s="21">
        <f>IF(OR(H61="",I61=""),"",HendekB*H61*I61)</f>
        <v/>
      </c>
      <c r="L61" s="5" t="n"/>
    </row>
    <row r="62">
      <c r="A62" s="5" t="n"/>
      <c r="B62" s="5" t="n"/>
      <c r="C62" s="5" t="n"/>
      <c r="D62" s="32" t="n"/>
      <c r="E62" s="32" t="n"/>
      <c r="F62" s="33">
        <f>IF(D62="","",D62+KaziEk)</f>
        <v/>
      </c>
      <c r="G62" s="33">
        <f>IF(E62="","",E62+KaziEk)</f>
        <v/>
      </c>
      <c r="H62" s="34">
        <f>IF(OR(F62="",G62=""),"",(F62+G62)/2)</f>
        <v/>
      </c>
      <c r="I62" s="20" t="n"/>
      <c r="J62" s="21">
        <f>IF(OR(H62="",I62=""),"",IF(H62&gt;=IksaH,2*H62*I62,0))</f>
        <v/>
      </c>
      <c r="K62" s="21">
        <f>IF(OR(H62="",I62=""),"",HendekB*H62*I62)</f>
        <v/>
      </c>
      <c r="L62" s="5" t="n"/>
    </row>
    <row r="63">
      <c r="A63" s="5" t="n"/>
      <c r="B63" s="5" t="n"/>
      <c r="C63" s="5" t="n"/>
      <c r="D63" s="32" t="n"/>
      <c r="E63" s="32" t="n"/>
      <c r="F63" s="33">
        <f>IF(D63="","",D63+KaziEk)</f>
        <v/>
      </c>
      <c r="G63" s="33">
        <f>IF(E63="","",E63+KaziEk)</f>
        <v/>
      </c>
      <c r="H63" s="34">
        <f>IF(OR(F63="",G63=""),"",(F63+G63)/2)</f>
        <v/>
      </c>
      <c r="I63" s="20" t="n"/>
      <c r="J63" s="21">
        <f>IF(OR(H63="",I63=""),"",IF(H63&gt;=IksaH,2*H63*I63,0))</f>
        <v/>
      </c>
      <c r="K63" s="21">
        <f>IF(OR(H63="",I63=""),"",HendekB*H63*I63)</f>
        <v/>
      </c>
      <c r="L63" s="5" t="n"/>
    </row>
    <row r="64">
      <c r="A64" s="5" t="n"/>
      <c r="B64" s="5" t="n"/>
      <c r="C64" s="5" t="n"/>
      <c r="D64" s="32" t="n"/>
      <c r="E64" s="32" t="n"/>
      <c r="F64" s="33">
        <f>IF(D64="","",D64+KaziEk)</f>
        <v/>
      </c>
      <c r="G64" s="33">
        <f>IF(E64="","",E64+KaziEk)</f>
        <v/>
      </c>
      <c r="H64" s="34">
        <f>IF(OR(F64="",G64=""),"",(F64+G64)/2)</f>
        <v/>
      </c>
      <c r="I64" s="20" t="n"/>
      <c r="J64" s="21">
        <f>IF(OR(H64="",I64=""),"",IF(H64&gt;=IksaH,2*H64*I64,0))</f>
        <v/>
      </c>
      <c r="K64" s="21">
        <f>IF(OR(H64="",I64=""),"",HendekB*H64*I64)</f>
        <v/>
      </c>
      <c r="L64" s="5" t="n"/>
    </row>
    <row r="65">
      <c r="A65" s="5" t="n"/>
      <c r="B65" s="5" t="n"/>
      <c r="C65" s="5" t="n"/>
      <c r="D65" s="32" t="n"/>
      <c r="E65" s="32" t="n"/>
      <c r="F65" s="33">
        <f>IF(D65="","",D65+KaziEk)</f>
        <v/>
      </c>
      <c r="G65" s="33">
        <f>IF(E65="","",E65+KaziEk)</f>
        <v/>
      </c>
      <c r="H65" s="34">
        <f>IF(OR(F65="",G65=""),"",(F65+G65)/2)</f>
        <v/>
      </c>
      <c r="I65" s="20" t="n"/>
      <c r="J65" s="21">
        <f>IF(OR(H65="",I65=""),"",IF(H65&gt;=IksaH,2*H65*I65,0))</f>
        <v/>
      </c>
      <c r="K65" s="21">
        <f>IF(OR(H65="",I65=""),"",HendekB*H65*I65)</f>
        <v/>
      </c>
      <c r="L65" s="5" t="n"/>
    </row>
    <row r="66">
      <c r="A66" s="5" t="n"/>
      <c r="B66" s="5" t="n"/>
      <c r="C66" s="5" t="n"/>
      <c r="D66" s="32" t="n"/>
      <c r="E66" s="32" t="n"/>
      <c r="F66" s="33">
        <f>IF(D66="","",D66+KaziEk)</f>
        <v/>
      </c>
      <c r="G66" s="33">
        <f>IF(E66="","",E66+KaziEk)</f>
        <v/>
      </c>
      <c r="H66" s="34">
        <f>IF(OR(F66="",G66=""),"",(F66+G66)/2)</f>
        <v/>
      </c>
      <c r="I66" s="20" t="n"/>
      <c r="J66" s="21">
        <f>IF(OR(H66="",I66=""),"",IF(H66&gt;=IksaH,2*H66*I66,0))</f>
        <v/>
      </c>
      <c r="K66" s="21">
        <f>IF(OR(H66="",I66=""),"",HendekB*H66*I66)</f>
        <v/>
      </c>
      <c r="L66" s="5" t="n"/>
    </row>
    <row r="67">
      <c r="A67" s="5" t="n"/>
      <c r="B67" s="5" t="n"/>
      <c r="C67" s="5" t="n"/>
      <c r="D67" s="32" t="n"/>
      <c r="E67" s="32" t="n"/>
      <c r="F67" s="33">
        <f>IF(D67="","",D67+KaziEk)</f>
        <v/>
      </c>
      <c r="G67" s="33">
        <f>IF(E67="","",E67+KaziEk)</f>
        <v/>
      </c>
      <c r="H67" s="34">
        <f>IF(OR(F67="",G67=""),"",(F67+G67)/2)</f>
        <v/>
      </c>
      <c r="I67" s="20" t="n"/>
      <c r="J67" s="21">
        <f>IF(OR(H67="",I67=""),"",IF(H67&gt;=IksaH,2*H67*I67,0))</f>
        <v/>
      </c>
      <c r="K67" s="21">
        <f>IF(OR(H67="",I67=""),"",HendekB*H67*I67)</f>
        <v/>
      </c>
      <c r="L67" s="5" t="n"/>
    </row>
    <row r="68">
      <c r="A68" s="5" t="n"/>
      <c r="B68" s="5" t="n"/>
      <c r="C68" s="5" t="n"/>
      <c r="D68" s="32" t="n"/>
      <c r="E68" s="32" t="n"/>
      <c r="F68" s="33">
        <f>IF(D68="","",D68+KaziEk)</f>
        <v/>
      </c>
      <c r="G68" s="33">
        <f>IF(E68="","",E68+KaziEk)</f>
        <v/>
      </c>
      <c r="H68" s="34">
        <f>IF(OR(F68="",G68=""),"",(F68+G68)/2)</f>
        <v/>
      </c>
      <c r="I68" s="20" t="n"/>
      <c r="J68" s="21">
        <f>IF(OR(H68="",I68=""),"",IF(H68&gt;=IksaH,2*H68*I68,0))</f>
        <v/>
      </c>
      <c r="K68" s="21">
        <f>IF(OR(H68="",I68=""),"",HendekB*H68*I68)</f>
        <v/>
      </c>
      <c r="L68" s="5" t="n"/>
    </row>
    <row r="69">
      <c r="A69" s="5" t="n"/>
      <c r="B69" s="5" t="n"/>
      <c r="C69" s="5" t="n"/>
      <c r="D69" s="32" t="n"/>
      <c r="E69" s="32" t="n"/>
      <c r="F69" s="33">
        <f>IF(D69="","",D69+KaziEk)</f>
        <v/>
      </c>
      <c r="G69" s="33">
        <f>IF(E69="","",E69+KaziEk)</f>
        <v/>
      </c>
      <c r="H69" s="34">
        <f>IF(OR(F69="",G69=""),"",(F69+G69)/2)</f>
        <v/>
      </c>
      <c r="I69" s="20" t="n"/>
      <c r="J69" s="21">
        <f>IF(OR(H69="",I69=""),"",IF(H69&gt;=IksaH,2*H69*I69,0))</f>
        <v/>
      </c>
      <c r="K69" s="21">
        <f>IF(OR(H69="",I69=""),"",HendekB*H69*I69)</f>
        <v/>
      </c>
      <c r="L69" s="5" t="n"/>
    </row>
    <row r="70">
      <c r="A70" s="5" t="n"/>
      <c r="B70" s="5" t="n"/>
      <c r="C70" s="5" t="n"/>
      <c r="D70" s="32" t="n"/>
      <c r="E70" s="32" t="n"/>
      <c r="F70" s="33">
        <f>IF(D70="","",D70+KaziEk)</f>
        <v/>
      </c>
      <c r="G70" s="33">
        <f>IF(E70="","",E70+KaziEk)</f>
        <v/>
      </c>
      <c r="H70" s="34">
        <f>IF(OR(F70="",G70=""),"",(F70+G70)/2)</f>
        <v/>
      </c>
      <c r="I70" s="20" t="n"/>
      <c r="J70" s="21">
        <f>IF(OR(H70="",I70=""),"",IF(H70&gt;=IksaH,2*H70*I70,0))</f>
        <v/>
      </c>
      <c r="K70" s="21">
        <f>IF(OR(H70="",I70=""),"",HendekB*H70*I70)</f>
        <v/>
      </c>
      <c r="L70" s="5" t="n"/>
    </row>
    <row r="71">
      <c r="A71" s="5" t="n"/>
      <c r="B71" s="5" t="n"/>
      <c r="C71" s="5" t="n"/>
      <c r="D71" s="32" t="n"/>
      <c r="E71" s="32" t="n"/>
      <c r="F71" s="33">
        <f>IF(D71="","",D71+KaziEk)</f>
        <v/>
      </c>
      <c r="G71" s="33">
        <f>IF(E71="","",E71+KaziEk)</f>
        <v/>
      </c>
      <c r="H71" s="34">
        <f>IF(OR(F71="",G71=""),"",(F71+G71)/2)</f>
        <v/>
      </c>
      <c r="I71" s="20" t="n"/>
      <c r="J71" s="21">
        <f>IF(OR(H71="",I71=""),"",IF(H71&gt;=IksaH,2*H71*I71,0))</f>
        <v/>
      </c>
      <c r="K71" s="21">
        <f>IF(OR(H71="",I71=""),"",HendekB*H71*I71)</f>
        <v/>
      </c>
      <c r="L71" s="5" t="n"/>
    </row>
    <row r="72">
      <c r="A72" s="5" t="n"/>
      <c r="B72" s="5" t="n"/>
      <c r="C72" s="5" t="n"/>
      <c r="D72" s="32" t="n"/>
      <c r="E72" s="32" t="n"/>
      <c r="F72" s="33">
        <f>IF(D72="","",D72+KaziEk)</f>
        <v/>
      </c>
      <c r="G72" s="33">
        <f>IF(E72="","",E72+KaziEk)</f>
        <v/>
      </c>
      <c r="H72" s="34">
        <f>IF(OR(F72="",G72=""),"",(F72+G72)/2)</f>
        <v/>
      </c>
      <c r="I72" s="20" t="n"/>
      <c r="J72" s="21">
        <f>IF(OR(H72="",I72=""),"",IF(H72&gt;=IksaH,2*H72*I72,0))</f>
        <v/>
      </c>
      <c r="K72" s="21">
        <f>IF(OR(H72="",I72=""),"",HendekB*H72*I72)</f>
        <v/>
      </c>
      <c r="L72" s="5" t="n"/>
    </row>
    <row r="73">
      <c r="A73" s="5" t="n"/>
      <c r="B73" s="5" t="n"/>
      <c r="C73" s="5" t="n"/>
      <c r="D73" s="32" t="n"/>
      <c r="E73" s="32" t="n"/>
      <c r="F73" s="33">
        <f>IF(D73="","",D73+KaziEk)</f>
        <v/>
      </c>
      <c r="G73" s="33">
        <f>IF(E73="","",E73+KaziEk)</f>
        <v/>
      </c>
      <c r="H73" s="34">
        <f>IF(OR(F73="",G73=""),"",(F73+G73)/2)</f>
        <v/>
      </c>
      <c r="I73" s="20" t="n"/>
      <c r="J73" s="21">
        <f>IF(OR(H73="",I73=""),"",IF(H73&gt;=IksaH,2*H73*I73,0))</f>
        <v/>
      </c>
      <c r="K73" s="21">
        <f>IF(OR(H73="",I73=""),"",HendekB*H73*I73)</f>
        <v/>
      </c>
      <c r="L73" s="5" t="n"/>
    </row>
    <row r="74">
      <c r="A74" s="5" t="n"/>
      <c r="B74" s="5" t="n"/>
      <c r="C74" s="5" t="n"/>
      <c r="D74" s="32" t="n"/>
      <c r="E74" s="32" t="n"/>
      <c r="F74" s="33">
        <f>IF(D74="","",D74+KaziEk)</f>
        <v/>
      </c>
      <c r="G74" s="33">
        <f>IF(E74="","",E74+KaziEk)</f>
        <v/>
      </c>
      <c r="H74" s="34">
        <f>IF(OR(F74="",G74=""),"",(F74+G74)/2)</f>
        <v/>
      </c>
      <c r="I74" s="20" t="n"/>
      <c r="J74" s="21">
        <f>IF(OR(H74="",I74=""),"",IF(H74&gt;=IksaH,2*H74*I74,0))</f>
        <v/>
      </c>
      <c r="K74" s="21">
        <f>IF(OR(H74="",I74=""),"",HendekB*H74*I74)</f>
        <v/>
      </c>
      <c r="L74" s="5" t="n"/>
    </row>
    <row r="75">
      <c r="A75" s="5" t="n"/>
      <c r="B75" s="5" t="n"/>
      <c r="C75" s="5" t="n"/>
      <c r="D75" s="32" t="n"/>
      <c r="E75" s="32" t="n"/>
      <c r="F75" s="33">
        <f>IF(D75="","",D75+KaziEk)</f>
        <v/>
      </c>
      <c r="G75" s="33">
        <f>IF(E75="","",E75+KaziEk)</f>
        <v/>
      </c>
      <c r="H75" s="34">
        <f>IF(OR(F75="",G75=""),"",(F75+G75)/2)</f>
        <v/>
      </c>
      <c r="I75" s="20" t="n"/>
      <c r="J75" s="21">
        <f>IF(OR(H75="",I75=""),"",IF(H75&gt;=IksaH,2*H75*I75,0))</f>
        <v/>
      </c>
      <c r="K75" s="21">
        <f>IF(OR(H75="",I75=""),"",HendekB*H75*I75)</f>
        <v/>
      </c>
      <c r="L75" s="5" t="n"/>
    </row>
    <row r="76">
      <c r="A76" s="5" t="n"/>
      <c r="B76" s="5" t="n"/>
      <c r="C76" s="5" t="n"/>
      <c r="D76" s="32" t="n"/>
      <c r="E76" s="32" t="n"/>
      <c r="F76" s="33">
        <f>IF(D76="","",D76+KaziEk)</f>
        <v/>
      </c>
      <c r="G76" s="33">
        <f>IF(E76="","",E76+KaziEk)</f>
        <v/>
      </c>
      <c r="H76" s="34">
        <f>IF(OR(F76="",G76=""),"",(F76+G76)/2)</f>
        <v/>
      </c>
      <c r="I76" s="20" t="n"/>
      <c r="J76" s="21">
        <f>IF(OR(H76="",I76=""),"",IF(H76&gt;=IksaH,2*H76*I76,0))</f>
        <v/>
      </c>
      <c r="K76" s="21">
        <f>IF(OR(H76="",I76=""),"",HendekB*H76*I76)</f>
        <v/>
      </c>
      <c r="L76" s="5" t="n"/>
    </row>
    <row r="77">
      <c r="A77" s="5" t="n"/>
      <c r="B77" s="5" t="n"/>
      <c r="C77" s="5" t="n"/>
      <c r="D77" s="32" t="n"/>
      <c r="E77" s="32" t="n"/>
      <c r="F77" s="33">
        <f>IF(D77="","",D77+KaziEk)</f>
        <v/>
      </c>
      <c r="G77" s="33">
        <f>IF(E77="","",E77+KaziEk)</f>
        <v/>
      </c>
      <c r="H77" s="34">
        <f>IF(OR(F77="",G77=""),"",(F77+G77)/2)</f>
        <v/>
      </c>
      <c r="I77" s="20" t="n"/>
      <c r="J77" s="21">
        <f>IF(OR(H77="",I77=""),"",IF(H77&gt;=IksaH,2*H77*I77,0))</f>
        <v/>
      </c>
      <c r="K77" s="21">
        <f>IF(OR(H77="",I77=""),"",HendekB*H77*I77)</f>
        <v/>
      </c>
      <c r="L77" s="5" t="n"/>
    </row>
    <row r="78">
      <c r="A78" s="5" t="n"/>
      <c r="B78" s="5" t="n"/>
      <c r="C78" s="5" t="n"/>
      <c r="D78" s="32" t="n"/>
      <c r="E78" s="32" t="n"/>
      <c r="F78" s="33">
        <f>IF(D78="","",D78+KaziEk)</f>
        <v/>
      </c>
      <c r="G78" s="33">
        <f>IF(E78="","",E78+KaziEk)</f>
        <v/>
      </c>
      <c r="H78" s="34">
        <f>IF(OR(F78="",G78=""),"",(F78+G78)/2)</f>
        <v/>
      </c>
      <c r="I78" s="20" t="n"/>
      <c r="J78" s="21">
        <f>IF(OR(H78="",I78=""),"",IF(H78&gt;=IksaH,2*H78*I78,0))</f>
        <v/>
      </c>
      <c r="K78" s="21">
        <f>IF(OR(H78="",I78=""),"",HendekB*H78*I78)</f>
        <v/>
      </c>
      <c r="L78" s="5" t="n"/>
    </row>
    <row r="79">
      <c r="A79" s="5" t="n"/>
      <c r="B79" s="5" t="n"/>
      <c r="C79" s="5" t="n"/>
      <c r="D79" s="32" t="n"/>
      <c r="E79" s="32" t="n"/>
      <c r="F79" s="33">
        <f>IF(D79="","",D79+KaziEk)</f>
        <v/>
      </c>
      <c r="G79" s="33">
        <f>IF(E79="","",E79+KaziEk)</f>
        <v/>
      </c>
      <c r="H79" s="34">
        <f>IF(OR(F79="",G79=""),"",(F79+G79)/2)</f>
        <v/>
      </c>
      <c r="I79" s="20" t="n"/>
      <c r="J79" s="21">
        <f>IF(OR(H79="",I79=""),"",IF(H79&gt;=IksaH,2*H79*I79,0))</f>
        <v/>
      </c>
      <c r="K79" s="21">
        <f>IF(OR(H79="",I79=""),"",HendekB*H79*I79)</f>
        <v/>
      </c>
      <c r="L79" s="5" t="n"/>
    </row>
    <row r="80">
      <c r="A80" s="5" t="n"/>
      <c r="B80" s="5" t="n"/>
      <c r="C80" s="5" t="n"/>
      <c r="D80" s="32" t="n"/>
      <c r="E80" s="32" t="n"/>
      <c r="F80" s="33">
        <f>IF(D80="","",D80+KaziEk)</f>
        <v/>
      </c>
      <c r="G80" s="33">
        <f>IF(E80="","",E80+KaziEk)</f>
        <v/>
      </c>
      <c r="H80" s="34">
        <f>IF(OR(F80="",G80=""),"",(F80+G80)/2)</f>
        <v/>
      </c>
      <c r="I80" s="20" t="n"/>
      <c r="J80" s="21">
        <f>IF(OR(H80="",I80=""),"",IF(H80&gt;=IksaH,2*H80*I80,0))</f>
        <v/>
      </c>
      <c r="K80" s="21">
        <f>IF(OR(H80="",I80=""),"",HendekB*H80*I80)</f>
        <v/>
      </c>
      <c r="L80" s="5" t="n"/>
    </row>
    <row r="81">
      <c r="A81" s="5" t="n"/>
      <c r="B81" s="5" t="n"/>
      <c r="C81" s="5" t="n"/>
      <c r="D81" s="32" t="n"/>
      <c r="E81" s="32" t="n"/>
      <c r="F81" s="33">
        <f>IF(D81="","",D81+KaziEk)</f>
        <v/>
      </c>
      <c r="G81" s="33">
        <f>IF(E81="","",E81+KaziEk)</f>
        <v/>
      </c>
      <c r="H81" s="34">
        <f>IF(OR(F81="",G81=""),"",(F81+G81)/2)</f>
        <v/>
      </c>
      <c r="I81" s="20" t="n"/>
      <c r="J81" s="21">
        <f>IF(OR(H81="",I81=""),"",IF(H81&gt;=IksaH,2*H81*I81,0))</f>
        <v/>
      </c>
      <c r="K81" s="21">
        <f>IF(OR(H81="",I81=""),"",HendekB*H81*I81)</f>
        <v/>
      </c>
      <c r="L81" s="5" t="n"/>
    </row>
    <row r="82">
      <c r="A82" s="5" t="n"/>
      <c r="B82" s="5" t="n"/>
      <c r="C82" s="5" t="n"/>
      <c r="D82" s="32" t="n"/>
      <c r="E82" s="32" t="n"/>
      <c r="F82" s="33">
        <f>IF(D82="","",D82+KaziEk)</f>
        <v/>
      </c>
      <c r="G82" s="33">
        <f>IF(E82="","",E82+KaziEk)</f>
        <v/>
      </c>
      <c r="H82" s="34">
        <f>IF(OR(F82="",G82=""),"",(F82+G82)/2)</f>
        <v/>
      </c>
      <c r="I82" s="20" t="n"/>
      <c r="J82" s="21">
        <f>IF(OR(H82="",I82=""),"",IF(H82&gt;=IksaH,2*H82*I82,0))</f>
        <v/>
      </c>
      <c r="K82" s="21">
        <f>IF(OR(H82="",I82=""),"",HendekB*H82*I82)</f>
        <v/>
      </c>
      <c r="L82" s="5" t="n"/>
    </row>
    <row r="83">
      <c r="A83" s="5" t="n"/>
      <c r="B83" s="5" t="n"/>
      <c r="C83" s="5" t="n"/>
      <c r="D83" s="32" t="n"/>
      <c r="E83" s="32" t="n"/>
      <c r="F83" s="33">
        <f>IF(D83="","",D83+KaziEk)</f>
        <v/>
      </c>
      <c r="G83" s="33">
        <f>IF(E83="","",E83+KaziEk)</f>
        <v/>
      </c>
      <c r="H83" s="34">
        <f>IF(OR(F83="",G83=""),"",(F83+G83)/2)</f>
        <v/>
      </c>
      <c r="I83" s="20" t="n"/>
      <c r="J83" s="21">
        <f>IF(OR(H83="",I83=""),"",IF(H83&gt;=IksaH,2*H83*I83,0))</f>
        <v/>
      </c>
      <c r="K83" s="21">
        <f>IF(OR(H83="",I83=""),"",HendekB*H83*I83)</f>
        <v/>
      </c>
      <c r="L83" s="5" t="n"/>
    </row>
    <row r="84">
      <c r="A84" s="5" t="n"/>
      <c r="B84" s="5" t="n"/>
      <c r="C84" s="5" t="n"/>
      <c r="D84" s="32" t="n"/>
      <c r="E84" s="32" t="n"/>
      <c r="F84" s="33">
        <f>IF(D84="","",D84+KaziEk)</f>
        <v/>
      </c>
      <c r="G84" s="33">
        <f>IF(E84="","",E84+KaziEk)</f>
        <v/>
      </c>
      <c r="H84" s="34">
        <f>IF(OR(F84="",G84=""),"",(F84+G84)/2)</f>
        <v/>
      </c>
      <c r="I84" s="20" t="n"/>
      <c r="J84" s="21">
        <f>IF(OR(H84="",I84=""),"",IF(H84&gt;=IksaH,2*H84*I84,0))</f>
        <v/>
      </c>
      <c r="K84" s="21">
        <f>IF(OR(H84="",I84=""),"",HendekB*H84*I84)</f>
        <v/>
      </c>
      <c r="L84" s="5" t="n"/>
    </row>
    <row r="85">
      <c r="A85" s="5" t="n"/>
      <c r="B85" s="5" t="n"/>
      <c r="C85" s="5" t="n"/>
      <c r="D85" s="32" t="n"/>
      <c r="E85" s="32" t="n"/>
      <c r="F85" s="33">
        <f>IF(D85="","",D85+KaziEk)</f>
        <v/>
      </c>
      <c r="G85" s="33">
        <f>IF(E85="","",E85+KaziEk)</f>
        <v/>
      </c>
      <c r="H85" s="34">
        <f>IF(OR(F85="",G85=""),"",(F85+G85)/2)</f>
        <v/>
      </c>
      <c r="I85" s="20" t="n"/>
      <c r="J85" s="21">
        <f>IF(OR(H85="",I85=""),"",IF(H85&gt;=IksaH,2*H85*I85,0))</f>
        <v/>
      </c>
      <c r="K85" s="21">
        <f>IF(OR(H85="",I85=""),"",HendekB*H85*I85)</f>
        <v/>
      </c>
      <c r="L85" s="5" t="n"/>
    </row>
    <row r="86">
      <c r="A86" s="5" t="n"/>
      <c r="B86" s="5" t="n"/>
      <c r="C86" s="5" t="n"/>
      <c r="D86" s="32" t="n"/>
      <c r="E86" s="32" t="n"/>
      <c r="F86" s="33">
        <f>IF(D86="","",D86+KaziEk)</f>
        <v/>
      </c>
      <c r="G86" s="33">
        <f>IF(E86="","",E86+KaziEk)</f>
        <v/>
      </c>
      <c r="H86" s="34">
        <f>IF(OR(F86="",G86=""),"",(F86+G86)/2)</f>
        <v/>
      </c>
      <c r="I86" s="20" t="n"/>
      <c r="J86" s="21">
        <f>IF(OR(H86="",I86=""),"",IF(H86&gt;=IksaH,2*H86*I86,0))</f>
        <v/>
      </c>
      <c r="K86" s="21">
        <f>IF(OR(H86="",I86=""),"",HendekB*H86*I86)</f>
        <v/>
      </c>
      <c r="L86" s="5" t="n"/>
    </row>
    <row r="87">
      <c r="A87" s="5" t="n"/>
      <c r="B87" s="5" t="n"/>
      <c r="C87" s="5" t="n"/>
      <c r="D87" s="32" t="n"/>
      <c r="E87" s="32" t="n"/>
      <c r="F87" s="33">
        <f>IF(D87="","",D87+KaziEk)</f>
        <v/>
      </c>
      <c r="G87" s="33">
        <f>IF(E87="","",E87+KaziEk)</f>
        <v/>
      </c>
      <c r="H87" s="34">
        <f>IF(OR(F87="",G87=""),"",(F87+G87)/2)</f>
        <v/>
      </c>
      <c r="I87" s="20" t="n"/>
      <c r="J87" s="21">
        <f>IF(OR(H87="",I87=""),"",IF(H87&gt;=IksaH,2*H87*I87,0))</f>
        <v/>
      </c>
      <c r="K87" s="21">
        <f>IF(OR(H87="",I87=""),"",HendekB*H87*I87)</f>
        <v/>
      </c>
      <c r="L87" s="5" t="n"/>
    </row>
    <row r="88">
      <c r="A88" s="5" t="n"/>
      <c r="B88" s="5" t="n"/>
      <c r="C88" s="5" t="n"/>
      <c r="D88" s="32" t="n"/>
      <c r="E88" s="32" t="n"/>
      <c r="F88" s="33">
        <f>IF(D88="","",D88+KaziEk)</f>
        <v/>
      </c>
      <c r="G88" s="33">
        <f>IF(E88="","",E88+KaziEk)</f>
        <v/>
      </c>
      <c r="H88" s="34">
        <f>IF(OR(F88="",G88=""),"",(F88+G88)/2)</f>
        <v/>
      </c>
      <c r="I88" s="20" t="n"/>
      <c r="J88" s="21">
        <f>IF(OR(H88="",I88=""),"",IF(H88&gt;=IksaH,2*H88*I88,0))</f>
        <v/>
      </c>
      <c r="K88" s="21">
        <f>IF(OR(H88="",I88=""),"",HendekB*H88*I88)</f>
        <v/>
      </c>
      <c r="L88" s="5" t="n"/>
    </row>
    <row r="89">
      <c r="A89" s="5" t="n"/>
      <c r="B89" s="5" t="n"/>
      <c r="C89" s="5" t="n"/>
      <c r="D89" s="32" t="n"/>
      <c r="E89" s="32" t="n"/>
      <c r="F89" s="33">
        <f>IF(D89="","",D89+KaziEk)</f>
        <v/>
      </c>
      <c r="G89" s="33">
        <f>IF(E89="","",E89+KaziEk)</f>
        <v/>
      </c>
      <c r="H89" s="34">
        <f>IF(OR(F89="",G89=""),"",(F89+G89)/2)</f>
        <v/>
      </c>
      <c r="I89" s="20" t="n"/>
      <c r="J89" s="21">
        <f>IF(OR(H89="",I89=""),"",IF(H89&gt;=IksaH,2*H89*I89,0))</f>
        <v/>
      </c>
      <c r="K89" s="21">
        <f>IF(OR(H89="",I89=""),"",HendekB*H89*I89)</f>
        <v/>
      </c>
      <c r="L89" s="5" t="n"/>
    </row>
    <row r="90">
      <c r="A90" s="5" t="n"/>
      <c r="B90" s="5" t="n"/>
      <c r="C90" s="5" t="n"/>
      <c r="D90" s="32" t="n"/>
      <c r="E90" s="32" t="n"/>
      <c r="F90" s="33">
        <f>IF(D90="","",D90+KaziEk)</f>
        <v/>
      </c>
      <c r="G90" s="33">
        <f>IF(E90="","",E90+KaziEk)</f>
        <v/>
      </c>
      <c r="H90" s="34">
        <f>IF(OR(F90="",G90=""),"",(F90+G90)/2)</f>
        <v/>
      </c>
      <c r="I90" s="20" t="n"/>
      <c r="J90" s="21">
        <f>IF(OR(H90="",I90=""),"",IF(H90&gt;=IksaH,2*H90*I90,0))</f>
        <v/>
      </c>
      <c r="K90" s="21">
        <f>IF(OR(H90="",I90=""),"",HendekB*H90*I90)</f>
        <v/>
      </c>
      <c r="L90" s="5" t="n"/>
    </row>
    <row r="91">
      <c r="A91" s="5" t="n"/>
      <c r="B91" s="5" t="n"/>
      <c r="C91" s="5" t="n"/>
      <c r="D91" s="32" t="n"/>
      <c r="E91" s="32" t="n"/>
      <c r="F91" s="33">
        <f>IF(D91="","",D91+KaziEk)</f>
        <v/>
      </c>
      <c r="G91" s="33">
        <f>IF(E91="","",E91+KaziEk)</f>
        <v/>
      </c>
      <c r="H91" s="34">
        <f>IF(OR(F91="",G91=""),"",(F91+G91)/2)</f>
        <v/>
      </c>
      <c r="I91" s="20" t="n"/>
      <c r="J91" s="21">
        <f>IF(OR(H91="",I91=""),"",IF(H91&gt;=IksaH,2*H91*I91,0))</f>
        <v/>
      </c>
      <c r="K91" s="21">
        <f>IF(OR(H91="",I91=""),"",HendekB*H91*I91)</f>
        <v/>
      </c>
      <c r="L91" s="5" t="n"/>
    </row>
    <row r="92">
      <c r="A92" s="5" t="n"/>
      <c r="B92" s="5" t="n"/>
      <c r="C92" s="5" t="n"/>
      <c r="D92" s="32" t="n"/>
      <c r="E92" s="32" t="n"/>
      <c r="F92" s="33">
        <f>IF(D92="","",D92+KaziEk)</f>
        <v/>
      </c>
      <c r="G92" s="33">
        <f>IF(E92="","",E92+KaziEk)</f>
        <v/>
      </c>
      <c r="H92" s="34">
        <f>IF(OR(F92="",G92=""),"",(F92+G92)/2)</f>
        <v/>
      </c>
      <c r="I92" s="20" t="n"/>
      <c r="J92" s="21">
        <f>IF(OR(H92="",I92=""),"",IF(H92&gt;=IksaH,2*H92*I92,0))</f>
        <v/>
      </c>
      <c r="K92" s="21">
        <f>IF(OR(H92="",I92=""),"",HendekB*H92*I92)</f>
        <v/>
      </c>
      <c r="L92" s="5" t="n"/>
    </row>
    <row r="93">
      <c r="A93" s="5" t="n"/>
      <c r="B93" s="5" t="n"/>
      <c r="C93" s="5" t="n"/>
      <c r="D93" s="32" t="n"/>
      <c r="E93" s="32" t="n"/>
      <c r="F93" s="33">
        <f>IF(D93="","",D93+KaziEk)</f>
        <v/>
      </c>
      <c r="G93" s="33">
        <f>IF(E93="","",E93+KaziEk)</f>
        <v/>
      </c>
      <c r="H93" s="34">
        <f>IF(OR(F93="",G93=""),"",(F93+G93)/2)</f>
        <v/>
      </c>
      <c r="I93" s="20" t="n"/>
      <c r="J93" s="21">
        <f>IF(OR(H93="",I93=""),"",IF(H93&gt;=IksaH,2*H93*I93,0))</f>
        <v/>
      </c>
      <c r="K93" s="21">
        <f>IF(OR(H93="",I93=""),"",HendekB*H93*I93)</f>
        <v/>
      </c>
      <c r="L93" s="5" t="n"/>
    </row>
    <row r="94">
      <c r="A94" s="5" t="n"/>
      <c r="B94" s="5" t="n"/>
      <c r="C94" s="5" t="n"/>
      <c r="D94" s="32" t="n"/>
      <c r="E94" s="32" t="n"/>
      <c r="F94" s="33">
        <f>IF(D94="","",D94+KaziEk)</f>
        <v/>
      </c>
      <c r="G94" s="33">
        <f>IF(E94="","",E94+KaziEk)</f>
        <v/>
      </c>
      <c r="H94" s="34">
        <f>IF(OR(F94="",G94=""),"",(F94+G94)/2)</f>
        <v/>
      </c>
      <c r="I94" s="20" t="n"/>
      <c r="J94" s="21">
        <f>IF(OR(H94="",I94=""),"",IF(H94&gt;=IksaH,2*H94*I94,0))</f>
        <v/>
      </c>
      <c r="K94" s="21">
        <f>IF(OR(H94="",I94=""),"",HendekB*H94*I94)</f>
        <v/>
      </c>
      <c r="L94" s="5" t="n"/>
    </row>
    <row r="95">
      <c r="A95" s="5" t="n"/>
      <c r="B95" s="5" t="n"/>
      <c r="C95" s="5" t="n"/>
      <c r="D95" s="32" t="n"/>
      <c r="E95" s="32" t="n"/>
      <c r="F95" s="33">
        <f>IF(D95="","",D95+KaziEk)</f>
        <v/>
      </c>
      <c r="G95" s="33">
        <f>IF(E95="","",E95+KaziEk)</f>
        <v/>
      </c>
      <c r="H95" s="34">
        <f>IF(OR(F95="",G95=""),"",(F95+G95)/2)</f>
        <v/>
      </c>
      <c r="I95" s="20" t="n"/>
      <c r="J95" s="21">
        <f>IF(OR(H95="",I95=""),"",IF(H95&gt;=IksaH,2*H95*I95,0))</f>
        <v/>
      </c>
      <c r="K95" s="21">
        <f>IF(OR(H95="",I95=""),"",HendekB*H95*I95)</f>
        <v/>
      </c>
      <c r="L95" s="5" t="n"/>
    </row>
    <row r="96">
      <c r="A96" s="5" t="n"/>
      <c r="B96" s="5" t="n"/>
      <c r="C96" s="5" t="n"/>
      <c r="D96" s="32" t="n"/>
      <c r="E96" s="32" t="n"/>
      <c r="F96" s="33">
        <f>IF(D96="","",D96+KaziEk)</f>
        <v/>
      </c>
      <c r="G96" s="33">
        <f>IF(E96="","",E96+KaziEk)</f>
        <v/>
      </c>
      <c r="H96" s="34">
        <f>IF(OR(F96="",G96=""),"",(F96+G96)/2)</f>
        <v/>
      </c>
      <c r="I96" s="20" t="n"/>
      <c r="J96" s="21">
        <f>IF(OR(H96="",I96=""),"",IF(H96&gt;=IksaH,2*H96*I96,0))</f>
        <v/>
      </c>
      <c r="K96" s="21">
        <f>IF(OR(H96="",I96=""),"",HendekB*H96*I96)</f>
        <v/>
      </c>
      <c r="L96" s="5" t="n"/>
    </row>
    <row r="97">
      <c r="A97" s="5" t="n"/>
      <c r="B97" s="5" t="n"/>
      <c r="C97" s="5" t="n"/>
      <c r="D97" s="32" t="n"/>
      <c r="E97" s="32" t="n"/>
      <c r="F97" s="33">
        <f>IF(D97="","",D97+KaziEk)</f>
        <v/>
      </c>
      <c r="G97" s="33">
        <f>IF(E97="","",E97+KaziEk)</f>
        <v/>
      </c>
      <c r="H97" s="34">
        <f>IF(OR(F97="",G97=""),"",(F97+G97)/2)</f>
        <v/>
      </c>
      <c r="I97" s="20" t="n"/>
      <c r="J97" s="21">
        <f>IF(OR(H97="",I97=""),"",IF(H97&gt;=IksaH,2*H97*I97,0))</f>
        <v/>
      </c>
      <c r="K97" s="21">
        <f>IF(OR(H97="",I97=""),"",HendekB*H97*I97)</f>
        <v/>
      </c>
      <c r="L97" s="5" t="n"/>
    </row>
    <row r="98">
      <c r="A98" s="5" t="n"/>
      <c r="B98" s="5" t="n"/>
      <c r="C98" s="5" t="n"/>
      <c r="D98" s="32" t="n"/>
      <c r="E98" s="32" t="n"/>
      <c r="F98" s="33">
        <f>IF(D98="","",D98+KaziEk)</f>
        <v/>
      </c>
      <c r="G98" s="33">
        <f>IF(E98="","",E98+KaziEk)</f>
        <v/>
      </c>
      <c r="H98" s="34">
        <f>IF(OR(F98="",G98=""),"",(F98+G98)/2)</f>
        <v/>
      </c>
      <c r="I98" s="20" t="n"/>
      <c r="J98" s="21">
        <f>IF(OR(H98="",I98=""),"",IF(H98&gt;=IksaH,2*H98*I98,0))</f>
        <v/>
      </c>
      <c r="K98" s="21">
        <f>IF(OR(H98="",I98=""),"",HendekB*H98*I98)</f>
        <v/>
      </c>
      <c r="L98" s="5" t="n"/>
    </row>
    <row r="99">
      <c r="A99" s="5" t="n"/>
      <c r="B99" s="5" t="n"/>
      <c r="C99" s="5" t="n"/>
      <c r="D99" s="32" t="n"/>
      <c r="E99" s="32" t="n"/>
      <c r="F99" s="33">
        <f>IF(D99="","",D99+KaziEk)</f>
        <v/>
      </c>
      <c r="G99" s="33">
        <f>IF(E99="","",E99+KaziEk)</f>
        <v/>
      </c>
      <c r="H99" s="34">
        <f>IF(OR(F99="",G99=""),"",(F99+G99)/2)</f>
        <v/>
      </c>
      <c r="I99" s="20" t="n"/>
      <c r="J99" s="21">
        <f>IF(OR(H99="",I99=""),"",IF(H99&gt;=IksaH,2*H99*I99,0))</f>
        <v/>
      </c>
      <c r="K99" s="21">
        <f>IF(OR(H99="",I99=""),"",HendekB*H99*I99)</f>
        <v/>
      </c>
      <c r="L99" s="5" t="n"/>
    </row>
    <row r="100">
      <c r="A100" s="5" t="n"/>
      <c r="B100" s="5" t="n"/>
      <c r="C100" s="5" t="n"/>
      <c r="D100" s="32" t="n"/>
      <c r="E100" s="32" t="n"/>
      <c r="F100" s="33">
        <f>IF(D100="","",D100+KaziEk)</f>
        <v/>
      </c>
      <c r="G100" s="33">
        <f>IF(E100="","",E100+KaziEk)</f>
        <v/>
      </c>
      <c r="H100" s="34">
        <f>IF(OR(F100="",G100=""),"",(F100+G100)/2)</f>
        <v/>
      </c>
      <c r="I100" s="20" t="n"/>
      <c r="J100" s="21">
        <f>IF(OR(H100="",I100=""),"",IF(H100&gt;=IksaH,2*H100*I100,0))</f>
        <v/>
      </c>
      <c r="K100" s="21">
        <f>IF(OR(H100="",I100=""),"",HendekB*H100*I100)</f>
        <v/>
      </c>
      <c r="L100" s="5" t="n"/>
    </row>
    <row r="101">
      <c r="A101" s="5" t="n"/>
      <c r="B101" s="5" t="n"/>
      <c r="C101" s="5" t="n"/>
      <c r="D101" s="32" t="n"/>
      <c r="E101" s="32" t="n"/>
      <c r="F101" s="33">
        <f>IF(D101="","",D101+KaziEk)</f>
        <v/>
      </c>
      <c r="G101" s="33">
        <f>IF(E101="","",E101+KaziEk)</f>
        <v/>
      </c>
      <c r="H101" s="34">
        <f>IF(OR(F101="",G101=""),"",(F101+G101)/2)</f>
        <v/>
      </c>
      <c r="I101" s="20" t="n"/>
      <c r="J101" s="21">
        <f>IF(OR(H101="",I101=""),"",IF(H101&gt;=IksaH,2*H101*I101,0))</f>
        <v/>
      </c>
      <c r="K101" s="21">
        <f>IF(OR(H101="",I101=""),"",HendekB*H101*I101)</f>
        <v/>
      </c>
      <c r="L101" s="5" t="n"/>
    </row>
    <row r="102">
      <c r="A102" s="5" t="n"/>
      <c r="B102" s="5" t="n"/>
      <c r="C102" s="5" t="n"/>
      <c r="D102" s="32" t="n"/>
      <c r="E102" s="32" t="n"/>
      <c r="F102" s="33">
        <f>IF(D102="","",D102+KaziEk)</f>
        <v/>
      </c>
      <c r="G102" s="33">
        <f>IF(E102="","",E102+KaziEk)</f>
        <v/>
      </c>
      <c r="H102" s="34">
        <f>IF(OR(F102="",G102=""),"",(F102+G102)/2)</f>
        <v/>
      </c>
      <c r="I102" s="20" t="n"/>
      <c r="J102" s="21">
        <f>IF(OR(H102="",I102=""),"",IF(H102&gt;=IksaH,2*H102*I102,0))</f>
        <v/>
      </c>
      <c r="K102" s="21">
        <f>IF(OR(H102="",I102=""),"",HendekB*H102*I102)</f>
        <v/>
      </c>
      <c r="L102" s="5" t="n"/>
    </row>
    <row r="103">
      <c r="A103" s="5" t="n"/>
      <c r="B103" s="5" t="n"/>
      <c r="C103" s="5" t="n"/>
      <c r="D103" s="32" t="n"/>
      <c r="E103" s="32" t="n"/>
      <c r="F103" s="33">
        <f>IF(D103="","",D103+KaziEk)</f>
        <v/>
      </c>
      <c r="G103" s="33">
        <f>IF(E103="","",E103+KaziEk)</f>
        <v/>
      </c>
      <c r="H103" s="34">
        <f>IF(OR(F103="",G103=""),"",(F103+G103)/2)</f>
        <v/>
      </c>
      <c r="I103" s="20" t="n"/>
      <c r="J103" s="21">
        <f>IF(OR(H103="",I103=""),"",IF(H103&gt;=IksaH,2*H103*I103,0))</f>
        <v/>
      </c>
      <c r="K103" s="21">
        <f>IF(OR(H103="",I103=""),"",HendekB*H103*I103)</f>
        <v/>
      </c>
      <c r="L103" s="5" t="n"/>
    </row>
    <row r="104">
      <c r="A104" s="5" t="n"/>
      <c r="B104" s="5" t="n"/>
      <c r="C104" s="5" t="n"/>
      <c r="D104" s="32" t="n"/>
      <c r="E104" s="32" t="n"/>
      <c r="F104" s="33">
        <f>IF(D104="","",D104+KaziEk)</f>
        <v/>
      </c>
      <c r="G104" s="33">
        <f>IF(E104="","",E104+KaziEk)</f>
        <v/>
      </c>
      <c r="H104" s="34">
        <f>IF(OR(F104="",G104=""),"",(F104+G104)/2)</f>
        <v/>
      </c>
      <c r="I104" s="20" t="n"/>
      <c r="J104" s="21">
        <f>IF(OR(H104="",I104=""),"",IF(H104&gt;=IksaH,2*H104*I104,0))</f>
        <v/>
      </c>
      <c r="K104" s="21">
        <f>IF(OR(H104="",I104=""),"",HendekB*H104*I104)</f>
        <v/>
      </c>
      <c r="L104" s="5" t="n"/>
    </row>
    <row r="105">
      <c r="A105" s="5" t="n"/>
      <c r="B105" s="5" t="n"/>
      <c r="C105" s="5" t="n"/>
      <c r="D105" s="32" t="n"/>
      <c r="E105" s="32" t="n"/>
      <c r="F105" s="33">
        <f>IF(D105="","",D105+KaziEk)</f>
        <v/>
      </c>
      <c r="G105" s="33">
        <f>IF(E105="","",E105+KaziEk)</f>
        <v/>
      </c>
      <c r="H105" s="34">
        <f>IF(OR(F105="",G105=""),"",(F105+G105)/2)</f>
        <v/>
      </c>
      <c r="I105" s="20" t="n"/>
      <c r="J105" s="21">
        <f>IF(OR(H105="",I105=""),"",IF(H105&gt;=IksaH,2*H105*I105,0))</f>
        <v/>
      </c>
      <c r="K105" s="21">
        <f>IF(OR(H105="",I105=""),"",HendekB*H105*I105)</f>
        <v/>
      </c>
      <c r="L105" s="5" t="n"/>
    </row>
    <row r="106">
      <c r="A106" s="5" t="n"/>
      <c r="B106" s="5" t="n"/>
      <c r="C106" s="5" t="n"/>
      <c r="D106" s="32" t="n"/>
      <c r="E106" s="32" t="n"/>
      <c r="F106" s="33">
        <f>IF(D106="","",D106+KaziEk)</f>
        <v/>
      </c>
      <c r="G106" s="33">
        <f>IF(E106="","",E106+KaziEk)</f>
        <v/>
      </c>
      <c r="H106" s="34">
        <f>IF(OR(F106="",G106=""),"",(F106+G106)/2)</f>
        <v/>
      </c>
      <c r="I106" s="20" t="n"/>
      <c r="J106" s="21">
        <f>IF(OR(H106="",I106=""),"",IF(H106&gt;=IksaH,2*H106*I106,0))</f>
        <v/>
      </c>
      <c r="K106" s="21">
        <f>IF(OR(H106="",I106=""),"",HendekB*H106*I106)</f>
        <v/>
      </c>
      <c r="L106" s="5" t="n"/>
    </row>
    <row r="107">
      <c r="A107" s="5" t="n"/>
      <c r="B107" s="5" t="n"/>
      <c r="C107" s="5" t="n"/>
      <c r="D107" s="32" t="n"/>
      <c r="E107" s="32" t="n"/>
      <c r="F107" s="33">
        <f>IF(D107="","",D107+KaziEk)</f>
        <v/>
      </c>
      <c r="G107" s="33">
        <f>IF(E107="","",E107+KaziEk)</f>
        <v/>
      </c>
      <c r="H107" s="34">
        <f>IF(OR(F107="",G107=""),"",(F107+G107)/2)</f>
        <v/>
      </c>
      <c r="I107" s="20" t="n"/>
      <c r="J107" s="21">
        <f>IF(OR(H107="",I107=""),"",IF(H107&gt;=IksaH,2*H107*I107,0))</f>
        <v/>
      </c>
      <c r="K107" s="21">
        <f>IF(OR(H107="",I107=""),"",HendekB*H107*I107)</f>
        <v/>
      </c>
      <c r="L107" s="5" t="n"/>
    </row>
    <row r="108">
      <c r="A108" s="5" t="n"/>
      <c r="B108" s="5" t="n"/>
      <c r="C108" s="5" t="n"/>
      <c r="D108" s="32" t="n"/>
      <c r="E108" s="32" t="n"/>
      <c r="F108" s="33">
        <f>IF(D108="","",D108+KaziEk)</f>
        <v/>
      </c>
      <c r="G108" s="33">
        <f>IF(E108="","",E108+KaziEk)</f>
        <v/>
      </c>
      <c r="H108" s="34">
        <f>IF(OR(F108="",G108=""),"",(F108+G108)/2)</f>
        <v/>
      </c>
      <c r="I108" s="20" t="n"/>
      <c r="J108" s="21">
        <f>IF(OR(H108="",I108=""),"",IF(H108&gt;=IksaH,2*H108*I108,0))</f>
        <v/>
      </c>
      <c r="K108" s="21">
        <f>IF(OR(H108="",I108=""),"",HendekB*H108*I108)</f>
        <v/>
      </c>
      <c r="L108" s="5" t="n"/>
    </row>
    <row r="109">
      <c r="A109" s="5" t="n"/>
      <c r="B109" s="5" t="n"/>
      <c r="C109" s="5" t="n"/>
      <c r="D109" s="32" t="n"/>
      <c r="E109" s="32" t="n"/>
      <c r="F109" s="33">
        <f>IF(D109="","",D109+KaziEk)</f>
        <v/>
      </c>
      <c r="G109" s="33">
        <f>IF(E109="","",E109+KaziEk)</f>
        <v/>
      </c>
      <c r="H109" s="34">
        <f>IF(OR(F109="",G109=""),"",(F109+G109)/2)</f>
        <v/>
      </c>
      <c r="I109" s="20" t="n"/>
      <c r="J109" s="21">
        <f>IF(OR(H109="",I109=""),"",IF(H109&gt;=IksaH,2*H109*I109,0))</f>
        <v/>
      </c>
      <c r="K109" s="21">
        <f>IF(OR(H109="",I109=""),"",HendekB*H109*I109)</f>
        <v/>
      </c>
      <c r="L109" s="5" t="n"/>
    </row>
    <row r="110">
      <c r="A110" s="5" t="n"/>
      <c r="B110" s="5" t="n"/>
      <c r="C110" s="5" t="n"/>
      <c r="D110" s="32" t="n"/>
      <c r="E110" s="32" t="n"/>
      <c r="F110" s="33">
        <f>IF(D110="","",D110+KaziEk)</f>
        <v/>
      </c>
      <c r="G110" s="33">
        <f>IF(E110="","",E110+KaziEk)</f>
        <v/>
      </c>
      <c r="H110" s="34">
        <f>IF(OR(F110="",G110=""),"",(F110+G110)/2)</f>
        <v/>
      </c>
      <c r="I110" s="20" t="n"/>
      <c r="J110" s="21">
        <f>IF(OR(H110="",I110=""),"",IF(H110&gt;=IksaH,2*H110*I110,0))</f>
        <v/>
      </c>
      <c r="K110" s="21">
        <f>IF(OR(H110="",I110=""),"",HendekB*H110*I110)</f>
        <v/>
      </c>
      <c r="L110" s="5" t="n"/>
    </row>
    <row r="111">
      <c r="A111" s="5" t="n"/>
      <c r="B111" s="5" t="n"/>
      <c r="C111" s="5" t="n"/>
      <c r="D111" s="32" t="n"/>
      <c r="E111" s="32" t="n"/>
      <c r="F111" s="33">
        <f>IF(D111="","",D111+KaziEk)</f>
        <v/>
      </c>
      <c r="G111" s="33">
        <f>IF(E111="","",E111+KaziEk)</f>
        <v/>
      </c>
      <c r="H111" s="34">
        <f>IF(OR(F111="",G111=""),"",(F111+G111)/2)</f>
        <v/>
      </c>
      <c r="I111" s="20" t="n"/>
      <c r="J111" s="21">
        <f>IF(OR(H111="",I111=""),"",IF(H111&gt;=IksaH,2*H111*I111,0))</f>
        <v/>
      </c>
      <c r="K111" s="21">
        <f>IF(OR(H111="",I111=""),"",HendekB*H111*I111)</f>
        <v/>
      </c>
      <c r="L111" s="5" t="n"/>
    </row>
    <row r="112">
      <c r="A112" s="5" t="n"/>
      <c r="B112" s="5" t="n"/>
      <c r="C112" s="5" t="n"/>
      <c r="D112" s="32" t="n"/>
      <c r="E112" s="32" t="n"/>
      <c r="F112" s="33">
        <f>IF(D112="","",D112+KaziEk)</f>
        <v/>
      </c>
      <c r="G112" s="33">
        <f>IF(E112="","",E112+KaziEk)</f>
        <v/>
      </c>
      <c r="H112" s="34">
        <f>IF(OR(F112="",G112=""),"",(F112+G112)/2)</f>
        <v/>
      </c>
      <c r="I112" s="20" t="n"/>
      <c r="J112" s="21">
        <f>IF(OR(H112="",I112=""),"",IF(H112&gt;=IksaH,2*H112*I112,0))</f>
        <v/>
      </c>
      <c r="K112" s="21">
        <f>IF(OR(H112="",I112=""),"",HendekB*H112*I112)</f>
        <v/>
      </c>
      <c r="L112" s="5" t="n"/>
    </row>
    <row r="113">
      <c r="A113" s="5" t="n"/>
      <c r="B113" s="5" t="n"/>
      <c r="C113" s="5" t="n"/>
      <c r="D113" s="32" t="n"/>
      <c r="E113" s="32" t="n"/>
      <c r="F113" s="33">
        <f>IF(D113="","",D113+KaziEk)</f>
        <v/>
      </c>
      <c r="G113" s="33">
        <f>IF(E113="","",E113+KaziEk)</f>
        <v/>
      </c>
      <c r="H113" s="34">
        <f>IF(OR(F113="",G113=""),"",(F113+G113)/2)</f>
        <v/>
      </c>
      <c r="I113" s="20" t="n"/>
      <c r="J113" s="21">
        <f>IF(OR(H113="",I113=""),"",IF(H113&gt;=IksaH,2*H113*I113,0))</f>
        <v/>
      </c>
      <c r="K113" s="21">
        <f>IF(OR(H113="",I113=""),"",HendekB*H113*I113)</f>
        <v/>
      </c>
      <c r="L113" s="5" t="n"/>
    </row>
    <row r="114">
      <c r="A114" s="5" t="n"/>
      <c r="B114" s="5" t="n"/>
      <c r="C114" s="5" t="n"/>
      <c r="D114" s="32" t="n"/>
      <c r="E114" s="32" t="n"/>
      <c r="F114" s="33">
        <f>IF(D114="","",D114+KaziEk)</f>
        <v/>
      </c>
      <c r="G114" s="33">
        <f>IF(E114="","",E114+KaziEk)</f>
        <v/>
      </c>
      <c r="H114" s="34">
        <f>IF(OR(F114="",G114=""),"",(F114+G114)/2)</f>
        <v/>
      </c>
      <c r="I114" s="20" t="n"/>
      <c r="J114" s="21">
        <f>IF(OR(H114="",I114=""),"",IF(H114&gt;=IksaH,2*H114*I114,0))</f>
        <v/>
      </c>
      <c r="K114" s="21">
        <f>IF(OR(H114="",I114=""),"",HendekB*H114*I114)</f>
        <v/>
      </c>
      <c r="L114" s="5" t="n"/>
    </row>
    <row r="115">
      <c r="A115" s="5" t="n"/>
      <c r="B115" s="5" t="n"/>
      <c r="C115" s="5" t="n"/>
      <c r="D115" s="32" t="n"/>
      <c r="E115" s="32" t="n"/>
      <c r="F115" s="33">
        <f>IF(D115="","",D115+KaziEk)</f>
        <v/>
      </c>
      <c r="G115" s="33">
        <f>IF(E115="","",E115+KaziEk)</f>
        <v/>
      </c>
      <c r="H115" s="34">
        <f>IF(OR(F115="",G115=""),"",(F115+G115)/2)</f>
        <v/>
      </c>
      <c r="I115" s="20" t="n"/>
      <c r="J115" s="21">
        <f>IF(OR(H115="",I115=""),"",IF(H115&gt;=IksaH,2*H115*I115,0))</f>
        <v/>
      </c>
      <c r="K115" s="21">
        <f>IF(OR(H115="",I115=""),"",HendekB*H115*I115)</f>
        <v/>
      </c>
      <c r="L115" s="5" t="n"/>
    </row>
    <row r="116">
      <c r="A116" s="5" t="n"/>
      <c r="B116" s="5" t="n"/>
      <c r="C116" s="5" t="n"/>
      <c r="D116" s="32" t="n"/>
      <c r="E116" s="32" t="n"/>
      <c r="F116" s="33">
        <f>IF(D116="","",D116+KaziEk)</f>
        <v/>
      </c>
      <c r="G116" s="33">
        <f>IF(E116="","",E116+KaziEk)</f>
        <v/>
      </c>
      <c r="H116" s="34">
        <f>IF(OR(F116="",G116=""),"",(F116+G116)/2)</f>
        <v/>
      </c>
      <c r="I116" s="20" t="n"/>
      <c r="J116" s="21">
        <f>IF(OR(H116="",I116=""),"",IF(H116&gt;=IksaH,2*H116*I116,0))</f>
        <v/>
      </c>
      <c r="K116" s="21">
        <f>IF(OR(H116="",I116=""),"",HendekB*H116*I116)</f>
        <v/>
      </c>
      <c r="L116" s="5" t="n"/>
    </row>
    <row r="117">
      <c r="A117" s="5" t="n"/>
      <c r="B117" s="5" t="n"/>
      <c r="C117" s="5" t="n"/>
      <c r="D117" s="32" t="n"/>
      <c r="E117" s="32" t="n"/>
      <c r="F117" s="33">
        <f>IF(D117="","",D117+KaziEk)</f>
        <v/>
      </c>
      <c r="G117" s="33">
        <f>IF(E117="","",E117+KaziEk)</f>
        <v/>
      </c>
      <c r="H117" s="34">
        <f>IF(OR(F117="",G117=""),"",(F117+G117)/2)</f>
        <v/>
      </c>
      <c r="I117" s="20" t="n"/>
      <c r="J117" s="21">
        <f>IF(OR(H117="",I117=""),"",IF(H117&gt;=IksaH,2*H117*I117,0))</f>
        <v/>
      </c>
      <c r="K117" s="21">
        <f>IF(OR(H117="",I117=""),"",HendekB*H117*I117)</f>
        <v/>
      </c>
      <c r="L117" s="5" t="n"/>
    </row>
    <row r="118">
      <c r="A118" s="5" t="n"/>
      <c r="B118" s="5" t="n"/>
      <c r="C118" s="5" t="n"/>
      <c r="D118" s="32" t="n"/>
      <c r="E118" s="32" t="n"/>
      <c r="F118" s="33">
        <f>IF(D118="","",D118+KaziEk)</f>
        <v/>
      </c>
      <c r="G118" s="33">
        <f>IF(E118="","",E118+KaziEk)</f>
        <v/>
      </c>
      <c r="H118" s="34">
        <f>IF(OR(F118="",G118=""),"",(F118+G118)/2)</f>
        <v/>
      </c>
      <c r="I118" s="20" t="n"/>
      <c r="J118" s="21">
        <f>IF(OR(H118="",I118=""),"",IF(H118&gt;=IksaH,2*H118*I118,0))</f>
        <v/>
      </c>
      <c r="K118" s="21">
        <f>IF(OR(H118="",I118=""),"",HendekB*H118*I118)</f>
        <v/>
      </c>
      <c r="L118" s="5" t="n"/>
    </row>
    <row r="119">
      <c r="A119" s="5" t="n"/>
      <c r="B119" s="5" t="n"/>
      <c r="C119" s="5" t="n"/>
      <c r="D119" s="32" t="n"/>
      <c r="E119" s="32" t="n"/>
      <c r="F119" s="33">
        <f>IF(D119="","",D119+KaziEk)</f>
        <v/>
      </c>
      <c r="G119" s="33">
        <f>IF(E119="","",E119+KaziEk)</f>
        <v/>
      </c>
      <c r="H119" s="34">
        <f>IF(OR(F119="",G119=""),"",(F119+G119)/2)</f>
        <v/>
      </c>
      <c r="I119" s="20" t="n"/>
      <c r="J119" s="21">
        <f>IF(OR(H119="",I119=""),"",IF(H119&gt;=IksaH,2*H119*I119,0))</f>
        <v/>
      </c>
      <c r="K119" s="21">
        <f>IF(OR(H119="",I119=""),"",HendekB*H119*I119)</f>
        <v/>
      </c>
      <c r="L119" s="5" t="n"/>
    </row>
    <row r="120">
      <c r="A120" s="5" t="n"/>
      <c r="B120" s="5" t="n"/>
      <c r="C120" s="5" t="n"/>
      <c r="D120" s="32" t="n"/>
      <c r="E120" s="32" t="n"/>
      <c r="F120" s="33">
        <f>IF(D120="","",D120+KaziEk)</f>
        <v/>
      </c>
      <c r="G120" s="33">
        <f>IF(E120="","",E120+KaziEk)</f>
        <v/>
      </c>
      <c r="H120" s="34">
        <f>IF(OR(F120="",G120=""),"",(F120+G120)/2)</f>
        <v/>
      </c>
      <c r="I120" s="20" t="n"/>
      <c r="J120" s="21">
        <f>IF(OR(H120="",I120=""),"",IF(H120&gt;=IksaH,2*H120*I120,0))</f>
        <v/>
      </c>
      <c r="K120" s="21">
        <f>IF(OR(H120="",I120=""),"",HendekB*H120*I120)</f>
        <v/>
      </c>
      <c r="L120" s="5" t="n"/>
    </row>
    <row r="121">
      <c r="A121" s="5" t="n"/>
      <c r="B121" s="5" t="n"/>
      <c r="C121" s="5" t="n"/>
      <c r="D121" s="32" t="n"/>
      <c r="E121" s="32" t="n"/>
      <c r="F121" s="33">
        <f>IF(D121="","",D121+KaziEk)</f>
        <v/>
      </c>
      <c r="G121" s="33">
        <f>IF(E121="","",E121+KaziEk)</f>
        <v/>
      </c>
      <c r="H121" s="34">
        <f>IF(OR(F121="",G121=""),"",(F121+G121)/2)</f>
        <v/>
      </c>
      <c r="I121" s="20" t="n"/>
      <c r="J121" s="21">
        <f>IF(OR(H121="",I121=""),"",IF(H121&gt;=IksaH,2*H121*I121,0))</f>
        <v/>
      </c>
      <c r="K121" s="21">
        <f>IF(OR(H121="",I121=""),"",HendekB*H121*I121)</f>
        <v/>
      </c>
      <c r="L121" s="5" t="n"/>
    </row>
    <row r="122">
      <c r="A122" s="5" t="n"/>
      <c r="B122" s="5" t="n"/>
      <c r="C122" s="5" t="n"/>
      <c r="D122" s="32" t="n"/>
      <c r="E122" s="32" t="n"/>
      <c r="F122" s="33">
        <f>IF(D122="","",D122+KaziEk)</f>
        <v/>
      </c>
      <c r="G122" s="33">
        <f>IF(E122="","",E122+KaziEk)</f>
        <v/>
      </c>
      <c r="H122" s="34">
        <f>IF(OR(F122="",G122=""),"",(F122+G122)/2)</f>
        <v/>
      </c>
      <c r="I122" s="20" t="n"/>
      <c r="J122" s="21">
        <f>IF(OR(H122="",I122=""),"",IF(H122&gt;=IksaH,2*H122*I122,0))</f>
        <v/>
      </c>
      <c r="K122" s="21">
        <f>IF(OR(H122="",I122=""),"",HendekB*H122*I122)</f>
        <v/>
      </c>
      <c r="L122" s="5" t="n"/>
    </row>
    <row r="123">
      <c r="A123" s="5" t="n"/>
      <c r="B123" s="5" t="n"/>
      <c r="C123" s="5" t="n"/>
      <c r="D123" s="32" t="n"/>
      <c r="E123" s="32" t="n"/>
      <c r="F123" s="33">
        <f>IF(D123="","",D123+KaziEk)</f>
        <v/>
      </c>
      <c r="G123" s="33">
        <f>IF(E123="","",E123+KaziEk)</f>
        <v/>
      </c>
      <c r="H123" s="34">
        <f>IF(OR(F123="",G123=""),"",(F123+G123)/2)</f>
        <v/>
      </c>
      <c r="I123" s="20" t="n"/>
      <c r="J123" s="21">
        <f>IF(OR(H123="",I123=""),"",IF(H123&gt;=IksaH,2*H123*I123,0))</f>
        <v/>
      </c>
      <c r="K123" s="21">
        <f>IF(OR(H123="",I123=""),"",HendekB*H123*I123)</f>
        <v/>
      </c>
      <c r="L123" s="5" t="n"/>
    </row>
    <row r="124">
      <c r="A124" s="5" t="n"/>
      <c r="B124" s="5" t="n"/>
      <c r="C124" s="5" t="n"/>
      <c r="D124" s="32" t="n"/>
      <c r="E124" s="32" t="n"/>
      <c r="F124" s="33">
        <f>IF(D124="","",D124+KaziEk)</f>
        <v/>
      </c>
      <c r="G124" s="33">
        <f>IF(E124="","",E124+KaziEk)</f>
        <v/>
      </c>
      <c r="H124" s="34">
        <f>IF(OR(F124="",G124=""),"",(F124+G124)/2)</f>
        <v/>
      </c>
      <c r="I124" s="20" t="n"/>
      <c r="J124" s="21">
        <f>IF(OR(H124="",I124=""),"",IF(H124&gt;=IksaH,2*H124*I124,0))</f>
        <v/>
      </c>
      <c r="K124" s="21">
        <f>IF(OR(H124="",I124=""),"",HendekB*H124*I124)</f>
        <v/>
      </c>
      <c r="L124" s="5" t="n"/>
    </row>
    <row r="125">
      <c r="A125" s="5" t="n"/>
      <c r="B125" s="5" t="n"/>
      <c r="C125" s="5" t="n"/>
      <c r="D125" s="32" t="n"/>
      <c r="E125" s="32" t="n"/>
      <c r="F125" s="33">
        <f>IF(D125="","",D125+KaziEk)</f>
        <v/>
      </c>
      <c r="G125" s="33">
        <f>IF(E125="","",E125+KaziEk)</f>
        <v/>
      </c>
      <c r="H125" s="34">
        <f>IF(OR(F125="",G125=""),"",(F125+G125)/2)</f>
        <v/>
      </c>
      <c r="I125" s="20" t="n"/>
      <c r="J125" s="21">
        <f>IF(OR(H125="",I125=""),"",IF(H125&gt;=IksaH,2*H125*I125,0))</f>
        <v/>
      </c>
      <c r="K125" s="21">
        <f>IF(OR(H125="",I125=""),"",HendekB*H125*I125)</f>
        <v/>
      </c>
      <c r="L125" s="5" t="n"/>
    </row>
    <row r="126">
      <c r="A126" s="5" t="n"/>
      <c r="B126" s="5" t="n"/>
      <c r="C126" s="5" t="n"/>
      <c r="D126" s="32" t="n"/>
      <c r="E126" s="32" t="n"/>
      <c r="F126" s="33">
        <f>IF(D126="","",D126+KaziEk)</f>
        <v/>
      </c>
      <c r="G126" s="33">
        <f>IF(E126="","",E126+KaziEk)</f>
        <v/>
      </c>
      <c r="H126" s="34">
        <f>IF(OR(F126="",G126=""),"",(F126+G126)/2)</f>
        <v/>
      </c>
      <c r="I126" s="20" t="n"/>
      <c r="J126" s="21">
        <f>IF(OR(H126="",I126=""),"",IF(H126&gt;=IksaH,2*H126*I126,0))</f>
        <v/>
      </c>
      <c r="K126" s="21">
        <f>IF(OR(H126="",I126=""),"",HendekB*H126*I126)</f>
        <v/>
      </c>
      <c r="L126" s="5" t="n"/>
    </row>
    <row r="127">
      <c r="A127" s="5" t="n"/>
      <c r="B127" s="5" t="n"/>
      <c r="C127" s="5" t="n"/>
      <c r="D127" s="32" t="n"/>
      <c r="E127" s="32" t="n"/>
      <c r="F127" s="33">
        <f>IF(D127="","",D127+KaziEk)</f>
        <v/>
      </c>
      <c r="G127" s="33">
        <f>IF(E127="","",E127+KaziEk)</f>
        <v/>
      </c>
      <c r="H127" s="34">
        <f>IF(OR(F127="",G127=""),"",(F127+G127)/2)</f>
        <v/>
      </c>
      <c r="I127" s="20" t="n"/>
      <c r="J127" s="21">
        <f>IF(OR(H127="",I127=""),"",IF(H127&gt;=IksaH,2*H127*I127,0))</f>
        <v/>
      </c>
      <c r="K127" s="21">
        <f>IF(OR(H127="",I127=""),"",HendekB*H127*I127)</f>
        <v/>
      </c>
      <c r="L127" s="5" t="n"/>
    </row>
    <row r="128">
      <c r="A128" s="5" t="n"/>
      <c r="B128" s="5" t="n"/>
      <c r="C128" s="5" t="n"/>
      <c r="D128" s="32" t="n"/>
      <c r="E128" s="32" t="n"/>
      <c r="F128" s="33">
        <f>IF(D128="","",D128+KaziEk)</f>
        <v/>
      </c>
      <c r="G128" s="33">
        <f>IF(E128="","",E128+KaziEk)</f>
        <v/>
      </c>
      <c r="H128" s="34">
        <f>IF(OR(F128="",G128=""),"",(F128+G128)/2)</f>
        <v/>
      </c>
      <c r="I128" s="20" t="n"/>
      <c r="J128" s="21">
        <f>IF(OR(H128="",I128=""),"",IF(H128&gt;=IksaH,2*H128*I128,0))</f>
        <v/>
      </c>
      <c r="K128" s="21">
        <f>IF(OR(H128="",I128=""),"",HendekB*H128*I128)</f>
        <v/>
      </c>
      <c r="L128" s="5" t="n"/>
    </row>
    <row r="129">
      <c r="A129" s="5" t="n"/>
      <c r="B129" s="5" t="n"/>
      <c r="C129" s="5" t="n"/>
      <c r="D129" s="32" t="n"/>
      <c r="E129" s="32" t="n"/>
      <c r="F129" s="33">
        <f>IF(D129="","",D129+KaziEk)</f>
        <v/>
      </c>
      <c r="G129" s="33">
        <f>IF(E129="","",E129+KaziEk)</f>
        <v/>
      </c>
      <c r="H129" s="34">
        <f>IF(OR(F129="",G129=""),"",(F129+G129)/2)</f>
        <v/>
      </c>
      <c r="I129" s="20" t="n"/>
      <c r="J129" s="21">
        <f>IF(OR(H129="",I129=""),"",IF(H129&gt;=IksaH,2*H129*I129,0))</f>
        <v/>
      </c>
      <c r="K129" s="21">
        <f>IF(OR(H129="",I129=""),"",HendekB*H129*I129)</f>
        <v/>
      </c>
      <c r="L129" s="5" t="n"/>
    </row>
    <row r="130">
      <c r="A130" s="5" t="n"/>
      <c r="B130" s="5" t="n"/>
      <c r="C130" s="5" t="n"/>
      <c r="D130" s="32" t="n"/>
      <c r="E130" s="32" t="n"/>
      <c r="F130" s="33">
        <f>IF(D130="","",D130+KaziEk)</f>
        <v/>
      </c>
      <c r="G130" s="33">
        <f>IF(E130="","",E130+KaziEk)</f>
        <v/>
      </c>
      <c r="H130" s="34">
        <f>IF(OR(F130="",G130=""),"",(F130+G130)/2)</f>
        <v/>
      </c>
      <c r="I130" s="20" t="n"/>
      <c r="J130" s="21">
        <f>IF(OR(H130="",I130=""),"",IF(H130&gt;=IksaH,2*H130*I130,0))</f>
        <v/>
      </c>
      <c r="K130" s="21">
        <f>IF(OR(H130="",I130=""),"",HendekB*H130*I130)</f>
        <v/>
      </c>
      <c r="L130" s="5" t="n"/>
    </row>
    <row r="131">
      <c r="A131" s="5" t="n"/>
      <c r="B131" s="5" t="n"/>
      <c r="C131" s="5" t="n"/>
      <c r="D131" s="32" t="n"/>
      <c r="E131" s="32" t="n"/>
      <c r="F131" s="33">
        <f>IF(D131="","",D131+KaziEk)</f>
        <v/>
      </c>
      <c r="G131" s="33">
        <f>IF(E131="","",E131+KaziEk)</f>
        <v/>
      </c>
      <c r="H131" s="34">
        <f>IF(OR(F131="",G131=""),"",(F131+G131)/2)</f>
        <v/>
      </c>
      <c r="I131" s="20" t="n"/>
      <c r="J131" s="21">
        <f>IF(OR(H131="",I131=""),"",IF(H131&gt;=IksaH,2*H131*I131,0))</f>
        <v/>
      </c>
      <c r="K131" s="21">
        <f>IF(OR(H131="",I131=""),"",HendekB*H131*I131)</f>
        <v/>
      </c>
      <c r="L131" s="5" t="n"/>
    </row>
    <row r="132">
      <c r="A132" s="5" t="n"/>
      <c r="B132" s="5" t="n"/>
      <c r="C132" s="5" t="n"/>
      <c r="D132" s="32" t="n"/>
      <c r="E132" s="32" t="n"/>
      <c r="F132" s="33">
        <f>IF(D132="","",D132+KaziEk)</f>
        <v/>
      </c>
      <c r="G132" s="33">
        <f>IF(E132="","",E132+KaziEk)</f>
        <v/>
      </c>
      <c r="H132" s="34">
        <f>IF(OR(F132="",G132=""),"",(F132+G132)/2)</f>
        <v/>
      </c>
      <c r="I132" s="20" t="n"/>
      <c r="J132" s="21">
        <f>IF(OR(H132="",I132=""),"",IF(H132&gt;=IksaH,2*H132*I132,0))</f>
        <v/>
      </c>
      <c r="K132" s="21">
        <f>IF(OR(H132="",I132=""),"",HendekB*H132*I132)</f>
        <v/>
      </c>
      <c r="L132" s="5" t="n"/>
    </row>
    <row r="133">
      <c r="A133" s="5" t="n"/>
      <c r="B133" s="5" t="n"/>
      <c r="C133" s="5" t="n"/>
      <c r="D133" s="32" t="n"/>
      <c r="E133" s="32" t="n"/>
      <c r="F133" s="33">
        <f>IF(D133="","",D133+KaziEk)</f>
        <v/>
      </c>
      <c r="G133" s="33">
        <f>IF(E133="","",E133+KaziEk)</f>
        <v/>
      </c>
      <c r="H133" s="34">
        <f>IF(OR(F133="",G133=""),"",(F133+G133)/2)</f>
        <v/>
      </c>
      <c r="I133" s="20" t="n"/>
      <c r="J133" s="21">
        <f>IF(OR(H133="",I133=""),"",IF(H133&gt;=IksaH,2*H133*I133,0))</f>
        <v/>
      </c>
      <c r="K133" s="21">
        <f>IF(OR(H133="",I133=""),"",HendekB*H133*I133)</f>
        <v/>
      </c>
      <c r="L133" s="5" t="n"/>
    </row>
    <row r="134">
      <c r="A134" s="5" t="n"/>
      <c r="B134" s="5" t="n"/>
      <c r="C134" s="5" t="n"/>
      <c r="D134" s="32" t="n"/>
      <c r="E134" s="32" t="n"/>
      <c r="F134" s="33">
        <f>IF(D134="","",D134+KaziEk)</f>
        <v/>
      </c>
      <c r="G134" s="33">
        <f>IF(E134="","",E134+KaziEk)</f>
        <v/>
      </c>
      <c r="H134" s="34">
        <f>IF(OR(F134="",G134=""),"",(F134+G134)/2)</f>
        <v/>
      </c>
      <c r="I134" s="20" t="n"/>
      <c r="J134" s="21">
        <f>IF(OR(H134="",I134=""),"",IF(H134&gt;=IksaH,2*H134*I134,0))</f>
        <v/>
      </c>
      <c r="K134" s="21">
        <f>IF(OR(H134="",I134=""),"",HendekB*H134*I134)</f>
        <v/>
      </c>
      <c r="L134" s="5" t="n"/>
    </row>
    <row r="135">
      <c r="A135" s="5" t="n"/>
      <c r="B135" s="5" t="n"/>
      <c r="C135" s="5" t="n"/>
      <c r="D135" s="32" t="n"/>
      <c r="E135" s="32" t="n"/>
      <c r="F135" s="33">
        <f>IF(D135="","",D135+KaziEk)</f>
        <v/>
      </c>
      <c r="G135" s="33">
        <f>IF(E135="","",E135+KaziEk)</f>
        <v/>
      </c>
      <c r="H135" s="34">
        <f>IF(OR(F135="",G135=""),"",(F135+G135)/2)</f>
        <v/>
      </c>
      <c r="I135" s="20" t="n"/>
      <c r="J135" s="21">
        <f>IF(OR(H135="",I135=""),"",IF(H135&gt;=IksaH,2*H135*I135,0))</f>
        <v/>
      </c>
      <c r="K135" s="21">
        <f>IF(OR(H135="",I135=""),"",HendekB*H135*I135)</f>
        <v/>
      </c>
      <c r="L135" s="5" t="n"/>
    </row>
    <row r="136">
      <c r="A136" s="5" t="n"/>
      <c r="B136" s="5" t="n"/>
      <c r="C136" s="5" t="n"/>
      <c r="D136" s="32" t="n"/>
      <c r="E136" s="32" t="n"/>
      <c r="F136" s="33">
        <f>IF(D136="","",D136+KaziEk)</f>
        <v/>
      </c>
      <c r="G136" s="33">
        <f>IF(E136="","",E136+KaziEk)</f>
        <v/>
      </c>
      <c r="H136" s="34">
        <f>IF(OR(F136="",G136=""),"",(F136+G136)/2)</f>
        <v/>
      </c>
      <c r="I136" s="20" t="n"/>
      <c r="J136" s="21">
        <f>IF(OR(H136="",I136=""),"",IF(H136&gt;=IksaH,2*H136*I136,0))</f>
        <v/>
      </c>
      <c r="K136" s="21">
        <f>IF(OR(H136="",I136=""),"",HendekB*H136*I136)</f>
        <v/>
      </c>
      <c r="L136" s="5" t="n"/>
    </row>
    <row r="137">
      <c r="A137" s="5" t="n"/>
      <c r="B137" s="5" t="n"/>
      <c r="C137" s="5" t="n"/>
      <c r="D137" s="32" t="n"/>
      <c r="E137" s="32" t="n"/>
      <c r="F137" s="33">
        <f>IF(D137="","",D137+KaziEk)</f>
        <v/>
      </c>
      <c r="G137" s="33">
        <f>IF(E137="","",E137+KaziEk)</f>
        <v/>
      </c>
      <c r="H137" s="34">
        <f>IF(OR(F137="",G137=""),"",(F137+G137)/2)</f>
        <v/>
      </c>
      <c r="I137" s="20" t="n"/>
      <c r="J137" s="21">
        <f>IF(OR(H137="",I137=""),"",IF(H137&gt;=IksaH,2*H137*I137,0))</f>
        <v/>
      </c>
      <c r="K137" s="21">
        <f>IF(OR(H137="",I137=""),"",HendekB*H137*I137)</f>
        <v/>
      </c>
      <c r="L137" s="5" t="n"/>
    </row>
    <row r="138">
      <c r="A138" s="5" t="n"/>
      <c r="B138" s="5" t="n"/>
      <c r="C138" s="5" t="n"/>
      <c r="D138" s="32" t="n"/>
      <c r="E138" s="32" t="n"/>
      <c r="F138" s="33">
        <f>IF(D138="","",D138+KaziEk)</f>
        <v/>
      </c>
      <c r="G138" s="33">
        <f>IF(E138="","",E138+KaziEk)</f>
        <v/>
      </c>
      <c r="H138" s="34">
        <f>IF(OR(F138="",G138=""),"",(F138+G138)/2)</f>
        <v/>
      </c>
      <c r="I138" s="20" t="n"/>
      <c r="J138" s="21">
        <f>IF(OR(H138="",I138=""),"",IF(H138&gt;=IksaH,2*H138*I138,0))</f>
        <v/>
      </c>
      <c r="K138" s="21">
        <f>IF(OR(H138="",I138=""),"",HendekB*H138*I138)</f>
        <v/>
      </c>
      <c r="L138" s="5" t="n"/>
    </row>
    <row r="139">
      <c r="A139" s="5" t="n"/>
      <c r="B139" s="5" t="n"/>
      <c r="C139" s="5" t="n"/>
      <c r="D139" s="32" t="n"/>
      <c r="E139" s="32" t="n"/>
      <c r="F139" s="33">
        <f>IF(D139="","",D139+KaziEk)</f>
        <v/>
      </c>
      <c r="G139" s="33">
        <f>IF(E139="","",E139+KaziEk)</f>
        <v/>
      </c>
      <c r="H139" s="34">
        <f>IF(OR(F139="",G139=""),"",(F139+G139)/2)</f>
        <v/>
      </c>
      <c r="I139" s="20" t="n"/>
      <c r="J139" s="21">
        <f>IF(OR(H139="",I139=""),"",IF(H139&gt;=IksaH,2*H139*I139,0))</f>
        <v/>
      </c>
      <c r="K139" s="21">
        <f>IF(OR(H139="",I139=""),"",HendekB*H139*I139)</f>
        <v/>
      </c>
      <c r="L139" s="5" t="n"/>
    </row>
    <row r="140">
      <c r="A140" s="5" t="n"/>
      <c r="B140" s="5" t="n"/>
      <c r="C140" s="5" t="n"/>
      <c r="D140" s="32" t="n"/>
      <c r="E140" s="32" t="n"/>
      <c r="F140" s="33">
        <f>IF(D140="","",D140+KaziEk)</f>
        <v/>
      </c>
      <c r="G140" s="33">
        <f>IF(E140="","",E140+KaziEk)</f>
        <v/>
      </c>
      <c r="H140" s="34">
        <f>IF(OR(F140="",G140=""),"",(F140+G140)/2)</f>
        <v/>
      </c>
      <c r="I140" s="20" t="n"/>
      <c r="J140" s="21">
        <f>IF(OR(H140="",I140=""),"",IF(H140&gt;=IksaH,2*H140*I140,0))</f>
        <v/>
      </c>
      <c r="K140" s="21">
        <f>IF(OR(H140="",I140=""),"",HendekB*H140*I140)</f>
        <v/>
      </c>
      <c r="L140" s="5" t="n"/>
    </row>
    <row r="141">
      <c r="A141" s="5" t="n"/>
      <c r="B141" s="5" t="n"/>
      <c r="C141" s="5" t="n"/>
      <c r="D141" s="32" t="n"/>
      <c r="E141" s="32" t="n"/>
      <c r="F141" s="33">
        <f>IF(D141="","",D141+KaziEk)</f>
        <v/>
      </c>
      <c r="G141" s="33">
        <f>IF(E141="","",E141+KaziEk)</f>
        <v/>
      </c>
      <c r="H141" s="34">
        <f>IF(OR(F141="",G141=""),"",(F141+G141)/2)</f>
        <v/>
      </c>
      <c r="I141" s="20" t="n"/>
      <c r="J141" s="21">
        <f>IF(OR(H141="",I141=""),"",IF(H141&gt;=IksaH,2*H141*I141,0))</f>
        <v/>
      </c>
      <c r="K141" s="21">
        <f>IF(OR(H141="",I141=""),"",HendekB*H141*I141)</f>
        <v/>
      </c>
      <c r="L141" s="5" t="n"/>
    </row>
    <row r="142">
      <c r="A142" s="5" t="n"/>
      <c r="B142" s="5" t="n"/>
      <c r="C142" s="5" t="n"/>
      <c r="D142" s="32" t="n"/>
      <c r="E142" s="32" t="n"/>
      <c r="F142" s="33">
        <f>IF(D142="","",D142+KaziEk)</f>
        <v/>
      </c>
      <c r="G142" s="33">
        <f>IF(E142="","",E142+KaziEk)</f>
        <v/>
      </c>
      <c r="H142" s="34">
        <f>IF(OR(F142="",G142=""),"",(F142+G142)/2)</f>
        <v/>
      </c>
      <c r="I142" s="20" t="n"/>
      <c r="J142" s="21">
        <f>IF(OR(H142="",I142=""),"",IF(H142&gt;=IksaH,2*H142*I142,0))</f>
        <v/>
      </c>
      <c r="K142" s="21">
        <f>IF(OR(H142="",I142=""),"",HendekB*H142*I142)</f>
        <v/>
      </c>
      <c r="L142" s="5" t="n"/>
    </row>
    <row r="143">
      <c r="A143" s="5" t="n"/>
      <c r="B143" s="5" t="n"/>
      <c r="C143" s="5" t="n"/>
      <c r="D143" s="32" t="n"/>
      <c r="E143" s="32" t="n"/>
      <c r="F143" s="33">
        <f>IF(D143="","",D143+KaziEk)</f>
        <v/>
      </c>
      <c r="G143" s="33">
        <f>IF(E143="","",E143+KaziEk)</f>
        <v/>
      </c>
      <c r="H143" s="34">
        <f>IF(OR(F143="",G143=""),"",(F143+G143)/2)</f>
        <v/>
      </c>
      <c r="I143" s="20" t="n"/>
      <c r="J143" s="21">
        <f>IF(OR(H143="",I143=""),"",IF(H143&gt;=IksaH,2*H143*I143,0))</f>
        <v/>
      </c>
      <c r="K143" s="21">
        <f>IF(OR(H143="",I143=""),"",HendekB*H143*I143)</f>
        <v/>
      </c>
      <c r="L143" s="5" t="n"/>
    </row>
    <row r="144">
      <c r="A144" s="5" t="n"/>
      <c r="B144" s="5" t="n"/>
      <c r="C144" s="5" t="n"/>
      <c r="D144" s="32" t="n"/>
      <c r="E144" s="32" t="n"/>
      <c r="F144" s="33">
        <f>IF(D144="","",D144+KaziEk)</f>
        <v/>
      </c>
      <c r="G144" s="33">
        <f>IF(E144="","",E144+KaziEk)</f>
        <v/>
      </c>
      <c r="H144" s="34">
        <f>IF(OR(F144="",G144=""),"",(F144+G144)/2)</f>
        <v/>
      </c>
      <c r="I144" s="20" t="n"/>
      <c r="J144" s="21">
        <f>IF(OR(H144="",I144=""),"",IF(H144&gt;=IksaH,2*H144*I144,0))</f>
        <v/>
      </c>
      <c r="K144" s="21">
        <f>IF(OR(H144="",I144=""),"",HendekB*H144*I144)</f>
        <v/>
      </c>
      <c r="L144" s="5" t="n"/>
    </row>
    <row r="145">
      <c r="A145" s="5" t="n"/>
      <c r="B145" s="5" t="n"/>
      <c r="C145" s="5" t="n"/>
      <c r="D145" s="32" t="n"/>
      <c r="E145" s="32" t="n"/>
      <c r="F145" s="33">
        <f>IF(D145="","",D145+KaziEk)</f>
        <v/>
      </c>
      <c r="G145" s="33">
        <f>IF(E145="","",E145+KaziEk)</f>
        <v/>
      </c>
      <c r="H145" s="34">
        <f>IF(OR(F145="",G145=""),"",(F145+G145)/2)</f>
        <v/>
      </c>
      <c r="I145" s="20" t="n"/>
      <c r="J145" s="21">
        <f>IF(OR(H145="",I145=""),"",IF(H145&gt;=IksaH,2*H145*I145,0))</f>
        <v/>
      </c>
      <c r="K145" s="21">
        <f>IF(OR(H145="",I145=""),"",HendekB*H145*I145)</f>
        <v/>
      </c>
      <c r="L145" s="5" t="n"/>
    </row>
    <row r="146">
      <c r="A146" s="5" t="n"/>
      <c r="B146" s="5" t="n"/>
      <c r="C146" s="5" t="n"/>
      <c r="D146" s="32" t="n"/>
      <c r="E146" s="32" t="n"/>
      <c r="F146" s="33">
        <f>IF(D146="","",D146+KaziEk)</f>
        <v/>
      </c>
      <c r="G146" s="33">
        <f>IF(E146="","",E146+KaziEk)</f>
        <v/>
      </c>
      <c r="H146" s="34">
        <f>IF(OR(F146="",G146=""),"",(F146+G146)/2)</f>
        <v/>
      </c>
      <c r="I146" s="20" t="n"/>
      <c r="J146" s="21">
        <f>IF(OR(H146="",I146=""),"",IF(H146&gt;=IksaH,2*H146*I146,0))</f>
        <v/>
      </c>
      <c r="K146" s="21">
        <f>IF(OR(H146="",I146=""),"",HendekB*H146*I146)</f>
        <v/>
      </c>
      <c r="L146" s="5" t="n"/>
    </row>
    <row r="147">
      <c r="A147" s="5" t="n"/>
      <c r="B147" s="5" t="n"/>
      <c r="C147" s="5" t="n"/>
      <c r="D147" s="32" t="n"/>
      <c r="E147" s="32" t="n"/>
      <c r="F147" s="33">
        <f>IF(D147="","",D147+KaziEk)</f>
        <v/>
      </c>
      <c r="G147" s="33">
        <f>IF(E147="","",E147+KaziEk)</f>
        <v/>
      </c>
      <c r="H147" s="34">
        <f>IF(OR(F147="",G147=""),"",(F147+G147)/2)</f>
        <v/>
      </c>
      <c r="I147" s="20" t="n"/>
      <c r="J147" s="21">
        <f>IF(OR(H147="",I147=""),"",IF(H147&gt;=IksaH,2*H147*I147,0))</f>
        <v/>
      </c>
      <c r="K147" s="21">
        <f>IF(OR(H147="",I147=""),"",HendekB*H147*I147)</f>
        <v/>
      </c>
      <c r="L147" s="5" t="n"/>
    </row>
    <row r="148">
      <c r="A148" s="5" t="n"/>
      <c r="B148" s="5" t="n"/>
      <c r="C148" s="5" t="n"/>
      <c r="D148" s="32" t="n"/>
      <c r="E148" s="32" t="n"/>
      <c r="F148" s="33">
        <f>IF(D148="","",D148+KaziEk)</f>
        <v/>
      </c>
      <c r="G148" s="33">
        <f>IF(E148="","",E148+KaziEk)</f>
        <v/>
      </c>
      <c r="H148" s="34">
        <f>IF(OR(F148="",G148=""),"",(F148+G148)/2)</f>
        <v/>
      </c>
      <c r="I148" s="20" t="n"/>
      <c r="J148" s="21">
        <f>IF(OR(H148="",I148=""),"",IF(H148&gt;=IksaH,2*H148*I148,0))</f>
        <v/>
      </c>
      <c r="K148" s="21">
        <f>IF(OR(H148="",I148=""),"",HendekB*H148*I148)</f>
        <v/>
      </c>
      <c r="L148" s="5" t="n"/>
    </row>
    <row r="149">
      <c r="A149" s="5" t="n"/>
      <c r="B149" s="5" t="n"/>
      <c r="C149" s="5" t="n"/>
      <c r="D149" s="32" t="n"/>
      <c r="E149" s="32" t="n"/>
      <c r="F149" s="33">
        <f>IF(D149="","",D149+KaziEk)</f>
        <v/>
      </c>
      <c r="G149" s="33">
        <f>IF(E149="","",E149+KaziEk)</f>
        <v/>
      </c>
      <c r="H149" s="34">
        <f>IF(OR(F149="",G149=""),"",(F149+G149)/2)</f>
        <v/>
      </c>
      <c r="I149" s="20" t="n"/>
      <c r="J149" s="21">
        <f>IF(OR(H149="",I149=""),"",IF(H149&gt;=IksaH,2*H149*I149,0))</f>
        <v/>
      </c>
      <c r="K149" s="21">
        <f>IF(OR(H149="",I149=""),"",HendekB*H149*I149)</f>
        <v/>
      </c>
      <c r="L149" s="5" t="n"/>
    </row>
    <row r="150">
      <c r="A150" s="5" t="n"/>
      <c r="B150" s="5" t="n"/>
      <c r="C150" s="5" t="n"/>
      <c r="D150" s="32" t="n"/>
      <c r="E150" s="32" t="n"/>
      <c r="F150" s="33">
        <f>IF(D150="","",D150+KaziEk)</f>
        <v/>
      </c>
      <c r="G150" s="33">
        <f>IF(E150="","",E150+KaziEk)</f>
        <v/>
      </c>
      <c r="H150" s="34">
        <f>IF(OR(F150="",G150=""),"",(F150+G150)/2)</f>
        <v/>
      </c>
      <c r="I150" s="20" t="n"/>
      <c r="J150" s="21">
        <f>IF(OR(H150="",I150=""),"",IF(H150&gt;=IksaH,2*H150*I150,0))</f>
        <v/>
      </c>
      <c r="K150" s="21">
        <f>IF(OR(H150="",I150=""),"",HendekB*H150*I150)</f>
        <v/>
      </c>
      <c r="L150" s="5" t="n"/>
    </row>
    <row r="151">
      <c r="A151" s="5" t="n"/>
      <c r="B151" s="5" t="n"/>
      <c r="C151" s="5" t="n"/>
      <c r="D151" s="32" t="n"/>
      <c r="E151" s="32" t="n"/>
      <c r="F151" s="33">
        <f>IF(D151="","",D151+KaziEk)</f>
        <v/>
      </c>
      <c r="G151" s="33">
        <f>IF(E151="","",E151+KaziEk)</f>
        <v/>
      </c>
      <c r="H151" s="34">
        <f>IF(OR(F151="",G151=""),"",(F151+G151)/2)</f>
        <v/>
      </c>
      <c r="I151" s="20" t="n"/>
      <c r="J151" s="21">
        <f>IF(OR(H151="",I151=""),"",IF(H151&gt;=IksaH,2*H151*I151,0))</f>
        <v/>
      </c>
      <c r="K151" s="21">
        <f>IF(OR(H151="",I151=""),"",HendekB*H151*I151)</f>
        <v/>
      </c>
      <c r="L151" s="5" t="n"/>
    </row>
    <row r="152">
      <c r="A152" s="5" t="n"/>
      <c r="B152" s="5" t="n"/>
      <c r="C152" s="5" t="n"/>
      <c r="D152" s="32" t="n"/>
      <c r="E152" s="32" t="n"/>
      <c r="F152" s="33">
        <f>IF(D152="","",D152+KaziEk)</f>
        <v/>
      </c>
      <c r="G152" s="33">
        <f>IF(E152="","",E152+KaziEk)</f>
        <v/>
      </c>
      <c r="H152" s="34">
        <f>IF(OR(F152="",G152=""),"",(F152+G152)/2)</f>
        <v/>
      </c>
      <c r="I152" s="20" t="n"/>
      <c r="J152" s="21">
        <f>IF(OR(H152="",I152=""),"",IF(H152&gt;=IksaH,2*H152*I152,0))</f>
        <v/>
      </c>
      <c r="K152" s="21">
        <f>IF(OR(H152="",I152=""),"",HendekB*H152*I152)</f>
        <v/>
      </c>
      <c r="L152" s="5" t="n"/>
    </row>
    <row r="153">
      <c r="A153" s="5" t="n"/>
      <c r="B153" s="5" t="n"/>
      <c r="C153" s="5" t="n"/>
      <c r="D153" s="32" t="n"/>
      <c r="E153" s="32" t="n"/>
      <c r="F153" s="33">
        <f>IF(D153="","",D153+KaziEk)</f>
        <v/>
      </c>
      <c r="G153" s="33">
        <f>IF(E153="","",E153+KaziEk)</f>
        <v/>
      </c>
      <c r="H153" s="34">
        <f>IF(OR(F153="",G153=""),"",(F153+G153)/2)</f>
        <v/>
      </c>
      <c r="I153" s="20" t="n"/>
      <c r="J153" s="21">
        <f>IF(OR(H153="",I153=""),"",IF(H153&gt;=IksaH,2*H153*I153,0))</f>
        <v/>
      </c>
      <c r="K153" s="21">
        <f>IF(OR(H153="",I153=""),"",HendekB*H153*I153)</f>
        <v/>
      </c>
      <c r="L153" s="5" t="n"/>
    </row>
    <row r="154">
      <c r="A154" s="5" t="n"/>
      <c r="B154" s="5" t="n"/>
      <c r="C154" s="5" t="n"/>
      <c r="D154" s="32" t="n"/>
      <c r="E154" s="32" t="n"/>
      <c r="F154" s="33">
        <f>IF(D154="","",D154+KaziEk)</f>
        <v/>
      </c>
      <c r="G154" s="33">
        <f>IF(E154="","",E154+KaziEk)</f>
        <v/>
      </c>
      <c r="H154" s="34">
        <f>IF(OR(F154="",G154=""),"",(F154+G154)/2)</f>
        <v/>
      </c>
      <c r="I154" s="20" t="n"/>
      <c r="J154" s="21">
        <f>IF(OR(H154="",I154=""),"",IF(H154&gt;=IksaH,2*H154*I154,0))</f>
        <v/>
      </c>
      <c r="K154" s="21">
        <f>IF(OR(H154="",I154=""),"",HendekB*H154*I154)</f>
        <v/>
      </c>
      <c r="L154" s="5" t="n"/>
    </row>
    <row r="155">
      <c r="A155" s="5" t="n"/>
      <c r="B155" s="5" t="n"/>
      <c r="C155" s="5" t="n"/>
      <c r="D155" s="32" t="n"/>
      <c r="E155" s="32" t="n"/>
      <c r="F155" s="33">
        <f>IF(D155="","",D155+KaziEk)</f>
        <v/>
      </c>
      <c r="G155" s="33">
        <f>IF(E155="","",E155+KaziEk)</f>
        <v/>
      </c>
      <c r="H155" s="34">
        <f>IF(OR(F155="",G155=""),"",(F155+G155)/2)</f>
        <v/>
      </c>
      <c r="I155" s="20" t="n"/>
      <c r="J155" s="21">
        <f>IF(OR(H155="",I155=""),"",IF(H155&gt;=IksaH,2*H155*I155,0))</f>
        <v/>
      </c>
      <c r="K155" s="21">
        <f>IF(OR(H155="",I155=""),"",HendekB*H155*I155)</f>
        <v/>
      </c>
      <c r="L155" s="5" t="n"/>
    </row>
    <row r="156">
      <c r="A156" s="5" t="n"/>
      <c r="B156" s="5" t="n"/>
      <c r="C156" s="5" t="n"/>
      <c r="D156" s="32" t="n"/>
      <c r="E156" s="32" t="n"/>
      <c r="F156" s="33">
        <f>IF(D156="","",D156+KaziEk)</f>
        <v/>
      </c>
      <c r="G156" s="33">
        <f>IF(E156="","",E156+KaziEk)</f>
        <v/>
      </c>
      <c r="H156" s="34">
        <f>IF(OR(F156="",G156=""),"",(F156+G156)/2)</f>
        <v/>
      </c>
      <c r="I156" s="20" t="n"/>
      <c r="J156" s="21">
        <f>IF(OR(H156="",I156=""),"",IF(H156&gt;=IksaH,2*H156*I156,0))</f>
        <v/>
      </c>
      <c r="K156" s="21">
        <f>IF(OR(H156="",I156=""),"",HendekB*H156*I156)</f>
        <v/>
      </c>
      <c r="L156" s="5" t="n"/>
    </row>
    <row r="157">
      <c r="A157" s="5" t="n"/>
      <c r="B157" s="5" t="n"/>
      <c r="C157" s="5" t="n"/>
      <c r="D157" s="32" t="n"/>
      <c r="E157" s="32" t="n"/>
      <c r="F157" s="33">
        <f>IF(D157="","",D157+KaziEk)</f>
        <v/>
      </c>
      <c r="G157" s="33">
        <f>IF(E157="","",E157+KaziEk)</f>
        <v/>
      </c>
      <c r="H157" s="34">
        <f>IF(OR(F157="",G157=""),"",(F157+G157)/2)</f>
        <v/>
      </c>
      <c r="I157" s="20" t="n"/>
      <c r="J157" s="21">
        <f>IF(OR(H157="",I157=""),"",IF(H157&gt;=IksaH,2*H157*I157,0))</f>
        <v/>
      </c>
      <c r="K157" s="21">
        <f>IF(OR(H157="",I157=""),"",HendekB*H157*I157)</f>
        <v/>
      </c>
      <c r="L157" s="5" t="n"/>
    </row>
    <row r="158">
      <c r="A158" s="5" t="n"/>
      <c r="B158" s="5" t="n"/>
      <c r="C158" s="5" t="n"/>
      <c r="D158" s="32" t="n"/>
      <c r="E158" s="32" t="n"/>
      <c r="F158" s="33">
        <f>IF(D158="","",D158+KaziEk)</f>
        <v/>
      </c>
      <c r="G158" s="33">
        <f>IF(E158="","",E158+KaziEk)</f>
        <v/>
      </c>
      <c r="H158" s="34">
        <f>IF(OR(F158="",G158=""),"",(F158+G158)/2)</f>
        <v/>
      </c>
      <c r="I158" s="20" t="n"/>
      <c r="J158" s="21">
        <f>IF(OR(H158="",I158=""),"",IF(H158&gt;=IksaH,2*H158*I158,0))</f>
        <v/>
      </c>
      <c r="K158" s="21">
        <f>IF(OR(H158="",I158=""),"",HendekB*H158*I158)</f>
        <v/>
      </c>
      <c r="L158" s="5" t="n"/>
    </row>
    <row r="159">
      <c r="A159" s="5" t="n"/>
      <c r="B159" s="5" t="n"/>
      <c r="C159" s="5" t="n"/>
      <c r="D159" s="32" t="n"/>
      <c r="E159" s="32" t="n"/>
      <c r="F159" s="33">
        <f>IF(D159="","",D159+KaziEk)</f>
        <v/>
      </c>
      <c r="G159" s="33">
        <f>IF(E159="","",E159+KaziEk)</f>
        <v/>
      </c>
      <c r="H159" s="34">
        <f>IF(OR(F159="",G159=""),"",(F159+G159)/2)</f>
        <v/>
      </c>
      <c r="I159" s="20" t="n"/>
      <c r="J159" s="21">
        <f>IF(OR(H159="",I159=""),"",IF(H159&gt;=IksaH,2*H159*I159,0))</f>
        <v/>
      </c>
      <c r="K159" s="21">
        <f>IF(OR(H159="",I159=""),"",HendekB*H159*I159)</f>
        <v/>
      </c>
      <c r="L159" s="5" t="n"/>
    </row>
    <row r="160">
      <c r="A160" s="5" t="n"/>
      <c r="B160" s="5" t="n"/>
      <c r="C160" s="5" t="n"/>
      <c r="D160" s="32" t="n"/>
      <c r="E160" s="32" t="n"/>
      <c r="F160" s="33">
        <f>IF(D160="","",D160+KaziEk)</f>
        <v/>
      </c>
      <c r="G160" s="33">
        <f>IF(E160="","",E160+KaziEk)</f>
        <v/>
      </c>
      <c r="H160" s="34">
        <f>IF(OR(F160="",G160=""),"",(F160+G160)/2)</f>
        <v/>
      </c>
      <c r="I160" s="20" t="n"/>
      <c r="J160" s="21">
        <f>IF(OR(H160="",I160=""),"",IF(H160&gt;=IksaH,2*H160*I160,0))</f>
        <v/>
      </c>
      <c r="K160" s="21">
        <f>IF(OR(H160="",I160=""),"",HendekB*H160*I160)</f>
        <v/>
      </c>
      <c r="L160" s="5" t="n"/>
    </row>
    <row r="161">
      <c r="A161" s="5" t="n"/>
      <c r="B161" s="5" t="n"/>
      <c r="C161" s="5" t="n"/>
      <c r="D161" s="32" t="n"/>
      <c r="E161" s="32" t="n"/>
      <c r="F161" s="33">
        <f>IF(D161="","",D161+KaziEk)</f>
        <v/>
      </c>
      <c r="G161" s="33">
        <f>IF(E161="","",E161+KaziEk)</f>
        <v/>
      </c>
      <c r="H161" s="34">
        <f>IF(OR(F161="",G161=""),"",(F161+G161)/2)</f>
        <v/>
      </c>
      <c r="I161" s="20" t="n"/>
      <c r="J161" s="21">
        <f>IF(OR(H161="",I161=""),"",IF(H161&gt;=IksaH,2*H161*I161,0))</f>
        <v/>
      </c>
      <c r="K161" s="21">
        <f>IF(OR(H161="",I161=""),"",HendekB*H161*I161)</f>
        <v/>
      </c>
      <c r="L161" s="5" t="n"/>
    </row>
    <row r="162">
      <c r="A162" s="5" t="n"/>
      <c r="B162" s="5" t="n"/>
      <c r="C162" s="5" t="n"/>
      <c r="D162" s="32" t="n"/>
      <c r="E162" s="32" t="n"/>
      <c r="F162" s="33">
        <f>IF(D162="","",D162+KaziEk)</f>
        <v/>
      </c>
      <c r="G162" s="33">
        <f>IF(E162="","",E162+KaziEk)</f>
        <v/>
      </c>
      <c r="H162" s="34">
        <f>IF(OR(F162="",G162=""),"",(F162+G162)/2)</f>
        <v/>
      </c>
      <c r="I162" s="20" t="n"/>
      <c r="J162" s="21">
        <f>IF(OR(H162="",I162=""),"",IF(H162&gt;=IksaH,2*H162*I162,0))</f>
        <v/>
      </c>
      <c r="K162" s="21">
        <f>IF(OR(H162="",I162=""),"",HendekB*H162*I162)</f>
        <v/>
      </c>
      <c r="L162" s="5" t="n"/>
    </row>
    <row r="163">
      <c r="A163" s="5" t="n"/>
      <c r="B163" s="5" t="n"/>
      <c r="C163" s="5" t="n"/>
      <c r="D163" s="32" t="n"/>
      <c r="E163" s="32" t="n"/>
      <c r="F163" s="33">
        <f>IF(D163="","",D163+KaziEk)</f>
        <v/>
      </c>
      <c r="G163" s="33">
        <f>IF(E163="","",E163+KaziEk)</f>
        <v/>
      </c>
      <c r="H163" s="34">
        <f>IF(OR(F163="",G163=""),"",(F163+G163)/2)</f>
        <v/>
      </c>
      <c r="I163" s="20" t="n"/>
      <c r="J163" s="21">
        <f>IF(OR(H163="",I163=""),"",IF(H163&gt;=IksaH,2*H163*I163,0))</f>
        <v/>
      </c>
      <c r="K163" s="21">
        <f>IF(OR(H163="",I163=""),"",HendekB*H163*I163)</f>
        <v/>
      </c>
      <c r="L163" s="5" t="n"/>
    </row>
    <row r="164">
      <c r="A164" s="5" t="n"/>
      <c r="B164" s="5" t="n"/>
      <c r="C164" s="5" t="n"/>
      <c r="D164" s="32" t="n"/>
      <c r="E164" s="32" t="n"/>
      <c r="F164" s="33">
        <f>IF(D164="","",D164+KaziEk)</f>
        <v/>
      </c>
      <c r="G164" s="33">
        <f>IF(E164="","",E164+KaziEk)</f>
        <v/>
      </c>
      <c r="H164" s="34">
        <f>IF(OR(F164="",G164=""),"",(F164+G164)/2)</f>
        <v/>
      </c>
      <c r="I164" s="20" t="n"/>
      <c r="J164" s="21">
        <f>IF(OR(H164="",I164=""),"",IF(H164&gt;=IksaH,2*H164*I164,0))</f>
        <v/>
      </c>
      <c r="K164" s="21">
        <f>IF(OR(H164="",I164=""),"",HendekB*H164*I164)</f>
        <v/>
      </c>
      <c r="L164" s="5" t="n"/>
    </row>
    <row r="165">
      <c r="A165" s="5" t="n"/>
      <c r="B165" s="5" t="n"/>
      <c r="C165" s="5" t="n"/>
      <c r="D165" s="32" t="n"/>
      <c r="E165" s="32" t="n"/>
      <c r="F165" s="33">
        <f>IF(D165="","",D165+KaziEk)</f>
        <v/>
      </c>
      <c r="G165" s="33">
        <f>IF(E165="","",E165+KaziEk)</f>
        <v/>
      </c>
      <c r="H165" s="34">
        <f>IF(OR(F165="",G165=""),"",(F165+G165)/2)</f>
        <v/>
      </c>
      <c r="I165" s="20" t="n"/>
      <c r="J165" s="21">
        <f>IF(OR(H165="",I165=""),"",IF(H165&gt;=IksaH,2*H165*I165,0))</f>
        <v/>
      </c>
      <c r="K165" s="21">
        <f>IF(OR(H165="",I165=""),"",HendekB*H165*I165)</f>
        <v/>
      </c>
      <c r="L165" s="5" t="n"/>
    </row>
    <row r="166">
      <c r="A166" s="5" t="n"/>
      <c r="B166" s="5" t="n"/>
      <c r="C166" s="5" t="n"/>
      <c r="D166" s="32" t="n"/>
      <c r="E166" s="32" t="n"/>
      <c r="F166" s="33">
        <f>IF(D166="","",D166+KaziEk)</f>
        <v/>
      </c>
      <c r="G166" s="33">
        <f>IF(E166="","",E166+KaziEk)</f>
        <v/>
      </c>
      <c r="H166" s="34">
        <f>IF(OR(F166="",G166=""),"",(F166+G166)/2)</f>
        <v/>
      </c>
      <c r="I166" s="20" t="n"/>
      <c r="J166" s="21">
        <f>IF(OR(H166="",I166=""),"",IF(H166&gt;=IksaH,2*H166*I166,0))</f>
        <v/>
      </c>
      <c r="K166" s="21">
        <f>IF(OR(H166="",I166=""),"",HendekB*H166*I166)</f>
        <v/>
      </c>
      <c r="L166" s="5" t="n"/>
    </row>
    <row r="167">
      <c r="A167" s="5" t="n"/>
      <c r="B167" s="5" t="n"/>
      <c r="C167" s="5" t="n"/>
      <c r="D167" s="32" t="n"/>
      <c r="E167" s="32" t="n"/>
      <c r="F167" s="33">
        <f>IF(D167="","",D167+KaziEk)</f>
        <v/>
      </c>
      <c r="G167" s="33">
        <f>IF(E167="","",E167+KaziEk)</f>
        <v/>
      </c>
      <c r="H167" s="34">
        <f>IF(OR(F167="",G167=""),"",(F167+G167)/2)</f>
        <v/>
      </c>
      <c r="I167" s="20" t="n"/>
      <c r="J167" s="21">
        <f>IF(OR(H167="",I167=""),"",IF(H167&gt;=IksaH,2*H167*I167,0))</f>
        <v/>
      </c>
      <c r="K167" s="21">
        <f>IF(OR(H167="",I167=""),"",HendekB*H167*I167)</f>
        <v/>
      </c>
      <c r="L167" s="5" t="n"/>
    </row>
    <row r="168">
      <c r="A168" s="5" t="n"/>
      <c r="B168" s="5" t="n"/>
      <c r="C168" s="5" t="n"/>
      <c r="D168" s="32" t="n"/>
      <c r="E168" s="32" t="n"/>
      <c r="F168" s="33">
        <f>IF(D168="","",D168+KaziEk)</f>
        <v/>
      </c>
      <c r="G168" s="33">
        <f>IF(E168="","",E168+KaziEk)</f>
        <v/>
      </c>
      <c r="H168" s="34">
        <f>IF(OR(F168="",G168=""),"",(F168+G168)/2)</f>
        <v/>
      </c>
      <c r="I168" s="20" t="n"/>
      <c r="J168" s="21">
        <f>IF(OR(H168="",I168=""),"",IF(H168&gt;=IksaH,2*H168*I168,0))</f>
        <v/>
      </c>
      <c r="K168" s="21">
        <f>IF(OR(H168="",I168=""),"",HendekB*H168*I168)</f>
        <v/>
      </c>
      <c r="L168" s="5" t="n"/>
    </row>
    <row r="169">
      <c r="A169" s="5" t="n"/>
      <c r="B169" s="5" t="n"/>
      <c r="C169" s="5" t="n"/>
      <c r="D169" s="32" t="n"/>
      <c r="E169" s="32" t="n"/>
      <c r="F169" s="33">
        <f>IF(D169="","",D169+KaziEk)</f>
        <v/>
      </c>
      <c r="G169" s="33">
        <f>IF(E169="","",E169+KaziEk)</f>
        <v/>
      </c>
      <c r="H169" s="34">
        <f>IF(OR(F169="",G169=""),"",(F169+G169)/2)</f>
        <v/>
      </c>
      <c r="I169" s="20" t="n"/>
      <c r="J169" s="21">
        <f>IF(OR(H169="",I169=""),"",IF(H169&gt;=IksaH,2*H169*I169,0))</f>
        <v/>
      </c>
      <c r="K169" s="21">
        <f>IF(OR(H169="",I169=""),"",HendekB*H169*I169)</f>
        <v/>
      </c>
      <c r="L169" s="5" t="n"/>
    </row>
    <row r="170">
      <c r="A170" s="5" t="n"/>
      <c r="B170" s="5" t="n"/>
      <c r="C170" s="5" t="n"/>
      <c r="D170" s="32" t="n"/>
      <c r="E170" s="32" t="n"/>
      <c r="F170" s="33">
        <f>IF(D170="","",D170+KaziEk)</f>
        <v/>
      </c>
      <c r="G170" s="33">
        <f>IF(E170="","",E170+KaziEk)</f>
        <v/>
      </c>
      <c r="H170" s="34">
        <f>IF(OR(F170="",G170=""),"",(F170+G170)/2)</f>
        <v/>
      </c>
      <c r="I170" s="20" t="n"/>
      <c r="J170" s="21">
        <f>IF(OR(H170="",I170=""),"",IF(H170&gt;=IksaH,2*H170*I170,0))</f>
        <v/>
      </c>
      <c r="K170" s="21">
        <f>IF(OR(H170="",I170=""),"",HendekB*H170*I170)</f>
        <v/>
      </c>
      <c r="L170" s="5" t="n"/>
    </row>
    <row r="171">
      <c r="A171" s="5" t="n"/>
      <c r="B171" s="5" t="n"/>
      <c r="C171" s="5" t="n"/>
      <c r="D171" s="32" t="n"/>
      <c r="E171" s="32" t="n"/>
      <c r="F171" s="33">
        <f>IF(D171="","",D171+KaziEk)</f>
        <v/>
      </c>
      <c r="G171" s="33">
        <f>IF(E171="","",E171+KaziEk)</f>
        <v/>
      </c>
      <c r="H171" s="34">
        <f>IF(OR(F171="",G171=""),"",(F171+G171)/2)</f>
        <v/>
      </c>
      <c r="I171" s="20" t="n"/>
      <c r="J171" s="21">
        <f>IF(OR(H171="",I171=""),"",IF(H171&gt;=IksaH,2*H171*I171,0))</f>
        <v/>
      </c>
      <c r="K171" s="21">
        <f>IF(OR(H171="",I171=""),"",HendekB*H171*I171)</f>
        <v/>
      </c>
      <c r="L171" s="5" t="n"/>
    </row>
    <row r="172">
      <c r="A172" s="5" t="n"/>
      <c r="B172" s="5" t="n"/>
      <c r="C172" s="5" t="n"/>
      <c r="D172" s="32" t="n"/>
      <c r="E172" s="32" t="n"/>
      <c r="F172" s="33">
        <f>IF(D172="","",D172+KaziEk)</f>
        <v/>
      </c>
      <c r="G172" s="33">
        <f>IF(E172="","",E172+KaziEk)</f>
        <v/>
      </c>
      <c r="H172" s="34">
        <f>IF(OR(F172="",G172=""),"",(F172+G172)/2)</f>
        <v/>
      </c>
      <c r="I172" s="20" t="n"/>
      <c r="J172" s="21">
        <f>IF(OR(H172="",I172=""),"",IF(H172&gt;=IksaH,2*H172*I172,0))</f>
        <v/>
      </c>
      <c r="K172" s="21">
        <f>IF(OR(H172="",I172=""),"",HendekB*H172*I172)</f>
        <v/>
      </c>
      <c r="L172" s="5" t="n"/>
    </row>
    <row r="173">
      <c r="A173" s="5" t="n"/>
      <c r="B173" s="5" t="n"/>
      <c r="C173" s="5" t="n"/>
      <c r="D173" s="32" t="n"/>
      <c r="E173" s="32" t="n"/>
      <c r="F173" s="33">
        <f>IF(D173="","",D173+KaziEk)</f>
        <v/>
      </c>
      <c r="G173" s="33">
        <f>IF(E173="","",E173+KaziEk)</f>
        <v/>
      </c>
      <c r="H173" s="34">
        <f>IF(OR(F173="",G173=""),"",(F173+G173)/2)</f>
        <v/>
      </c>
      <c r="I173" s="20" t="n"/>
      <c r="J173" s="21">
        <f>IF(OR(H173="",I173=""),"",IF(H173&gt;=IksaH,2*H173*I173,0))</f>
        <v/>
      </c>
      <c r="K173" s="21">
        <f>IF(OR(H173="",I173=""),"",HendekB*H173*I173)</f>
        <v/>
      </c>
      <c r="L173" s="5" t="n"/>
    </row>
    <row r="174">
      <c r="A174" s="5" t="n"/>
      <c r="B174" s="5" t="n"/>
      <c r="C174" s="5" t="n"/>
      <c r="D174" s="32" t="n"/>
      <c r="E174" s="32" t="n"/>
      <c r="F174" s="33">
        <f>IF(D174="","",D174+KaziEk)</f>
        <v/>
      </c>
      <c r="G174" s="33">
        <f>IF(E174="","",E174+KaziEk)</f>
        <v/>
      </c>
      <c r="H174" s="34">
        <f>IF(OR(F174="",G174=""),"",(F174+G174)/2)</f>
        <v/>
      </c>
      <c r="I174" s="20" t="n"/>
      <c r="J174" s="21">
        <f>IF(OR(H174="",I174=""),"",IF(H174&gt;=IksaH,2*H174*I174,0))</f>
        <v/>
      </c>
      <c r="K174" s="21">
        <f>IF(OR(H174="",I174=""),"",HendekB*H174*I174)</f>
        <v/>
      </c>
      <c r="L174" s="5" t="n"/>
    </row>
    <row r="175">
      <c r="A175" s="5" t="n"/>
      <c r="B175" s="5" t="n"/>
      <c r="C175" s="5" t="n"/>
      <c r="D175" s="32" t="n"/>
      <c r="E175" s="32" t="n"/>
      <c r="F175" s="33">
        <f>IF(D175="","",D175+KaziEk)</f>
        <v/>
      </c>
      <c r="G175" s="33">
        <f>IF(E175="","",E175+KaziEk)</f>
        <v/>
      </c>
      <c r="H175" s="34">
        <f>IF(OR(F175="",G175=""),"",(F175+G175)/2)</f>
        <v/>
      </c>
      <c r="I175" s="20" t="n"/>
      <c r="J175" s="21">
        <f>IF(OR(H175="",I175=""),"",IF(H175&gt;=IksaH,2*H175*I175,0))</f>
        <v/>
      </c>
      <c r="K175" s="21">
        <f>IF(OR(H175="",I175=""),"",HendekB*H175*I175)</f>
        <v/>
      </c>
      <c r="L175" s="5" t="n"/>
    </row>
    <row r="176">
      <c r="A176" s="5" t="n"/>
      <c r="B176" s="5" t="n"/>
      <c r="C176" s="5" t="n"/>
      <c r="D176" s="32" t="n"/>
      <c r="E176" s="32" t="n"/>
      <c r="F176" s="33">
        <f>IF(D176="","",D176+KaziEk)</f>
        <v/>
      </c>
      <c r="G176" s="33">
        <f>IF(E176="","",E176+KaziEk)</f>
        <v/>
      </c>
      <c r="H176" s="34">
        <f>IF(OR(F176="",G176=""),"",(F176+G176)/2)</f>
        <v/>
      </c>
      <c r="I176" s="20" t="n"/>
      <c r="J176" s="21">
        <f>IF(OR(H176="",I176=""),"",IF(H176&gt;=IksaH,2*H176*I176,0))</f>
        <v/>
      </c>
      <c r="K176" s="21">
        <f>IF(OR(H176="",I176=""),"",HendekB*H176*I176)</f>
        <v/>
      </c>
      <c r="L176" s="5" t="n"/>
    </row>
    <row r="177">
      <c r="A177" s="5" t="n"/>
      <c r="B177" s="5" t="n"/>
      <c r="C177" s="5" t="n"/>
      <c r="D177" s="32" t="n"/>
      <c r="E177" s="32" t="n"/>
      <c r="F177" s="33">
        <f>IF(D177="","",D177+KaziEk)</f>
        <v/>
      </c>
      <c r="G177" s="33">
        <f>IF(E177="","",E177+KaziEk)</f>
        <v/>
      </c>
      <c r="H177" s="34">
        <f>IF(OR(F177="",G177=""),"",(F177+G177)/2)</f>
        <v/>
      </c>
      <c r="I177" s="20" t="n"/>
      <c r="J177" s="21">
        <f>IF(OR(H177="",I177=""),"",IF(H177&gt;=IksaH,2*H177*I177,0))</f>
        <v/>
      </c>
      <c r="K177" s="21">
        <f>IF(OR(H177="",I177=""),"",HendekB*H177*I177)</f>
        <v/>
      </c>
      <c r="L177" s="5" t="n"/>
    </row>
    <row r="178">
      <c r="A178" s="5" t="n"/>
      <c r="B178" s="5" t="n"/>
      <c r="C178" s="5" t="n"/>
      <c r="D178" s="32" t="n"/>
      <c r="E178" s="32" t="n"/>
      <c r="F178" s="33">
        <f>IF(D178="","",D178+KaziEk)</f>
        <v/>
      </c>
      <c r="G178" s="33">
        <f>IF(E178="","",E178+KaziEk)</f>
        <v/>
      </c>
      <c r="H178" s="34">
        <f>IF(OR(F178="",G178=""),"",(F178+G178)/2)</f>
        <v/>
      </c>
      <c r="I178" s="20" t="n"/>
      <c r="J178" s="21">
        <f>IF(OR(H178="",I178=""),"",IF(H178&gt;=IksaH,2*H178*I178,0))</f>
        <v/>
      </c>
      <c r="K178" s="21">
        <f>IF(OR(H178="",I178=""),"",HendekB*H178*I178)</f>
        <v/>
      </c>
      <c r="L178" s="5" t="n"/>
    </row>
    <row r="179">
      <c r="A179" s="5" t="n"/>
      <c r="B179" s="5" t="n"/>
      <c r="C179" s="5" t="n"/>
      <c r="D179" s="32" t="n"/>
      <c r="E179" s="32" t="n"/>
      <c r="F179" s="33">
        <f>IF(D179="","",D179+KaziEk)</f>
        <v/>
      </c>
      <c r="G179" s="33">
        <f>IF(E179="","",E179+KaziEk)</f>
        <v/>
      </c>
      <c r="H179" s="34">
        <f>IF(OR(F179="",G179=""),"",(F179+G179)/2)</f>
        <v/>
      </c>
      <c r="I179" s="20" t="n"/>
      <c r="J179" s="21">
        <f>IF(OR(H179="",I179=""),"",IF(H179&gt;=IksaH,2*H179*I179,0))</f>
        <v/>
      </c>
      <c r="K179" s="21">
        <f>IF(OR(H179="",I179=""),"",HendekB*H179*I179)</f>
        <v/>
      </c>
      <c r="L179" s="5" t="n"/>
    </row>
    <row r="180">
      <c r="A180" s="5" t="n"/>
      <c r="B180" s="5" t="n"/>
      <c r="C180" s="5" t="n"/>
      <c r="D180" s="32" t="n"/>
      <c r="E180" s="32" t="n"/>
      <c r="F180" s="33">
        <f>IF(D180="","",D180+KaziEk)</f>
        <v/>
      </c>
      <c r="G180" s="33">
        <f>IF(E180="","",E180+KaziEk)</f>
        <v/>
      </c>
      <c r="H180" s="34">
        <f>IF(OR(F180="",G180=""),"",(F180+G180)/2)</f>
        <v/>
      </c>
      <c r="I180" s="20" t="n"/>
      <c r="J180" s="21">
        <f>IF(OR(H180="",I180=""),"",IF(H180&gt;=IksaH,2*H180*I180,0))</f>
        <v/>
      </c>
      <c r="K180" s="21">
        <f>IF(OR(H180="",I180=""),"",HendekB*H180*I180)</f>
        <v/>
      </c>
      <c r="L180" s="5" t="n"/>
    </row>
    <row r="181">
      <c r="A181" s="5" t="n"/>
      <c r="B181" s="5" t="n"/>
      <c r="C181" s="5" t="n"/>
      <c r="D181" s="32" t="n"/>
      <c r="E181" s="32" t="n"/>
      <c r="F181" s="33">
        <f>IF(D181="","",D181+KaziEk)</f>
        <v/>
      </c>
      <c r="G181" s="33">
        <f>IF(E181="","",E181+KaziEk)</f>
        <v/>
      </c>
      <c r="H181" s="34">
        <f>IF(OR(F181="",G181=""),"",(F181+G181)/2)</f>
        <v/>
      </c>
      <c r="I181" s="20" t="n"/>
      <c r="J181" s="21">
        <f>IF(OR(H181="",I181=""),"",IF(H181&gt;=IksaH,2*H181*I181,0))</f>
        <v/>
      </c>
      <c r="K181" s="21">
        <f>IF(OR(H181="",I181=""),"",HendekB*H181*I181)</f>
        <v/>
      </c>
      <c r="L181" s="5" t="n"/>
    </row>
    <row r="182">
      <c r="A182" s="5" t="n"/>
      <c r="B182" s="5" t="n"/>
      <c r="C182" s="5" t="n"/>
      <c r="D182" s="32" t="n"/>
      <c r="E182" s="32" t="n"/>
      <c r="F182" s="33">
        <f>IF(D182="","",D182+KaziEk)</f>
        <v/>
      </c>
      <c r="G182" s="33">
        <f>IF(E182="","",E182+KaziEk)</f>
        <v/>
      </c>
      <c r="H182" s="34">
        <f>IF(OR(F182="",G182=""),"",(F182+G182)/2)</f>
        <v/>
      </c>
      <c r="I182" s="20" t="n"/>
      <c r="J182" s="21">
        <f>IF(OR(H182="",I182=""),"",IF(H182&gt;=IksaH,2*H182*I182,0))</f>
        <v/>
      </c>
      <c r="K182" s="21">
        <f>IF(OR(H182="",I182=""),"",HendekB*H182*I182)</f>
        <v/>
      </c>
      <c r="L182" s="5" t="n"/>
    </row>
    <row r="183">
      <c r="A183" s="5" t="n"/>
      <c r="B183" s="5" t="n"/>
      <c r="C183" s="5" t="n"/>
      <c r="D183" s="32" t="n"/>
      <c r="E183" s="32" t="n"/>
      <c r="F183" s="33">
        <f>IF(D183="","",D183+KaziEk)</f>
        <v/>
      </c>
      <c r="G183" s="33">
        <f>IF(E183="","",E183+KaziEk)</f>
        <v/>
      </c>
      <c r="H183" s="34">
        <f>IF(OR(F183="",G183=""),"",(F183+G183)/2)</f>
        <v/>
      </c>
      <c r="I183" s="20" t="n"/>
      <c r="J183" s="21">
        <f>IF(OR(H183="",I183=""),"",IF(H183&gt;=IksaH,2*H183*I183,0))</f>
        <v/>
      </c>
      <c r="K183" s="21">
        <f>IF(OR(H183="",I183=""),"",HendekB*H183*I183)</f>
        <v/>
      </c>
      <c r="L183" s="5" t="n"/>
    </row>
    <row r="184">
      <c r="A184" s="5" t="n"/>
      <c r="B184" s="5" t="n"/>
      <c r="C184" s="5" t="n"/>
      <c r="D184" s="32" t="n"/>
      <c r="E184" s="32" t="n"/>
      <c r="F184" s="33">
        <f>IF(D184="","",D184+KaziEk)</f>
        <v/>
      </c>
      <c r="G184" s="33">
        <f>IF(E184="","",E184+KaziEk)</f>
        <v/>
      </c>
      <c r="H184" s="34">
        <f>IF(OR(F184="",G184=""),"",(F184+G184)/2)</f>
        <v/>
      </c>
      <c r="I184" s="20" t="n"/>
      <c r="J184" s="21">
        <f>IF(OR(H184="",I184=""),"",IF(H184&gt;=IksaH,2*H184*I184,0))</f>
        <v/>
      </c>
      <c r="K184" s="21">
        <f>IF(OR(H184="",I184=""),"",HendekB*H184*I184)</f>
        <v/>
      </c>
      <c r="L184" s="5" t="n"/>
    </row>
    <row r="185">
      <c r="A185" s="5" t="n"/>
      <c r="B185" s="5" t="n"/>
      <c r="C185" s="5" t="n"/>
      <c r="D185" s="32" t="n"/>
      <c r="E185" s="32" t="n"/>
      <c r="F185" s="33">
        <f>IF(D185="","",D185+KaziEk)</f>
        <v/>
      </c>
      <c r="G185" s="33">
        <f>IF(E185="","",E185+KaziEk)</f>
        <v/>
      </c>
      <c r="H185" s="34">
        <f>IF(OR(F185="",G185=""),"",(F185+G185)/2)</f>
        <v/>
      </c>
      <c r="I185" s="20" t="n"/>
      <c r="J185" s="21">
        <f>IF(OR(H185="",I185=""),"",IF(H185&gt;=IksaH,2*H185*I185,0))</f>
        <v/>
      </c>
      <c r="K185" s="21">
        <f>IF(OR(H185="",I185=""),"",HendekB*H185*I185)</f>
        <v/>
      </c>
      <c r="L185" s="5" t="n"/>
    </row>
    <row r="186">
      <c r="A186" s="5" t="n"/>
      <c r="B186" s="5" t="n"/>
      <c r="C186" s="5" t="n"/>
      <c r="D186" s="32" t="n"/>
      <c r="E186" s="32" t="n"/>
      <c r="F186" s="33">
        <f>IF(D186="","",D186+KaziEk)</f>
        <v/>
      </c>
      <c r="G186" s="33">
        <f>IF(E186="","",E186+KaziEk)</f>
        <v/>
      </c>
      <c r="H186" s="34">
        <f>IF(OR(F186="",G186=""),"",(F186+G186)/2)</f>
        <v/>
      </c>
      <c r="I186" s="20" t="n"/>
      <c r="J186" s="21">
        <f>IF(OR(H186="",I186=""),"",IF(H186&gt;=IksaH,2*H186*I186,0))</f>
        <v/>
      </c>
      <c r="K186" s="21">
        <f>IF(OR(H186="",I186=""),"",HendekB*H186*I186)</f>
        <v/>
      </c>
      <c r="L186" s="5" t="n"/>
    </row>
    <row r="187">
      <c r="A187" s="5" t="n"/>
      <c r="B187" s="5" t="n"/>
      <c r="C187" s="5" t="n"/>
      <c r="D187" s="32" t="n"/>
      <c r="E187" s="32" t="n"/>
      <c r="F187" s="33">
        <f>IF(D187="","",D187+KaziEk)</f>
        <v/>
      </c>
      <c r="G187" s="33">
        <f>IF(E187="","",E187+KaziEk)</f>
        <v/>
      </c>
      <c r="H187" s="34">
        <f>IF(OR(F187="",G187=""),"",(F187+G187)/2)</f>
        <v/>
      </c>
      <c r="I187" s="20" t="n"/>
      <c r="J187" s="21">
        <f>IF(OR(H187="",I187=""),"",IF(H187&gt;=IksaH,2*H187*I187,0))</f>
        <v/>
      </c>
      <c r="K187" s="21">
        <f>IF(OR(H187="",I187=""),"",HendekB*H187*I187)</f>
        <v/>
      </c>
      <c r="L187" s="5" t="n"/>
    </row>
    <row r="188">
      <c r="A188" s="5" t="n"/>
      <c r="B188" s="5" t="n"/>
      <c r="C188" s="5" t="n"/>
      <c r="D188" s="32" t="n"/>
      <c r="E188" s="32" t="n"/>
      <c r="F188" s="33">
        <f>IF(D188="","",D188+KaziEk)</f>
        <v/>
      </c>
      <c r="G188" s="33">
        <f>IF(E188="","",E188+KaziEk)</f>
        <v/>
      </c>
      <c r="H188" s="34">
        <f>IF(OR(F188="",G188=""),"",(F188+G188)/2)</f>
        <v/>
      </c>
      <c r="I188" s="20" t="n"/>
      <c r="J188" s="21">
        <f>IF(OR(H188="",I188=""),"",IF(H188&gt;=IksaH,2*H188*I188,0))</f>
        <v/>
      </c>
      <c r="K188" s="21">
        <f>IF(OR(H188="",I188=""),"",HendekB*H188*I188)</f>
        <v/>
      </c>
      <c r="L188" s="5" t="n"/>
    </row>
    <row r="189">
      <c r="A189" s="5" t="n"/>
      <c r="B189" s="5" t="n"/>
      <c r="C189" s="5" t="n"/>
      <c r="D189" s="32" t="n"/>
      <c r="E189" s="32" t="n"/>
      <c r="F189" s="33">
        <f>IF(D189="","",D189+KaziEk)</f>
        <v/>
      </c>
      <c r="G189" s="33">
        <f>IF(E189="","",E189+KaziEk)</f>
        <v/>
      </c>
      <c r="H189" s="34">
        <f>IF(OR(F189="",G189=""),"",(F189+G189)/2)</f>
        <v/>
      </c>
      <c r="I189" s="20" t="n"/>
      <c r="J189" s="21">
        <f>IF(OR(H189="",I189=""),"",IF(H189&gt;=IksaH,2*H189*I189,0))</f>
        <v/>
      </c>
      <c r="K189" s="21">
        <f>IF(OR(H189="",I189=""),"",HendekB*H189*I189)</f>
        <v/>
      </c>
      <c r="L189" s="5" t="n"/>
    </row>
    <row r="190">
      <c r="A190" s="5" t="n"/>
      <c r="B190" s="5" t="n"/>
      <c r="C190" s="5" t="n"/>
      <c r="D190" s="32" t="n"/>
      <c r="E190" s="32" t="n"/>
      <c r="F190" s="33">
        <f>IF(D190="","",D190+KaziEk)</f>
        <v/>
      </c>
      <c r="G190" s="33">
        <f>IF(E190="","",E190+KaziEk)</f>
        <v/>
      </c>
      <c r="H190" s="34">
        <f>IF(OR(F190="",G190=""),"",(F190+G190)/2)</f>
        <v/>
      </c>
      <c r="I190" s="20" t="n"/>
      <c r="J190" s="21">
        <f>IF(OR(H190="",I190=""),"",IF(H190&gt;=IksaH,2*H190*I190,0))</f>
        <v/>
      </c>
      <c r="K190" s="21">
        <f>IF(OR(H190="",I190=""),"",HendekB*H190*I190)</f>
        <v/>
      </c>
      <c r="L190" s="5" t="n"/>
    </row>
    <row r="191">
      <c r="A191" s="5" t="n"/>
      <c r="B191" s="5" t="n"/>
      <c r="C191" s="5" t="n"/>
      <c r="D191" s="32" t="n"/>
      <c r="E191" s="32" t="n"/>
      <c r="F191" s="33">
        <f>IF(D191="","",D191+KaziEk)</f>
        <v/>
      </c>
      <c r="G191" s="33">
        <f>IF(E191="","",E191+KaziEk)</f>
        <v/>
      </c>
      <c r="H191" s="34">
        <f>IF(OR(F191="",G191=""),"",(F191+G191)/2)</f>
        <v/>
      </c>
      <c r="I191" s="20" t="n"/>
      <c r="J191" s="21">
        <f>IF(OR(H191="",I191=""),"",IF(H191&gt;=IksaH,2*H191*I191,0))</f>
        <v/>
      </c>
      <c r="K191" s="21">
        <f>IF(OR(H191="",I191=""),"",HendekB*H191*I191)</f>
        <v/>
      </c>
      <c r="L191" s="5" t="n"/>
    </row>
    <row r="192">
      <c r="A192" s="5" t="n"/>
      <c r="B192" s="5" t="n"/>
      <c r="C192" s="5" t="n"/>
      <c r="D192" s="32" t="n"/>
      <c r="E192" s="32" t="n"/>
      <c r="F192" s="33">
        <f>IF(D192="","",D192+KaziEk)</f>
        <v/>
      </c>
      <c r="G192" s="33">
        <f>IF(E192="","",E192+KaziEk)</f>
        <v/>
      </c>
      <c r="H192" s="34">
        <f>IF(OR(F192="",G192=""),"",(F192+G192)/2)</f>
        <v/>
      </c>
      <c r="I192" s="20" t="n"/>
      <c r="J192" s="21">
        <f>IF(OR(H192="",I192=""),"",IF(H192&gt;=IksaH,2*H192*I192,0))</f>
        <v/>
      </c>
      <c r="K192" s="21">
        <f>IF(OR(H192="",I192=""),"",HendekB*H192*I192)</f>
        <v/>
      </c>
      <c r="L192" s="5" t="n"/>
    </row>
    <row r="193">
      <c r="A193" s="5" t="n"/>
      <c r="B193" s="5" t="n"/>
      <c r="C193" s="5" t="n"/>
      <c r="D193" s="32" t="n"/>
      <c r="E193" s="32" t="n"/>
      <c r="F193" s="33">
        <f>IF(D193="","",D193+KaziEk)</f>
        <v/>
      </c>
      <c r="G193" s="33">
        <f>IF(E193="","",E193+KaziEk)</f>
        <v/>
      </c>
      <c r="H193" s="34">
        <f>IF(OR(F193="",G193=""),"",(F193+G193)/2)</f>
        <v/>
      </c>
      <c r="I193" s="20" t="n"/>
      <c r="J193" s="21">
        <f>IF(OR(H193="",I193=""),"",IF(H193&gt;=IksaH,2*H193*I193,0))</f>
        <v/>
      </c>
      <c r="K193" s="21">
        <f>IF(OR(H193="",I193=""),"",HendekB*H193*I193)</f>
        <v/>
      </c>
      <c r="L193" s="5" t="n"/>
    </row>
    <row r="194">
      <c r="A194" s="5" t="n"/>
      <c r="B194" s="5" t="n"/>
      <c r="C194" s="5" t="n"/>
      <c r="D194" s="32" t="n"/>
      <c r="E194" s="32" t="n"/>
      <c r="F194" s="33">
        <f>IF(D194="","",D194+KaziEk)</f>
        <v/>
      </c>
      <c r="G194" s="33">
        <f>IF(E194="","",E194+KaziEk)</f>
        <v/>
      </c>
      <c r="H194" s="34">
        <f>IF(OR(F194="",G194=""),"",(F194+G194)/2)</f>
        <v/>
      </c>
      <c r="I194" s="20" t="n"/>
      <c r="J194" s="21">
        <f>IF(OR(H194="",I194=""),"",IF(H194&gt;=IksaH,2*H194*I194,0))</f>
        <v/>
      </c>
      <c r="K194" s="21">
        <f>IF(OR(H194="",I194=""),"",HendekB*H194*I194)</f>
        <v/>
      </c>
      <c r="L194" s="5" t="n"/>
    </row>
    <row r="195">
      <c r="A195" s="5" t="n"/>
      <c r="B195" s="5" t="n"/>
      <c r="C195" s="5" t="n"/>
      <c r="D195" s="32" t="n"/>
      <c r="E195" s="32" t="n"/>
      <c r="F195" s="33">
        <f>IF(D195="","",D195+KaziEk)</f>
        <v/>
      </c>
      <c r="G195" s="33">
        <f>IF(E195="","",E195+KaziEk)</f>
        <v/>
      </c>
      <c r="H195" s="34">
        <f>IF(OR(F195="",G195=""),"",(F195+G195)/2)</f>
        <v/>
      </c>
      <c r="I195" s="20" t="n"/>
      <c r="J195" s="21">
        <f>IF(OR(H195="",I195=""),"",IF(H195&gt;=IksaH,2*H195*I195,0))</f>
        <v/>
      </c>
      <c r="K195" s="21">
        <f>IF(OR(H195="",I195=""),"",HendekB*H195*I195)</f>
        <v/>
      </c>
      <c r="L195" s="5" t="n"/>
    </row>
    <row r="196">
      <c r="A196" s="5" t="n"/>
      <c r="B196" s="5" t="n"/>
      <c r="C196" s="5" t="n"/>
      <c r="D196" s="32" t="n"/>
      <c r="E196" s="32" t="n"/>
      <c r="F196" s="33">
        <f>IF(D196="","",D196+KaziEk)</f>
        <v/>
      </c>
      <c r="G196" s="33">
        <f>IF(E196="","",E196+KaziEk)</f>
        <v/>
      </c>
      <c r="H196" s="34">
        <f>IF(OR(F196="",G196=""),"",(F196+G196)/2)</f>
        <v/>
      </c>
      <c r="I196" s="20" t="n"/>
      <c r="J196" s="21">
        <f>IF(OR(H196="",I196=""),"",IF(H196&gt;=IksaH,2*H196*I196,0))</f>
        <v/>
      </c>
      <c r="K196" s="21">
        <f>IF(OR(H196="",I196=""),"",HendekB*H196*I196)</f>
        <v/>
      </c>
      <c r="L196" s="5" t="n"/>
    </row>
    <row r="197">
      <c r="A197" s="5" t="n"/>
      <c r="B197" s="5" t="n"/>
      <c r="C197" s="5" t="n"/>
      <c r="D197" s="32" t="n"/>
      <c r="E197" s="32" t="n"/>
      <c r="F197" s="33">
        <f>IF(D197="","",D197+KaziEk)</f>
        <v/>
      </c>
      <c r="G197" s="33">
        <f>IF(E197="","",E197+KaziEk)</f>
        <v/>
      </c>
      <c r="H197" s="34">
        <f>IF(OR(F197="",G197=""),"",(F197+G197)/2)</f>
        <v/>
      </c>
      <c r="I197" s="20" t="n"/>
      <c r="J197" s="21">
        <f>IF(OR(H197="",I197=""),"",IF(H197&gt;=IksaH,2*H197*I197,0))</f>
        <v/>
      </c>
      <c r="K197" s="21">
        <f>IF(OR(H197="",I197=""),"",HendekB*H197*I197)</f>
        <v/>
      </c>
      <c r="L197" s="5" t="n"/>
    </row>
    <row r="198">
      <c r="A198" s="5" t="n"/>
      <c r="B198" s="5" t="n"/>
      <c r="C198" s="5" t="n"/>
      <c r="D198" s="32" t="n"/>
      <c r="E198" s="32" t="n"/>
      <c r="F198" s="33">
        <f>IF(D198="","",D198+KaziEk)</f>
        <v/>
      </c>
      <c r="G198" s="33">
        <f>IF(E198="","",E198+KaziEk)</f>
        <v/>
      </c>
      <c r="H198" s="34">
        <f>IF(OR(F198="",G198=""),"",(F198+G198)/2)</f>
        <v/>
      </c>
      <c r="I198" s="20" t="n"/>
      <c r="J198" s="21">
        <f>IF(OR(H198="",I198=""),"",IF(H198&gt;=IksaH,2*H198*I198,0))</f>
        <v/>
      </c>
      <c r="K198" s="21">
        <f>IF(OR(H198="",I198=""),"",HendekB*H198*I198)</f>
        <v/>
      </c>
      <c r="L198" s="5" t="n"/>
    </row>
    <row r="199">
      <c r="A199" s="5" t="n"/>
      <c r="B199" s="5" t="n"/>
      <c r="C199" s="5" t="n"/>
      <c r="D199" s="32" t="n"/>
      <c r="E199" s="32" t="n"/>
      <c r="F199" s="33">
        <f>IF(D199="","",D199+KaziEk)</f>
        <v/>
      </c>
      <c r="G199" s="33">
        <f>IF(E199="","",E199+KaziEk)</f>
        <v/>
      </c>
      <c r="H199" s="34">
        <f>IF(OR(F199="",G199=""),"",(F199+G199)/2)</f>
        <v/>
      </c>
      <c r="I199" s="20" t="n"/>
      <c r="J199" s="21">
        <f>IF(OR(H199="",I199=""),"",IF(H199&gt;=IksaH,2*H199*I199,0))</f>
        <v/>
      </c>
      <c r="K199" s="21">
        <f>IF(OR(H199="",I199=""),"",HendekB*H199*I199)</f>
        <v/>
      </c>
      <c r="L199" s="5" t="n"/>
    </row>
    <row r="200">
      <c r="A200" s="5" t="n"/>
      <c r="B200" s="5" t="n"/>
      <c r="C200" s="5" t="n"/>
      <c r="D200" s="32" t="n"/>
      <c r="E200" s="32" t="n"/>
      <c r="F200" s="33">
        <f>IF(D200="","",D200+KaziEk)</f>
        <v/>
      </c>
      <c r="G200" s="33">
        <f>IF(E200="","",E200+KaziEk)</f>
        <v/>
      </c>
      <c r="H200" s="34">
        <f>IF(OR(F200="",G200=""),"",(F200+G200)/2)</f>
        <v/>
      </c>
      <c r="I200" s="20" t="n"/>
      <c r="J200" s="21">
        <f>IF(OR(H200="",I200=""),"",IF(H200&gt;=IksaH,2*H200*I200,0))</f>
        <v/>
      </c>
      <c r="K200" s="21">
        <f>IF(OR(H200="",I200=""),"",HendekB*H200*I200)</f>
        <v/>
      </c>
      <c r="L200" s="5" t="n"/>
    </row>
    <row r="201">
      <c r="A201" s="5" t="n"/>
      <c r="B201" s="5" t="n"/>
      <c r="C201" s="5" t="n"/>
      <c r="D201" s="32" t="n"/>
      <c r="E201" s="32" t="n"/>
      <c r="F201" s="33">
        <f>IF(D201="","",D201+KaziEk)</f>
        <v/>
      </c>
      <c r="G201" s="33">
        <f>IF(E201="","",E201+KaziEk)</f>
        <v/>
      </c>
      <c r="H201" s="34">
        <f>IF(OR(F201="",G201=""),"",(F201+G201)/2)</f>
        <v/>
      </c>
      <c r="I201" s="20" t="n"/>
      <c r="J201" s="21">
        <f>IF(OR(H201="",I201=""),"",IF(H201&gt;=IksaH,2*H201*I201,0))</f>
        <v/>
      </c>
      <c r="K201" s="21">
        <f>IF(OR(H201="",I201=""),"",HendekB*H201*I201)</f>
        <v/>
      </c>
      <c r="L201" s="5" t="n"/>
    </row>
    <row r="202">
      <c r="A202" s="5" t="n"/>
      <c r="B202" s="5" t="n"/>
      <c r="C202" s="5" t="n"/>
      <c r="D202" s="32" t="n"/>
      <c r="E202" s="32" t="n"/>
      <c r="F202" s="33">
        <f>IF(D202="","",D202+KaziEk)</f>
        <v/>
      </c>
      <c r="G202" s="33">
        <f>IF(E202="","",E202+KaziEk)</f>
        <v/>
      </c>
      <c r="H202" s="34">
        <f>IF(OR(F202="",G202=""),"",(F202+G202)/2)</f>
        <v/>
      </c>
      <c r="I202" s="20" t="n"/>
      <c r="J202" s="21">
        <f>IF(OR(H202="",I202=""),"",IF(H202&gt;=IksaH,2*H202*I202,0))</f>
        <v/>
      </c>
      <c r="K202" s="21">
        <f>IF(OR(H202="",I202=""),"",HendekB*H202*I202)</f>
        <v/>
      </c>
      <c r="L202" s="5" t="n"/>
    </row>
    <row r="203">
      <c r="A203" s="5" t="n"/>
      <c r="B203" s="5" t="n"/>
      <c r="C203" s="5" t="n"/>
      <c r="D203" s="32" t="n"/>
      <c r="E203" s="32" t="n"/>
      <c r="F203" s="33">
        <f>IF(D203="","",D203+KaziEk)</f>
        <v/>
      </c>
      <c r="G203" s="33">
        <f>IF(E203="","",E203+KaziEk)</f>
        <v/>
      </c>
      <c r="H203" s="34">
        <f>IF(OR(F203="",G203=""),"",(F203+G203)/2)</f>
        <v/>
      </c>
      <c r="I203" s="20" t="n"/>
      <c r="J203" s="21">
        <f>IF(OR(H203="",I203=""),"",IF(H203&gt;=IksaH,2*H203*I203,0))</f>
        <v/>
      </c>
      <c r="K203" s="21">
        <f>IF(OR(H203="",I203=""),"",HendekB*H203*I203)</f>
        <v/>
      </c>
      <c r="L203" s="5" t="n"/>
    </row>
    <row r="204">
      <c r="A204" s="5" t="n"/>
      <c r="B204" s="5" t="n"/>
      <c r="C204" s="5" t="n"/>
      <c r="D204" s="32" t="n"/>
      <c r="E204" s="32" t="n"/>
      <c r="F204" s="33">
        <f>IF(D204="","",D204+KaziEk)</f>
        <v/>
      </c>
      <c r="G204" s="33">
        <f>IF(E204="","",E204+KaziEk)</f>
        <v/>
      </c>
      <c r="H204" s="34">
        <f>IF(OR(F204="",G204=""),"",(F204+G204)/2)</f>
        <v/>
      </c>
      <c r="I204" s="20" t="n"/>
      <c r="J204" s="21">
        <f>IF(OR(H204="",I204=""),"",IF(H204&gt;=IksaH,2*H204*I204,0))</f>
        <v/>
      </c>
      <c r="K204" s="21">
        <f>IF(OR(H204="",I204=""),"",HendekB*H204*I204)</f>
        <v/>
      </c>
      <c r="L204" s="5" t="n"/>
    </row>
    <row r="205">
      <c r="A205" s="5" t="n"/>
      <c r="B205" s="5" t="n"/>
      <c r="C205" s="5" t="n"/>
      <c r="D205" s="32" t="n"/>
      <c r="E205" s="32" t="n"/>
      <c r="F205" s="33">
        <f>IF(D205="","",D205+KaziEk)</f>
        <v/>
      </c>
      <c r="G205" s="33">
        <f>IF(E205="","",E205+KaziEk)</f>
        <v/>
      </c>
      <c r="H205" s="34">
        <f>IF(OR(F205="",G205=""),"",(F205+G205)/2)</f>
        <v/>
      </c>
      <c r="I205" s="20" t="n"/>
      <c r="J205" s="21">
        <f>IF(OR(H205="",I205=""),"",IF(H205&gt;=IksaH,2*H205*I205,0))</f>
        <v/>
      </c>
      <c r="K205" s="21">
        <f>IF(OR(H205="",I205=""),"",HendekB*H205*I205)</f>
        <v/>
      </c>
      <c r="L205" s="5" t="n"/>
    </row>
    <row r="206">
      <c r="A206" s="5" t="n"/>
      <c r="B206" s="5" t="n"/>
      <c r="C206" s="5" t="n"/>
      <c r="D206" s="32" t="n"/>
      <c r="E206" s="32" t="n"/>
      <c r="F206" s="33">
        <f>IF(D206="","",D206+KaziEk)</f>
        <v/>
      </c>
      <c r="G206" s="33">
        <f>IF(E206="","",E206+KaziEk)</f>
        <v/>
      </c>
      <c r="H206" s="34">
        <f>IF(OR(F206="",G206=""),"",(F206+G206)/2)</f>
        <v/>
      </c>
      <c r="I206" s="20" t="n"/>
      <c r="J206" s="21">
        <f>IF(OR(H206="",I206=""),"",IF(H206&gt;=IksaH,2*H206*I206,0))</f>
        <v/>
      </c>
      <c r="K206" s="21">
        <f>IF(OR(H206="",I206=""),"",HendekB*H206*I206)</f>
        <v/>
      </c>
      <c r="L206" s="5" t="n"/>
    </row>
    <row r="207">
      <c r="A207" s="5" t="n"/>
      <c r="B207" s="5" t="n"/>
      <c r="C207" s="5" t="n"/>
      <c r="D207" s="32" t="n"/>
      <c r="E207" s="32" t="n"/>
      <c r="F207" s="33">
        <f>IF(D207="","",D207+KaziEk)</f>
        <v/>
      </c>
      <c r="G207" s="33">
        <f>IF(E207="","",E207+KaziEk)</f>
        <v/>
      </c>
      <c r="H207" s="34">
        <f>IF(OR(F207="",G207=""),"",(F207+G207)/2)</f>
        <v/>
      </c>
      <c r="I207" s="20" t="n"/>
      <c r="J207" s="21">
        <f>IF(OR(H207="",I207=""),"",IF(H207&gt;=IksaH,2*H207*I207,0))</f>
        <v/>
      </c>
      <c r="K207" s="21">
        <f>IF(OR(H207="",I207=""),"",HendekB*H207*I207)</f>
        <v/>
      </c>
      <c r="L207" s="5" t="n"/>
    </row>
    <row r="208">
      <c r="A208" s="5" t="n"/>
      <c r="B208" s="5" t="n"/>
      <c r="C208" s="5" t="n"/>
      <c r="D208" s="32" t="n"/>
      <c r="E208" s="32" t="n"/>
      <c r="F208" s="33">
        <f>IF(D208="","",D208+KaziEk)</f>
        <v/>
      </c>
      <c r="G208" s="33">
        <f>IF(E208="","",E208+KaziEk)</f>
        <v/>
      </c>
      <c r="H208" s="34">
        <f>IF(OR(F208="",G208=""),"",(F208+G208)/2)</f>
        <v/>
      </c>
      <c r="I208" s="20" t="n"/>
      <c r="J208" s="21">
        <f>IF(OR(H208="",I208=""),"",IF(H208&gt;=IksaH,2*H208*I208,0))</f>
        <v/>
      </c>
      <c r="K208" s="21">
        <f>IF(OR(H208="",I208=""),"",HendekB*H208*I208)</f>
        <v/>
      </c>
      <c r="L208" s="5" t="n"/>
    </row>
    <row r="209">
      <c r="A209" s="5" t="n"/>
      <c r="B209" s="5" t="n"/>
      <c r="C209" s="5" t="n"/>
      <c r="D209" s="32" t="n"/>
      <c r="E209" s="32" t="n"/>
      <c r="F209" s="33">
        <f>IF(D209="","",D209+KaziEk)</f>
        <v/>
      </c>
      <c r="G209" s="33">
        <f>IF(E209="","",E209+KaziEk)</f>
        <v/>
      </c>
      <c r="H209" s="34">
        <f>IF(OR(F209="",G209=""),"",(F209+G209)/2)</f>
        <v/>
      </c>
      <c r="I209" s="20" t="n"/>
      <c r="J209" s="21">
        <f>IF(OR(H209="",I209=""),"",IF(H209&gt;=IksaH,2*H209*I209,0))</f>
        <v/>
      </c>
      <c r="K209" s="21">
        <f>IF(OR(H209="",I209=""),"",HendekB*H209*I209)</f>
        <v/>
      </c>
      <c r="L209" s="5" t="n"/>
    </row>
    <row r="210">
      <c r="A210" s="5" t="n"/>
      <c r="B210" s="5" t="n"/>
      <c r="C210" s="5" t="n"/>
      <c r="D210" s="32" t="n"/>
      <c r="E210" s="32" t="n"/>
      <c r="F210" s="33">
        <f>IF(D210="","",D210+KaziEk)</f>
        <v/>
      </c>
      <c r="G210" s="33">
        <f>IF(E210="","",E210+KaziEk)</f>
        <v/>
      </c>
      <c r="H210" s="34">
        <f>IF(OR(F210="",G210=""),"",(F210+G210)/2)</f>
        <v/>
      </c>
      <c r="I210" s="20" t="n"/>
      <c r="J210" s="21">
        <f>IF(OR(H210="",I210=""),"",IF(H210&gt;=IksaH,2*H210*I210,0))</f>
        <v/>
      </c>
      <c r="K210" s="21">
        <f>IF(OR(H210="",I210=""),"",HendekB*H210*I210)</f>
        <v/>
      </c>
      <c r="L210" s="5" t="n"/>
    </row>
    <row r="211">
      <c r="A211" s="5" t="n"/>
      <c r="B211" s="5" t="n"/>
      <c r="C211" s="5" t="n"/>
      <c r="D211" s="32" t="n"/>
      <c r="E211" s="32" t="n"/>
      <c r="F211" s="33">
        <f>IF(D211="","",D211+KaziEk)</f>
        <v/>
      </c>
      <c r="G211" s="33">
        <f>IF(E211="","",E211+KaziEk)</f>
        <v/>
      </c>
      <c r="H211" s="34">
        <f>IF(OR(F211="",G211=""),"",(F211+G211)/2)</f>
        <v/>
      </c>
      <c r="I211" s="20" t="n"/>
      <c r="J211" s="21">
        <f>IF(OR(H211="",I211=""),"",IF(H211&gt;=IksaH,2*H211*I211,0))</f>
        <v/>
      </c>
      <c r="K211" s="21">
        <f>IF(OR(H211="",I211=""),"",HendekB*H211*I211)</f>
        <v/>
      </c>
      <c r="L211" s="5" t="n"/>
    </row>
    <row r="212">
      <c r="A212" s="5" t="n"/>
      <c r="B212" s="5" t="n"/>
      <c r="C212" s="5" t="n"/>
      <c r="D212" s="32" t="n"/>
      <c r="E212" s="32" t="n"/>
      <c r="F212" s="33">
        <f>IF(D212="","",D212+KaziEk)</f>
        <v/>
      </c>
      <c r="G212" s="33">
        <f>IF(E212="","",E212+KaziEk)</f>
        <v/>
      </c>
      <c r="H212" s="34">
        <f>IF(OR(F212="",G212=""),"",(F212+G212)/2)</f>
        <v/>
      </c>
      <c r="I212" s="20" t="n"/>
      <c r="J212" s="21">
        <f>IF(OR(H212="",I212=""),"",IF(H212&gt;=IksaH,2*H212*I212,0))</f>
        <v/>
      </c>
      <c r="K212" s="21">
        <f>IF(OR(H212="",I212=""),"",HendekB*H212*I212)</f>
        <v/>
      </c>
      <c r="L212" s="5" t="n"/>
    </row>
    <row r="213">
      <c r="A213" s="5" t="n"/>
      <c r="B213" s="5" t="n"/>
      <c r="C213" s="5" t="n"/>
      <c r="D213" s="32" t="n"/>
      <c r="E213" s="32" t="n"/>
      <c r="F213" s="33">
        <f>IF(D213="","",D213+KaziEk)</f>
        <v/>
      </c>
      <c r="G213" s="33">
        <f>IF(E213="","",E213+KaziEk)</f>
        <v/>
      </c>
      <c r="H213" s="34">
        <f>IF(OR(F213="",G213=""),"",(F213+G213)/2)</f>
        <v/>
      </c>
      <c r="I213" s="20" t="n"/>
      <c r="J213" s="21">
        <f>IF(OR(H213="",I213=""),"",IF(H213&gt;=IksaH,2*H213*I213,0))</f>
        <v/>
      </c>
      <c r="K213" s="21">
        <f>IF(OR(H213="",I213=""),"",HendekB*H213*I213)</f>
        <v/>
      </c>
      <c r="L213" s="5" t="n"/>
    </row>
    <row r="214">
      <c r="A214" s="5" t="n"/>
      <c r="B214" s="5" t="n"/>
      <c r="C214" s="5" t="n"/>
      <c r="D214" s="32" t="n"/>
      <c r="E214" s="32" t="n"/>
      <c r="F214" s="33">
        <f>IF(D214="","",D214+KaziEk)</f>
        <v/>
      </c>
      <c r="G214" s="33">
        <f>IF(E214="","",E214+KaziEk)</f>
        <v/>
      </c>
      <c r="H214" s="34">
        <f>IF(OR(F214="",G214=""),"",(F214+G214)/2)</f>
        <v/>
      </c>
      <c r="I214" s="20" t="n"/>
      <c r="J214" s="21">
        <f>IF(OR(H214="",I214=""),"",IF(H214&gt;=IksaH,2*H214*I214,0))</f>
        <v/>
      </c>
      <c r="K214" s="21">
        <f>IF(OR(H214="",I214=""),"",HendekB*H214*I214)</f>
        <v/>
      </c>
      <c r="L214" s="5" t="n"/>
    </row>
    <row r="215">
      <c r="A215" s="5" t="n"/>
      <c r="B215" s="5" t="n"/>
      <c r="C215" s="5" t="n"/>
      <c r="D215" s="32" t="n"/>
      <c r="E215" s="32" t="n"/>
      <c r="F215" s="33">
        <f>IF(D215="","",D215+KaziEk)</f>
        <v/>
      </c>
      <c r="G215" s="33">
        <f>IF(E215="","",E215+KaziEk)</f>
        <v/>
      </c>
      <c r="H215" s="34">
        <f>IF(OR(F215="",G215=""),"",(F215+G215)/2)</f>
        <v/>
      </c>
      <c r="I215" s="20" t="n"/>
      <c r="J215" s="21">
        <f>IF(OR(H215="",I215=""),"",IF(H215&gt;=IksaH,2*H215*I215,0))</f>
        <v/>
      </c>
      <c r="K215" s="21">
        <f>IF(OR(H215="",I215=""),"",HendekB*H215*I215)</f>
        <v/>
      </c>
      <c r="L215" s="5" t="n"/>
    </row>
    <row r="216">
      <c r="A216" s="5" t="n"/>
      <c r="B216" s="5" t="n"/>
      <c r="C216" s="5" t="n"/>
      <c r="D216" s="32" t="n"/>
      <c r="E216" s="32" t="n"/>
      <c r="F216" s="33">
        <f>IF(D216="","",D216+KaziEk)</f>
        <v/>
      </c>
      <c r="G216" s="33">
        <f>IF(E216="","",E216+KaziEk)</f>
        <v/>
      </c>
      <c r="H216" s="34">
        <f>IF(OR(F216="",G216=""),"",(F216+G216)/2)</f>
        <v/>
      </c>
      <c r="I216" s="20" t="n"/>
      <c r="J216" s="21">
        <f>IF(OR(H216="",I216=""),"",IF(H216&gt;=IksaH,2*H216*I216,0))</f>
        <v/>
      </c>
      <c r="K216" s="21">
        <f>IF(OR(H216="",I216=""),"",HendekB*H216*I216)</f>
        <v/>
      </c>
      <c r="L216" s="5" t="n"/>
    </row>
    <row r="217">
      <c r="A217" s="5" t="n"/>
      <c r="B217" s="5" t="n"/>
      <c r="C217" s="5" t="n"/>
      <c r="D217" s="32" t="n"/>
      <c r="E217" s="32" t="n"/>
      <c r="F217" s="33">
        <f>IF(D217="","",D217+KaziEk)</f>
        <v/>
      </c>
      <c r="G217" s="33">
        <f>IF(E217="","",E217+KaziEk)</f>
        <v/>
      </c>
      <c r="H217" s="34">
        <f>IF(OR(F217="",G217=""),"",(F217+G217)/2)</f>
        <v/>
      </c>
      <c r="I217" s="20" t="n"/>
      <c r="J217" s="21">
        <f>IF(OR(H217="",I217=""),"",IF(H217&gt;=IksaH,2*H217*I217,0))</f>
        <v/>
      </c>
      <c r="K217" s="21">
        <f>IF(OR(H217="",I217=""),"",HendekB*H217*I217)</f>
        <v/>
      </c>
      <c r="L217" s="5" t="n"/>
    </row>
    <row r="218">
      <c r="A218" s="5" t="n"/>
      <c r="B218" s="5" t="n"/>
      <c r="C218" s="5" t="n"/>
      <c r="D218" s="32" t="n"/>
      <c r="E218" s="32" t="n"/>
      <c r="F218" s="33">
        <f>IF(D218="","",D218+KaziEk)</f>
        <v/>
      </c>
      <c r="G218" s="33">
        <f>IF(E218="","",E218+KaziEk)</f>
        <v/>
      </c>
      <c r="H218" s="34">
        <f>IF(OR(F218="",G218=""),"",(F218+G218)/2)</f>
        <v/>
      </c>
      <c r="I218" s="20" t="n"/>
      <c r="J218" s="21">
        <f>IF(OR(H218="",I218=""),"",IF(H218&gt;=IksaH,2*H218*I218,0))</f>
        <v/>
      </c>
      <c r="K218" s="21">
        <f>IF(OR(H218="",I218=""),"",HendekB*H218*I218)</f>
        <v/>
      </c>
      <c r="L218" s="5" t="n"/>
    </row>
    <row r="219">
      <c r="A219" s="5" t="n"/>
      <c r="B219" s="5" t="n"/>
      <c r="C219" s="5" t="n"/>
      <c r="D219" s="32" t="n"/>
      <c r="E219" s="32" t="n"/>
      <c r="F219" s="33">
        <f>IF(D219="","",D219+KaziEk)</f>
        <v/>
      </c>
      <c r="G219" s="33">
        <f>IF(E219="","",E219+KaziEk)</f>
        <v/>
      </c>
      <c r="H219" s="34">
        <f>IF(OR(F219="",G219=""),"",(F219+G219)/2)</f>
        <v/>
      </c>
      <c r="I219" s="20" t="n"/>
      <c r="J219" s="21">
        <f>IF(OR(H219="",I219=""),"",IF(H219&gt;=IksaH,2*H219*I219,0))</f>
        <v/>
      </c>
      <c r="K219" s="21">
        <f>IF(OR(H219="",I219=""),"",HendekB*H219*I219)</f>
        <v/>
      </c>
      <c r="L219" s="5" t="n"/>
    </row>
    <row r="220">
      <c r="A220" s="5" t="n"/>
      <c r="B220" s="5" t="n"/>
      <c r="C220" s="5" t="n"/>
      <c r="D220" s="32" t="n"/>
      <c r="E220" s="32" t="n"/>
      <c r="F220" s="33">
        <f>IF(D220="","",D220+KaziEk)</f>
        <v/>
      </c>
      <c r="G220" s="33">
        <f>IF(E220="","",E220+KaziEk)</f>
        <v/>
      </c>
      <c r="H220" s="34">
        <f>IF(OR(F220="",G220=""),"",(F220+G220)/2)</f>
        <v/>
      </c>
      <c r="I220" s="20" t="n"/>
      <c r="J220" s="21">
        <f>IF(OR(H220="",I220=""),"",IF(H220&gt;=IksaH,2*H220*I220,0))</f>
        <v/>
      </c>
      <c r="K220" s="21">
        <f>IF(OR(H220="",I220=""),"",HendekB*H220*I220)</f>
        <v/>
      </c>
      <c r="L220" s="5" t="n"/>
    </row>
    <row r="221">
      <c r="A221" s="5" t="n"/>
      <c r="B221" s="5" t="n"/>
      <c r="C221" s="5" t="n"/>
      <c r="D221" s="32" t="n"/>
      <c r="E221" s="32" t="n"/>
      <c r="F221" s="33">
        <f>IF(D221="","",D221+KaziEk)</f>
        <v/>
      </c>
      <c r="G221" s="33">
        <f>IF(E221="","",E221+KaziEk)</f>
        <v/>
      </c>
      <c r="H221" s="34">
        <f>IF(OR(F221="",G221=""),"",(F221+G221)/2)</f>
        <v/>
      </c>
      <c r="I221" s="20" t="n"/>
      <c r="J221" s="21">
        <f>IF(OR(H221="",I221=""),"",IF(H221&gt;=IksaH,2*H221*I221,0))</f>
        <v/>
      </c>
      <c r="K221" s="21">
        <f>IF(OR(H221="",I221=""),"",HendekB*H221*I221)</f>
        <v/>
      </c>
      <c r="L221" s="5" t="n"/>
    </row>
    <row r="222">
      <c r="A222" s="5" t="n"/>
      <c r="B222" s="5" t="n"/>
      <c r="C222" s="5" t="n"/>
      <c r="D222" s="32" t="n"/>
      <c r="E222" s="32" t="n"/>
      <c r="F222" s="33">
        <f>IF(D222="","",D222+KaziEk)</f>
        <v/>
      </c>
      <c r="G222" s="33">
        <f>IF(E222="","",E222+KaziEk)</f>
        <v/>
      </c>
      <c r="H222" s="34">
        <f>IF(OR(F222="",G222=""),"",(F222+G222)/2)</f>
        <v/>
      </c>
      <c r="I222" s="20" t="n"/>
      <c r="J222" s="21">
        <f>IF(OR(H222="",I222=""),"",IF(H222&gt;=IksaH,2*H222*I222,0))</f>
        <v/>
      </c>
      <c r="K222" s="21">
        <f>IF(OR(H222="",I222=""),"",HendekB*H222*I222)</f>
        <v/>
      </c>
      <c r="L222" s="5" t="n"/>
    </row>
    <row r="223">
      <c r="A223" s="5" t="n"/>
      <c r="B223" s="5" t="n"/>
      <c r="C223" s="5" t="n"/>
      <c r="D223" s="32" t="n"/>
      <c r="E223" s="32" t="n"/>
      <c r="F223" s="33">
        <f>IF(D223="","",D223+KaziEk)</f>
        <v/>
      </c>
      <c r="G223" s="33">
        <f>IF(E223="","",E223+KaziEk)</f>
        <v/>
      </c>
      <c r="H223" s="34">
        <f>IF(OR(F223="",G223=""),"",(F223+G223)/2)</f>
        <v/>
      </c>
      <c r="I223" s="20" t="n"/>
      <c r="J223" s="21">
        <f>IF(OR(H223="",I223=""),"",IF(H223&gt;=IksaH,2*H223*I223,0))</f>
        <v/>
      </c>
      <c r="K223" s="21">
        <f>IF(OR(H223="",I223=""),"",HendekB*H223*I223)</f>
        <v/>
      </c>
      <c r="L223" s="5" t="n"/>
    </row>
    <row r="224">
      <c r="A224" s="5" t="n"/>
      <c r="B224" s="5" t="n"/>
      <c r="C224" s="5" t="n"/>
      <c r="D224" s="32" t="n"/>
      <c r="E224" s="32" t="n"/>
      <c r="F224" s="33">
        <f>IF(D224="","",D224+KaziEk)</f>
        <v/>
      </c>
      <c r="G224" s="33">
        <f>IF(E224="","",E224+KaziEk)</f>
        <v/>
      </c>
      <c r="H224" s="34">
        <f>IF(OR(F224="",G224=""),"",(F224+G224)/2)</f>
        <v/>
      </c>
      <c r="I224" s="20" t="n"/>
      <c r="J224" s="21">
        <f>IF(OR(H224="",I224=""),"",IF(H224&gt;=IksaH,2*H224*I224,0))</f>
        <v/>
      </c>
      <c r="K224" s="21">
        <f>IF(OR(H224="",I224=""),"",HendekB*H224*I224)</f>
        <v/>
      </c>
      <c r="L224" s="5" t="n"/>
    </row>
    <row r="225">
      <c r="A225" s="5" t="n"/>
      <c r="B225" s="5" t="n"/>
      <c r="C225" s="5" t="n"/>
      <c r="D225" s="32" t="n"/>
      <c r="E225" s="32" t="n"/>
      <c r="F225" s="33">
        <f>IF(D225="","",D225+KaziEk)</f>
        <v/>
      </c>
      <c r="G225" s="33">
        <f>IF(E225="","",E225+KaziEk)</f>
        <v/>
      </c>
      <c r="H225" s="34">
        <f>IF(OR(F225="",G225=""),"",(F225+G225)/2)</f>
        <v/>
      </c>
      <c r="I225" s="20" t="n"/>
      <c r="J225" s="21">
        <f>IF(OR(H225="",I225=""),"",IF(H225&gt;=IksaH,2*H225*I225,0))</f>
        <v/>
      </c>
      <c r="K225" s="21">
        <f>IF(OR(H225="",I225=""),"",HendekB*H225*I225)</f>
        <v/>
      </c>
      <c r="L225" s="5" t="n"/>
    </row>
    <row r="226">
      <c r="A226" s="5" t="n"/>
      <c r="B226" s="5" t="n"/>
      <c r="C226" s="5" t="n"/>
      <c r="D226" s="32" t="n"/>
      <c r="E226" s="32" t="n"/>
      <c r="F226" s="33">
        <f>IF(D226="","",D226+KaziEk)</f>
        <v/>
      </c>
      <c r="G226" s="33">
        <f>IF(E226="","",E226+KaziEk)</f>
        <v/>
      </c>
      <c r="H226" s="34">
        <f>IF(OR(F226="",G226=""),"",(F226+G226)/2)</f>
        <v/>
      </c>
      <c r="I226" s="20" t="n"/>
      <c r="J226" s="21">
        <f>IF(OR(H226="",I226=""),"",IF(H226&gt;=IksaH,2*H226*I226,0))</f>
        <v/>
      </c>
      <c r="K226" s="21">
        <f>IF(OR(H226="",I226=""),"",HendekB*H226*I226)</f>
        <v/>
      </c>
      <c r="L226" s="5" t="n"/>
    </row>
    <row r="227">
      <c r="A227" s="5" t="n"/>
      <c r="B227" s="5" t="n"/>
      <c r="C227" s="5" t="n"/>
      <c r="D227" s="32" t="n"/>
      <c r="E227" s="32" t="n"/>
      <c r="F227" s="33">
        <f>IF(D227="","",D227+KaziEk)</f>
        <v/>
      </c>
      <c r="G227" s="33">
        <f>IF(E227="","",E227+KaziEk)</f>
        <v/>
      </c>
      <c r="H227" s="34">
        <f>IF(OR(F227="",G227=""),"",(F227+G227)/2)</f>
        <v/>
      </c>
      <c r="I227" s="20" t="n"/>
      <c r="J227" s="21">
        <f>IF(OR(H227="",I227=""),"",IF(H227&gt;=IksaH,2*H227*I227,0))</f>
        <v/>
      </c>
      <c r="K227" s="21">
        <f>IF(OR(H227="",I227=""),"",HendekB*H227*I227)</f>
        <v/>
      </c>
      <c r="L227" s="5" t="n"/>
    </row>
    <row r="228">
      <c r="A228" s="5" t="n"/>
      <c r="B228" s="5" t="n"/>
      <c r="C228" s="5" t="n"/>
      <c r="D228" s="32" t="n"/>
      <c r="E228" s="32" t="n"/>
      <c r="F228" s="33">
        <f>IF(D228="","",D228+KaziEk)</f>
        <v/>
      </c>
      <c r="G228" s="33">
        <f>IF(E228="","",E228+KaziEk)</f>
        <v/>
      </c>
      <c r="H228" s="34">
        <f>IF(OR(F228="",G228=""),"",(F228+G228)/2)</f>
        <v/>
      </c>
      <c r="I228" s="20" t="n"/>
      <c r="J228" s="21">
        <f>IF(OR(H228="",I228=""),"",IF(H228&gt;=IksaH,2*H228*I228,0))</f>
        <v/>
      </c>
      <c r="K228" s="21">
        <f>IF(OR(H228="",I228=""),"",HendekB*H228*I228)</f>
        <v/>
      </c>
      <c r="L228" s="5" t="n"/>
    </row>
    <row r="229">
      <c r="A229" s="5" t="n"/>
      <c r="B229" s="5" t="n"/>
      <c r="C229" s="5" t="n"/>
      <c r="D229" s="32" t="n"/>
      <c r="E229" s="32" t="n"/>
      <c r="F229" s="33">
        <f>IF(D229="","",D229+KaziEk)</f>
        <v/>
      </c>
      <c r="G229" s="33">
        <f>IF(E229="","",E229+KaziEk)</f>
        <v/>
      </c>
      <c r="H229" s="34">
        <f>IF(OR(F229="",G229=""),"",(F229+G229)/2)</f>
        <v/>
      </c>
      <c r="I229" s="20" t="n"/>
      <c r="J229" s="21">
        <f>IF(OR(H229="",I229=""),"",IF(H229&gt;=IksaH,2*H229*I229,0))</f>
        <v/>
      </c>
      <c r="K229" s="21">
        <f>IF(OR(H229="",I229=""),"",HendekB*H229*I229)</f>
        <v/>
      </c>
      <c r="L229" s="5" t="n"/>
    </row>
    <row r="230">
      <c r="A230" s="5" t="n"/>
      <c r="B230" s="5" t="n"/>
      <c r="C230" s="5" t="n"/>
      <c r="D230" s="32" t="n"/>
      <c r="E230" s="32" t="n"/>
      <c r="F230" s="33">
        <f>IF(D230="","",D230+KaziEk)</f>
        <v/>
      </c>
      <c r="G230" s="33">
        <f>IF(E230="","",E230+KaziEk)</f>
        <v/>
      </c>
      <c r="H230" s="34">
        <f>IF(OR(F230="",G230=""),"",(F230+G230)/2)</f>
        <v/>
      </c>
      <c r="I230" s="20" t="n"/>
      <c r="J230" s="21">
        <f>IF(OR(H230="",I230=""),"",IF(H230&gt;=IksaH,2*H230*I230,0))</f>
        <v/>
      </c>
      <c r="K230" s="21">
        <f>IF(OR(H230="",I230=""),"",HendekB*H230*I230)</f>
        <v/>
      </c>
      <c r="L230" s="5" t="n"/>
    </row>
    <row r="231">
      <c r="A231" s="5" t="n"/>
      <c r="B231" s="5" t="n"/>
      <c r="C231" s="5" t="n"/>
      <c r="D231" s="32" t="n"/>
      <c r="E231" s="32" t="n"/>
      <c r="F231" s="33">
        <f>IF(D231="","",D231+KaziEk)</f>
        <v/>
      </c>
      <c r="G231" s="33">
        <f>IF(E231="","",E231+KaziEk)</f>
        <v/>
      </c>
      <c r="H231" s="34">
        <f>IF(OR(F231="",G231=""),"",(F231+G231)/2)</f>
        <v/>
      </c>
      <c r="I231" s="20" t="n"/>
      <c r="J231" s="21">
        <f>IF(OR(H231="",I231=""),"",IF(H231&gt;=IksaH,2*H231*I231,0))</f>
        <v/>
      </c>
      <c r="K231" s="21">
        <f>IF(OR(H231="",I231=""),"",HendekB*H231*I231)</f>
        <v/>
      </c>
      <c r="L231" s="5" t="n"/>
    </row>
    <row r="232">
      <c r="A232" s="5" t="n"/>
      <c r="B232" s="5" t="n"/>
      <c r="C232" s="5" t="n"/>
      <c r="D232" s="32" t="n"/>
      <c r="E232" s="32" t="n"/>
      <c r="F232" s="33">
        <f>IF(D232="","",D232+KaziEk)</f>
        <v/>
      </c>
      <c r="G232" s="33">
        <f>IF(E232="","",E232+KaziEk)</f>
        <v/>
      </c>
      <c r="H232" s="34">
        <f>IF(OR(F232="",G232=""),"",(F232+G232)/2)</f>
        <v/>
      </c>
      <c r="I232" s="20" t="n"/>
      <c r="J232" s="21">
        <f>IF(OR(H232="",I232=""),"",IF(H232&gt;=IksaH,2*H232*I232,0))</f>
        <v/>
      </c>
      <c r="K232" s="21">
        <f>IF(OR(H232="",I232=""),"",HendekB*H232*I232)</f>
        <v/>
      </c>
      <c r="L232" s="5" t="n"/>
    </row>
    <row r="233">
      <c r="A233" s="5" t="n"/>
      <c r="B233" s="5" t="n"/>
      <c r="C233" s="5" t="n"/>
      <c r="D233" s="32" t="n"/>
      <c r="E233" s="32" t="n"/>
      <c r="F233" s="33">
        <f>IF(D233="","",D233+KaziEk)</f>
        <v/>
      </c>
      <c r="G233" s="33">
        <f>IF(E233="","",E233+KaziEk)</f>
        <v/>
      </c>
      <c r="H233" s="34">
        <f>IF(OR(F233="",G233=""),"",(F233+G233)/2)</f>
        <v/>
      </c>
      <c r="I233" s="20" t="n"/>
      <c r="J233" s="21">
        <f>IF(OR(H233="",I233=""),"",IF(H233&gt;=IksaH,2*H233*I233,0))</f>
        <v/>
      </c>
      <c r="K233" s="21">
        <f>IF(OR(H233="",I233=""),"",HendekB*H233*I233)</f>
        <v/>
      </c>
      <c r="L233" s="5" t="n"/>
    </row>
    <row r="234">
      <c r="A234" s="5" t="n"/>
      <c r="B234" s="5" t="n"/>
      <c r="C234" s="5" t="n"/>
      <c r="D234" s="32" t="n"/>
      <c r="E234" s="32" t="n"/>
      <c r="F234" s="33">
        <f>IF(D234="","",D234+KaziEk)</f>
        <v/>
      </c>
      <c r="G234" s="33">
        <f>IF(E234="","",E234+KaziEk)</f>
        <v/>
      </c>
      <c r="H234" s="34">
        <f>IF(OR(F234="",G234=""),"",(F234+G234)/2)</f>
        <v/>
      </c>
      <c r="I234" s="20" t="n"/>
      <c r="J234" s="21">
        <f>IF(OR(H234="",I234=""),"",IF(H234&gt;=IksaH,2*H234*I234,0))</f>
        <v/>
      </c>
      <c r="K234" s="21">
        <f>IF(OR(H234="",I234=""),"",HendekB*H234*I234)</f>
        <v/>
      </c>
      <c r="L234" s="5" t="n"/>
    </row>
    <row r="235">
      <c r="A235" s="5" t="n"/>
      <c r="B235" s="5" t="n"/>
      <c r="C235" s="5" t="n"/>
      <c r="D235" s="32" t="n"/>
      <c r="E235" s="32" t="n"/>
      <c r="F235" s="33">
        <f>IF(D235="","",D235+KaziEk)</f>
        <v/>
      </c>
      <c r="G235" s="33">
        <f>IF(E235="","",E235+KaziEk)</f>
        <v/>
      </c>
      <c r="H235" s="34">
        <f>IF(OR(F235="",G235=""),"",(F235+G235)/2)</f>
        <v/>
      </c>
      <c r="I235" s="20" t="n"/>
      <c r="J235" s="21">
        <f>IF(OR(H235="",I235=""),"",IF(H235&gt;=IksaH,2*H235*I235,0))</f>
        <v/>
      </c>
      <c r="K235" s="21">
        <f>IF(OR(H235="",I235=""),"",HendekB*H235*I235)</f>
        <v/>
      </c>
      <c r="L235" s="5" t="n"/>
    </row>
    <row r="236">
      <c r="A236" s="5" t="n"/>
      <c r="B236" s="5" t="n"/>
      <c r="C236" s="5" t="n"/>
      <c r="D236" s="32" t="n"/>
      <c r="E236" s="32" t="n"/>
      <c r="F236" s="33">
        <f>IF(D236="","",D236+KaziEk)</f>
        <v/>
      </c>
      <c r="G236" s="33">
        <f>IF(E236="","",E236+KaziEk)</f>
        <v/>
      </c>
      <c r="H236" s="34">
        <f>IF(OR(F236="",G236=""),"",(F236+G236)/2)</f>
        <v/>
      </c>
      <c r="I236" s="20" t="n"/>
      <c r="J236" s="21">
        <f>IF(OR(H236="",I236=""),"",IF(H236&gt;=IksaH,2*H236*I236,0))</f>
        <v/>
      </c>
      <c r="K236" s="21">
        <f>IF(OR(H236="",I236=""),"",HendekB*H236*I236)</f>
        <v/>
      </c>
      <c r="L236" s="5" t="n"/>
    </row>
    <row r="237">
      <c r="A237" s="5" t="n"/>
      <c r="B237" s="5" t="n"/>
      <c r="C237" s="5" t="n"/>
      <c r="D237" s="32" t="n"/>
      <c r="E237" s="32" t="n"/>
      <c r="F237" s="33">
        <f>IF(D237="","",D237+KaziEk)</f>
        <v/>
      </c>
      <c r="G237" s="33">
        <f>IF(E237="","",E237+KaziEk)</f>
        <v/>
      </c>
      <c r="H237" s="34">
        <f>IF(OR(F237="",G237=""),"",(F237+G237)/2)</f>
        <v/>
      </c>
      <c r="I237" s="20" t="n"/>
      <c r="J237" s="21">
        <f>IF(OR(H237="",I237=""),"",IF(H237&gt;=IksaH,2*H237*I237,0))</f>
        <v/>
      </c>
      <c r="K237" s="21">
        <f>IF(OR(H237="",I237=""),"",HendekB*H237*I237)</f>
        <v/>
      </c>
      <c r="L237" s="5" t="n"/>
    </row>
    <row r="238">
      <c r="A238" s="5" t="n"/>
      <c r="B238" s="5" t="n"/>
      <c r="C238" s="5" t="n"/>
      <c r="D238" s="32" t="n"/>
      <c r="E238" s="32" t="n"/>
      <c r="F238" s="33">
        <f>IF(D238="","",D238+KaziEk)</f>
        <v/>
      </c>
      <c r="G238" s="33">
        <f>IF(E238="","",E238+KaziEk)</f>
        <v/>
      </c>
      <c r="H238" s="34">
        <f>IF(OR(F238="",G238=""),"",(F238+G238)/2)</f>
        <v/>
      </c>
      <c r="I238" s="20" t="n"/>
      <c r="J238" s="21">
        <f>IF(OR(H238="",I238=""),"",IF(H238&gt;=IksaH,2*H238*I238,0))</f>
        <v/>
      </c>
      <c r="K238" s="21">
        <f>IF(OR(H238="",I238=""),"",HendekB*H238*I238)</f>
        <v/>
      </c>
      <c r="L238" s="5" t="n"/>
    </row>
    <row r="239">
      <c r="A239" s="5" t="n"/>
      <c r="B239" s="5" t="n"/>
      <c r="C239" s="5" t="n"/>
      <c r="D239" s="32" t="n"/>
      <c r="E239" s="32" t="n"/>
      <c r="F239" s="33">
        <f>IF(D239="","",D239+KaziEk)</f>
        <v/>
      </c>
      <c r="G239" s="33">
        <f>IF(E239="","",E239+KaziEk)</f>
        <v/>
      </c>
      <c r="H239" s="34">
        <f>IF(OR(F239="",G239=""),"",(F239+G239)/2)</f>
        <v/>
      </c>
      <c r="I239" s="20" t="n"/>
      <c r="J239" s="21">
        <f>IF(OR(H239="",I239=""),"",IF(H239&gt;=IksaH,2*H239*I239,0))</f>
        <v/>
      </c>
      <c r="K239" s="21">
        <f>IF(OR(H239="",I239=""),"",HendekB*H239*I239)</f>
        <v/>
      </c>
      <c r="L239" s="5" t="n"/>
    </row>
    <row r="240">
      <c r="A240" s="5" t="n"/>
      <c r="B240" s="5" t="n"/>
      <c r="C240" s="5" t="n"/>
      <c r="D240" s="32" t="n"/>
      <c r="E240" s="32" t="n"/>
      <c r="F240" s="33">
        <f>IF(D240="","",D240+KaziEk)</f>
        <v/>
      </c>
      <c r="G240" s="33">
        <f>IF(E240="","",E240+KaziEk)</f>
        <v/>
      </c>
      <c r="H240" s="34">
        <f>IF(OR(F240="",G240=""),"",(F240+G240)/2)</f>
        <v/>
      </c>
      <c r="I240" s="20" t="n"/>
      <c r="J240" s="21">
        <f>IF(OR(H240="",I240=""),"",IF(H240&gt;=IksaH,2*H240*I240,0))</f>
        <v/>
      </c>
      <c r="K240" s="21">
        <f>IF(OR(H240="",I240=""),"",HendekB*H240*I240)</f>
        <v/>
      </c>
      <c r="L240" s="5" t="n"/>
    </row>
    <row r="241">
      <c r="A241" s="5" t="n"/>
      <c r="B241" s="5" t="n"/>
      <c r="C241" s="5" t="n"/>
      <c r="D241" s="32" t="n"/>
      <c r="E241" s="32" t="n"/>
      <c r="F241" s="33">
        <f>IF(D241="","",D241+KaziEk)</f>
        <v/>
      </c>
      <c r="G241" s="33">
        <f>IF(E241="","",E241+KaziEk)</f>
        <v/>
      </c>
      <c r="H241" s="34">
        <f>IF(OR(F241="",G241=""),"",(F241+G241)/2)</f>
        <v/>
      </c>
      <c r="I241" s="20" t="n"/>
      <c r="J241" s="21">
        <f>IF(OR(H241="",I241=""),"",IF(H241&gt;=IksaH,2*H241*I241,0))</f>
        <v/>
      </c>
      <c r="K241" s="21">
        <f>IF(OR(H241="",I241=""),"",HendekB*H241*I241)</f>
        <v/>
      </c>
      <c r="L241" s="5" t="n"/>
    </row>
    <row r="242">
      <c r="A242" s="5" t="n"/>
      <c r="B242" s="5" t="n"/>
      <c r="C242" s="5" t="n"/>
      <c r="D242" s="32" t="n"/>
      <c r="E242" s="32" t="n"/>
      <c r="F242" s="33">
        <f>IF(D242="","",D242+KaziEk)</f>
        <v/>
      </c>
      <c r="G242" s="33">
        <f>IF(E242="","",E242+KaziEk)</f>
        <v/>
      </c>
      <c r="H242" s="34">
        <f>IF(OR(F242="",G242=""),"",(F242+G242)/2)</f>
        <v/>
      </c>
      <c r="I242" s="20" t="n"/>
      <c r="J242" s="21">
        <f>IF(OR(H242="",I242=""),"",IF(H242&gt;=IksaH,2*H242*I242,0))</f>
        <v/>
      </c>
      <c r="K242" s="21">
        <f>IF(OR(H242="",I242=""),"",HendekB*H242*I242)</f>
        <v/>
      </c>
      <c r="L242" s="5" t="n"/>
    </row>
    <row r="243">
      <c r="A243" s="5" t="n"/>
      <c r="B243" s="5" t="n"/>
      <c r="C243" s="5" t="n"/>
      <c r="D243" s="32" t="n"/>
      <c r="E243" s="32" t="n"/>
      <c r="F243" s="33">
        <f>IF(D243="","",D243+KaziEk)</f>
        <v/>
      </c>
      <c r="G243" s="33">
        <f>IF(E243="","",E243+KaziEk)</f>
        <v/>
      </c>
      <c r="H243" s="34">
        <f>IF(OR(F243="",G243=""),"",(F243+G243)/2)</f>
        <v/>
      </c>
      <c r="I243" s="20" t="n"/>
      <c r="J243" s="21">
        <f>IF(OR(H243="",I243=""),"",IF(H243&gt;=IksaH,2*H243*I243,0))</f>
        <v/>
      </c>
      <c r="K243" s="21">
        <f>IF(OR(H243="",I243=""),"",HendekB*H243*I243)</f>
        <v/>
      </c>
      <c r="L243" s="5" t="n"/>
    </row>
    <row r="244">
      <c r="A244" s="5" t="n"/>
      <c r="B244" s="5" t="n"/>
      <c r="C244" s="5" t="n"/>
      <c r="D244" s="32" t="n"/>
      <c r="E244" s="32" t="n"/>
      <c r="F244" s="33">
        <f>IF(D244="","",D244+KaziEk)</f>
        <v/>
      </c>
      <c r="G244" s="33">
        <f>IF(E244="","",E244+KaziEk)</f>
        <v/>
      </c>
      <c r="H244" s="34">
        <f>IF(OR(F244="",G244=""),"",(F244+G244)/2)</f>
        <v/>
      </c>
      <c r="I244" s="20" t="n"/>
      <c r="J244" s="21">
        <f>IF(OR(H244="",I244=""),"",IF(H244&gt;=IksaH,2*H244*I244,0))</f>
        <v/>
      </c>
      <c r="K244" s="21">
        <f>IF(OR(H244="",I244=""),"",HendekB*H244*I244)</f>
        <v/>
      </c>
      <c r="L244" s="5" t="n"/>
    </row>
    <row r="245">
      <c r="A245" s="5" t="n"/>
      <c r="B245" s="5" t="n"/>
      <c r="C245" s="5" t="n"/>
      <c r="D245" s="32" t="n"/>
      <c r="E245" s="32" t="n"/>
      <c r="F245" s="33">
        <f>IF(D245="","",D245+KaziEk)</f>
        <v/>
      </c>
      <c r="G245" s="33">
        <f>IF(E245="","",E245+KaziEk)</f>
        <v/>
      </c>
      <c r="H245" s="34">
        <f>IF(OR(F245="",G245=""),"",(F245+G245)/2)</f>
        <v/>
      </c>
      <c r="I245" s="20" t="n"/>
      <c r="J245" s="21">
        <f>IF(OR(H245="",I245=""),"",IF(H245&gt;=IksaH,2*H245*I245,0))</f>
        <v/>
      </c>
      <c r="K245" s="21">
        <f>IF(OR(H245="",I245=""),"",HendekB*H245*I245)</f>
        <v/>
      </c>
      <c r="L245" s="5" t="n"/>
    </row>
    <row r="246">
      <c r="A246" s="5" t="n"/>
      <c r="B246" s="5" t="n"/>
      <c r="C246" s="5" t="n"/>
      <c r="D246" s="32" t="n"/>
      <c r="E246" s="32" t="n"/>
      <c r="F246" s="33">
        <f>IF(D246="","",D246+KaziEk)</f>
        <v/>
      </c>
      <c r="G246" s="33">
        <f>IF(E246="","",E246+KaziEk)</f>
        <v/>
      </c>
      <c r="H246" s="34">
        <f>IF(OR(F246="",G246=""),"",(F246+G246)/2)</f>
        <v/>
      </c>
      <c r="I246" s="20" t="n"/>
      <c r="J246" s="21">
        <f>IF(OR(H246="",I246=""),"",IF(H246&gt;=IksaH,2*H246*I246,0))</f>
        <v/>
      </c>
      <c r="K246" s="21">
        <f>IF(OR(H246="",I246=""),"",HendekB*H246*I246)</f>
        <v/>
      </c>
      <c r="L246" s="5" t="n"/>
    </row>
    <row r="247">
      <c r="A247" s="5" t="n"/>
      <c r="B247" s="5" t="n"/>
      <c r="C247" s="5" t="n"/>
      <c r="D247" s="32" t="n"/>
      <c r="E247" s="32" t="n"/>
      <c r="F247" s="33">
        <f>IF(D247="","",D247+KaziEk)</f>
        <v/>
      </c>
      <c r="G247" s="33">
        <f>IF(E247="","",E247+KaziEk)</f>
        <v/>
      </c>
      <c r="H247" s="34">
        <f>IF(OR(F247="",G247=""),"",(F247+G247)/2)</f>
        <v/>
      </c>
      <c r="I247" s="20" t="n"/>
      <c r="J247" s="21">
        <f>IF(OR(H247="",I247=""),"",IF(H247&gt;=IksaH,2*H247*I247,0))</f>
        <v/>
      </c>
      <c r="K247" s="21">
        <f>IF(OR(H247="",I247=""),"",HendekB*H247*I247)</f>
        <v/>
      </c>
      <c r="L247" s="5" t="n"/>
    </row>
    <row r="248">
      <c r="A248" s="5" t="n"/>
      <c r="B248" s="5" t="n"/>
      <c r="C248" s="5" t="n"/>
      <c r="D248" s="32" t="n"/>
      <c r="E248" s="32" t="n"/>
      <c r="F248" s="33">
        <f>IF(D248="","",D248+KaziEk)</f>
        <v/>
      </c>
      <c r="G248" s="33">
        <f>IF(E248="","",E248+KaziEk)</f>
        <v/>
      </c>
      <c r="H248" s="34">
        <f>IF(OR(F248="",G248=""),"",(F248+G248)/2)</f>
        <v/>
      </c>
      <c r="I248" s="20" t="n"/>
      <c r="J248" s="21">
        <f>IF(OR(H248="",I248=""),"",IF(H248&gt;=IksaH,2*H248*I248,0))</f>
        <v/>
      </c>
      <c r="K248" s="21">
        <f>IF(OR(H248="",I248=""),"",HendekB*H248*I248)</f>
        <v/>
      </c>
      <c r="L248" s="5" t="n"/>
    </row>
    <row r="249">
      <c r="A249" s="5" t="n"/>
      <c r="B249" s="5" t="n"/>
      <c r="C249" s="5" t="n"/>
      <c r="D249" s="32" t="n"/>
      <c r="E249" s="32" t="n"/>
      <c r="F249" s="33">
        <f>IF(D249="","",D249+KaziEk)</f>
        <v/>
      </c>
      <c r="G249" s="33">
        <f>IF(E249="","",E249+KaziEk)</f>
        <v/>
      </c>
      <c r="H249" s="34">
        <f>IF(OR(F249="",G249=""),"",(F249+G249)/2)</f>
        <v/>
      </c>
      <c r="I249" s="20" t="n"/>
      <c r="J249" s="21">
        <f>IF(OR(H249="",I249=""),"",IF(H249&gt;=IksaH,2*H249*I249,0))</f>
        <v/>
      </c>
      <c r="K249" s="21">
        <f>IF(OR(H249="",I249=""),"",HendekB*H249*I249)</f>
        <v/>
      </c>
      <c r="L249" s="5" t="n"/>
    </row>
    <row r="250">
      <c r="A250" s="5" t="n"/>
      <c r="B250" s="5" t="n"/>
      <c r="C250" s="5" t="n"/>
      <c r="D250" s="32" t="n"/>
      <c r="E250" s="32" t="n"/>
      <c r="F250" s="33">
        <f>IF(D250="","",D250+KaziEk)</f>
        <v/>
      </c>
      <c r="G250" s="33">
        <f>IF(E250="","",E250+KaziEk)</f>
        <v/>
      </c>
      <c r="H250" s="34">
        <f>IF(OR(F250="",G250=""),"",(F250+G250)/2)</f>
        <v/>
      </c>
      <c r="I250" s="20" t="n"/>
      <c r="J250" s="21">
        <f>IF(OR(H250="",I250=""),"",IF(H250&gt;=IksaH,2*H250*I250,0))</f>
        <v/>
      </c>
      <c r="K250" s="21">
        <f>IF(OR(H250="",I250=""),"",HendekB*H250*I250)</f>
        <v/>
      </c>
      <c r="L250" s="5" t="n"/>
    </row>
    <row r="251">
      <c r="A251" s="5" t="n"/>
      <c r="B251" s="5" t="n"/>
      <c r="C251" s="5" t="n"/>
      <c r="D251" s="32" t="n"/>
      <c r="E251" s="32" t="n"/>
      <c r="F251" s="33">
        <f>IF(D251="","",D251+KaziEk)</f>
        <v/>
      </c>
      <c r="G251" s="33">
        <f>IF(E251="","",E251+KaziEk)</f>
        <v/>
      </c>
      <c r="H251" s="34">
        <f>IF(OR(F251="",G251=""),"",(F251+G251)/2)</f>
        <v/>
      </c>
      <c r="I251" s="20" t="n"/>
      <c r="J251" s="21">
        <f>IF(OR(H251="",I251=""),"",IF(H251&gt;=IksaH,2*H251*I251,0))</f>
        <v/>
      </c>
      <c r="K251" s="21">
        <f>IF(OR(H251="",I251=""),"",HendekB*H251*I251)</f>
        <v/>
      </c>
      <c r="L251" s="5" t="n"/>
    </row>
    <row r="252">
      <c r="A252" s="5" t="n"/>
      <c r="B252" s="5" t="n"/>
      <c r="C252" s="5" t="n"/>
      <c r="D252" s="32" t="n"/>
      <c r="E252" s="32" t="n"/>
      <c r="F252" s="33">
        <f>IF(D252="","",D252+KaziEk)</f>
        <v/>
      </c>
      <c r="G252" s="33">
        <f>IF(E252="","",E252+KaziEk)</f>
        <v/>
      </c>
      <c r="H252" s="34">
        <f>IF(OR(F252="",G252=""),"",(F252+G252)/2)</f>
        <v/>
      </c>
      <c r="I252" s="20" t="n"/>
      <c r="J252" s="21">
        <f>IF(OR(H252="",I252=""),"",IF(H252&gt;=IksaH,2*H252*I252,0))</f>
        <v/>
      </c>
      <c r="K252" s="21">
        <f>IF(OR(H252="",I252=""),"",HendekB*H252*I252)</f>
        <v/>
      </c>
      <c r="L252" s="5" t="n"/>
    </row>
    <row r="253">
      <c r="A253" s="5" t="n"/>
      <c r="B253" s="5" t="n"/>
      <c r="C253" s="5" t="n"/>
      <c r="D253" s="32" t="n"/>
      <c r="E253" s="32" t="n"/>
      <c r="F253" s="33">
        <f>IF(D253="","",D253+KaziEk)</f>
        <v/>
      </c>
      <c r="G253" s="33">
        <f>IF(E253="","",E253+KaziEk)</f>
        <v/>
      </c>
      <c r="H253" s="34">
        <f>IF(OR(F253="",G253=""),"",(F253+G253)/2)</f>
        <v/>
      </c>
      <c r="I253" s="20" t="n"/>
      <c r="J253" s="21">
        <f>IF(OR(H253="",I253=""),"",IF(H253&gt;=IksaH,2*H253*I253,0))</f>
        <v/>
      </c>
      <c r="K253" s="21">
        <f>IF(OR(H253="",I253=""),"",HendekB*H253*I253)</f>
        <v/>
      </c>
      <c r="L253" s="5" t="n"/>
    </row>
    <row r="254">
      <c r="A254" s="5" t="n"/>
      <c r="B254" s="5" t="n"/>
      <c r="C254" s="5" t="n"/>
      <c r="D254" s="32" t="n"/>
      <c r="E254" s="32" t="n"/>
      <c r="F254" s="33">
        <f>IF(D254="","",D254+KaziEk)</f>
        <v/>
      </c>
      <c r="G254" s="33">
        <f>IF(E254="","",E254+KaziEk)</f>
        <v/>
      </c>
      <c r="H254" s="34">
        <f>IF(OR(F254="",G254=""),"",(F254+G254)/2)</f>
        <v/>
      </c>
      <c r="I254" s="20" t="n"/>
      <c r="J254" s="21">
        <f>IF(OR(H254="",I254=""),"",IF(H254&gt;=IksaH,2*H254*I254,0))</f>
        <v/>
      </c>
      <c r="K254" s="21">
        <f>IF(OR(H254="",I254=""),"",HendekB*H254*I254)</f>
        <v/>
      </c>
      <c r="L254" s="5" t="n"/>
    </row>
    <row r="255">
      <c r="A255" s="5" t="n"/>
      <c r="B255" s="5" t="n"/>
      <c r="C255" s="5" t="n"/>
      <c r="D255" s="32" t="n"/>
      <c r="E255" s="32" t="n"/>
      <c r="F255" s="33">
        <f>IF(D255="","",D255+KaziEk)</f>
        <v/>
      </c>
      <c r="G255" s="33">
        <f>IF(E255="","",E255+KaziEk)</f>
        <v/>
      </c>
      <c r="H255" s="34">
        <f>IF(OR(F255="",G255=""),"",(F255+G255)/2)</f>
        <v/>
      </c>
      <c r="I255" s="20" t="n"/>
      <c r="J255" s="21">
        <f>IF(OR(H255="",I255=""),"",IF(H255&gt;=IksaH,2*H255*I255,0))</f>
        <v/>
      </c>
      <c r="K255" s="21">
        <f>IF(OR(H255="",I255=""),"",HendekB*H255*I255)</f>
        <v/>
      </c>
      <c r="L255" s="5" t="n"/>
    </row>
    <row r="256">
      <c r="A256" s="5" t="n"/>
      <c r="B256" s="5" t="n"/>
      <c r="C256" s="5" t="n"/>
      <c r="D256" s="32" t="n"/>
      <c r="E256" s="32" t="n"/>
      <c r="F256" s="33">
        <f>IF(D256="","",D256+KaziEk)</f>
        <v/>
      </c>
      <c r="G256" s="33">
        <f>IF(E256="","",E256+KaziEk)</f>
        <v/>
      </c>
      <c r="H256" s="34">
        <f>IF(OR(F256="",G256=""),"",(F256+G256)/2)</f>
        <v/>
      </c>
      <c r="I256" s="20" t="n"/>
      <c r="J256" s="21">
        <f>IF(OR(H256="",I256=""),"",IF(H256&gt;=IksaH,2*H256*I256,0))</f>
        <v/>
      </c>
      <c r="K256" s="21">
        <f>IF(OR(H256="",I256=""),"",HendekB*H256*I256)</f>
        <v/>
      </c>
      <c r="L256" s="5" t="n"/>
    </row>
    <row r="257">
      <c r="A257" s="5" t="n"/>
      <c r="B257" s="5" t="n"/>
      <c r="C257" s="5" t="n"/>
      <c r="D257" s="32" t="n"/>
      <c r="E257" s="32" t="n"/>
      <c r="F257" s="33">
        <f>IF(D257="","",D257+KaziEk)</f>
        <v/>
      </c>
      <c r="G257" s="33">
        <f>IF(E257="","",E257+KaziEk)</f>
        <v/>
      </c>
      <c r="H257" s="34">
        <f>IF(OR(F257="",G257=""),"",(F257+G257)/2)</f>
        <v/>
      </c>
      <c r="I257" s="20" t="n"/>
      <c r="J257" s="21">
        <f>IF(OR(H257="",I257=""),"",IF(H257&gt;=IksaH,2*H257*I257,0))</f>
        <v/>
      </c>
      <c r="K257" s="21">
        <f>IF(OR(H257="",I257=""),"",HendekB*H257*I257)</f>
        <v/>
      </c>
      <c r="L257" s="5" t="n"/>
    </row>
    <row r="258">
      <c r="A258" s="5" t="n"/>
      <c r="B258" s="5" t="n"/>
      <c r="C258" s="5" t="n"/>
      <c r="D258" s="32" t="n"/>
      <c r="E258" s="32" t="n"/>
      <c r="F258" s="33">
        <f>IF(D258="","",D258+KaziEk)</f>
        <v/>
      </c>
      <c r="G258" s="33">
        <f>IF(E258="","",E258+KaziEk)</f>
        <v/>
      </c>
      <c r="H258" s="34">
        <f>IF(OR(F258="",G258=""),"",(F258+G258)/2)</f>
        <v/>
      </c>
      <c r="I258" s="20" t="n"/>
      <c r="J258" s="21">
        <f>IF(OR(H258="",I258=""),"",IF(H258&gt;=IksaH,2*H258*I258,0))</f>
        <v/>
      </c>
      <c r="K258" s="21">
        <f>IF(OR(H258="",I258=""),"",HendekB*H258*I258)</f>
        <v/>
      </c>
      <c r="L258" s="5" t="n"/>
    </row>
    <row r="259">
      <c r="A259" s="5" t="n"/>
      <c r="B259" s="5" t="n"/>
      <c r="C259" s="5" t="n"/>
      <c r="D259" s="32" t="n"/>
      <c r="E259" s="32" t="n"/>
      <c r="F259" s="33">
        <f>IF(D259="","",D259+KaziEk)</f>
        <v/>
      </c>
      <c r="G259" s="33">
        <f>IF(E259="","",E259+KaziEk)</f>
        <v/>
      </c>
      <c r="H259" s="34">
        <f>IF(OR(F259="",G259=""),"",(F259+G259)/2)</f>
        <v/>
      </c>
      <c r="I259" s="20" t="n"/>
      <c r="J259" s="21">
        <f>IF(OR(H259="",I259=""),"",IF(H259&gt;=IksaH,2*H259*I259,0))</f>
        <v/>
      </c>
      <c r="K259" s="21">
        <f>IF(OR(H259="",I259=""),"",HendekB*H259*I259)</f>
        <v/>
      </c>
      <c r="L259" s="5" t="n"/>
    </row>
    <row r="260">
      <c r="A260" s="5" t="n"/>
      <c r="B260" s="5" t="n"/>
      <c r="C260" s="5" t="n"/>
      <c r="D260" s="32" t="n"/>
      <c r="E260" s="32" t="n"/>
      <c r="F260" s="33">
        <f>IF(D260="","",D260+KaziEk)</f>
        <v/>
      </c>
      <c r="G260" s="33">
        <f>IF(E260="","",E260+KaziEk)</f>
        <v/>
      </c>
      <c r="H260" s="34">
        <f>IF(OR(F260="",G260=""),"",(F260+G260)/2)</f>
        <v/>
      </c>
      <c r="I260" s="20" t="n"/>
      <c r="J260" s="21">
        <f>IF(OR(H260="",I260=""),"",IF(H260&gt;=IksaH,2*H260*I260,0))</f>
        <v/>
      </c>
      <c r="K260" s="21">
        <f>IF(OR(H260="",I260=""),"",HendekB*H260*I260)</f>
        <v/>
      </c>
      <c r="L260" s="5" t="n"/>
    </row>
    <row r="261">
      <c r="A261" s="5" t="n"/>
      <c r="B261" s="5" t="n"/>
      <c r="C261" s="5" t="n"/>
      <c r="D261" s="32" t="n"/>
      <c r="E261" s="32" t="n"/>
      <c r="F261" s="33">
        <f>IF(D261="","",D261+KaziEk)</f>
        <v/>
      </c>
      <c r="G261" s="33">
        <f>IF(E261="","",E261+KaziEk)</f>
        <v/>
      </c>
      <c r="H261" s="34">
        <f>IF(OR(F261="",G261=""),"",(F261+G261)/2)</f>
        <v/>
      </c>
      <c r="I261" s="20" t="n"/>
      <c r="J261" s="21">
        <f>IF(OR(H261="",I261=""),"",IF(H261&gt;=IksaH,2*H261*I261,0))</f>
        <v/>
      </c>
      <c r="K261" s="21">
        <f>IF(OR(H261="",I261=""),"",HendekB*H261*I261)</f>
        <v/>
      </c>
      <c r="L261" s="5" t="n"/>
    </row>
    <row r="262">
      <c r="A262" s="5" t="n"/>
      <c r="B262" s="5" t="n"/>
      <c r="C262" s="5" t="n"/>
      <c r="D262" s="32" t="n"/>
      <c r="E262" s="32" t="n"/>
      <c r="F262" s="33">
        <f>IF(D262="","",D262+KaziEk)</f>
        <v/>
      </c>
      <c r="G262" s="33">
        <f>IF(E262="","",E262+KaziEk)</f>
        <v/>
      </c>
      <c r="H262" s="34">
        <f>IF(OR(F262="",G262=""),"",(F262+G262)/2)</f>
        <v/>
      </c>
      <c r="I262" s="20" t="n"/>
      <c r="J262" s="21">
        <f>IF(OR(H262="",I262=""),"",IF(H262&gt;=IksaH,2*H262*I262,0))</f>
        <v/>
      </c>
      <c r="K262" s="21">
        <f>IF(OR(H262="",I262=""),"",HendekB*H262*I262)</f>
        <v/>
      </c>
      <c r="L262" s="5" t="n"/>
    </row>
    <row r="263">
      <c r="A263" s="5" t="n"/>
      <c r="B263" s="5" t="n"/>
      <c r="C263" s="5" t="n"/>
      <c r="D263" s="32" t="n"/>
      <c r="E263" s="32" t="n"/>
      <c r="F263" s="33">
        <f>IF(D263="","",D263+KaziEk)</f>
        <v/>
      </c>
      <c r="G263" s="33">
        <f>IF(E263="","",E263+KaziEk)</f>
        <v/>
      </c>
      <c r="H263" s="34">
        <f>IF(OR(F263="",G263=""),"",(F263+G263)/2)</f>
        <v/>
      </c>
      <c r="I263" s="20" t="n"/>
      <c r="J263" s="21">
        <f>IF(OR(H263="",I263=""),"",IF(H263&gt;=IksaH,2*H263*I263,0))</f>
        <v/>
      </c>
      <c r="K263" s="21">
        <f>IF(OR(H263="",I263=""),"",HendekB*H263*I263)</f>
        <v/>
      </c>
      <c r="L263" s="5" t="n"/>
    </row>
    <row r="264">
      <c r="A264" s="5" t="n"/>
      <c r="B264" s="5" t="n"/>
      <c r="C264" s="5" t="n"/>
      <c r="D264" s="32" t="n"/>
      <c r="E264" s="32" t="n"/>
      <c r="F264" s="33">
        <f>IF(D264="","",D264+KaziEk)</f>
        <v/>
      </c>
      <c r="G264" s="33">
        <f>IF(E264="","",E264+KaziEk)</f>
        <v/>
      </c>
      <c r="H264" s="34">
        <f>IF(OR(F264="",G264=""),"",(F264+G264)/2)</f>
        <v/>
      </c>
      <c r="I264" s="20" t="n"/>
      <c r="J264" s="21">
        <f>IF(OR(H264="",I264=""),"",IF(H264&gt;=IksaH,2*H264*I264,0))</f>
        <v/>
      </c>
      <c r="K264" s="21">
        <f>IF(OR(H264="",I264=""),"",HendekB*H264*I264)</f>
        <v/>
      </c>
      <c r="L264" s="5" t="n"/>
    </row>
    <row r="265">
      <c r="A265" s="5" t="n"/>
      <c r="B265" s="5" t="n"/>
      <c r="C265" s="5" t="n"/>
      <c r="D265" s="32" t="n"/>
      <c r="E265" s="32" t="n"/>
      <c r="F265" s="33">
        <f>IF(D265="","",D265+KaziEk)</f>
        <v/>
      </c>
      <c r="G265" s="33">
        <f>IF(E265="","",E265+KaziEk)</f>
        <v/>
      </c>
      <c r="H265" s="34">
        <f>IF(OR(F265="",G265=""),"",(F265+G265)/2)</f>
        <v/>
      </c>
      <c r="I265" s="20" t="n"/>
      <c r="J265" s="21">
        <f>IF(OR(H265="",I265=""),"",IF(H265&gt;=IksaH,2*H265*I265,0))</f>
        <v/>
      </c>
      <c r="K265" s="21">
        <f>IF(OR(H265="",I265=""),"",HendekB*H265*I265)</f>
        <v/>
      </c>
      <c r="L265" s="5" t="n"/>
    </row>
    <row r="266">
      <c r="A266" s="5" t="n"/>
      <c r="B266" s="5" t="n"/>
      <c r="C266" s="5" t="n"/>
      <c r="D266" s="32" t="n"/>
      <c r="E266" s="32" t="n"/>
      <c r="F266" s="33">
        <f>IF(D266="","",D266+KaziEk)</f>
        <v/>
      </c>
      <c r="G266" s="33">
        <f>IF(E266="","",E266+KaziEk)</f>
        <v/>
      </c>
      <c r="H266" s="34">
        <f>IF(OR(F266="",G266=""),"",(F266+G266)/2)</f>
        <v/>
      </c>
      <c r="I266" s="20" t="n"/>
      <c r="J266" s="21">
        <f>IF(OR(H266="",I266=""),"",IF(H266&gt;=IksaH,2*H266*I266,0))</f>
        <v/>
      </c>
      <c r="K266" s="21">
        <f>IF(OR(H266="",I266=""),"",HendekB*H266*I266)</f>
        <v/>
      </c>
      <c r="L266" s="5" t="n"/>
    </row>
    <row r="267">
      <c r="A267" s="5" t="n"/>
      <c r="B267" s="5" t="n"/>
      <c r="C267" s="5" t="n"/>
      <c r="D267" s="32" t="n"/>
      <c r="E267" s="32" t="n"/>
      <c r="F267" s="33">
        <f>IF(D267="","",D267+KaziEk)</f>
        <v/>
      </c>
      <c r="G267" s="33">
        <f>IF(E267="","",E267+KaziEk)</f>
        <v/>
      </c>
      <c r="H267" s="34">
        <f>IF(OR(F267="",G267=""),"",(F267+G267)/2)</f>
        <v/>
      </c>
      <c r="I267" s="20" t="n"/>
      <c r="J267" s="21">
        <f>IF(OR(H267="",I267=""),"",IF(H267&gt;=IksaH,2*H267*I267,0))</f>
        <v/>
      </c>
      <c r="K267" s="21">
        <f>IF(OR(H267="",I267=""),"",HendekB*H267*I267)</f>
        <v/>
      </c>
      <c r="L267" s="5" t="n"/>
    </row>
    <row r="268">
      <c r="A268" s="5" t="n"/>
      <c r="B268" s="5" t="n"/>
      <c r="C268" s="5" t="n"/>
      <c r="D268" s="32" t="n"/>
      <c r="E268" s="32" t="n"/>
      <c r="F268" s="33">
        <f>IF(D268="","",D268+KaziEk)</f>
        <v/>
      </c>
      <c r="G268" s="33">
        <f>IF(E268="","",E268+KaziEk)</f>
        <v/>
      </c>
      <c r="H268" s="34">
        <f>IF(OR(F268="",G268=""),"",(F268+G268)/2)</f>
        <v/>
      </c>
      <c r="I268" s="20" t="n"/>
      <c r="J268" s="21">
        <f>IF(OR(H268="",I268=""),"",IF(H268&gt;=IksaH,2*H268*I268,0))</f>
        <v/>
      </c>
      <c r="K268" s="21">
        <f>IF(OR(H268="",I268=""),"",HendekB*H268*I268)</f>
        <v/>
      </c>
      <c r="L268" s="5" t="n"/>
    </row>
    <row r="269">
      <c r="A269" s="5" t="n"/>
      <c r="B269" s="5" t="n"/>
      <c r="C269" s="5" t="n"/>
      <c r="D269" s="32" t="n"/>
      <c r="E269" s="32" t="n"/>
      <c r="F269" s="33">
        <f>IF(D269="","",D269+KaziEk)</f>
        <v/>
      </c>
      <c r="G269" s="33">
        <f>IF(E269="","",E269+KaziEk)</f>
        <v/>
      </c>
      <c r="H269" s="34">
        <f>IF(OR(F269="",G269=""),"",(F269+G269)/2)</f>
        <v/>
      </c>
      <c r="I269" s="20" t="n"/>
      <c r="J269" s="21">
        <f>IF(OR(H269="",I269=""),"",IF(H269&gt;=IksaH,2*H269*I269,0))</f>
        <v/>
      </c>
      <c r="K269" s="21">
        <f>IF(OR(H269="",I269=""),"",HendekB*H269*I269)</f>
        <v/>
      </c>
      <c r="L269" s="5" t="n"/>
    </row>
    <row r="270">
      <c r="A270" s="5" t="n"/>
      <c r="B270" s="5" t="n"/>
      <c r="C270" s="5" t="n"/>
      <c r="D270" s="32" t="n"/>
      <c r="E270" s="32" t="n"/>
      <c r="F270" s="33">
        <f>IF(D270="","",D270+KaziEk)</f>
        <v/>
      </c>
      <c r="G270" s="33">
        <f>IF(E270="","",E270+KaziEk)</f>
        <v/>
      </c>
      <c r="H270" s="34">
        <f>IF(OR(F270="",G270=""),"",(F270+G270)/2)</f>
        <v/>
      </c>
      <c r="I270" s="20" t="n"/>
      <c r="J270" s="21">
        <f>IF(OR(H270="",I270=""),"",IF(H270&gt;=IksaH,2*H270*I270,0))</f>
        <v/>
      </c>
      <c r="K270" s="21">
        <f>IF(OR(H270="",I270=""),"",HendekB*H270*I270)</f>
        <v/>
      </c>
      <c r="L270" s="5" t="n"/>
    </row>
    <row r="271">
      <c r="A271" s="5" t="n"/>
      <c r="B271" s="5" t="n"/>
      <c r="C271" s="5" t="n"/>
      <c r="D271" s="32" t="n"/>
      <c r="E271" s="32" t="n"/>
      <c r="F271" s="33">
        <f>IF(D271="","",D271+KaziEk)</f>
        <v/>
      </c>
      <c r="G271" s="33">
        <f>IF(E271="","",E271+KaziEk)</f>
        <v/>
      </c>
      <c r="H271" s="34">
        <f>IF(OR(F271="",G271=""),"",(F271+G271)/2)</f>
        <v/>
      </c>
      <c r="I271" s="20" t="n"/>
      <c r="J271" s="21">
        <f>IF(OR(H271="",I271=""),"",IF(H271&gt;=IksaH,2*H271*I271,0))</f>
        <v/>
      </c>
      <c r="K271" s="21">
        <f>IF(OR(H271="",I271=""),"",HendekB*H271*I271)</f>
        <v/>
      </c>
      <c r="L271" s="5" t="n"/>
    </row>
    <row r="272">
      <c r="A272" s="5" t="n"/>
      <c r="B272" s="5" t="n"/>
      <c r="C272" s="5" t="n"/>
      <c r="D272" s="32" t="n"/>
      <c r="E272" s="32" t="n"/>
      <c r="F272" s="33">
        <f>IF(D272="","",D272+KaziEk)</f>
        <v/>
      </c>
      <c r="G272" s="33">
        <f>IF(E272="","",E272+KaziEk)</f>
        <v/>
      </c>
      <c r="H272" s="34">
        <f>IF(OR(F272="",G272=""),"",(F272+G272)/2)</f>
        <v/>
      </c>
      <c r="I272" s="20" t="n"/>
      <c r="J272" s="21">
        <f>IF(OR(H272="",I272=""),"",IF(H272&gt;=IksaH,2*H272*I272,0))</f>
        <v/>
      </c>
      <c r="K272" s="21">
        <f>IF(OR(H272="",I272=""),"",HendekB*H272*I272)</f>
        <v/>
      </c>
      <c r="L272" s="5" t="n"/>
    </row>
    <row r="273">
      <c r="A273" s="5" t="n"/>
      <c r="B273" s="5" t="n"/>
      <c r="C273" s="5" t="n"/>
      <c r="D273" s="32" t="n"/>
      <c r="E273" s="32" t="n"/>
      <c r="F273" s="33">
        <f>IF(D273="","",D273+KaziEk)</f>
        <v/>
      </c>
      <c r="G273" s="33">
        <f>IF(E273="","",E273+KaziEk)</f>
        <v/>
      </c>
      <c r="H273" s="34">
        <f>IF(OR(F273="",G273=""),"",(F273+G273)/2)</f>
        <v/>
      </c>
      <c r="I273" s="20" t="n"/>
      <c r="J273" s="21">
        <f>IF(OR(H273="",I273=""),"",IF(H273&gt;=IksaH,2*H273*I273,0))</f>
        <v/>
      </c>
      <c r="K273" s="21">
        <f>IF(OR(H273="",I273=""),"",HendekB*H273*I273)</f>
        <v/>
      </c>
      <c r="L273" s="5" t="n"/>
    </row>
    <row r="274">
      <c r="A274" s="5" t="n"/>
      <c r="B274" s="5" t="n"/>
      <c r="C274" s="5" t="n"/>
      <c r="D274" s="32" t="n"/>
      <c r="E274" s="32" t="n"/>
      <c r="F274" s="33">
        <f>IF(D274="","",D274+KaziEk)</f>
        <v/>
      </c>
      <c r="G274" s="33">
        <f>IF(E274="","",E274+KaziEk)</f>
        <v/>
      </c>
      <c r="H274" s="34">
        <f>IF(OR(F274="",G274=""),"",(F274+G274)/2)</f>
        <v/>
      </c>
      <c r="I274" s="20" t="n"/>
      <c r="J274" s="21">
        <f>IF(OR(H274="",I274=""),"",IF(H274&gt;=IksaH,2*H274*I274,0))</f>
        <v/>
      </c>
      <c r="K274" s="21">
        <f>IF(OR(H274="",I274=""),"",HendekB*H274*I274)</f>
        <v/>
      </c>
      <c r="L274" s="5" t="n"/>
    </row>
    <row r="275">
      <c r="A275" s="5" t="n"/>
      <c r="B275" s="5" t="n"/>
      <c r="C275" s="5" t="n"/>
      <c r="D275" s="32" t="n"/>
      <c r="E275" s="32" t="n"/>
      <c r="F275" s="33">
        <f>IF(D275="","",D275+KaziEk)</f>
        <v/>
      </c>
      <c r="G275" s="33">
        <f>IF(E275="","",E275+KaziEk)</f>
        <v/>
      </c>
      <c r="H275" s="34">
        <f>IF(OR(F275="",G275=""),"",(F275+G275)/2)</f>
        <v/>
      </c>
      <c r="I275" s="20" t="n"/>
      <c r="J275" s="21">
        <f>IF(OR(H275="",I275=""),"",IF(H275&gt;=IksaH,2*H275*I275,0))</f>
        <v/>
      </c>
      <c r="K275" s="21">
        <f>IF(OR(H275="",I275=""),"",HendekB*H275*I275)</f>
        <v/>
      </c>
      <c r="L275" s="5" t="n"/>
    </row>
    <row r="276">
      <c r="A276" s="5" t="n"/>
      <c r="B276" s="5" t="n"/>
      <c r="C276" s="5" t="n"/>
      <c r="D276" s="32" t="n"/>
      <c r="E276" s="32" t="n"/>
      <c r="F276" s="33">
        <f>IF(D276="","",D276+KaziEk)</f>
        <v/>
      </c>
      <c r="G276" s="33">
        <f>IF(E276="","",E276+KaziEk)</f>
        <v/>
      </c>
      <c r="H276" s="34">
        <f>IF(OR(F276="",G276=""),"",(F276+G276)/2)</f>
        <v/>
      </c>
      <c r="I276" s="20" t="n"/>
      <c r="J276" s="21">
        <f>IF(OR(H276="",I276=""),"",IF(H276&gt;=IksaH,2*H276*I276,0))</f>
        <v/>
      </c>
      <c r="K276" s="21">
        <f>IF(OR(H276="",I276=""),"",HendekB*H276*I276)</f>
        <v/>
      </c>
      <c r="L276" s="5" t="n"/>
    </row>
    <row r="277">
      <c r="A277" s="5" t="n"/>
      <c r="B277" s="5" t="n"/>
      <c r="C277" s="5" t="n"/>
      <c r="D277" s="32" t="n"/>
      <c r="E277" s="32" t="n"/>
      <c r="F277" s="33">
        <f>IF(D277="","",D277+KaziEk)</f>
        <v/>
      </c>
      <c r="G277" s="33">
        <f>IF(E277="","",E277+KaziEk)</f>
        <v/>
      </c>
      <c r="H277" s="34">
        <f>IF(OR(F277="",G277=""),"",(F277+G277)/2)</f>
        <v/>
      </c>
      <c r="I277" s="20" t="n"/>
      <c r="J277" s="21">
        <f>IF(OR(H277="",I277=""),"",IF(H277&gt;=IksaH,2*H277*I277,0))</f>
        <v/>
      </c>
      <c r="K277" s="21">
        <f>IF(OR(H277="",I277=""),"",HendekB*H277*I277)</f>
        <v/>
      </c>
      <c r="L277" s="5" t="n"/>
    </row>
    <row r="278">
      <c r="A278" s="5" t="n"/>
      <c r="B278" s="5" t="n"/>
      <c r="C278" s="5" t="n"/>
      <c r="D278" s="32" t="n"/>
      <c r="E278" s="32" t="n"/>
      <c r="F278" s="33">
        <f>IF(D278="","",D278+KaziEk)</f>
        <v/>
      </c>
      <c r="G278" s="33">
        <f>IF(E278="","",E278+KaziEk)</f>
        <v/>
      </c>
      <c r="H278" s="34">
        <f>IF(OR(F278="",G278=""),"",(F278+G278)/2)</f>
        <v/>
      </c>
      <c r="I278" s="20" t="n"/>
      <c r="J278" s="21">
        <f>IF(OR(H278="",I278=""),"",IF(H278&gt;=IksaH,2*H278*I278,0))</f>
        <v/>
      </c>
      <c r="K278" s="21">
        <f>IF(OR(H278="",I278=""),"",HendekB*H278*I278)</f>
        <v/>
      </c>
      <c r="L278" s="5" t="n"/>
    </row>
    <row r="279">
      <c r="A279" s="5" t="n"/>
      <c r="B279" s="5" t="n"/>
      <c r="C279" s="5" t="n"/>
      <c r="D279" s="32" t="n"/>
      <c r="E279" s="32" t="n"/>
      <c r="F279" s="33">
        <f>IF(D279="","",D279+KaziEk)</f>
        <v/>
      </c>
      <c r="G279" s="33">
        <f>IF(E279="","",E279+KaziEk)</f>
        <v/>
      </c>
      <c r="H279" s="34">
        <f>IF(OR(F279="",G279=""),"",(F279+G279)/2)</f>
        <v/>
      </c>
      <c r="I279" s="20" t="n"/>
      <c r="J279" s="21">
        <f>IF(OR(H279="",I279=""),"",IF(H279&gt;=IksaH,2*H279*I279,0))</f>
        <v/>
      </c>
      <c r="K279" s="21">
        <f>IF(OR(H279="",I279=""),"",HendekB*H279*I279)</f>
        <v/>
      </c>
      <c r="L279" s="5" t="n"/>
    </row>
    <row r="280">
      <c r="A280" s="5" t="n"/>
      <c r="B280" s="5" t="n"/>
      <c r="C280" s="5" t="n"/>
      <c r="D280" s="32" t="n"/>
      <c r="E280" s="32" t="n"/>
      <c r="F280" s="33">
        <f>IF(D280="","",D280+KaziEk)</f>
        <v/>
      </c>
      <c r="G280" s="33">
        <f>IF(E280="","",E280+KaziEk)</f>
        <v/>
      </c>
      <c r="H280" s="34">
        <f>IF(OR(F280="",G280=""),"",(F280+G280)/2)</f>
        <v/>
      </c>
      <c r="I280" s="20" t="n"/>
      <c r="J280" s="21">
        <f>IF(OR(H280="",I280=""),"",IF(H280&gt;=IksaH,2*H280*I280,0))</f>
        <v/>
      </c>
      <c r="K280" s="21">
        <f>IF(OR(H280="",I280=""),"",HendekB*H280*I280)</f>
        <v/>
      </c>
      <c r="L280" s="5" t="n"/>
    </row>
    <row r="281">
      <c r="A281" s="5" t="n"/>
      <c r="B281" s="5" t="n"/>
      <c r="C281" s="5" t="n"/>
      <c r="D281" s="32" t="n"/>
      <c r="E281" s="32" t="n"/>
      <c r="F281" s="33">
        <f>IF(D281="","",D281+KaziEk)</f>
        <v/>
      </c>
      <c r="G281" s="33">
        <f>IF(E281="","",E281+KaziEk)</f>
        <v/>
      </c>
      <c r="H281" s="34">
        <f>IF(OR(F281="",G281=""),"",(F281+G281)/2)</f>
        <v/>
      </c>
      <c r="I281" s="20" t="n"/>
      <c r="J281" s="21">
        <f>IF(OR(H281="",I281=""),"",IF(H281&gt;=IksaH,2*H281*I281,0))</f>
        <v/>
      </c>
      <c r="K281" s="21">
        <f>IF(OR(H281="",I281=""),"",HendekB*H281*I281)</f>
        <v/>
      </c>
      <c r="L281" s="5" t="n"/>
    </row>
    <row r="282">
      <c r="A282" s="5" t="n"/>
      <c r="B282" s="5" t="n"/>
      <c r="C282" s="5" t="n"/>
      <c r="D282" s="32" t="n"/>
      <c r="E282" s="32" t="n"/>
      <c r="F282" s="33">
        <f>IF(D282="","",D282+KaziEk)</f>
        <v/>
      </c>
      <c r="G282" s="33">
        <f>IF(E282="","",E282+KaziEk)</f>
        <v/>
      </c>
      <c r="H282" s="34">
        <f>IF(OR(F282="",G282=""),"",(F282+G282)/2)</f>
        <v/>
      </c>
      <c r="I282" s="20" t="n"/>
      <c r="J282" s="21">
        <f>IF(OR(H282="",I282=""),"",IF(H282&gt;=IksaH,2*H282*I282,0))</f>
        <v/>
      </c>
      <c r="K282" s="21">
        <f>IF(OR(H282="",I282=""),"",HendekB*H282*I282)</f>
        <v/>
      </c>
      <c r="L282" s="5" t="n"/>
    </row>
    <row r="283">
      <c r="A283" s="5" t="n"/>
      <c r="B283" s="5" t="n"/>
      <c r="C283" s="5" t="n"/>
      <c r="D283" s="32" t="n"/>
      <c r="E283" s="32" t="n"/>
      <c r="F283" s="33">
        <f>IF(D283="","",D283+KaziEk)</f>
        <v/>
      </c>
      <c r="G283" s="33">
        <f>IF(E283="","",E283+KaziEk)</f>
        <v/>
      </c>
      <c r="H283" s="34">
        <f>IF(OR(F283="",G283=""),"",(F283+G283)/2)</f>
        <v/>
      </c>
      <c r="I283" s="20" t="n"/>
      <c r="J283" s="21">
        <f>IF(OR(H283="",I283=""),"",IF(H283&gt;=IksaH,2*H283*I283,0))</f>
        <v/>
      </c>
      <c r="K283" s="21">
        <f>IF(OR(H283="",I283=""),"",HendekB*H283*I283)</f>
        <v/>
      </c>
      <c r="L283" s="5" t="n"/>
    </row>
    <row r="284">
      <c r="A284" s="5" t="n"/>
      <c r="B284" s="5" t="n"/>
      <c r="C284" s="5" t="n"/>
      <c r="D284" s="32" t="n"/>
      <c r="E284" s="32" t="n"/>
      <c r="F284" s="33">
        <f>IF(D284="","",D284+KaziEk)</f>
        <v/>
      </c>
      <c r="G284" s="33">
        <f>IF(E284="","",E284+KaziEk)</f>
        <v/>
      </c>
      <c r="H284" s="34">
        <f>IF(OR(F284="",G284=""),"",(F284+G284)/2)</f>
        <v/>
      </c>
      <c r="I284" s="20" t="n"/>
      <c r="J284" s="21">
        <f>IF(OR(H284="",I284=""),"",IF(H284&gt;=IksaH,2*H284*I284,0))</f>
        <v/>
      </c>
      <c r="K284" s="21">
        <f>IF(OR(H284="",I284=""),"",HendekB*H284*I284)</f>
        <v/>
      </c>
      <c r="L284" s="5" t="n"/>
    </row>
    <row r="285">
      <c r="A285" s="5" t="n"/>
      <c r="B285" s="5" t="n"/>
      <c r="C285" s="5" t="n"/>
      <c r="D285" s="32" t="n"/>
      <c r="E285" s="32" t="n"/>
      <c r="F285" s="33">
        <f>IF(D285="","",D285+KaziEk)</f>
        <v/>
      </c>
      <c r="G285" s="33">
        <f>IF(E285="","",E285+KaziEk)</f>
        <v/>
      </c>
      <c r="H285" s="34">
        <f>IF(OR(F285="",G285=""),"",(F285+G285)/2)</f>
        <v/>
      </c>
      <c r="I285" s="20" t="n"/>
      <c r="J285" s="21">
        <f>IF(OR(H285="",I285=""),"",IF(H285&gt;=IksaH,2*H285*I285,0))</f>
        <v/>
      </c>
      <c r="K285" s="21">
        <f>IF(OR(H285="",I285=""),"",HendekB*H285*I285)</f>
        <v/>
      </c>
      <c r="L285" s="5" t="n"/>
    </row>
    <row r="286">
      <c r="A286" s="5" t="n"/>
      <c r="B286" s="5" t="n"/>
      <c r="C286" s="5" t="n"/>
      <c r="D286" s="32" t="n"/>
      <c r="E286" s="32" t="n"/>
      <c r="F286" s="33">
        <f>IF(D286="","",D286+KaziEk)</f>
        <v/>
      </c>
      <c r="G286" s="33">
        <f>IF(E286="","",E286+KaziEk)</f>
        <v/>
      </c>
      <c r="H286" s="34">
        <f>IF(OR(F286="",G286=""),"",(F286+G286)/2)</f>
        <v/>
      </c>
      <c r="I286" s="20" t="n"/>
      <c r="J286" s="21">
        <f>IF(OR(H286="",I286=""),"",IF(H286&gt;=IksaH,2*H286*I286,0))</f>
        <v/>
      </c>
      <c r="K286" s="21">
        <f>IF(OR(H286="",I286=""),"",HendekB*H286*I286)</f>
        <v/>
      </c>
      <c r="L286" s="5" t="n"/>
    </row>
    <row r="287">
      <c r="A287" s="5" t="n"/>
      <c r="B287" s="5" t="n"/>
      <c r="C287" s="5" t="n"/>
      <c r="D287" s="32" t="n"/>
      <c r="E287" s="32" t="n"/>
      <c r="F287" s="33">
        <f>IF(D287="","",D287+KaziEk)</f>
        <v/>
      </c>
      <c r="G287" s="33">
        <f>IF(E287="","",E287+KaziEk)</f>
        <v/>
      </c>
      <c r="H287" s="34">
        <f>IF(OR(F287="",G287=""),"",(F287+G287)/2)</f>
        <v/>
      </c>
      <c r="I287" s="20" t="n"/>
      <c r="J287" s="21">
        <f>IF(OR(H287="",I287=""),"",IF(H287&gt;=IksaH,2*H287*I287,0))</f>
        <v/>
      </c>
      <c r="K287" s="21">
        <f>IF(OR(H287="",I287=""),"",HendekB*H287*I287)</f>
        <v/>
      </c>
      <c r="L287" s="5" t="n"/>
    </row>
    <row r="288">
      <c r="A288" s="5" t="n"/>
      <c r="B288" s="5" t="n"/>
      <c r="C288" s="5" t="n"/>
      <c r="D288" s="32" t="n"/>
      <c r="E288" s="32" t="n"/>
      <c r="F288" s="33">
        <f>IF(D288="","",D288+KaziEk)</f>
        <v/>
      </c>
      <c r="G288" s="33">
        <f>IF(E288="","",E288+KaziEk)</f>
        <v/>
      </c>
      <c r="H288" s="34">
        <f>IF(OR(F288="",G288=""),"",(F288+G288)/2)</f>
        <v/>
      </c>
      <c r="I288" s="20" t="n"/>
      <c r="J288" s="21">
        <f>IF(OR(H288="",I288=""),"",IF(H288&gt;=IksaH,2*H288*I288,0))</f>
        <v/>
      </c>
      <c r="K288" s="21">
        <f>IF(OR(H288="",I288=""),"",HendekB*H288*I288)</f>
        <v/>
      </c>
      <c r="L288" s="5" t="n"/>
    </row>
    <row r="289">
      <c r="A289" s="5" t="n"/>
      <c r="B289" s="5" t="n"/>
      <c r="C289" s="5" t="n"/>
      <c r="D289" s="32" t="n"/>
      <c r="E289" s="32" t="n"/>
      <c r="F289" s="33">
        <f>IF(D289="","",D289+KaziEk)</f>
        <v/>
      </c>
      <c r="G289" s="33">
        <f>IF(E289="","",E289+KaziEk)</f>
        <v/>
      </c>
      <c r="H289" s="34">
        <f>IF(OR(F289="",G289=""),"",(F289+G289)/2)</f>
        <v/>
      </c>
      <c r="I289" s="20" t="n"/>
      <c r="J289" s="21">
        <f>IF(OR(H289="",I289=""),"",IF(H289&gt;=IksaH,2*H289*I289,0))</f>
        <v/>
      </c>
      <c r="K289" s="21">
        <f>IF(OR(H289="",I289=""),"",HendekB*H289*I289)</f>
        <v/>
      </c>
      <c r="L289" s="5" t="n"/>
    </row>
    <row r="290">
      <c r="A290" s="5" t="n"/>
      <c r="B290" s="5" t="n"/>
      <c r="C290" s="5" t="n"/>
      <c r="D290" s="32" t="n"/>
      <c r="E290" s="32" t="n"/>
      <c r="F290" s="33">
        <f>IF(D290="","",D290+KaziEk)</f>
        <v/>
      </c>
      <c r="G290" s="33">
        <f>IF(E290="","",E290+KaziEk)</f>
        <v/>
      </c>
      <c r="H290" s="34">
        <f>IF(OR(F290="",G290=""),"",(F290+G290)/2)</f>
        <v/>
      </c>
      <c r="I290" s="20" t="n"/>
      <c r="J290" s="21">
        <f>IF(OR(H290="",I290=""),"",IF(H290&gt;=IksaH,2*H290*I290,0))</f>
        <v/>
      </c>
      <c r="K290" s="21">
        <f>IF(OR(H290="",I290=""),"",HendekB*H290*I290)</f>
        <v/>
      </c>
      <c r="L290" s="5" t="n"/>
    </row>
    <row r="291">
      <c r="A291" s="5" t="n"/>
      <c r="B291" s="5" t="n"/>
      <c r="C291" s="5" t="n"/>
      <c r="D291" s="32" t="n"/>
      <c r="E291" s="32" t="n"/>
      <c r="F291" s="33">
        <f>IF(D291="","",D291+KaziEk)</f>
        <v/>
      </c>
      <c r="G291" s="33">
        <f>IF(E291="","",E291+KaziEk)</f>
        <v/>
      </c>
      <c r="H291" s="34">
        <f>IF(OR(F291="",G291=""),"",(F291+G291)/2)</f>
        <v/>
      </c>
      <c r="I291" s="20" t="n"/>
      <c r="J291" s="21">
        <f>IF(OR(H291="",I291=""),"",IF(H291&gt;=IksaH,2*H291*I291,0))</f>
        <v/>
      </c>
      <c r="K291" s="21">
        <f>IF(OR(H291="",I291=""),"",HendekB*H291*I291)</f>
        <v/>
      </c>
      <c r="L291" s="5" t="n"/>
    </row>
    <row r="292">
      <c r="A292" s="5" t="n"/>
      <c r="B292" s="5" t="n"/>
      <c r="C292" s="5" t="n"/>
      <c r="D292" s="32" t="n"/>
      <c r="E292" s="32" t="n"/>
      <c r="F292" s="33">
        <f>IF(D292="","",D292+KaziEk)</f>
        <v/>
      </c>
      <c r="G292" s="33">
        <f>IF(E292="","",E292+KaziEk)</f>
        <v/>
      </c>
      <c r="H292" s="34">
        <f>IF(OR(F292="",G292=""),"",(F292+G292)/2)</f>
        <v/>
      </c>
      <c r="I292" s="20" t="n"/>
      <c r="J292" s="21">
        <f>IF(OR(H292="",I292=""),"",IF(H292&gt;=IksaH,2*H292*I292,0))</f>
        <v/>
      </c>
      <c r="K292" s="21">
        <f>IF(OR(H292="",I292=""),"",HendekB*H292*I292)</f>
        <v/>
      </c>
      <c r="L292" s="5" t="n"/>
    </row>
    <row r="293">
      <c r="A293" s="5" t="n"/>
      <c r="B293" s="5" t="n"/>
      <c r="C293" s="5" t="n"/>
      <c r="D293" s="32" t="n"/>
      <c r="E293" s="32" t="n"/>
      <c r="F293" s="33">
        <f>IF(D293="","",D293+KaziEk)</f>
        <v/>
      </c>
      <c r="G293" s="33">
        <f>IF(E293="","",E293+KaziEk)</f>
        <v/>
      </c>
      <c r="H293" s="34">
        <f>IF(OR(F293="",G293=""),"",(F293+G293)/2)</f>
        <v/>
      </c>
      <c r="I293" s="20" t="n"/>
      <c r="J293" s="21">
        <f>IF(OR(H293="",I293=""),"",IF(H293&gt;=IksaH,2*H293*I293,0))</f>
        <v/>
      </c>
      <c r="K293" s="21">
        <f>IF(OR(H293="",I293=""),"",HendekB*H293*I293)</f>
        <v/>
      </c>
      <c r="L293" s="5" t="n"/>
    </row>
    <row r="294">
      <c r="A294" s="5" t="n"/>
      <c r="B294" s="5" t="n"/>
      <c r="C294" s="5" t="n"/>
      <c r="D294" s="32" t="n"/>
      <c r="E294" s="32" t="n"/>
      <c r="F294" s="33">
        <f>IF(D294="","",D294+KaziEk)</f>
        <v/>
      </c>
      <c r="G294" s="33">
        <f>IF(E294="","",E294+KaziEk)</f>
        <v/>
      </c>
      <c r="H294" s="34">
        <f>IF(OR(F294="",G294=""),"",(F294+G294)/2)</f>
        <v/>
      </c>
      <c r="I294" s="20" t="n"/>
      <c r="J294" s="21">
        <f>IF(OR(H294="",I294=""),"",IF(H294&gt;=IksaH,2*H294*I294,0))</f>
        <v/>
      </c>
      <c r="K294" s="21">
        <f>IF(OR(H294="",I294=""),"",HendekB*H294*I294)</f>
        <v/>
      </c>
      <c r="L294" s="5" t="n"/>
    </row>
    <row r="295">
      <c r="A295" s="5" t="n"/>
      <c r="B295" s="5" t="n"/>
      <c r="C295" s="5" t="n"/>
      <c r="D295" s="32" t="n"/>
      <c r="E295" s="32" t="n"/>
      <c r="F295" s="33">
        <f>IF(D295="","",D295+KaziEk)</f>
        <v/>
      </c>
      <c r="G295" s="33">
        <f>IF(E295="","",E295+KaziEk)</f>
        <v/>
      </c>
      <c r="H295" s="34">
        <f>IF(OR(F295="",G295=""),"",(F295+G295)/2)</f>
        <v/>
      </c>
      <c r="I295" s="20" t="n"/>
      <c r="J295" s="21">
        <f>IF(OR(H295="",I295=""),"",IF(H295&gt;=IksaH,2*H295*I295,0))</f>
        <v/>
      </c>
      <c r="K295" s="21">
        <f>IF(OR(H295="",I295=""),"",HendekB*H295*I295)</f>
        <v/>
      </c>
      <c r="L295" s="5" t="n"/>
    </row>
    <row r="296">
      <c r="A296" s="5" t="n"/>
      <c r="B296" s="5" t="n"/>
      <c r="C296" s="5" t="n"/>
      <c r="D296" s="32" t="n"/>
      <c r="E296" s="32" t="n"/>
      <c r="F296" s="33">
        <f>IF(D296="","",D296+KaziEk)</f>
        <v/>
      </c>
      <c r="G296" s="33">
        <f>IF(E296="","",E296+KaziEk)</f>
        <v/>
      </c>
      <c r="H296" s="34">
        <f>IF(OR(F296="",G296=""),"",(F296+G296)/2)</f>
        <v/>
      </c>
      <c r="I296" s="20" t="n"/>
      <c r="J296" s="21">
        <f>IF(OR(H296="",I296=""),"",IF(H296&gt;=IksaH,2*H296*I296,0))</f>
        <v/>
      </c>
      <c r="K296" s="21">
        <f>IF(OR(H296="",I296=""),"",HendekB*H296*I296)</f>
        <v/>
      </c>
      <c r="L296" s="5" t="n"/>
    </row>
    <row r="297">
      <c r="A297" s="5" t="n"/>
      <c r="B297" s="5" t="n"/>
      <c r="C297" s="5" t="n"/>
      <c r="D297" s="32" t="n"/>
      <c r="E297" s="32" t="n"/>
      <c r="F297" s="33">
        <f>IF(D297="","",D297+KaziEk)</f>
        <v/>
      </c>
      <c r="G297" s="33">
        <f>IF(E297="","",E297+KaziEk)</f>
        <v/>
      </c>
      <c r="H297" s="34">
        <f>IF(OR(F297="",G297=""),"",(F297+G297)/2)</f>
        <v/>
      </c>
      <c r="I297" s="20" t="n"/>
      <c r="J297" s="21">
        <f>IF(OR(H297="",I297=""),"",IF(H297&gt;=IksaH,2*H297*I297,0))</f>
        <v/>
      </c>
      <c r="K297" s="21">
        <f>IF(OR(H297="",I297=""),"",HendekB*H297*I297)</f>
        <v/>
      </c>
      <c r="L297" s="5" t="n"/>
    </row>
    <row r="298">
      <c r="A298" s="5" t="n"/>
      <c r="B298" s="5" t="n"/>
      <c r="C298" s="5" t="n"/>
      <c r="D298" s="32" t="n"/>
      <c r="E298" s="32" t="n"/>
      <c r="F298" s="33">
        <f>IF(D298="","",D298+KaziEk)</f>
        <v/>
      </c>
      <c r="G298" s="33">
        <f>IF(E298="","",E298+KaziEk)</f>
        <v/>
      </c>
      <c r="H298" s="34">
        <f>IF(OR(F298="",G298=""),"",(F298+G298)/2)</f>
        <v/>
      </c>
      <c r="I298" s="20" t="n"/>
      <c r="J298" s="21">
        <f>IF(OR(H298="",I298=""),"",IF(H298&gt;=IksaH,2*H298*I298,0))</f>
        <v/>
      </c>
      <c r="K298" s="21">
        <f>IF(OR(H298="",I298=""),"",HendekB*H298*I298)</f>
        <v/>
      </c>
      <c r="L298" s="5" t="n"/>
    </row>
    <row r="299">
      <c r="A299" s="5" t="n"/>
      <c r="B299" s="5" t="n"/>
      <c r="C299" s="5" t="n"/>
      <c r="D299" s="32" t="n"/>
      <c r="E299" s="32" t="n"/>
      <c r="F299" s="33">
        <f>IF(D299="","",D299+KaziEk)</f>
        <v/>
      </c>
      <c r="G299" s="33">
        <f>IF(E299="","",E299+KaziEk)</f>
        <v/>
      </c>
      <c r="H299" s="34">
        <f>IF(OR(F299="",G299=""),"",(F299+G299)/2)</f>
        <v/>
      </c>
      <c r="I299" s="20" t="n"/>
      <c r="J299" s="21">
        <f>IF(OR(H299="",I299=""),"",IF(H299&gt;=IksaH,2*H299*I299,0))</f>
        <v/>
      </c>
      <c r="K299" s="21">
        <f>IF(OR(H299="",I299=""),"",HendekB*H299*I299)</f>
        <v/>
      </c>
      <c r="L299" s="5" t="n"/>
    </row>
    <row r="300">
      <c r="A300" s="5" t="n"/>
      <c r="B300" s="5" t="n"/>
      <c r="C300" s="5" t="n"/>
      <c r="D300" s="32" t="n"/>
      <c r="E300" s="32" t="n"/>
      <c r="F300" s="33">
        <f>IF(D300="","",D300+KaziEk)</f>
        <v/>
      </c>
      <c r="G300" s="33">
        <f>IF(E300="","",E300+KaziEk)</f>
        <v/>
      </c>
      <c r="H300" s="34">
        <f>IF(OR(F300="",G300=""),"",(F300+G300)/2)</f>
        <v/>
      </c>
      <c r="I300" s="20" t="n"/>
      <c r="J300" s="21">
        <f>IF(OR(H300="",I300=""),"",IF(H300&gt;=IksaH,2*H300*I300,0))</f>
        <v/>
      </c>
      <c r="K300" s="21">
        <f>IF(OR(H300="",I300=""),"",HendekB*H300*I300)</f>
        <v/>
      </c>
      <c r="L300" s="5" t="n"/>
    </row>
    <row r="301">
      <c r="A301" s="5" t="n"/>
      <c r="B301" s="5" t="n"/>
      <c r="C301" s="5" t="n"/>
      <c r="D301" s="32" t="n"/>
      <c r="E301" s="32" t="n"/>
      <c r="F301" s="33">
        <f>IF(D301="","",D301+KaziEk)</f>
        <v/>
      </c>
      <c r="G301" s="33">
        <f>IF(E301="","",E301+KaziEk)</f>
        <v/>
      </c>
      <c r="H301" s="34">
        <f>IF(OR(F301="",G301=""),"",(F301+G301)/2)</f>
        <v/>
      </c>
      <c r="I301" s="20" t="n"/>
      <c r="J301" s="21">
        <f>IF(OR(H301="",I301=""),"",IF(H301&gt;=IksaH,2*H301*I301,0))</f>
        <v/>
      </c>
      <c r="K301" s="21">
        <f>IF(OR(H301="",I301=""),"",HendekB*H301*I301)</f>
        <v/>
      </c>
      <c r="L301" s="5" t="n"/>
    </row>
    <row r="302">
      <c r="A302" s="5" t="n"/>
      <c r="B302" s="5" t="n"/>
      <c r="C302" s="5" t="n"/>
      <c r="D302" s="32" t="n"/>
      <c r="E302" s="32" t="n"/>
      <c r="F302" s="33">
        <f>IF(D302="","",D302+KaziEk)</f>
        <v/>
      </c>
      <c r="G302" s="33">
        <f>IF(E302="","",E302+KaziEk)</f>
        <v/>
      </c>
      <c r="H302" s="34">
        <f>IF(OR(F302="",G302=""),"",(F302+G302)/2)</f>
        <v/>
      </c>
      <c r="I302" s="20" t="n"/>
      <c r="J302" s="21">
        <f>IF(OR(H302="",I302=""),"",IF(H302&gt;=IksaH,2*H302*I302,0))</f>
        <v/>
      </c>
      <c r="K302" s="21">
        <f>IF(OR(H302="",I302=""),"",HendekB*H302*I302)</f>
        <v/>
      </c>
      <c r="L302" s="5" t="n"/>
    </row>
    <row r="303">
      <c r="A303" s="5" t="n"/>
      <c r="B303" s="5" t="n"/>
      <c r="C303" s="5" t="n"/>
      <c r="D303" s="32" t="n"/>
      <c r="E303" s="32" t="n"/>
      <c r="F303" s="33">
        <f>IF(D303="","",D303+KaziEk)</f>
        <v/>
      </c>
      <c r="G303" s="33">
        <f>IF(E303="","",E303+KaziEk)</f>
        <v/>
      </c>
      <c r="H303" s="34">
        <f>IF(OR(F303="",G303=""),"",(F303+G303)/2)</f>
        <v/>
      </c>
      <c r="I303" s="20" t="n"/>
      <c r="J303" s="21">
        <f>IF(OR(H303="",I303=""),"",IF(H303&gt;=IksaH,2*H303*I303,0))</f>
        <v/>
      </c>
      <c r="K303" s="21">
        <f>IF(OR(H303="",I303=""),"",HendekB*H303*I303)</f>
        <v/>
      </c>
      <c r="L303" s="5" t="n"/>
    </row>
    <row r="304">
      <c r="A304" s="5" t="n"/>
      <c r="B304" s="5" t="n"/>
      <c r="C304" s="5" t="n"/>
      <c r="D304" s="32" t="n"/>
      <c r="E304" s="32" t="n"/>
      <c r="F304" s="33">
        <f>IF(D304="","",D304+KaziEk)</f>
        <v/>
      </c>
      <c r="G304" s="33">
        <f>IF(E304="","",E304+KaziEk)</f>
        <v/>
      </c>
      <c r="H304" s="34">
        <f>IF(OR(F304="",G304=""),"",(F304+G304)/2)</f>
        <v/>
      </c>
      <c r="I304" s="20" t="n"/>
      <c r="J304" s="21">
        <f>IF(OR(H304="",I304=""),"",IF(H304&gt;=IksaH,2*H304*I304,0))</f>
        <v/>
      </c>
      <c r="K304" s="21">
        <f>IF(OR(H304="",I304=""),"",HendekB*H304*I304)</f>
        <v/>
      </c>
      <c r="L304" s="5" t="n"/>
    </row>
    <row r="305">
      <c r="A305" s="5" t="n"/>
      <c r="B305" s="5" t="n"/>
      <c r="C305" s="5" t="n"/>
      <c r="D305" s="32" t="n"/>
      <c r="E305" s="32" t="n"/>
      <c r="F305" s="33">
        <f>IF(D305="","",D305+KaziEk)</f>
        <v/>
      </c>
      <c r="G305" s="33">
        <f>IF(E305="","",E305+KaziEk)</f>
        <v/>
      </c>
      <c r="H305" s="34">
        <f>IF(OR(F305="",G305=""),"",(F305+G305)/2)</f>
        <v/>
      </c>
      <c r="I305" s="20" t="n"/>
      <c r="J305" s="21">
        <f>IF(OR(H305="",I305=""),"",IF(H305&gt;=IksaH,2*H305*I305,0))</f>
        <v/>
      </c>
      <c r="K305" s="21">
        <f>IF(OR(H305="",I305=""),"",HendekB*H305*I305)</f>
        <v/>
      </c>
      <c r="L305" s="5" t="n"/>
    </row>
    <row r="306">
      <c r="A306" s="5" t="n"/>
      <c r="B306" s="5" t="n"/>
      <c r="C306" s="5" t="n"/>
      <c r="D306" s="32" t="n"/>
      <c r="E306" s="32" t="n"/>
      <c r="F306" s="33">
        <f>IF(D306="","",D306+KaziEk)</f>
        <v/>
      </c>
      <c r="G306" s="33">
        <f>IF(E306="","",E306+KaziEk)</f>
        <v/>
      </c>
      <c r="H306" s="34">
        <f>IF(OR(F306="",G306=""),"",(F306+G306)/2)</f>
        <v/>
      </c>
      <c r="I306" s="20" t="n"/>
      <c r="J306" s="21">
        <f>IF(OR(H306="",I306=""),"",IF(H306&gt;=IksaH,2*H306*I306,0))</f>
        <v/>
      </c>
      <c r="K306" s="21">
        <f>IF(OR(H306="",I306=""),"",HendekB*H306*I306)</f>
        <v/>
      </c>
      <c r="L306" s="5" t="n"/>
    </row>
    <row r="307">
      <c r="A307" s="5" t="n"/>
      <c r="B307" s="5" t="n"/>
      <c r="C307" s="5" t="n"/>
      <c r="D307" s="32" t="n"/>
      <c r="E307" s="32" t="n"/>
      <c r="F307" s="33">
        <f>IF(D307="","",D307+KaziEk)</f>
        <v/>
      </c>
      <c r="G307" s="33">
        <f>IF(E307="","",E307+KaziEk)</f>
        <v/>
      </c>
      <c r="H307" s="34">
        <f>IF(OR(F307="",G307=""),"",(F307+G307)/2)</f>
        <v/>
      </c>
      <c r="I307" s="20" t="n"/>
      <c r="J307" s="21">
        <f>IF(OR(H307="",I307=""),"",IF(H307&gt;=IksaH,2*H307*I307,0))</f>
        <v/>
      </c>
      <c r="K307" s="21">
        <f>IF(OR(H307="",I307=""),"",HendekB*H307*I307)</f>
        <v/>
      </c>
      <c r="L307" s="5" t="n"/>
    </row>
    <row r="308">
      <c r="A308" s="5" t="n"/>
      <c r="B308" s="5" t="n"/>
      <c r="C308" s="5" t="n"/>
      <c r="D308" s="32" t="n"/>
      <c r="E308" s="32" t="n"/>
      <c r="F308" s="33">
        <f>IF(D308="","",D308+KaziEk)</f>
        <v/>
      </c>
      <c r="G308" s="33">
        <f>IF(E308="","",E308+KaziEk)</f>
        <v/>
      </c>
      <c r="H308" s="34">
        <f>IF(OR(F308="",G308=""),"",(F308+G308)/2)</f>
        <v/>
      </c>
      <c r="I308" s="20" t="n"/>
      <c r="J308" s="21">
        <f>IF(OR(H308="",I308=""),"",IF(H308&gt;=IksaH,2*H308*I308,0))</f>
        <v/>
      </c>
      <c r="K308" s="21">
        <f>IF(OR(H308="",I308=""),"",HendekB*H308*I308)</f>
        <v/>
      </c>
      <c r="L308" s="5" t="n"/>
    </row>
    <row r="309">
      <c r="A309" s="5" t="n"/>
      <c r="B309" s="5" t="n"/>
      <c r="C309" s="5" t="n"/>
      <c r="D309" s="32" t="n"/>
      <c r="E309" s="32" t="n"/>
      <c r="F309" s="33">
        <f>IF(D309="","",D309+KaziEk)</f>
        <v/>
      </c>
      <c r="G309" s="33">
        <f>IF(E309="","",E309+KaziEk)</f>
        <v/>
      </c>
      <c r="H309" s="34">
        <f>IF(OR(F309="",G309=""),"",(F309+G309)/2)</f>
        <v/>
      </c>
      <c r="I309" s="20" t="n"/>
      <c r="J309" s="21">
        <f>IF(OR(H309="",I309=""),"",IF(H309&gt;=IksaH,2*H309*I309,0))</f>
        <v/>
      </c>
      <c r="K309" s="21">
        <f>IF(OR(H309="",I309=""),"",HendekB*H309*I309)</f>
        <v/>
      </c>
      <c r="L309" s="5" t="n"/>
    </row>
    <row r="310">
      <c r="A310" s="5" t="n"/>
      <c r="B310" s="5" t="n"/>
      <c r="C310" s="5" t="n"/>
      <c r="D310" s="32" t="n"/>
      <c r="E310" s="32" t="n"/>
      <c r="F310" s="33">
        <f>IF(D310="","",D310+KaziEk)</f>
        <v/>
      </c>
      <c r="G310" s="33">
        <f>IF(E310="","",E310+KaziEk)</f>
        <v/>
      </c>
      <c r="H310" s="34">
        <f>IF(OR(F310="",G310=""),"",(F310+G310)/2)</f>
        <v/>
      </c>
      <c r="I310" s="20" t="n"/>
      <c r="J310" s="21">
        <f>IF(OR(H310="",I310=""),"",IF(H310&gt;=IksaH,2*H310*I310,0))</f>
        <v/>
      </c>
      <c r="K310" s="21">
        <f>IF(OR(H310="",I310=""),"",HendekB*H310*I310)</f>
        <v/>
      </c>
      <c r="L310" s="5" t="n"/>
    </row>
    <row r="311">
      <c r="A311" s="5" t="n"/>
      <c r="B311" s="5" t="n"/>
      <c r="C311" s="5" t="n"/>
      <c r="D311" s="32" t="n"/>
      <c r="E311" s="32" t="n"/>
      <c r="F311" s="33">
        <f>IF(D311="","",D311+KaziEk)</f>
        <v/>
      </c>
      <c r="G311" s="33">
        <f>IF(E311="","",E311+KaziEk)</f>
        <v/>
      </c>
      <c r="H311" s="34">
        <f>IF(OR(F311="",G311=""),"",(F311+G311)/2)</f>
        <v/>
      </c>
      <c r="I311" s="20" t="n"/>
      <c r="J311" s="21">
        <f>IF(OR(H311="",I311=""),"",IF(H311&gt;=IksaH,2*H311*I311,0))</f>
        <v/>
      </c>
      <c r="K311" s="21">
        <f>IF(OR(H311="",I311=""),"",HendekB*H311*I311)</f>
        <v/>
      </c>
      <c r="L311" s="5" t="n"/>
    </row>
    <row r="312">
      <c r="A312" s="5" t="n"/>
      <c r="B312" s="5" t="n"/>
      <c r="C312" s="5" t="n"/>
      <c r="D312" s="32" t="n"/>
      <c r="E312" s="32" t="n"/>
      <c r="F312" s="33">
        <f>IF(D312="","",D312+KaziEk)</f>
        <v/>
      </c>
      <c r="G312" s="33">
        <f>IF(E312="","",E312+KaziEk)</f>
        <v/>
      </c>
      <c r="H312" s="34">
        <f>IF(OR(F312="",G312=""),"",(F312+G312)/2)</f>
        <v/>
      </c>
      <c r="I312" s="20" t="n"/>
      <c r="J312" s="21">
        <f>IF(OR(H312="",I312=""),"",IF(H312&gt;=IksaH,2*H312*I312,0))</f>
        <v/>
      </c>
      <c r="K312" s="21">
        <f>IF(OR(H312="",I312=""),"",HendekB*H312*I312)</f>
        <v/>
      </c>
      <c r="L312" s="5" t="n"/>
    </row>
    <row r="313">
      <c r="A313" s="5" t="n"/>
      <c r="B313" s="5" t="n"/>
      <c r="C313" s="5" t="n"/>
      <c r="D313" s="32" t="n"/>
      <c r="E313" s="32" t="n"/>
      <c r="F313" s="33">
        <f>IF(D313="","",D313+KaziEk)</f>
        <v/>
      </c>
      <c r="G313" s="33">
        <f>IF(E313="","",E313+KaziEk)</f>
        <v/>
      </c>
      <c r="H313" s="34">
        <f>IF(OR(F313="",G313=""),"",(F313+G313)/2)</f>
        <v/>
      </c>
      <c r="I313" s="20" t="n"/>
      <c r="J313" s="21">
        <f>IF(OR(H313="",I313=""),"",IF(H313&gt;=IksaH,2*H313*I313,0))</f>
        <v/>
      </c>
      <c r="K313" s="21">
        <f>IF(OR(H313="",I313=""),"",HendekB*H313*I313)</f>
        <v/>
      </c>
      <c r="L313" s="5" t="n"/>
    </row>
    <row r="314">
      <c r="A314" s="5" t="n"/>
      <c r="B314" s="5" t="n"/>
      <c r="C314" s="5" t="n"/>
      <c r="D314" s="32" t="n"/>
      <c r="E314" s="32" t="n"/>
      <c r="F314" s="33">
        <f>IF(D314="","",D314+KaziEk)</f>
        <v/>
      </c>
      <c r="G314" s="33">
        <f>IF(E314="","",E314+KaziEk)</f>
        <v/>
      </c>
      <c r="H314" s="34">
        <f>IF(OR(F314="",G314=""),"",(F314+G314)/2)</f>
        <v/>
      </c>
      <c r="I314" s="20" t="n"/>
      <c r="J314" s="21">
        <f>IF(OR(H314="",I314=""),"",IF(H314&gt;=IksaH,2*H314*I314,0))</f>
        <v/>
      </c>
      <c r="K314" s="21">
        <f>IF(OR(H314="",I314=""),"",HendekB*H314*I314)</f>
        <v/>
      </c>
      <c r="L314" s="5" t="n"/>
    </row>
    <row r="315">
      <c r="A315" s="5" t="n"/>
      <c r="B315" s="5" t="n"/>
      <c r="C315" s="5" t="n"/>
      <c r="D315" s="32" t="n"/>
      <c r="E315" s="32" t="n"/>
      <c r="F315" s="33">
        <f>IF(D315="","",D315+KaziEk)</f>
        <v/>
      </c>
      <c r="G315" s="33">
        <f>IF(E315="","",E315+KaziEk)</f>
        <v/>
      </c>
      <c r="H315" s="34">
        <f>IF(OR(F315="",G315=""),"",(F315+G315)/2)</f>
        <v/>
      </c>
      <c r="I315" s="20" t="n"/>
      <c r="J315" s="21">
        <f>IF(OR(H315="",I315=""),"",IF(H315&gt;=IksaH,2*H315*I315,0))</f>
        <v/>
      </c>
      <c r="K315" s="21">
        <f>IF(OR(H315="",I315=""),"",HendekB*H315*I315)</f>
        <v/>
      </c>
      <c r="L315" s="5" t="n"/>
    </row>
    <row r="316">
      <c r="A316" s="5" t="n"/>
      <c r="B316" s="5" t="n"/>
      <c r="C316" s="5" t="n"/>
      <c r="D316" s="32" t="n"/>
      <c r="E316" s="32" t="n"/>
      <c r="F316" s="33">
        <f>IF(D316="","",D316+KaziEk)</f>
        <v/>
      </c>
      <c r="G316" s="33">
        <f>IF(E316="","",E316+KaziEk)</f>
        <v/>
      </c>
      <c r="H316" s="34">
        <f>IF(OR(F316="",G316=""),"",(F316+G316)/2)</f>
        <v/>
      </c>
      <c r="I316" s="20" t="n"/>
      <c r="J316" s="21">
        <f>IF(OR(H316="",I316=""),"",IF(H316&gt;=IksaH,2*H316*I316,0))</f>
        <v/>
      </c>
      <c r="K316" s="21">
        <f>IF(OR(H316="",I316=""),"",HendekB*H316*I316)</f>
        <v/>
      </c>
      <c r="L316" s="5" t="n"/>
    </row>
    <row r="317">
      <c r="A317" s="5" t="n"/>
      <c r="B317" s="5" t="n"/>
      <c r="C317" s="5" t="n"/>
      <c r="D317" s="32" t="n"/>
      <c r="E317" s="32" t="n"/>
      <c r="F317" s="33">
        <f>IF(D317="","",D317+KaziEk)</f>
        <v/>
      </c>
      <c r="G317" s="33">
        <f>IF(E317="","",E317+KaziEk)</f>
        <v/>
      </c>
      <c r="H317" s="34">
        <f>IF(OR(F317="",G317=""),"",(F317+G317)/2)</f>
        <v/>
      </c>
      <c r="I317" s="20" t="n"/>
      <c r="J317" s="21">
        <f>IF(OR(H317="",I317=""),"",IF(H317&gt;=IksaH,2*H317*I317,0))</f>
        <v/>
      </c>
      <c r="K317" s="21">
        <f>IF(OR(H317="",I317=""),"",HendekB*H317*I317)</f>
        <v/>
      </c>
      <c r="L317" s="5" t="n"/>
    </row>
    <row r="318">
      <c r="A318" s="5" t="n"/>
      <c r="B318" s="5" t="n"/>
      <c r="C318" s="5" t="n"/>
      <c r="D318" s="32" t="n"/>
      <c r="E318" s="32" t="n"/>
      <c r="F318" s="33">
        <f>IF(D318="","",D318+KaziEk)</f>
        <v/>
      </c>
      <c r="G318" s="33">
        <f>IF(E318="","",E318+KaziEk)</f>
        <v/>
      </c>
      <c r="H318" s="34">
        <f>IF(OR(F318="",G318=""),"",(F318+G318)/2)</f>
        <v/>
      </c>
      <c r="I318" s="20" t="n"/>
      <c r="J318" s="21">
        <f>IF(OR(H318="",I318=""),"",IF(H318&gt;=IksaH,2*H318*I318,0))</f>
        <v/>
      </c>
      <c r="K318" s="21">
        <f>IF(OR(H318="",I318=""),"",HendekB*H318*I318)</f>
        <v/>
      </c>
      <c r="L318" s="5" t="n"/>
    </row>
    <row r="319">
      <c r="A319" s="5" t="n"/>
      <c r="B319" s="5" t="n"/>
      <c r="C319" s="5" t="n"/>
      <c r="D319" s="32" t="n"/>
      <c r="E319" s="32" t="n"/>
      <c r="F319" s="33">
        <f>IF(D319="","",D319+KaziEk)</f>
        <v/>
      </c>
      <c r="G319" s="33">
        <f>IF(E319="","",E319+KaziEk)</f>
        <v/>
      </c>
      <c r="H319" s="34">
        <f>IF(OR(F319="",G319=""),"",(F319+G319)/2)</f>
        <v/>
      </c>
      <c r="I319" s="20" t="n"/>
      <c r="J319" s="21">
        <f>IF(OR(H319="",I319=""),"",IF(H319&gt;=IksaH,2*H319*I319,0))</f>
        <v/>
      </c>
      <c r="K319" s="21">
        <f>IF(OR(H319="",I319=""),"",HendekB*H319*I319)</f>
        <v/>
      </c>
      <c r="L319" s="5" t="n"/>
    </row>
    <row r="320">
      <c r="A320" s="5" t="n"/>
      <c r="B320" s="5" t="n"/>
      <c r="C320" s="5" t="n"/>
      <c r="D320" s="32" t="n"/>
      <c r="E320" s="32" t="n"/>
      <c r="F320" s="33">
        <f>IF(D320="","",D320+KaziEk)</f>
        <v/>
      </c>
      <c r="G320" s="33">
        <f>IF(E320="","",E320+KaziEk)</f>
        <v/>
      </c>
      <c r="H320" s="34">
        <f>IF(OR(F320="",G320=""),"",(F320+G320)/2)</f>
        <v/>
      </c>
      <c r="I320" s="20" t="n"/>
      <c r="J320" s="21">
        <f>IF(OR(H320="",I320=""),"",IF(H320&gt;=IksaH,2*H320*I320,0))</f>
        <v/>
      </c>
      <c r="K320" s="21">
        <f>IF(OR(H320="",I320=""),"",HendekB*H320*I320)</f>
        <v/>
      </c>
      <c r="L320" s="5" t="n"/>
    </row>
    <row r="321">
      <c r="A321" s="5" t="n"/>
      <c r="B321" s="5" t="n"/>
      <c r="C321" s="5" t="n"/>
      <c r="D321" s="32" t="n"/>
      <c r="E321" s="32" t="n"/>
      <c r="F321" s="33">
        <f>IF(D321="","",D321+KaziEk)</f>
        <v/>
      </c>
      <c r="G321" s="33">
        <f>IF(E321="","",E321+KaziEk)</f>
        <v/>
      </c>
      <c r="H321" s="34">
        <f>IF(OR(F321="",G321=""),"",(F321+G321)/2)</f>
        <v/>
      </c>
      <c r="I321" s="20" t="n"/>
      <c r="J321" s="21">
        <f>IF(OR(H321="",I321=""),"",IF(H321&gt;=IksaH,2*H321*I321,0))</f>
        <v/>
      </c>
      <c r="K321" s="21">
        <f>IF(OR(H321="",I321=""),"",HendekB*H321*I321)</f>
        <v/>
      </c>
      <c r="L321" s="5" t="n"/>
    </row>
    <row r="322">
      <c r="A322" s="5" t="n"/>
      <c r="B322" s="5" t="n"/>
      <c r="C322" s="5" t="n"/>
      <c r="D322" s="32" t="n"/>
      <c r="E322" s="32" t="n"/>
      <c r="F322" s="33">
        <f>IF(D322="","",D322+KaziEk)</f>
        <v/>
      </c>
      <c r="G322" s="33">
        <f>IF(E322="","",E322+KaziEk)</f>
        <v/>
      </c>
      <c r="H322" s="34">
        <f>IF(OR(F322="",G322=""),"",(F322+G322)/2)</f>
        <v/>
      </c>
      <c r="I322" s="20" t="n"/>
      <c r="J322" s="21">
        <f>IF(OR(H322="",I322=""),"",IF(H322&gt;=IksaH,2*H322*I322,0))</f>
        <v/>
      </c>
      <c r="K322" s="21">
        <f>IF(OR(H322="",I322=""),"",HendekB*H322*I322)</f>
        <v/>
      </c>
      <c r="L322" s="5" t="n"/>
    </row>
    <row r="323">
      <c r="A323" s="5" t="n"/>
      <c r="B323" s="5" t="n"/>
      <c r="C323" s="5" t="n"/>
      <c r="D323" s="32" t="n"/>
      <c r="E323" s="32" t="n"/>
      <c r="F323" s="33">
        <f>IF(D323="","",D323+KaziEk)</f>
        <v/>
      </c>
      <c r="G323" s="33">
        <f>IF(E323="","",E323+KaziEk)</f>
        <v/>
      </c>
      <c r="H323" s="34">
        <f>IF(OR(F323="",G323=""),"",(F323+G323)/2)</f>
        <v/>
      </c>
      <c r="I323" s="20" t="n"/>
      <c r="J323" s="21">
        <f>IF(OR(H323="",I323=""),"",IF(H323&gt;=IksaH,2*H323*I323,0))</f>
        <v/>
      </c>
      <c r="K323" s="21">
        <f>IF(OR(H323="",I323=""),"",HendekB*H323*I323)</f>
        <v/>
      </c>
      <c r="L323" s="5" t="n"/>
    </row>
    <row r="324">
      <c r="A324" s="5" t="n"/>
      <c r="B324" s="5" t="n"/>
      <c r="C324" s="5" t="n"/>
      <c r="D324" s="32" t="n"/>
      <c r="E324" s="32" t="n"/>
      <c r="F324" s="33">
        <f>IF(D324="","",D324+KaziEk)</f>
        <v/>
      </c>
      <c r="G324" s="33">
        <f>IF(E324="","",E324+KaziEk)</f>
        <v/>
      </c>
      <c r="H324" s="34">
        <f>IF(OR(F324="",G324=""),"",(F324+G324)/2)</f>
        <v/>
      </c>
      <c r="I324" s="20" t="n"/>
      <c r="J324" s="21">
        <f>IF(OR(H324="",I324=""),"",IF(H324&gt;=IksaH,2*H324*I324,0))</f>
        <v/>
      </c>
      <c r="K324" s="21">
        <f>IF(OR(H324="",I324=""),"",HendekB*H324*I324)</f>
        <v/>
      </c>
      <c r="L324" s="5" t="n"/>
    </row>
    <row r="325">
      <c r="A325" s="5" t="n"/>
      <c r="B325" s="5" t="n"/>
      <c r="C325" s="5" t="n"/>
      <c r="D325" s="32" t="n"/>
      <c r="E325" s="32" t="n"/>
      <c r="F325" s="33">
        <f>IF(D325="","",D325+KaziEk)</f>
        <v/>
      </c>
      <c r="G325" s="33">
        <f>IF(E325="","",E325+KaziEk)</f>
        <v/>
      </c>
      <c r="H325" s="34">
        <f>IF(OR(F325="",G325=""),"",(F325+G325)/2)</f>
        <v/>
      </c>
      <c r="I325" s="20" t="n"/>
      <c r="J325" s="21">
        <f>IF(OR(H325="",I325=""),"",IF(H325&gt;=IksaH,2*H325*I325,0))</f>
        <v/>
      </c>
      <c r="K325" s="21">
        <f>IF(OR(H325="",I325=""),"",HendekB*H325*I325)</f>
        <v/>
      </c>
      <c r="L325" s="5" t="n"/>
    </row>
    <row r="326">
      <c r="A326" s="5" t="n"/>
      <c r="B326" s="5" t="n"/>
      <c r="C326" s="5" t="n"/>
      <c r="D326" s="32" t="n"/>
      <c r="E326" s="32" t="n"/>
      <c r="F326" s="33">
        <f>IF(D326="","",D326+KaziEk)</f>
        <v/>
      </c>
      <c r="G326" s="33">
        <f>IF(E326="","",E326+KaziEk)</f>
        <v/>
      </c>
      <c r="H326" s="34">
        <f>IF(OR(F326="",G326=""),"",(F326+G326)/2)</f>
        <v/>
      </c>
      <c r="I326" s="20" t="n"/>
      <c r="J326" s="21">
        <f>IF(OR(H326="",I326=""),"",IF(H326&gt;=IksaH,2*H326*I326,0))</f>
        <v/>
      </c>
      <c r="K326" s="21">
        <f>IF(OR(H326="",I326=""),"",HendekB*H326*I326)</f>
        <v/>
      </c>
      <c r="L326" s="5" t="n"/>
    </row>
    <row r="327">
      <c r="A327" s="5" t="n"/>
      <c r="B327" s="5" t="n"/>
      <c r="C327" s="5" t="n"/>
      <c r="D327" s="32" t="n"/>
      <c r="E327" s="32" t="n"/>
      <c r="F327" s="33">
        <f>IF(D327="","",D327+KaziEk)</f>
        <v/>
      </c>
      <c r="G327" s="33">
        <f>IF(E327="","",E327+KaziEk)</f>
        <v/>
      </c>
      <c r="H327" s="34">
        <f>IF(OR(F327="",G327=""),"",(F327+G327)/2)</f>
        <v/>
      </c>
      <c r="I327" s="20" t="n"/>
      <c r="J327" s="21">
        <f>IF(OR(H327="",I327=""),"",IF(H327&gt;=IksaH,2*H327*I327,0))</f>
        <v/>
      </c>
      <c r="K327" s="21">
        <f>IF(OR(H327="",I327=""),"",HendekB*H327*I327)</f>
        <v/>
      </c>
      <c r="L327" s="5" t="n"/>
    </row>
    <row r="328">
      <c r="A328" s="5" t="n"/>
      <c r="B328" s="5" t="n"/>
      <c r="C328" s="5" t="n"/>
      <c r="D328" s="32" t="n"/>
      <c r="E328" s="32" t="n"/>
      <c r="F328" s="33">
        <f>IF(D328="","",D328+KaziEk)</f>
        <v/>
      </c>
      <c r="G328" s="33">
        <f>IF(E328="","",E328+KaziEk)</f>
        <v/>
      </c>
      <c r="H328" s="34">
        <f>IF(OR(F328="",G328=""),"",(F328+G328)/2)</f>
        <v/>
      </c>
      <c r="I328" s="20" t="n"/>
      <c r="J328" s="21">
        <f>IF(OR(H328="",I328=""),"",IF(H328&gt;=IksaH,2*H328*I328,0))</f>
        <v/>
      </c>
      <c r="K328" s="21">
        <f>IF(OR(H328="",I328=""),"",HendekB*H328*I328)</f>
        <v/>
      </c>
      <c r="L328" s="5" t="n"/>
    </row>
    <row r="329">
      <c r="A329" s="5" t="n"/>
      <c r="B329" s="5" t="n"/>
      <c r="C329" s="5" t="n"/>
      <c r="D329" s="32" t="n"/>
      <c r="E329" s="32" t="n"/>
      <c r="F329" s="33">
        <f>IF(D329="","",D329+KaziEk)</f>
        <v/>
      </c>
      <c r="G329" s="33">
        <f>IF(E329="","",E329+KaziEk)</f>
        <v/>
      </c>
      <c r="H329" s="34">
        <f>IF(OR(F329="",G329=""),"",(F329+G329)/2)</f>
        <v/>
      </c>
      <c r="I329" s="20" t="n"/>
      <c r="J329" s="21">
        <f>IF(OR(H329="",I329=""),"",IF(H329&gt;=IksaH,2*H329*I329,0))</f>
        <v/>
      </c>
      <c r="K329" s="21">
        <f>IF(OR(H329="",I329=""),"",HendekB*H329*I329)</f>
        <v/>
      </c>
      <c r="L329" s="5" t="n"/>
    </row>
    <row r="330">
      <c r="A330" s="5" t="n"/>
      <c r="B330" s="5" t="n"/>
      <c r="C330" s="5" t="n"/>
      <c r="D330" s="32" t="n"/>
      <c r="E330" s="32" t="n"/>
      <c r="F330" s="33">
        <f>IF(D330="","",D330+KaziEk)</f>
        <v/>
      </c>
      <c r="G330" s="33">
        <f>IF(E330="","",E330+KaziEk)</f>
        <v/>
      </c>
      <c r="H330" s="34">
        <f>IF(OR(F330="",G330=""),"",(F330+G330)/2)</f>
        <v/>
      </c>
      <c r="I330" s="20" t="n"/>
      <c r="J330" s="21">
        <f>IF(OR(H330="",I330=""),"",IF(H330&gt;=IksaH,2*H330*I330,0))</f>
        <v/>
      </c>
      <c r="K330" s="21">
        <f>IF(OR(H330="",I330=""),"",HendekB*H330*I330)</f>
        <v/>
      </c>
      <c r="L330" s="5" t="n"/>
    </row>
    <row r="331">
      <c r="A331" s="5" t="n"/>
      <c r="B331" s="5" t="n"/>
      <c r="C331" s="5" t="n"/>
      <c r="D331" s="32" t="n"/>
      <c r="E331" s="32" t="n"/>
      <c r="F331" s="33">
        <f>IF(D331="","",D331+KaziEk)</f>
        <v/>
      </c>
      <c r="G331" s="33">
        <f>IF(E331="","",E331+KaziEk)</f>
        <v/>
      </c>
      <c r="H331" s="34">
        <f>IF(OR(F331="",G331=""),"",(F331+G331)/2)</f>
        <v/>
      </c>
      <c r="I331" s="20" t="n"/>
      <c r="J331" s="21">
        <f>IF(OR(H331="",I331=""),"",IF(H331&gt;=IksaH,2*H331*I331,0))</f>
        <v/>
      </c>
      <c r="K331" s="21">
        <f>IF(OR(H331="",I331=""),"",HendekB*H331*I331)</f>
        <v/>
      </c>
      <c r="L331" s="5" t="n"/>
    </row>
    <row r="332">
      <c r="A332" s="5" t="n"/>
      <c r="B332" s="5" t="n"/>
      <c r="C332" s="5" t="n"/>
      <c r="D332" s="32" t="n"/>
      <c r="E332" s="32" t="n"/>
      <c r="F332" s="33">
        <f>IF(D332="","",D332+KaziEk)</f>
        <v/>
      </c>
      <c r="G332" s="33">
        <f>IF(E332="","",E332+KaziEk)</f>
        <v/>
      </c>
      <c r="H332" s="34">
        <f>IF(OR(F332="",G332=""),"",(F332+G332)/2)</f>
        <v/>
      </c>
      <c r="I332" s="20" t="n"/>
      <c r="J332" s="21">
        <f>IF(OR(H332="",I332=""),"",IF(H332&gt;=IksaH,2*H332*I332,0))</f>
        <v/>
      </c>
      <c r="K332" s="21">
        <f>IF(OR(H332="",I332=""),"",HendekB*H332*I332)</f>
        <v/>
      </c>
      <c r="L332" s="5" t="n"/>
    </row>
    <row r="333">
      <c r="A333" s="5" t="n"/>
      <c r="B333" s="5" t="n"/>
      <c r="C333" s="5" t="n"/>
      <c r="D333" s="32" t="n"/>
      <c r="E333" s="32" t="n"/>
      <c r="F333" s="33">
        <f>IF(D333="","",D333+KaziEk)</f>
        <v/>
      </c>
      <c r="G333" s="33">
        <f>IF(E333="","",E333+KaziEk)</f>
        <v/>
      </c>
      <c r="H333" s="34">
        <f>IF(OR(F333="",G333=""),"",(F333+G333)/2)</f>
        <v/>
      </c>
      <c r="I333" s="20" t="n"/>
      <c r="J333" s="21">
        <f>IF(OR(H333="",I333=""),"",IF(H333&gt;=IksaH,2*H333*I333,0))</f>
        <v/>
      </c>
      <c r="K333" s="21">
        <f>IF(OR(H333="",I333=""),"",HendekB*H333*I333)</f>
        <v/>
      </c>
      <c r="L333" s="5" t="n"/>
    </row>
    <row r="334">
      <c r="A334" s="5" t="n"/>
      <c r="B334" s="5" t="n"/>
      <c r="C334" s="5" t="n"/>
      <c r="D334" s="32" t="n"/>
      <c r="E334" s="32" t="n"/>
      <c r="F334" s="33">
        <f>IF(D334="","",D334+KaziEk)</f>
        <v/>
      </c>
      <c r="G334" s="33">
        <f>IF(E334="","",E334+KaziEk)</f>
        <v/>
      </c>
      <c r="H334" s="34">
        <f>IF(OR(F334="",G334=""),"",(F334+G334)/2)</f>
        <v/>
      </c>
      <c r="I334" s="20" t="n"/>
      <c r="J334" s="21">
        <f>IF(OR(H334="",I334=""),"",IF(H334&gt;=IksaH,2*H334*I334,0))</f>
        <v/>
      </c>
      <c r="K334" s="21">
        <f>IF(OR(H334="",I334=""),"",HendekB*H334*I334)</f>
        <v/>
      </c>
      <c r="L334" s="5" t="n"/>
    </row>
    <row r="335">
      <c r="A335" s="5" t="n"/>
      <c r="B335" s="5" t="n"/>
      <c r="C335" s="5" t="n"/>
      <c r="D335" s="32" t="n"/>
      <c r="E335" s="32" t="n"/>
      <c r="F335" s="33">
        <f>IF(D335="","",D335+KaziEk)</f>
        <v/>
      </c>
      <c r="G335" s="33">
        <f>IF(E335="","",E335+KaziEk)</f>
        <v/>
      </c>
      <c r="H335" s="34">
        <f>IF(OR(F335="",G335=""),"",(F335+G335)/2)</f>
        <v/>
      </c>
      <c r="I335" s="20" t="n"/>
      <c r="J335" s="21">
        <f>IF(OR(H335="",I335=""),"",IF(H335&gt;=IksaH,2*H335*I335,0))</f>
        <v/>
      </c>
      <c r="K335" s="21">
        <f>IF(OR(H335="",I335=""),"",HendekB*H335*I335)</f>
        <v/>
      </c>
      <c r="L335" s="5" t="n"/>
    </row>
    <row r="336">
      <c r="A336" s="5" t="n"/>
      <c r="B336" s="5" t="n"/>
      <c r="C336" s="5" t="n"/>
      <c r="D336" s="32" t="n"/>
      <c r="E336" s="32" t="n"/>
      <c r="F336" s="33">
        <f>IF(D336="","",D336+KaziEk)</f>
        <v/>
      </c>
      <c r="G336" s="33">
        <f>IF(E336="","",E336+KaziEk)</f>
        <v/>
      </c>
      <c r="H336" s="34">
        <f>IF(OR(F336="",G336=""),"",(F336+G336)/2)</f>
        <v/>
      </c>
      <c r="I336" s="20" t="n"/>
      <c r="J336" s="21">
        <f>IF(OR(H336="",I336=""),"",IF(H336&gt;=IksaH,2*H336*I336,0))</f>
        <v/>
      </c>
      <c r="K336" s="21">
        <f>IF(OR(H336="",I336=""),"",HendekB*H336*I336)</f>
        <v/>
      </c>
      <c r="L336" s="5" t="n"/>
    </row>
    <row r="337">
      <c r="A337" s="5" t="n"/>
      <c r="B337" s="5" t="n"/>
      <c r="C337" s="5" t="n"/>
      <c r="D337" s="32" t="n"/>
      <c r="E337" s="32" t="n"/>
      <c r="F337" s="33">
        <f>IF(D337="","",D337+KaziEk)</f>
        <v/>
      </c>
      <c r="G337" s="33">
        <f>IF(E337="","",E337+KaziEk)</f>
        <v/>
      </c>
      <c r="H337" s="34">
        <f>IF(OR(F337="",G337=""),"",(F337+G337)/2)</f>
        <v/>
      </c>
      <c r="I337" s="20" t="n"/>
      <c r="J337" s="21">
        <f>IF(OR(H337="",I337=""),"",IF(H337&gt;=IksaH,2*H337*I337,0))</f>
        <v/>
      </c>
      <c r="K337" s="21">
        <f>IF(OR(H337="",I337=""),"",HendekB*H337*I337)</f>
        <v/>
      </c>
      <c r="L337" s="5" t="n"/>
    </row>
    <row r="338">
      <c r="A338" s="5" t="n"/>
      <c r="B338" s="5" t="n"/>
      <c r="C338" s="5" t="n"/>
      <c r="D338" s="32" t="n"/>
      <c r="E338" s="32" t="n"/>
      <c r="F338" s="33">
        <f>IF(D338="","",D338+KaziEk)</f>
        <v/>
      </c>
      <c r="G338" s="33">
        <f>IF(E338="","",E338+KaziEk)</f>
        <v/>
      </c>
      <c r="H338" s="34">
        <f>IF(OR(F338="",G338=""),"",(F338+G338)/2)</f>
        <v/>
      </c>
      <c r="I338" s="20" t="n"/>
      <c r="J338" s="21">
        <f>IF(OR(H338="",I338=""),"",IF(H338&gt;=IksaH,2*H338*I338,0))</f>
        <v/>
      </c>
      <c r="K338" s="21">
        <f>IF(OR(H338="",I338=""),"",HendekB*H338*I338)</f>
        <v/>
      </c>
      <c r="L338" s="5" t="n"/>
    </row>
    <row r="339">
      <c r="A339" s="5" t="n"/>
      <c r="B339" s="5" t="n"/>
      <c r="C339" s="5" t="n"/>
      <c r="D339" s="32" t="n"/>
      <c r="E339" s="32" t="n"/>
      <c r="F339" s="33">
        <f>IF(D339="","",D339+KaziEk)</f>
        <v/>
      </c>
      <c r="G339" s="33">
        <f>IF(E339="","",E339+KaziEk)</f>
        <v/>
      </c>
      <c r="H339" s="34">
        <f>IF(OR(F339="",G339=""),"",(F339+G339)/2)</f>
        <v/>
      </c>
      <c r="I339" s="20" t="n"/>
      <c r="J339" s="21">
        <f>IF(OR(H339="",I339=""),"",IF(H339&gt;=IksaH,2*H339*I339,0))</f>
        <v/>
      </c>
      <c r="K339" s="21">
        <f>IF(OR(H339="",I339=""),"",HendekB*H339*I339)</f>
        <v/>
      </c>
      <c r="L339" s="5" t="n"/>
    </row>
    <row r="340">
      <c r="A340" s="5" t="n"/>
      <c r="B340" s="5" t="n"/>
      <c r="C340" s="5" t="n"/>
      <c r="D340" s="32" t="n"/>
      <c r="E340" s="32" t="n"/>
      <c r="F340" s="33">
        <f>IF(D340="","",D340+KaziEk)</f>
        <v/>
      </c>
      <c r="G340" s="33">
        <f>IF(E340="","",E340+KaziEk)</f>
        <v/>
      </c>
      <c r="H340" s="34">
        <f>IF(OR(F340="",G340=""),"",(F340+G340)/2)</f>
        <v/>
      </c>
      <c r="I340" s="20" t="n"/>
      <c r="J340" s="21">
        <f>IF(OR(H340="",I340=""),"",IF(H340&gt;=IksaH,2*H340*I340,0))</f>
        <v/>
      </c>
      <c r="K340" s="21">
        <f>IF(OR(H340="",I340=""),"",HendekB*H340*I340)</f>
        <v/>
      </c>
      <c r="L340" s="5" t="n"/>
    </row>
    <row r="341">
      <c r="A341" s="5" t="n"/>
      <c r="B341" s="5" t="n"/>
      <c r="C341" s="5" t="n"/>
      <c r="D341" s="32" t="n"/>
      <c r="E341" s="32" t="n"/>
      <c r="F341" s="33">
        <f>IF(D341="","",D341+KaziEk)</f>
        <v/>
      </c>
      <c r="G341" s="33">
        <f>IF(E341="","",E341+KaziEk)</f>
        <v/>
      </c>
      <c r="H341" s="34">
        <f>IF(OR(F341="",G341=""),"",(F341+G341)/2)</f>
        <v/>
      </c>
      <c r="I341" s="20" t="n"/>
      <c r="J341" s="21">
        <f>IF(OR(H341="",I341=""),"",IF(H341&gt;=IksaH,2*H341*I341,0))</f>
        <v/>
      </c>
      <c r="K341" s="21">
        <f>IF(OR(H341="",I341=""),"",HendekB*H341*I341)</f>
        <v/>
      </c>
      <c r="L341" s="5" t="n"/>
    </row>
    <row r="342">
      <c r="A342" s="5" t="n"/>
      <c r="B342" s="5" t="n"/>
      <c r="C342" s="5" t="n"/>
      <c r="D342" s="32" t="n"/>
      <c r="E342" s="32" t="n"/>
      <c r="F342" s="33">
        <f>IF(D342="","",D342+KaziEk)</f>
        <v/>
      </c>
      <c r="G342" s="33">
        <f>IF(E342="","",E342+KaziEk)</f>
        <v/>
      </c>
      <c r="H342" s="34">
        <f>IF(OR(F342="",G342=""),"",(F342+G342)/2)</f>
        <v/>
      </c>
      <c r="I342" s="20" t="n"/>
      <c r="J342" s="21">
        <f>IF(OR(H342="",I342=""),"",IF(H342&gt;=IksaH,2*H342*I342,0))</f>
        <v/>
      </c>
      <c r="K342" s="21">
        <f>IF(OR(H342="",I342=""),"",HendekB*H342*I342)</f>
        <v/>
      </c>
      <c r="L342" s="5" t="n"/>
    </row>
    <row r="343">
      <c r="A343" s="5" t="n"/>
      <c r="B343" s="5" t="n"/>
      <c r="C343" s="5" t="n"/>
      <c r="D343" s="32" t="n"/>
      <c r="E343" s="32" t="n"/>
      <c r="F343" s="33">
        <f>IF(D343="","",D343+KaziEk)</f>
        <v/>
      </c>
      <c r="G343" s="33">
        <f>IF(E343="","",E343+KaziEk)</f>
        <v/>
      </c>
      <c r="H343" s="34">
        <f>IF(OR(F343="",G343=""),"",(F343+G343)/2)</f>
        <v/>
      </c>
      <c r="I343" s="20" t="n"/>
      <c r="J343" s="21">
        <f>IF(OR(H343="",I343=""),"",IF(H343&gt;=IksaH,2*H343*I343,0))</f>
        <v/>
      </c>
      <c r="K343" s="21">
        <f>IF(OR(H343="",I343=""),"",HendekB*H343*I343)</f>
        <v/>
      </c>
      <c r="L343" s="5" t="n"/>
    </row>
    <row r="344">
      <c r="A344" s="5" t="n"/>
      <c r="B344" s="5" t="n"/>
      <c r="C344" s="5" t="n"/>
      <c r="D344" s="32" t="n"/>
      <c r="E344" s="32" t="n"/>
      <c r="F344" s="33">
        <f>IF(D344="","",D344+KaziEk)</f>
        <v/>
      </c>
      <c r="G344" s="33">
        <f>IF(E344="","",E344+KaziEk)</f>
        <v/>
      </c>
      <c r="H344" s="34">
        <f>IF(OR(F344="",G344=""),"",(F344+G344)/2)</f>
        <v/>
      </c>
      <c r="I344" s="20" t="n"/>
      <c r="J344" s="21">
        <f>IF(OR(H344="",I344=""),"",IF(H344&gt;=IksaH,2*H344*I344,0))</f>
        <v/>
      </c>
      <c r="K344" s="21">
        <f>IF(OR(H344="",I344=""),"",HendekB*H344*I344)</f>
        <v/>
      </c>
      <c r="L344" s="5" t="n"/>
    </row>
    <row r="345">
      <c r="A345" s="5" t="n"/>
      <c r="B345" s="5" t="n"/>
      <c r="C345" s="5" t="n"/>
      <c r="D345" s="32" t="n"/>
      <c r="E345" s="32" t="n"/>
      <c r="F345" s="33">
        <f>IF(D345="","",D345+KaziEk)</f>
        <v/>
      </c>
      <c r="G345" s="33">
        <f>IF(E345="","",E345+KaziEk)</f>
        <v/>
      </c>
      <c r="H345" s="34">
        <f>IF(OR(F345="",G345=""),"",(F345+G345)/2)</f>
        <v/>
      </c>
      <c r="I345" s="20" t="n"/>
      <c r="J345" s="21">
        <f>IF(OR(H345="",I345=""),"",IF(H345&gt;=IksaH,2*H345*I345,0))</f>
        <v/>
      </c>
      <c r="K345" s="21">
        <f>IF(OR(H345="",I345=""),"",HendekB*H345*I345)</f>
        <v/>
      </c>
      <c r="L345" s="5" t="n"/>
    </row>
    <row r="346">
      <c r="A346" s="5" t="n"/>
      <c r="B346" s="5" t="n"/>
      <c r="C346" s="5" t="n"/>
      <c r="D346" s="32" t="n"/>
      <c r="E346" s="32" t="n"/>
      <c r="F346" s="33">
        <f>IF(D346="","",D346+KaziEk)</f>
        <v/>
      </c>
      <c r="G346" s="33">
        <f>IF(E346="","",E346+KaziEk)</f>
        <v/>
      </c>
      <c r="H346" s="34">
        <f>IF(OR(F346="",G346=""),"",(F346+G346)/2)</f>
        <v/>
      </c>
      <c r="I346" s="20" t="n"/>
      <c r="J346" s="21">
        <f>IF(OR(H346="",I346=""),"",IF(H346&gt;=IksaH,2*H346*I346,0))</f>
        <v/>
      </c>
      <c r="K346" s="21">
        <f>IF(OR(H346="",I346=""),"",HendekB*H346*I346)</f>
        <v/>
      </c>
      <c r="L346" s="5" t="n"/>
    </row>
    <row r="347">
      <c r="A347" s="5" t="n"/>
      <c r="B347" s="5" t="n"/>
      <c r="C347" s="5" t="n"/>
      <c r="D347" s="32" t="n"/>
      <c r="E347" s="32" t="n"/>
      <c r="F347" s="33">
        <f>IF(D347="","",D347+KaziEk)</f>
        <v/>
      </c>
      <c r="G347" s="33">
        <f>IF(E347="","",E347+KaziEk)</f>
        <v/>
      </c>
      <c r="H347" s="34">
        <f>IF(OR(F347="",G347=""),"",(F347+G347)/2)</f>
        <v/>
      </c>
      <c r="I347" s="20" t="n"/>
      <c r="J347" s="21">
        <f>IF(OR(H347="",I347=""),"",IF(H347&gt;=IksaH,2*H347*I347,0))</f>
        <v/>
      </c>
      <c r="K347" s="21">
        <f>IF(OR(H347="",I347=""),"",HendekB*H347*I347)</f>
        <v/>
      </c>
      <c r="L347" s="5" t="n"/>
    </row>
    <row r="348">
      <c r="A348" s="5" t="n"/>
      <c r="B348" s="5" t="n"/>
      <c r="C348" s="5" t="n"/>
      <c r="D348" s="32" t="n"/>
      <c r="E348" s="32" t="n"/>
      <c r="F348" s="33">
        <f>IF(D348="","",D348+KaziEk)</f>
        <v/>
      </c>
      <c r="G348" s="33">
        <f>IF(E348="","",E348+KaziEk)</f>
        <v/>
      </c>
      <c r="H348" s="34">
        <f>IF(OR(F348="",G348=""),"",(F348+G348)/2)</f>
        <v/>
      </c>
      <c r="I348" s="20" t="n"/>
      <c r="J348" s="21">
        <f>IF(OR(H348="",I348=""),"",IF(H348&gt;=IksaH,2*H348*I348,0))</f>
        <v/>
      </c>
      <c r="K348" s="21">
        <f>IF(OR(H348="",I348=""),"",HendekB*H348*I348)</f>
        <v/>
      </c>
      <c r="L348" s="5" t="n"/>
    </row>
    <row r="349">
      <c r="A349" s="5" t="n"/>
      <c r="B349" s="5" t="n"/>
      <c r="C349" s="5" t="n"/>
      <c r="D349" s="32" t="n"/>
      <c r="E349" s="32" t="n"/>
      <c r="F349" s="33">
        <f>IF(D349="","",D349+KaziEk)</f>
        <v/>
      </c>
      <c r="G349" s="33">
        <f>IF(E349="","",E349+KaziEk)</f>
        <v/>
      </c>
      <c r="H349" s="34">
        <f>IF(OR(F349="",G349=""),"",(F349+G349)/2)</f>
        <v/>
      </c>
      <c r="I349" s="20" t="n"/>
      <c r="J349" s="21">
        <f>IF(OR(H349="",I349=""),"",IF(H349&gt;=IksaH,2*H349*I349,0))</f>
        <v/>
      </c>
      <c r="K349" s="21">
        <f>IF(OR(H349="",I349=""),"",HendekB*H349*I349)</f>
        <v/>
      </c>
      <c r="L349" s="5" t="n"/>
    </row>
    <row r="350">
      <c r="A350" s="5" t="n"/>
      <c r="B350" s="5" t="n"/>
      <c r="C350" s="5" t="n"/>
      <c r="D350" s="32" t="n"/>
      <c r="E350" s="32" t="n"/>
      <c r="F350" s="33">
        <f>IF(D350="","",D350+KaziEk)</f>
        <v/>
      </c>
      <c r="G350" s="33">
        <f>IF(E350="","",E350+KaziEk)</f>
        <v/>
      </c>
      <c r="H350" s="34">
        <f>IF(OR(F350="",G350=""),"",(F350+G350)/2)</f>
        <v/>
      </c>
      <c r="I350" s="20" t="n"/>
      <c r="J350" s="21">
        <f>IF(OR(H350="",I350=""),"",IF(H350&gt;=IksaH,2*H350*I350,0))</f>
        <v/>
      </c>
      <c r="K350" s="21">
        <f>IF(OR(H350="",I350=""),"",HendekB*H350*I350)</f>
        <v/>
      </c>
      <c r="L350" s="5" t="n"/>
    </row>
    <row r="351">
      <c r="A351" s="5" t="n"/>
      <c r="B351" s="5" t="n"/>
      <c r="C351" s="5" t="n"/>
      <c r="D351" s="32" t="n"/>
      <c r="E351" s="32" t="n"/>
      <c r="F351" s="33">
        <f>IF(D351="","",D351+KaziEk)</f>
        <v/>
      </c>
      <c r="G351" s="33">
        <f>IF(E351="","",E351+KaziEk)</f>
        <v/>
      </c>
      <c r="H351" s="34">
        <f>IF(OR(F351="",G351=""),"",(F351+G351)/2)</f>
        <v/>
      </c>
      <c r="I351" s="20" t="n"/>
      <c r="J351" s="21">
        <f>IF(OR(H351="",I351=""),"",IF(H351&gt;=IksaH,2*H351*I351,0))</f>
        <v/>
      </c>
      <c r="K351" s="21">
        <f>IF(OR(H351="",I351=""),"",HendekB*H351*I351)</f>
        <v/>
      </c>
      <c r="L351" s="5" t="n"/>
    </row>
    <row r="352">
      <c r="A352" s="5" t="n"/>
      <c r="B352" s="5" t="n"/>
      <c r="C352" s="5" t="n"/>
      <c r="D352" s="32" t="n"/>
      <c r="E352" s="32" t="n"/>
      <c r="F352" s="33">
        <f>IF(D352="","",D352+KaziEk)</f>
        <v/>
      </c>
      <c r="G352" s="33">
        <f>IF(E352="","",E352+KaziEk)</f>
        <v/>
      </c>
      <c r="H352" s="34">
        <f>IF(OR(F352="",G352=""),"",(F352+G352)/2)</f>
        <v/>
      </c>
      <c r="I352" s="20" t="n"/>
      <c r="J352" s="21">
        <f>IF(OR(H352="",I352=""),"",IF(H352&gt;=IksaH,2*H352*I352,0))</f>
        <v/>
      </c>
      <c r="K352" s="21">
        <f>IF(OR(H352="",I352=""),"",HendekB*H352*I352)</f>
        <v/>
      </c>
      <c r="L352" s="5" t="n"/>
    </row>
    <row r="353">
      <c r="A353" s="5" t="n"/>
      <c r="B353" s="5" t="n"/>
      <c r="C353" s="5" t="n"/>
      <c r="D353" s="32" t="n"/>
      <c r="E353" s="32" t="n"/>
      <c r="F353" s="33">
        <f>IF(D353="","",D353+KaziEk)</f>
        <v/>
      </c>
      <c r="G353" s="33">
        <f>IF(E353="","",E353+KaziEk)</f>
        <v/>
      </c>
      <c r="H353" s="34">
        <f>IF(OR(F353="",G353=""),"",(F353+G353)/2)</f>
        <v/>
      </c>
      <c r="I353" s="20" t="n"/>
      <c r="J353" s="21">
        <f>IF(OR(H353="",I353=""),"",IF(H353&gt;=IksaH,2*H353*I353,0))</f>
        <v/>
      </c>
      <c r="K353" s="21">
        <f>IF(OR(H353="",I353=""),"",HendekB*H353*I353)</f>
        <v/>
      </c>
      <c r="L353" s="5" t="n"/>
    </row>
    <row r="354">
      <c r="A354" s="5" t="n"/>
      <c r="B354" s="5" t="n"/>
      <c r="C354" s="5" t="n"/>
      <c r="D354" s="32" t="n"/>
      <c r="E354" s="32" t="n"/>
      <c r="F354" s="33">
        <f>IF(D354="","",D354+KaziEk)</f>
        <v/>
      </c>
      <c r="G354" s="33">
        <f>IF(E354="","",E354+KaziEk)</f>
        <v/>
      </c>
      <c r="H354" s="34">
        <f>IF(OR(F354="",G354=""),"",(F354+G354)/2)</f>
        <v/>
      </c>
      <c r="I354" s="20" t="n"/>
      <c r="J354" s="21">
        <f>IF(OR(H354="",I354=""),"",IF(H354&gt;=IksaH,2*H354*I354,0))</f>
        <v/>
      </c>
      <c r="K354" s="21">
        <f>IF(OR(H354="",I354=""),"",HendekB*H354*I354)</f>
        <v/>
      </c>
      <c r="L354" s="5" t="n"/>
    </row>
    <row r="355">
      <c r="A355" s="5" t="n"/>
      <c r="B355" s="5" t="n"/>
      <c r="C355" s="5" t="n"/>
      <c r="D355" s="32" t="n"/>
      <c r="E355" s="32" t="n"/>
      <c r="F355" s="33">
        <f>IF(D355="","",D355+KaziEk)</f>
        <v/>
      </c>
      <c r="G355" s="33">
        <f>IF(E355="","",E355+KaziEk)</f>
        <v/>
      </c>
      <c r="H355" s="34">
        <f>IF(OR(F355="",G355=""),"",(F355+G355)/2)</f>
        <v/>
      </c>
      <c r="I355" s="20" t="n"/>
      <c r="J355" s="21">
        <f>IF(OR(H355="",I355=""),"",IF(H355&gt;=IksaH,2*H355*I355,0))</f>
        <v/>
      </c>
      <c r="K355" s="21">
        <f>IF(OR(H355="",I355=""),"",HendekB*H355*I355)</f>
        <v/>
      </c>
      <c r="L355" s="5" t="n"/>
    </row>
    <row r="356">
      <c r="A356" s="5" t="n"/>
      <c r="B356" s="5" t="n"/>
      <c r="C356" s="5" t="n"/>
      <c r="D356" s="32" t="n"/>
      <c r="E356" s="32" t="n"/>
      <c r="F356" s="33">
        <f>IF(D356="","",D356+KaziEk)</f>
        <v/>
      </c>
      <c r="G356" s="33">
        <f>IF(E356="","",E356+KaziEk)</f>
        <v/>
      </c>
      <c r="H356" s="34">
        <f>IF(OR(F356="",G356=""),"",(F356+G356)/2)</f>
        <v/>
      </c>
      <c r="I356" s="20" t="n"/>
      <c r="J356" s="21">
        <f>IF(OR(H356="",I356=""),"",IF(H356&gt;=IksaH,2*H356*I356,0))</f>
        <v/>
      </c>
      <c r="K356" s="21">
        <f>IF(OR(H356="",I356=""),"",HendekB*H356*I356)</f>
        <v/>
      </c>
      <c r="L356" s="5" t="n"/>
    </row>
    <row r="357">
      <c r="A357" s="5" t="n"/>
      <c r="B357" s="5" t="n"/>
      <c r="C357" s="5" t="n"/>
      <c r="D357" s="32" t="n"/>
      <c r="E357" s="32" t="n"/>
      <c r="F357" s="33">
        <f>IF(D357="","",D357+KaziEk)</f>
        <v/>
      </c>
      <c r="G357" s="33">
        <f>IF(E357="","",E357+KaziEk)</f>
        <v/>
      </c>
      <c r="H357" s="34">
        <f>IF(OR(F357="",G357=""),"",(F357+G357)/2)</f>
        <v/>
      </c>
      <c r="I357" s="20" t="n"/>
      <c r="J357" s="21">
        <f>IF(OR(H357="",I357=""),"",IF(H357&gt;=IksaH,2*H357*I357,0))</f>
        <v/>
      </c>
      <c r="K357" s="21">
        <f>IF(OR(H357="",I357=""),"",HendekB*H357*I357)</f>
        <v/>
      </c>
      <c r="L357" s="5" t="n"/>
    </row>
    <row r="358">
      <c r="A358" s="5" t="n"/>
      <c r="B358" s="5" t="n"/>
      <c r="C358" s="5" t="n"/>
      <c r="D358" s="32" t="n"/>
      <c r="E358" s="32" t="n"/>
      <c r="F358" s="33">
        <f>IF(D358="","",D358+KaziEk)</f>
        <v/>
      </c>
      <c r="G358" s="33">
        <f>IF(E358="","",E358+KaziEk)</f>
        <v/>
      </c>
      <c r="H358" s="34">
        <f>IF(OR(F358="",G358=""),"",(F358+G358)/2)</f>
        <v/>
      </c>
      <c r="I358" s="20" t="n"/>
      <c r="J358" s="21">
        <f>IF(OR(H358="",I358=""),"",IF(H358&gt;=IksaH,2*H358*I358,0))</f>
        <v/>
      </c>
      <c r="K358" s="21">
        <f>IF(OR(H358="",I358=""),"",HendekB*H358*I358)</f>
        <v/>
      </c>
      <c r="L358" s="5" t="n"/>
    </row>
    <row r="359">
      <c r="A359" s="5" t="n"/>
      <c r="B359" s="5" t="n"/>
      <c r="C359" s="5" t="n"/>
      <c r="D359" s="32" t="n"/>
      <c r="E359" s="32" t="n"/>
      <c r="F359" s="33">
        <f>IF(D359="","",D359+KaziEk)</f>
        <v/>
      </c>
      <c r="G359" s="33">
        <f>IF(E359="","",E359+KaziEk)</f>
        <v/>
      </c>
      <c r="H359" s="34">
        <f>IF(OR(F359="",G359=""),"",(F359+G359)/2)</f>
        <v/>
      </c>
      <c r="I359" s="20" t="n"/>
      <c r="J359" s="21">
        <f>IF(OR(H359="",I359=""),"",IF(H359&gt;=IksaH,2*H359*I359,0))</f>
        <v/>
      </c>
      <c r="K359" s="21">
        <f>IF(OR(H359="",I359=""),"",HendekB*H359*I359)</f>
        <v/>
      </c>
      <c r="L359" s="5" t="n"/>
    </row>
    <row r="360">
      <c r="A360" s="5" t="n"/>
      <c r="B360" s="5" t="n"/>
      <c r="C360" s="5" t="n"/>
      <c r="D360" s="32" t="n"/>
      <c r="E360" s="32" t="n"/>
      <c r="F360" s="33">
        <f>IF(D360="","",D360+KaziEk)</f>
        <v/>
      </c>
      <c r="G360" s="33">
        <f>IF(E360="","",E360+KaziEk)</f>
        <v/>
      </c>
      <c r="H360" s="34">
        <f>IF(OR(F360="",G360=""),"",(F360+G360)/2)</f>
        <v/>
      </c>
      <c r="I360" s="20" t="n"/>
      <c r="J360" s="21">
        <f>IF(OR(H360="",I360=""),"",IF(H360&gt;=IksaH,2*H360*I360,0))</f>
        <v/>
      </c>
      <c r="K360" s="21">
        <f>IF(OR(H360="",I360=""),"",HendekB*H360*I360)</f>
        <v/>
      </c>
      <c r="L360" s="5" t="n"/>
    </row>
    <row r="361">
      <c r="A361" s="5" t="n"/>
      <c r="B361" s="5" t="n"/>
      <c r="C361" s="5" t="n"/>
      <c r="D361" s="32" t="n"/>
      <c r="E361" s="32" t="n"/>
      <c r="F361" s="33">
        <f>IF(D361="","",D361+KaziEk)</f>
        <v/>
      </c>
      <c r="G361" s="33">
        <f>IF(E361="","",E361+KaziEk)</f>
        <v/>
      </c>
      <c r="H361" s="34">
        <f>IF(OR(F361="",G361=""),"",(F361+G361)/2)</f>
        <v/>
      </c>
      <c r="I361" s="20" t="n"/>
      <c r="J361" s="21">
        <f>IF(OR(H361="",I361=""),"",IF(H361&gt;=IksaH,2*H361*I361,0))</f>
        <v/>
      </c>
      <c r="K361" s="21">
        <f>IF(OR(H361="",I361=""),"",HendekB*H361*I361)</f>
        <v/>
      </c>
      <c r="L361" s="5" t="n"/>
    </row>
    <row r="362">
      <c r="A362" s="5" t="n"/>
      <c r="B362" s="5" t="n"/>
      <c r="C362" s="5" t="n"/>
      <c r="D362" s="32" t="n"/>
      <c r="E362" s="32" t="n"/>
      <c r="F362" s="33">
        <f>IF(D362="","",D362+KaziEk)</f>
        <v/>
      </c>
      <c r="G362" s="33">
        <f>IF(E362="","",E362+KaziEk)</f>
        <v/>
      </c>
      <c r="H362" s="34">
        <f>IF(OR(F362="",G362=""),"",(F362+G362)/2)</f>
        <v/>
      </c>
      <c r="I362" s="20" t="n"/>
      <c r="J362" s="21">
        <f>IF(OR(H362="",I362=""),"",IF(H362&gt;=IksaH,2*H362*I362,0))</f>
        <v/>
      </c>
      <c r="K362" s="21">
        <f>IF(OR(H362="",I362=""),"",HendekB*H362*I362)</f>
        <v/>
      </c>
      <c r="L362" s="5" t="n"/>
    </row>
    <row r="363">
      <c r="A363" s="5" t="n"/>
      <c r="B363" s="5" t="n"/>
      <c r="C363" s="5" t="n"/>
      <c r="D363" s="32" t="n"/>
      <c r="E363" s="32" t="n"/>
      <c r="F363" s="33">
        <f>IF(D363="","",D363+KaziEk)</f>
        <v/>
      </c>
      <c r="G363" s="33">
        <f>IF(E363="","",E363+KaziEk)</f>
        <v/>
      </c>
      <c r="H363" s="34">
        <f>IF(OR(F363="",G363=""),"",(F363+G363)/2)</f>
        <v/>
      </c>
      <c r="I363" s="20" t="n"/>
      <c r="J363" s="21">
        <f>IF(OR(H363="",I363=""),"",IF(H363&gt;=IksaH,2*H363*I363,0))</f>
        <v/>
      </c>
      <c r="K363" s="21">
        <f>IF(OR(H363="",I363=""),"",HendekB*H363*I363)</f>
        <v/>
      </c>
      <c r="L363" s="5" t="n"/>
    </row>
    <row r="364">
      <c r="A364" s="5" t="n"/>
      <c r="B364" s="5" t="n"/>
      <c r="C364" s="5" t="n"/>
      <c r="D364" s="32" t="n"/>
      <c r="E364" s="32" t="n"/>
      <c r="F364" s="33">
        <f>IF(D364="","",D364+KaziEk)</f>
        <v/>
      </c>
      <c r="G364" s="33">
        <f>IF(E364="","",E364+KaziEk)</f>
        <v/>
      </c>
      <c r="H364" s="34">
        <f>IF(OR(F364="",G364=""),"",(F364+G364)/2)</f>
        <v/>
      </c>
      <c r="I364" s="20" t="n"/>
      <c r="J364" s="21">
        <f>IF(OR(H364="",I364=""),"",IF(H364&gt;=IksaH,2*H364*I364,0))</f>
        <v/>
      </c>
      <c r="K364" s="21">
        <f>IF(OR(H364="",I364=""),"",HendekB*H364*I364)</f>
        <v/>
      </c>
      <c r="L364" s="5" t="n"/>
    </row>
    <row r="365">
      <c r="A365" s="5" t="n"/>
      <c r="B365" s="5" t="n"/>
      <c r="C365" s="5" t="n"/>
      <c r="D365" s="32" t="n"/>
      <c r="E365" s="32" t="n"/>
      <c r="F365" s="33">
        <f>IF(D365="","",D365+KaziEk)</f>
        <v/>
      </c>
      <c r="G365" s="33">
        <f>IF(E365="","",E365+KaziEk)</f>
        <v/>
      </c>
      <c r="H365" s="34">
        <f>IF(OR(F365="",G365=""),"",(F365+G365)/2)</f>
        <v/>
      </c>
      <c r="I365" s="20" t="n"/>
      <c r="J365" s="21">
        <f>IF(OR(H365="",I365=""),"",IF(H365&gt;=IksaH,2*H365*I365,0))</f>
        <v/>
      </c>
      <c r="K365" s="21">
        <f>IF(OR(H365="",I365=""),"",HendekB*H365*I365)</f>
        <v/>
      </c>
      <c r="L365" s="5" t="n"/>
    </row>
    <row r="366">
      <c r="A366" s="5" t="n"/>
      <c r="B366" s="5" t="n"/>
      <c r="C366" s="5" t="n"/>
      <c r="D366" s="32" t="n"/>
      <c r="E366" s="32" t="n"/>
      <c r="F366" s="33">
        <f>IF(D366="","",D366+KaziEk)</f>
        <v/>
      </c>
      <c r="G366" s="33">
        <f>IF(E366="","",E366+KaziEk)</f>
        <v/>
      </c>
      <c r="H366" s="34">
        <f>IF(OR(F366="",G366=""),"",(F366+G366)/2)</f>
        <v/>
      </c>
      <c r="I366" s="20" t="n"/>
      <c r="J366" s="21">
        <f>IF(OR(H366="",I366=""),"",IF(H366&gt;=IksaH,2*H366*I366,0))</f>
        <v/>
      </c>
      <c r="K366" s="21">
        <f>IF(OR(H366="",I366=""),"",HendekB*H366*I366)</f>
        <v/>
      </c>
      <c r="L366" s="5" t="n"/>
    </row>
    <row r="367">
      <c r="A367" s="5" t="n"/>
      <c r="B367" s="5" t="n"/>
      <c r="C367" s="5" t="n"/>
      <c r="D367" s="32" t="n"/>
      <c r="E367" s="32" t="n"/>
      <c r="F367" s="33">
        <f>IF(D367="","",D367+KaziEk)</f>
        <v/>
      </c>
      <c r="G367" s="33">
        <f>IF(E367="","",E367+KaziEk)</f>
        <v/>
      </c>
      <c r="H367" s="34">
        <f>IF(OR(F367="",G367=""),"",(F367+G367)/2)</f>
        <v/>
      </c>
      <c r="I367" s="20" t="n"/>
      <c r="J367" s="21">
        <f>IF(OR(H367="",I367=""),"",IF(H367&gt;=IksaH,2*H367*I367,0))</f>
        <v/>
      </c>
      <c r="K367" s="21">
        <f>IF(OR(H367="",I367=""),"",HendekB*H367*I367)</f>
        <v/>
      </c>
      <c r="L367" s="5" t="n"/>
    </row>
    <row r="368">
      <c r="A368" s="5" t="n"/>
      <c r="B368" s="5" t="n"/>
      <c r="C368" s="5" t="n"/>
      <c r="D368" s="32" t="n"/>
      <c r="E368" s="32" t="n"/>
      <c r="F368" s="33">
        <f>IF(D368="","",D368+KaziEk)</f>
        <v/>
      </c>
      <c r="G368" s="33">
        <f>IF(E368="","",E368+KaziEk)</f>
        <v/>
      </c>
      <c r="H368" s="34">
        <f>IF(OR(F368="",G368=""),"",(F368+G368)/2)</f>
        <v/>
      </c>
      <c r="I368" s="20" t="n"/>
      <c r="J368" s="21">
        <f>IF(OR(H368="",I368=""),"",IF(H368&gt;=IksaH,2*H368*I368,0))</f>
        <v/>
      </c>
      <c r="K368" s="21">
        <f>IF(OR(H368="",I368=""),"",HendekB*H368*I368)</f>
        <v/>
      </c>
      <c r="L368" s="5" t="n"/>
    </row>
    <row r="369">
      <c r="A369" s="5" t="n"/>
      <c r="B369" s="5" t="n"/>
      <c r="C369" s="5" t="n"/>
      <c r="D369" s="32" t="n"/>
      <c r="E369" s="32" t="n"/>
      <c r="F369" s="33">
        <f>IF(D369="","",D369+KaziEk)</f>
        <v/>
      </c>
      <c r="G369" s="33">
        <f>IF(E369="","",E369+KaziEk)</f>
        <v/>
      </c>
      <c r="H369" s="34">
        <f>IF(OR(F369="",G369=""),"",(F369+G369)/2)</f>
        <v/>
      </c>
      <c r="I369" s="20" t="n"/>
      <c r="J369" s="21">
        <f>IF(OR(H369="",I369=""),"",IF(H369&gt;=IksaH,2*H369*I369,0))</f>
        <v/>
      </c>
      <c r="K369" s="21">
        <f>IF(OR(H369="",I369=""),"",HendekB*H369*I369)</f>
        <v/>
      </c>
      <c r="L369" s="5" t="n"/>
    </row>
    <row r="370">
      <c r="A370" s="5" t="n"/>
      <c r="B370" s="5" t="n"/>
      <c r="C370" s="5" t="n"/>
      <c r="D370" s="32" t="n"/>
      <c r="E370" s="32" t="n"/>
      <c r="F370" s="33">
        <f>IF(D370="","",D370+KaziEk)</f>
        <v/>
      </c>
      <c r="G370" s="33">
        <f>IF(E370="","",E370+KaziEk)</f>
        <v/>
      </c>
      <c r="H370" s="34">
        <f>IF(OR(F370="",G370=""),"",(F370+G370)/2)</f>
        <v/>
      </c>
      <c r="I370" s="20" t="n"/>
      <c r="J370" s="21">
        <f>IF(OR(H370="",I370=""),"",IF(H370&gt;=IksaH,2*H370*I370,0))</f>
        <v/>
      </c>
      <c r="K370" s="21">
        <f>IF(OR(H370="",I370=""),"",HendekB*H370*I370)</f>
        <v/>
      </c>
      <c r="L370" s="5" t="n"/>
    </row>
    <row r="371">
      <c r="A371" s="5" t="n"/>
      <c r="B371" s="5" t="n"/>
      <c r="C371" s="5" t="n"/>
      <c r="D371" s="32" t="n"/>
      <c r="E371" s="32" t="n"/>
      <c r="F371" s="33">
        <f>IF(D371="","",D371+KaziEk)</f>
        <v/>
      </c>
      <c r="G371" s="33">
        <f>IF(E371="","",E371+KaziEk)</f>
        <v/>
      </c>
      <c r="H371" s="34">
        <f>IF(OR(F371="",G371=""),"",(F371+G371)/2)</f>
        <v/>
      </c>
      <c r="I371" s="20" t="n"/>
      <c r="J371" s="21">
        <f>IF(OR(H371="",I371=""),"",IF(H371&gt;=IksaH,2*H371*I371,0))</f>
        <v/>
      </c>
      <c r="K371" s="21">
        <f>IF(OR(H371="",I371=""),"",HendekB*H371*I371)</f>
        <v/>
      </c>
      <c r="L371" s="5" t="n"/>
    </row>
    <row r="372">
      <c r="A372" s="5" t="n"/>
      <c r="B372" s="5" t="n"/>
      <c r="C372" s="5" t="n"/>
      <c r="D372" s="32" t="n"/>
      <c r="E372" s="32" t="n"/>
      <c r="F372" s="33">
        <f>IF(D372="","",D372+KaziEk)</f>
        <v/>
      </c>
      <c r="G372" s="33">
        <f>IF(E372="","",E372+KaziEk)</f>
        <v/>
      </c>
      <c r="H372" s="34">
        <f>IF(OR(F372="",G372=""),"",(F372+G372)/2)</f>
        <v/>
      </c>
      <c r="I372" s="20" t="n"/>
      <c r="J372" s="21">
        <f>IF(OR(H372="",I372=""),"",IF(H372&gt;=IksaH,2*H372*I372,0))</f>
        <v/>
      </c>
      <c r="K372" s="21">
        <f>IF(OR(H372="",I372=""),"",HendekB*H372*I372)</f>
        <v/>
      </c>
      <c r="L372" s="5" t="n"/>
    </row>
    <row r="373">
      <c r="A373" s="5" t="n"/>
      <c r="B373" s="5" t="n"/>
      <c r="C373" s="5" t="n"/>
      <c r="D373" s="32" t="n"/>
      <c r="E373" s="32" t="n"/>
      <c r="F373" s="33">
        <f>IF(D373="","",D373+KaziEk)</f>
        <v/>
      </c>
      <c r="G373" s="33">
        <f>IF(E373="","",E373+KaziEk)</f>
        <v/>
      </c>
      <c r="H373" s="34">
        <f>IF(OR(F373="",G373=""),"",(F373+G373)/2)</f>
        <v/>
      </c>
      <c r="I373" s="20" t="n"/>
      <c r="J373" s="21">
        <f>IF(OR(H373="",I373=""),"",IF(H373&gt;=IksaH,2*H373*I373,0))</f>
        <v/>
      </c>
      <c r="K373" s="21">
        <f>IF(OR(H373="",I373=""),"",HendekB*H373*I373)</f>
        <v/>
      </c>
      <c r="L373" s="5" t="n"/>
    </row>
    <row r="374">
      <c r="A374" s="5" t="n"/>
      <c r="B374" s="5" t="n"/>
      <c r="C374" s="5" t="n"/>
      <c r="D374" s="32" t="n"/>
      <c r="E374" s="32" t="n"/>
      <c r="F374" s="33">
        <f>IF(D374="","",D374+KaziEk)</f>
        <v/>
      </c>
      <c r="G374" s="33">
        <f>IF(E374="","",E374+KaziEk)</f>
        <v/>
      </c>
      <c r="H374" s="34">
        <f>IF(OR(F374="",G374=""),"",(F374+G374)/2)</f>
        <v/>
      </c>
      <c r="I374" s="20" t="n"/>
      <c r="J374" s="21">
        <f>IF(OR(H374="",I374=""),"",IF(H374&gt;=IksaH,2*H374*I374,0))</f>
        <v/>
      </c>
      <c r="K374" s="21">
        <f>IF(OR(H374="",I374=""),"",HendekB*H374*I374)</f>
        <v/>
      </c>
      <c r="L374" s="5" t="n"/>
    </row>
    <row r="375">
      <c r="A375" s="5" t="n"/>
      <c r="B375" s="5" t="n"/>
      <c r="C375" s="5" t="n"/>
      <c r="D375" s="32" t="n"/>
      <c r="E375" s="32" t="n"/>
      <c r="F375" s="33">
        <f>IF(D375="","",D375+KaziEk)</f>
        <v/>
      </c>
      <c r="G375" s="33">
        <f>IF(E375="","",E375+KaziEk)</f>
        <v/>
      </c>
      <c r="H375" s="34">
        <f>IF(OR(F375="",G375=""),"",(F375+G375)/2)</f>
        <v/>
      </c>
      <c r="I375" s="20" t="n"/>
      <c r="J375" s="21">
        <f>IF(OR(H375="",I375=""),"",IF(H375&gt;=IksaH,2*H375*I375,0))</f>
        <v/>
      </c>
      <c r="K375" s="21">
        <f>IF(OR(H375="",I375=""),"",HendekB*H375*I375)</f>
        <v/>
      </c>
      <c r="L375" s="5" t="n"/>
    </row>
    <row r="376">
      <c r="A376" s="5" t="n"/>
      <c r="B376" s="5" t="n"/>
      <c r="C376" s="5" t="n"/>
      <c r="D376" s="32" t="n"/>
      <c r="E376" s="32" t="n"/>
      <c r="F376" s="33">
        <f>IF(D376="","",D376+KaziEk)</f>
        <v/>
      </c>
      <c r="G376" s="33">
        <f>IF(E376="","",E376+KaziEk)</f>
        <v/>
      </c>
      <c r="H376" s="34">
        <f>IF(OR(F376="",G376=""),"",(F376+G376)/2)</f>
        <v/>
      </c>
      <c r="I376" s="20" t="n"/>
      <c r="J376" s="21">
        <f>IF(OR(H376="",I376=""),"",IF(H376&gt;=IksaH,2*H376*I376,0))</f>
        <v/>
      </c>
      <c r="K376" s="21">
        <f>IF(OR(H376="",I376=""),"",HendekB*H376*I376)</f>
        <v/>
      </c>
      <c r="L376" s="5" t="n"/>
    </row>
    <row r="377">
      <c r="A377" s="5" t="n"/>
      <c r="B377" s="5" t="n"/>
      <c r="C377" s="5" t="n"/>
      <c r="D377" s="32" t="n"/>
      <c r="E377" s="32" t="n"/>
      <c r="F377" s="33">
        <f>IF(D377="","",D377+KaziEk)</f>
        <v/>
      </c>
      <c r="G377" s="33">
        <f>IF(E377="","",E377+KaziEk)</f>
        <v/>
      </c>
      <c r="H377" s="34">
        <f>IF(OR(F377="",G377=""),"",(F377+G377)/2)</f>
        <v/>
      </c>
      <c r="I377" s="20" t="n"/>
      <c r="J377" s="21">
        <f>IF(OR(H377="",I377=""),"",IF(H377&gt;=IksaH,2*H377*I377,0))</f>
        <v/>
      </c>
      <c r="K377" s="21">
        <f>IF(OR(H377="",I377=""),"",HendekB*H377*I377)</f>
        <v/>
      </c>
      <c r="L377" s="5" t="n"/>
    </row>
    <row r="378">
      <c r="A378" s="5" t="n"/>
      <c r="B378" s="5" t="n"/>
      <c r="C378" s="5" t="n"/>
      <c r="D378" s="32" t="n"/>
      <c r="E378" s="32" t="n"/>
      <c r="F378" s="33">
        <f>IF(D378="","",D378+KaziEk)</f>
        <v/>
      </c>
      <c r="G378" s="33">
        <f>IF(E378="","",E378+KaziEk)</f>
        <v/>
      </c>
      <c r="H378" s="34">
        <f>IF(OR(F378="",G378=""),"",(F378+G378)/2)</f>
        <v/>
      </c>
      <c r="I378" s="20" t="n"/>
      <c r="J378" s="21">
        <f>IF(OR(H378="",I378=""),"",IF(H378&gt;=IksaH,2*H378*I378,0))</f>
        <v/>
      </c>
      <c r="K378" s="21">
        <f>IF(OR(H378="",I378=""),"",HendekB*H378*I378)</f>
        <v/>
      </c>
      <c r="L378" s="5" t="n"/>
    </row>
    <row r="379">
      <c r="A379" s="5" t="n"/>
      <c r="B379" s="5" t="n"/>
      <c r="C379" s="5" t="n"/>
      <c r="D379" s="32" t="n"/>
      <c r="E379" s="32" t="n"/>
      <c r="F379" s="33">
        <f>IF(D379="","",D379+KaziEk)</f>
        <v/>
      </c>
      <c r="G379" s="33">
        <f>IF(E379="","",E379+KaziEk)</f>
        <v/>
      </c>
      <c r="H379" s="34">
        <f>IF(OR(F379="",G379=""),"",(F379+G379)/2)</f>
        <v/>
      </c>
      <c r="I379" s="20" t="n"/>
      <c r="J379" s="21">
        <f>IF(OR(H379="",I379=""),"",IF(H379&gt;=IksaH,2*H379*I379,0))</f>
        <v/>
      </c>
      <c r="K379" s="21">
        <f>IF(OR(H379="",I379=""),"",HendekB*H379*I379)</f>
        <v/>
      </c>
      <c r="L379" s="5" t="n"/>
    </row>
    <row r="380">
      <c r="A380" s="5" t="n"/>
      <c r="B380" s="5" t="n"/>
      <c r="C380" s="5" t="n"/>
      <c r="D380" s="32" t="n"/>
      <c r="E380" s="32" t="n"/>
      <c r="F380" s="33">
        <f>IF(D380="","",D380+KaziEk)</f>
        <v/>
      </c>
      <c r="G380" s="33">
        <f>IF(E380="","",E380+KaziEk)</f>
        <v/>
      </c>
      <c r="H380" s="34">
        <f>IF(OR(F380="",G380=""),"",(F380+G380)/2)</f>
        <v/>
      </c>
      <c r="I380" s="20" t="n"/>
      <c r="J380" s="21">
        <f>IF(OR(H380="",I380=""),"",IF(H380&gt;=IksaH,2*H380*I380,0))</f>
        <v/>
      </c>
      <c r="K380" s="21">
        <f>IF(OR(H380="",I380=""),"",HendekB*H380*I380)</f>
        <v/>
      </c>
      <c r="L380" s="5" t="n"/>
    </row>
    <row r="381">
      <c r="A381" s="5" t="n"/>
      <c r="B381" s="5" t="n"/>
      <c r="C381" s="5" t="n"/>
      <c r="D381" s="32" t="n"/>
      <c r="E381" s="32" t="n"/>
      <c r="F381" s="33">
        <f>IF(D381="","",D381+KaziEk)</f>
        <v/>
      </c>
      <c r="G381" s="33">
        <f>IF(E381="","",E381+KaziEk)</f>
        <v/>
      </c>
      <c r="H381" s="34">
        <f>IF(OR(F381="",G381=""),"",(F381+G381)/2)</f>
        <v/>
      </c>
      <c r="I381" s="20" t="n"/>
      <c r="J381" s="21">
        <f>IF(OR(H381="",I381=""),"",IF(H381&gt;=IksaH,2*H381*I381,0))</f>
        <v/>
      </c>
      <c r="K381" s="21">
        <f>IF(OR(H381="",I381=""),"",HendekB*H381*I381)</f>
        <v/>
      </c>
      <c r="L381" s="5" t="n"/>
    </row>
    <row r="382">
      <c r="A382" s="5" t="n"/>
      <c r="B382" s="5" t="n"/>
      <c r="C382" s="5" t="n"/>
      <c r="D382" s="32" t="n"/>
      <c r="E382" s="32" t="n"/>
      <c r="F382" s="33">
        <f>IF(D382="","",D382+KaziEk)</f>
        <v/>
      </c>
      <c r="G382" s="33">
        <f>IF(E382="","",E382+KaziEk)</f>
        <v/>
      </c>
      <c r="H382" s="34">
        <f>IF(OR(F382="",G382=""),"",(F382+G382)/2)</f>
        <v/>
      </c>
      <c r="I382" s="20" t="n"/>
      <c r="J382" s="21">
        <f>IF(OR(H382="",I382=""),"",IF(H382&gt;=IksaH,2*H382*I382,0))</f>
        <v/>
      </c>
      <c r="K382" s="21">
        <f>IF(OR(H382="",I382=""),"",HendekB*H382*I382)</f>
        <v/>
      </c>
      <c r="L382" s="5" t="n"/>
    </row>
    <row r="383">
      <c r="A383" s="5" t="n"/>
      <c r="B383" s="5" t="n"/>
      <c r="C383" s="5" t="n"/>
      <c r="D383" s="32" t="n"/>
      <c r="E383" s="32" t="n"/>
      <c r="F383" s="33">
        <f>IF(D383="","",D383+KaziEk)</f>
        <v/>
      </c>
      <c r="G383" s="33">
        <f>IF(E383="","",E383+KaziEk)</f>
        <v/>
      </c>
      <c r="H383" s="34">
        <f>IF(OR(F383="",G383=""),"",(F383+G383)/2)</f>
        <v/>
      </c>
      <c r="I383" s="20" t="n"/>
      <c r="J383" s="21">
        <f>IF(OR(H383="",I383=""),"",IF(H383&gt;=IksaH,2*H383*I383,0))</f>
        <v/>
      </c>
      <c r="K383" s="21">
        <f>IF(OR(H383="",I383=""),"",HendekB*H383*I383)</f>
        <v/>
      </c>
      <c r="L383" s="5" t="n"/>
    </row>
    <row r="384">
      <c r="A384" s="5" t="n"/>
      <c r="B384" s="5" t="n"/>
      <c r="C384" s="5" t="n"/>
      <c r="D384" s="32" t="n"/>
      <c r="E384" s="32" t="n"/>
      <c r="F384" s="33">
        <f>IF(D384="","",D384+KaziEk)</f>
        <v/>
      </c>
      <c r="G384" s="33">
        <f>IF(E384="","",E384+KaziEk)</f>
        <v/>
      </c>
      <c r="H384" s="34">
        <f>IF(OR(F384="",G384=""),"",(F384+G384)/2)</f>
        <v/>
      </c>
      <c r="I384" s="20" t="n"/>
      <c r="J384" s="21">
        <f>IF(OR(H384="",I384=""),"",IF(H384&gt;=IksaH,2*H384*I384,0))</f>
        <v/>
      </c>
      <c r="K384" s="21">
        <f>IF(OR(H384="",I384=""),"",HendekB*H384*I384)</f>
        <v/>
      </c>
      <c r="L384" s="5" t="n"/>
    </row>
    <row r="385">
      <c r="A385" s="5" t="n"/>
      <c r="B385" s="5" t="n"/>
      <c r="C385" s="5" t="n"/>
      <c r="D385" s="32" t="n"/>
      <c r="E385" s="32" t="n"/>
      <c r="F385" s="33">
        <f>IF(D385="","",D385+KaziEk)</f>
        <v/>
      </c>
      <c r="G385" s="33">
        <f>IF(E385="","",E385+KaziEk)</f>
        <v/>
      </c>
      <c r="H385" s="34">
        <f>IF(OR(F385="",G385=""),"",(F385+G385)/2)</f>
        <v/>
      </c>
      <c r="I385" s="20" t="n"/>
      <c r="J385" s="21">
        <f>IF(OR(H385="",I385=""),"",IF(H385&gt;=IksaH,2*H385*I385,0))</f>
        <v/>
      </c>
      <c r="K385" s="21">
        <f>IF(OR(H385="",I385=""),"",HendekB*H385*I385)</f>
        <v/>
      </c>
      <c r="L385" s="5" t="n"/>
    </row>
    <row r="386">
      <c r="A386" s="5" t="n"/>
      <c r="B386" s="5" t="n"/>
      <c r="C386" s="5" t="n"/>
      <c r="D386" s="32" t="n"/>
      <c r="E386" s="32" t="n"/>
      <c r="F386" s="33">
        <f>IF(D386="","",D386+KaziEk)</f>
        <v/>
      </c>
      <c r="G386" s="33">
        <f>IF(E386="","",E386+KaziEk)</f>
        <v/>
      </c>
      <c r="H386" s="34">
        <f>IF(OR(F386="",G386=""),"",(F386+G386)/2)</f>
        <v/>
      </c>
      <c r="I386" s="20" t="n"/>
      <c r="J386" s="21">
        <f>IF(OR(H386="",I386=""),"",IF(H386&gt;=IksaH,2*H386*I386,0))</f>
        <v/>
      </c>
      <c r="K386" s="21">
        <f>IF(OR(H386="",I386=""),"",HendekB*H386*I386)</f>
        <v/>
      </c>
      <c r="L386" s="5" t="n"/>
    </row>
    <row r="387">
      <c r="A387" s="5" t="n"/>
      <c r="B387" s="5" t="n"/>
      <c r="C387" s="5" t="n"/>
      <c r="D387" s="32" t="n"/>
      <c r="E387" s="32" t="n"/>
      <c r="F387" s="33">
        <f>IF(D387="","",D387+KaziEk)</f>
        <v/>
      </c>
      <c r="G387" s="33">
        <f>IF(E387="","",E387+KaziEk)</f>
        <v/>
      </c>
      <c r="H387" s="34">
        <f>IF(OR(F387="",G387=""),"",(F387+G387)/2)</f>
        <v/>
      </c>
      <c r="I387" s="20" t="n"/>
      <c r="J387" s="21">
        <f>IF(OR(H387="",I387=""),"",IF(H387&gt;=IksaH,2*H387*I387,0))</f>
        <v/>
      </c>
      <c r="K387" s="21">
        <f>IF(OR(H387="",I387=""),"",HendekB*H387*I387)</f>
        <v/>
      </c>
      <c r="L387" s="5" t="n"/>
    </row>
    <row r="388">
      <c r="A388" s="5" t="n"/>
      <c r="B388" s="5" t="n"/>
      <c r="C388" s="5" t="n"/>
      <c r="D388" s="32" t="n"/>
      <c r="E388" s="32" t="n"/>
      <c r="F388" s="33">
        <f>IF(D388="","",D388+KaziEk)</f>
        <v/>
      </c>
      <c r="G388" s="33">
        <f>IF(E388="","",E388+KaziEk)</f>
        <v/>
      </c>
      <c r="H388" s="34">
        <f>IF(OR(F388="",G388=""),"",(F388+G388)/2)</f>
        <v/>
      </c>
      <c r="I388" s="20" t="n"/>
      <c r="J388" s="21">
        <f>IF(OR(H388="",I388=""),"",IF(H388&gt;=IksaH,2*H388*I388,0))</f>
        <v/>
      </c>
      <c r="K388" s="21">
        <f>IF(OR(H388="",I388=""),"",HendekB*H388*I388)</f>
        <v/>
      </c>
      <c r="L388" s="5" t="n"/>
    </row>
    <row r="389">
      <c r="A389" s="5" t="n"/>
      <c r="B389" s="5" t="n"/>
      <c r="C389" s="5" t="n"/>
      <c r="D389" s="32" t="n"/>
      <c r="E389" s="32" t="n"/>
      <c r="F389" s="33">
        <f>IF(D389="","",D389+KaziEk)</f>
        <v/>
      </c>
      <c r="G389" s="33">
        <f>IF(E389="","",E389+KaziEk)</f>
        <v/>
      </c>
      <c r="H389" s="34">
        <f>IF(OR(F389="",G389=""),"",(F389+G389)/2)</f>
        <v/>
      </c>
      <c r="I389" s="20" t="n"/>
      <c r="J389" s="21">
        <f>IF(OR(H389="",I389=""),"",IF(H389&gt;=IksaH,2*H389*I389,0))</f>
        <v/>
      </c>
      <c r="K389" s="21">
        <f>IF(OR(H389="",I389=""),"",HendekB*H389*I389)</f>
        <v/>
      </c>
      <c r="L389" s="5" t="n"/>
    </row>
    <row r="390">
      <c r="A390" s="5" t="n"/>
      <c r="B390" s="5" t="n"/>
      <c r="C390" s="5" t="n"/>
      <c r="D390" s="32" t="n"/>
      <c r="E390" s="32" t="n"/>
      <c r="F390" s="33">
        <f>IF(D390="","",D390+KaziEk)</f>
        <v/>
      </c>
      <c r="G390" s="33">
        <f>IF(E390="","",E390+KaziEk)</f>
        <v/>
      </c>
      <c r="H390" s="34">
        <f>IF(OR(F390="",G390=""),"",(F390+G390)/2)</f>
        <v/>
      </c>
      <c r="I390" s="20" t="n"/>
      <c r="J390" s="21">
        <f>IF(OR(H390="",I390=""),"",IF(H390&gt;=IksaH,2*H390*I390,0))</f>
        <v/>
      </c>
      <c r="K390" s="21">
        <f>IF(OR(H390="",I390=""),"",HendekB*H390*I390)</f>
        <v/>
      </c>
      <c r="L390" s="5" t="n"/>
    </row>
    <row r="391">
      <c r="A391" s="5" t="n"/>
      <c r="B391" s="5" t="n"/>
      <c r="C391" s="5" t="n"/>
      <c r="D391" s="32" t="n"/>
      <c r="E391" s="32" t="n"/>
      <c r="F391" s="33">
        <f>IF(D391="","",D391+KaziEk)</f>
        <v/>
      </c>
      <c r="G391" s="33">
        <f>IF(E391="","",E391+KaziEk)</f>
        <v/>
      </c>
      <c r="H391" s="34">
        <f>IF(OR(F391="",G391=""),"",(F391+G391)/2)</f>
        <v/>
      </c>
      <c r="I391" s="20" t="n"/>
      <c r="J391" s="21">
        <f>IF(OR(H391="",I391=""),"",IF(H391&gt;=IksaH,2*H391*I391,0))</f>
        <v/>
      </c>
      <c r="K391" s="21">
        <f>IF(OR(H391="",I391=""),"",HendekB*H391*I391)</f>
        <v/>
      </c>
      <c r="L391" s="5" t="n"/>
    </row>
    <row r="392">
      <c r="A392" s="5" t="n"/>
      <c r="B392" s="5" t="n"/>
      <c r="C392" s="5" t="n"/>
      <c r="D392" s="32" t="n"/>
      <c r="E392" s="32" t="n"/>
      <c r="F392" s="33">
        <f>IF(D392="","",D392+KaziEk)</f>
        <v/>
      </c>
      <c r="G392" s="33">
        <f>IF(E392="","",E392+KaziEk)</f>
        <v/>
      </c>
      <c r="H392" s="34">
        <f>IF(OR(F392="",G392=""),"",(F392+G392)/2)</f>
        <v/>
      </c>
      <c r="I392" s="20" t="n"/>
      <c r="J392" s="21">
        <f>IF(OR(H392="",I392=""),"",IF(H392&gt;=IksaH,2*H392*I392,0))</f>
        <v/>
      </c>
      <c r="K392" s="21">
        <f>IF(OR(H392="",I392=""),"",HendekB*H392*I392)</f>
        <v/>
      </c>
      <c r="L392" s="5" t="n"/>
    </row>
    <row r="393">
      <c r="A393" s="5" t="n"/>
      <c r="B393" s="5" t="n"/>
      <c r="C393" s="5" t="n"/>
      <c r="D393" s="32" t="n"/>
      <c r="E393" s="32" t="n"/>
      <c r="F393" s="33">
        <f>IF(D393="","",D393+KaziEk)</f>
        <v/>
      </c>
      <c r="G393" s="33">
        <f>IF(E393="","",E393+KaziEk)</f>
        <v/>
      </c>
      <c r="H393" s="34">
        <f>IF(OR(F393="",G393=""),"",(F393+G393)/2)</f>
        <v/>
      </c>
      <c r="I393" s="20" t="n"/>
      <c r="J393" s="21">
        <f>IF(OR(H393="",I393=""),"",IF(H393&gt;=IksaH,2*H393*I393,0))</f>
        <v/>
      </c>
      <c r="K393" s="21">
        <f>IF(OR(H393="",I393=""),"",HendekB*H393*I393)</f>
        <v/>
      </c>
      <c r="L393" s="5" t="n"/>
    </row>
    <row r="394">
      <c r="A394" s="5" t="n"/>
      <c r="B394" s="5" t="n"/>
      <c r="C394" s="5" t="n"/>
      <c r="D394" s="32" t="n"/>
      <c r="E394" s="32" t="n"/>
      <c r="F394" s="33">
        <f>IF(D394="","",D394+KaziEk)</f>
        <v/>
      </c>
      <c r="G394" s="33">
        <f>IF(E394="","",E394+KaziEk)</f>
        <v/>
      </c>
      <c r="H394" s="34">
        <f>IF(OR(F394="",G394=""),"",(F394+G394)/2)</f>
        <v/>
      </c>
      <c r="I394" s="20" t="n"/>
      <c r="J394" s="21">
        <f>IF(OR(H394="",I394=""),"",IF(H394&gt;=IksaH,2*H394*I394,0))</f>
        <v/>
      </c>
      <c r="K394" s="21">
        <f>IF(OR(H394="",I394=""),"",HendekB*H394*I394)</f>
        <v/>
      </c>
      <c r="L394" s="5" t="n"/>
    </row>
    <row r="395">
      <c r="A395" s="5" t="n"/>
      <c r="B395" s="5" t="n"/>
      <c r="C395" s="5" t="n"/>
      <c r="D395" s="32" t="n"/>
      <c r="E395" s="32" t="n"/>
      <c r="F395" s="33">
        <f>IF(D395="","",D395+KaziEk)</f>
        <v/>
      </c>
      <c r="G395" s="33">
        <f>IF(E395="","",E395+KaziEk)</f>
        <v/>
      </c>
      <c r="H395" s="34">
        <f>IF(OR(F395="",G395=""),"",(F395+G395)/2)</f>
        <v/>
      </c>
      <c r="I395" s="20" t="n"/>
      <c r="J395" s="21">
        <f>IF(OR(H395="",I395=""),"",IF(H395&gt;=IksaH,2*H395*I395,0))</f>
        <v/>
      </c>
      <c r="K395" s="21">
        <f>IF(OR(H395="",I395=""),"",HendekB*H395*I395)</f>
        <v/>
      </c>
      <c r="L395" s="5" t="n"/>
    </row>
    <row r="396">
      <c r="A396" s="5" t="n"/>
      <c r="B396" s="5" t="n"/>
      <c r="C396" s="5" t="n"/>
      <c r="D396" s="32" t="n"/>
      <c r="E396" s="32" t="n"/>
      <c r="F396" s="33">
        <f>IF(D396="","",D396+KaziEk)</f>
        <v/>
      </c>
      <c r="G396" s="33">
        <f>IF(E396="","",E396+KaziEk)</f>
        <v/>
      </c>
      <c r="H396" s="34">
        <f>IF(OR(F396="",G396=""),"",(F396+G396)/2)</f>
        <v/>
      </c>
      <c r="I396" s="20" t="n"/>
      <c r="J396" s="21">
        <f>IF(OR(H396="",I396=""),"",IF(H396&gt;=IksaH,2*H396*I396,0))</f>
        <v/>
      </c>
      <c r="K396" s="21">
        <f>IF(OR(H396="",I396=""),"",HendekB*H396*I396)</f>
        <v/>
      </c>
      <c r="L396" s="5" t="n"/>
    </row>
    <row r="397">
      <c r="A397" s="5" t="n"/>
      <c r="B397" s="5" t="n"/>
      <c r="C397" s="5" t="n"/>
      <c r="D397" s="32" t="n"/>
      <c r="E397" s="32" t="n"/>
      <c r="F397" s="33">
        <f>IF(D397="","",D397+KaziEk)</f>
        <v/>
      </c>
      <c r="G397" s="33">
        <f>IF(E397="","",E397+KaziEk)</f>
        <v/>
      </c>
      <c r="H397" s="34">
        <f>IF(OR(F397="",G397=""),"",(F397+G397)/2)</f>
        <v/>
      </c>
      <c r="I397" s="20" t="n"/>
      <c r="J397" s="21">
        <f>IF(OR(H397="",I397=""),"",IF(H397&gt;=IksaH,2*H397*I397,0))</f>
        <v/>
      </c>
      <c r="K397" s="21">
        <f>IF(OR(H397="",I397=""),"",HendekB*H397*I397)</f>
        <v/>
      </c>
      <c r="L397" s="5" t="n"/>
    </row>
    <row r="398">
      <c r="A398" s="5" t="n"/>
      <c r="B398" s="5" t="n"/>
      <c r="C398" s="5" t="n"/>
      <c r="D398" s="32" t="n"/>
      <c r="E398" s="32" t="n"/>
      <c r="F398" s="33">
        <f>IF(D398="","",D398+KaziEk)</f>
        <v/>
      </c>
      <c r="G398" s="33">
        <f>IF(E398="","",E398+KaziEk)</f>
        <v/>
      </c>
      <c r="H398" s="34">
        <f>IF(OR(F398="",G398=""),"",(F398+G398)/2)</f>
        <v/>
      </c>
      <c r="I398" s="20" t="n"/>
      <c r="J398" s="21">
        <f>IF(OR(H398="",I398=""),"",IF(H398&gt;=IksaH,2*H398*I398,0))</f>
        <v/>
      </c>
      <c r="K398" s="21">
        <f>IF(OR(H398="",I398=""),"",HendekB*H398*I398)</f>
        <v/>
      </c>
      <c r="L398" s="5" t="n"/>
    </row>
    <row r="399">
      <c r="A399" s="5" t="n"/>
      <c r="B399" s="5" t="n"/>
      <c r="C399" s="5" t="n"/>
      <c r="D399" s="32" t="n"/>
      <c r="E399" s="32" t="n"/>
      <c r="F399" s="33">
        <f>IF(D399="","",D399+KaziEk)</f>
        <v/>
      </c>
      <c r="G399" s="33">
        <f>IF(E399="","",E399+KaziEk)</f>
        <v/>
      </c>
      <c r="H399" s="34">
        <f>IF(OR(F399="",G399=""),"",(F399+G399)/2)</f>
        <v/>
      </c>
      <c r="I399" s="20" t="n"/>
      <c r="J399" s="21">
        <f>IF(OR(H399="",I399=""),"",IF(H399&gt;=IksaH,2*H399*I399,0))</f>
        <v/>
      </c>
      <c r="K399" s="21">
        <f>IF(OR(H399="",I399=""),"",HendekB*H399*I399)</f>
        <v/>
      </c>
      <c r="L399" s="5" t="n"/>
    </row>
    <row r="400">
      <c r="A400" s="5" t="n"/>
      <c r="B400" s="5" t="n"/>
      <c r="C400" s="5" t="n"/>
      <c r="D400" s="32" t="n"/>
      <c r="E400" s="32" t="n"/>
      <c r="F400" s="33">
        <f>IF(D400="","",D400+KaziEk)</f>
        <v/>
      </c>
      <c r="G400" s="33">
        <f>IF(E400="","",E400+KaziEk)</f>
        <v/>
      </c>
      <c r="H400" s="34">
        <f>IF(OR(F400="",G400=""),"",(F400+G400)/2)</f>
        <v/>
      </c>
      <c r="I400" s="20" t="n"/>
      <c r="J400" s="21">
        <f>IF(OR(H400="",I400=""),"",IF(H400&gt;=IksaH,2*H400*I400,0))</f>
        <v/>
      </c>
      <c r="K400" s="21">
        <f>IF(OR(H400="",I400=""),"",HendekB*H400*I400)</f>
        <v/>
      </c>
      <c r="L400" s="5" t="n"/>
    </row>
    <row r="401">
      <c r="A401" s="5" t="n"/>
      <c r="B401" s="5" t="n"/>
      <c r="C401" s="5" t="n"/>
      <c r="D401" s="32" t="n"/>
      <c r="E401" s="32" t="n"/>
      <c r="F401" s="33">
        <f>IF(D401="","",D401+KaziEk)</f>
        <v/>
      </c>
      <c r="G401" s="33">
        <f>IF(E401="","",E401+KaziEk)</f>
        <v/>
      </c>
      <c r="H401" s="34">
        <f>IF(OR(F401="",G401=""),"",(F401+G401)/2)</f>
        <v/>
      </c>
      <c r="I401" s="20" t="n"/>
      <c r="J401" s="21">
        <f>IF(OR(H401="",I401=""),"",IF(H401&gt;=IksaH,2*H401*I401,0))</f>
        <v/>
      </c>
      <c r="K401" s="21">
        <f>IF(OR(H401="",I401=""),"",HendekB*H401*I401)</f>
        <v/>
      </c>
      <c r="L401" s="5" t="n"/>
    </row>
    <row r="402">
      <c r="A402" s="5" t="n"/>
      <c r="B402" s="5" t="n"/>
      <c r="C402" s="5" t="n"/>
      <c r="D402" s="32" t="n"/>
      <c r="E402" s="32" t="n"/>
      <c r="F402" s="33">
        <f>IF(D402="","",D402+KaziEk)</f>
        <v/>
      </c>
      <c r="G402" s="33">
        <f>IF(E402="","",E402+KaziEk)</f>
        <v/>
      </c>
      <c r="H402" s="34">
        <f>IF(OR(F402="",G402=""),"",(F402+G402)/2)</f>
        <v/>
      </c>
      <c r="I402" s="20" t="n"/>
      <c r="J402" s="21">
        <f>IF(OR(H402="",I402=""),"",IF(H402&gt;=IksaH,2*H402*I402,0))</f>
        <v/>
      </c>
      <c r="K402" s="21">
        <f>IF(OR(H402="",I402=""),"",HendekB*H402*I402)</f>
        <v/>
      </c>
      <c r="L402" s="5" t="n"/>
    </row>
    <row r="403">
      <c r="A403" s="5" t="n"/>
      <c r="B403" s="5" t="n"/>
      <c r="C403" s="5" t="n"/>
      <c r="D403" s="32" t="n"/>
      <c r="E403" s="32" t="n"/>
      <c r="F403" s="33">
        <f>IF(D403="","",D403+KaziEk)</f>
        <v/>
      </c>
      <c r="G403" s="33">
        <f>IF(E403="","",E403+KaziEk)</f>
        <v/>
      </c>
      <c r="H403" s="34">
        <f>IF(OR(F403="",G403=""),"",(F403+G403)/2)</f>
        <v/>
      </c>
      <c r="I403" s="20" t="n"/>
      <c r="J403" s="21">
        <f>IF(OR(H403="",I403=""),"",IF(H403&gt;=IksaH,2*H403*I403,0))</f>
        <v/>
      </c>
      <c r="K403" s="21">
        <f>IF(OR(H403="",I403=""),"",HendekB*H403*I403)</f>
        <v/>
      </c>
      <c r="L403" s="5" t="n"/>
    </row>
    <row r="404">
      <c r="A404" s="5" t="n"/>
      <c r="B404" s="5" t="n"/>
      <c r="C404" s="5" t="n"/>
      <c r="D404" s="32" t="n"/>
      <c r="E404" s="32" t="n"/>
      <c r="F404" s="33">
        <f>IF(D404="","",D404+KaziEk)</f>
        <v/>
      </c>
      <c r="G404" s="33">
        <f>IF(E404="","",E404+KaziEk)</f>
        <v/>
      </c>
      <c r="H404" s="34">
        <f>IF(OR(F404="",G404=""),"",(F404+G404)/2)</f>
        <v/>
      </c>
      <c r="I404" s="20" t="n"/>
      <c r="J404" s="21">
        <f>IF(OR(H404="",I404=""),"",IF(H404&gt;=IksaH,2*H404*I404,0))</f>
        <v/>
      </c>
      <c r="K404" s="21">
        <f>IF(OR(H404="",I404=""),"",HendekB*H404*I404)</f>
        <v/>
      </c>
      <c r="L404" s="5" t="n"/>
    </row>
    <row r="405">
      <c r="A405" s="5" t="n"/>
      <c r="B405" s="5" t="n"/>
      <c r="C405" s="5" t="n"/>
      <c r="D405" s="32" t="n"/>
      <c r="E405" s="32" t="n"/>
      <c r="F405" s="33">
        <f>IF(D405="","",D405+KaziEk)</f>
        <v/>
      </c>
      <c r="G405" s="33">
        <f>IF(E405="","",E405+KaziEk)</f>
        <v/>
      </c>
      <c r="H405" s="34">
        <f>IF(OR(F405="",G405=""),"",(F405+G405)/2)</f>
        <v/>
      </c>
      <c r="I405" s="20" t="n"/>
      <c r="J405" s="21">
        <f>IF(OR(H405="",I405=""),"",IF(H405&gt;=IksaH,2*H405*I405,0))</f>
        <v/>
      </c>
      <c r="K405" s="21">
        <f>IF(OR(H405="",I405=""),"",HendekB*H405*I405)</f>
        <v/>
      </c>
      <c r="L405" s="5" t="n"/>
    </row>
    <row r="406">
      <c r="A406" s="5" t="n"/>
      <c r="B406" s="5" t="n"/>
      <c r="C406" s="5" t="n"/>
      <c r="D406" s="32" t="n"/>
      <c r="E406" s="32" t="n"/>
      <c r="F406" s="33">
        <f>IF(D406="","",D406+KaziEk)</f>
        <v/>
      </c>
      <c r="G406" s="33">
        <f>IF(E406="","",E406+KaziEk)</f>
        <v/>
      </c>
      <c r="H406" s="34">
        <f>IF(OR(F406="",G406=""),"",(F406+G406)/2)</f>
        <v/>
      </c>
      <c r="I406" s="20" t="n"/>
      <c r="J406" s="21">
        <f>IF(OR(H406="",I406=""),"",IF(H406&gt;=IksaH,2*H406*I406,0))</f>
        <v/>
      </c>
      <c r="K406" s="21">
        <f>IF(OR(H406="",I406=""),"",HendekB*H406*I406)</f>
        <v/>
      </c>
      <c r="L406" s="5" t="n"/>
    </row>
    <row r="407">
      <c r="A407" s="5" t="n"/>
      <c r="B407" s="5" t="n"/>
      <c r="C407" s="5" t="n"/>
      <c r="D407" s="32" t="n"/>
      <c r="E407" s="32" t="n"/>
      <c r="F407" s="33">
        <f>IF(D407="","",D407+KaziEk)</f>
        <v/>
      </c>
      <c r="G407" s="33">
        <f>IF(E407="","",E407+KaziEk)</f>
        <v/>
      </c>
      <c r="H407" s="34">
        <f>IF(OR(F407="",G407=""),"",(F407+G407)/2)</f>
        <v/>
      </c>
      <c r="I407" s="20" t="n"/>
      <c r="J407" s="21">
        <f>IF(OR(H407="",I407=""),"",IF(H407&gt;=IksaH,2*H407*I407,0))</f>
        <v/>
      </c>
      <c r="K407" s="21">
        <f>IF(OR(H407="",I407=""),"",HendekB*H407*I407)</f>
        <v/>
      </c>
      <c r="L407" s="5" t="n"/>
    </row>
    <row r="408">
      <c r="A408" s="5" t="n"/>
      <c r="B408" s="5" t="n"/>
      <c r="C408" s="5" t="n"/>
      <c r="D408" s="32" t="n"/>
      <c r="E408" s="32" t="n"/>
      <c r="F408" s="33">
        <f>IF(D408="","",D408+KaziEk)</f>
        <v/>
      </c>
      <c r="G408" s="33">
        <f>IF(E408="","",E408+KaziEk)</f>
        <v/>
      </c>
      <c r="H408" s="34">
        <f>IF(OR(F408="",G408=""),"",(F408+G408)/2)</f>
        <v/>
      </c>
      <c r="I408" s="20" t="n"/>
      <c r="J408" s="21">
        <f>IF(OR(H408="",I408=""),"",IF(H408&gt;=IksaH,2*H408*I408,0))</f>
        <v/>
      </c>
      <c r="K408" s="21">
        <f>IF(OR(H408="",I408=""),"",HendekB*H408*I408)</f>
        <v/>
      </c>
      <c r="L408" s="5" t="n"/>
    </row>
    <row r="409">
      <c r="A409" s="5" t="n"/>
      <c r="B409" s="5" t="n"/>
      <c r="C409" s="5" t="n"/>
      <c r="D409" s="32" t="n"/>
      <c r="E409" s="32" t="n"/>
      <c r="F409" s="33">
        <f>IF(D409="","",D409+KaziEk)</f>
        <v/>
      </c>
      <c r="G409" s="33">
        <f>IF(E409="","",E409+KaziEk)</f>
        <v/>
      </c>
      <c r="H409" s="34">
        <f>IF(OR(F409="",G409=""),"",(F409+G409)/2)</f>
        <v/>
      </c>
      <c r="I409" s="20" t="n"/>
      <c r="J409" s="21">
        <f>IF(OR(H409="",I409=""),"",IF(H409&gt;=IksaH,2*H409*I409,0))</f>
        <v/>
      </c>
      <c r="K409" s="21">
        <f>IF(OR(H409="",I409=""),"",HendekB*H409*I409)</f>
        <v/>
      </c>
      <c r="L409" s="5" t="n"/>
    </row>
    <row r="410">
      <c r="A410" s="5" t="n"/>
      <c r="B410" s="5" t="n"/>
      <c r="C410" s="5" t="n"/>
      <c r="D410" s="32" t="n"/>
      <c r="E410" s="32" t="n"/>
      <c r="F410" s="33">
        <f>IF(D410="","",D410+KaziEk)</f>
        <v/>
      </c>
      <c r="G410" s="33">
        <f>IF(E410="","",E410+KaziEk)</f>
        <v/>
      </c>
      <c r="H410" s="34">
        <f>IF(OR(F410="",G410=""),"",(F410+G410)/2)</f>
        <v/>
      </c>
      <c r="I410" s="20" t="n"/>
      <c r="J410" s="21">
        <f>IF(OR(H410="",I410=""),"",IF(H410&gt;=IksaH,2*H410*I410,0))</f>
        <v/>
      </c>
      <c r="K410" s="21">
        <f>IF(OR(H410="",I410=""),"",HendekB*H410*I410)</f>
        <v/>
      </c>
      <c r="L410" s="5" t="n"/>
    </row>
    <row r="411">
      <c r="A411" s="5" t="n"/>
      <c r="B411" s="5" t="n"/>
      <c r="C411" s="5" t="n"/>
      <c r="D411" s="32" t="n"/>
      <c r="E411" s="32" t="n"/>
      <c r="F411" s="33">
        <f>IF(D411="","",D411+KaziEk)</f>
        <v/>
      </c>
      <c r="G411" s="33">
        <f>IF(E411="","",E411+KaziEk)</f>
        <v/>
      </c>
      <c r="H411" s="34">
        <f>IF(OR(F411="",G411=""),"",(F411+G411)/2)</f>
        <v/>
      </c>
      <c r="I411" s="20" t="n"/>
      <c r="J411" s="21">
        <f>IF(OR(H411="",I411=""),"",IF(H411&gt;=IksaH,2*H411*I411,0))</f>
        <v/>
      </c>
      <c r="K411" s="21">
        <f>IF(OR(H411="",I411=""),"",HendekB*H411*I411)</f>
        <v/>
      </c>
      <c r="L411" s="5" t="n"/>
    </row>
    <row r="412">
      <c r="A412" s="5" t="n"/>
      <c r="B412" s="5" t="n"/>
      <c r="C412" s="5" t="n"/>
      <c r="D412" s="32" t="n"/>
      <c r="E412" s="32" t="n"/>
      <c r="F412" s="33">
        <f>IF(D412="","",D412+KaziEk)</f>
        <v/>
      </c>
      <c r="G412" s="33">
        <f>IF(E412="","",E412+KaziEk)</f>
        <v/>
      </c>
      <c r="H412" s="34">
        <f>IF(OR(F412="",G412=""),"",(F412+G412)/2)</f>
        <v/>
      </c>
      <c r="I412" s="20" t="n"/>
      <c r="J412" s="21">
        <f>IF(OR(H412="",I412=""),"",IF(H412&gt;=IksaH,2*H412*I412,0))</f>
        <v/>
      </c>
      <c r="K412" s="21">
        <f>IF(OR(H412="",I412=""),"",HendekB*H412*I412)</f>
        <v/>
      </c>
      <c r="L412" s="5" t="n"/>
    </row>
    <row r="413">
      <c r="A413" s="5" t="n"/>
      <c r="B413" s="5" t="n"/>
      <c r="C413" s="5" t="n"/>
      <c r="D413" s="32" t="n"/>
      <c r="E413" s="32" t="n"/>
      <c r="F413" s="33">
        <f>IF(D413="","",D413+KaziEk)</f>
        <v/>
      </c>
      <c r="G413" s="33">
        <f>IF(E413="","",E413+KaziEk)</f>
        <v/>
      </c>
      <c r="H413" s="34">
        <f>IF(OR(F413="",G413=""),"",(F413+G413)/2)</f>
        <v/>
      </c>
      <c r="I413" s="20" t="n"/>
      <c r="J413" s="21">
        <f>IF(OR(H413="",I413=""),"",IF(H413&gt;=IksaH,2*H413*I413,0))</f>
        <v/>
      </c>
      <c r="K413" s="21">
        <f>IF(OR(H413="",I413=""),"",HendekB*H413*I413)</f>
        <v/>
      </c>
      <c r="L413" s="5" t="n"/>
    </row>
    <row r="414">
      <c r="A414" s="5" t="n"/>
      <c r="B414" s="5" t="n"/>
      <c r="C414" s="5" t="n"/>
      <c r="D414" s="32" t="n"/>
      <c r="E414" s="32" t="n"/>
      <c r="F414" s="33">
        <f>IF(D414="","",D414+KaziEk)</f>
        <v/>
      </c>
      <c r="G414" s="33">
        <f>IF(E414="","",E414+KaziEk)</f>
        <v/>
      </c>
      <c r="H414" s="34">
        <f>IF(OR(F414="",G414=""),"",(F414+G414)/2)</f>
        <v/>
      </c>
      <c r="I414" s="20" t="n"/>
      <c r="J414" s="21">
        <f>IF(OR(H414="",I414=""),"",IF(H414&gt;=IksaH,2*H414*I414,0))</f>
        <v/>
      </c>
      <c r="K414" s="21">
        <f>IF(OR(H414="",I414=""),"",HendekB*H414*I414)</f>
        <v/>
      </c>
      <c r="L414" s="5" t="n"/>
    </row>
    <row r="415">
      <c r="A415" s="5" t="n"/>
      <c r="B415" s="5" t="n"/>
      <c r="C415" s="5" t="n"/>
      <c r="D415" s="32" t="n"/>
      <c r="E415" s="32" t="n"/>
      <c r="F415" s="33">
        <f>IF(D415="","",D415+KaziEk)</f>
        <v/>
      </c>
      <c r="G415" s="33">
        <f>IF(E415="","",E415+KaziEk)</f>
        <v/>
      </c>
      <c r="H415" s="34">
        <f>IF(OR(F415="",G415=""),"",(F415+G415)/2)</f>
        <v/>
      </c>
      <c r="I415" s="20" t="n"/>
      <c r="J415" s="21">
        <f>IF(OR(H415="",I415=""),"",IF(H415&gt;=IksaH,2*H415*I415,0))</f>
        <v/>
      </c>
      <c r="K415" s="21">
        <f>IF(OR(H415="",I415=""),"",HendekB*H415*I415)</f>
        <v/>
      </c>
      <c r="L415" s="5" t="n"/>
    </row>
    <row r="416">
      <c r="A416" s="5" t="n"/>
      <c r="B416" s="5" t="n"/>
      <c r="C416" s="5" t="n"/>
      <c r="D416" s="32" t="n"/>
      <c r="E416" s="32" t="n"/>
      <c r="F416" s="33">
        <f>IF(D416="","",D416+KaziEk)</f>
        <v/>
      </c>
      <c r="G416" s="33">
        <f>IF(E416="","",E416+KaziEk)</f>
        <v/>
      </c>
      <c r="H416" s="34">
        <f>IF(OR(F416="",G416=""),"",(F416+G416)/2)</f>
        <v/>
      </c>
      <c r="I416" s="20" t="n"/>
      <c r="J416" s="21">
        <f>IF(OR(H416="",I416=""),"",IF(H416&gt;=IksaH,2*H416*I416,0))</f>
        <v/>
      </c>
      <c r="K416" s="21">
        <f>IF(OR(H416="",I416=""),"",HendekB*H416*I416)</f>
        <v/>
      </c>
      <c r="L416" s="5" t="n"/>
    </row>
    <row r="417">
      <c r="A417" s="5" t="n"/>
      <c r="B417" s="5" t="n"/>
      <c r="C417" s="5" t="n"/>
      <c r="D417" s="32" t="n"/>
      <c r="E417" s="32" t="n"/>
      <c r="F417" s="33">
        <f>IF(D417="","",D417+KaziEk)</f>
        <v/>
      </c>
      <c r="G417" s="33">
        <f>IF(E417="","",E417+KaziEk)</f>
        <v/>
      </c>
      <c r="H417" s="34">
        <f>IF(OR(F417="",G417=""),"",(F417+G417)/2)</f>
        <v/>
      </c>
      <c r="I417" s="20" t="n"/>
      <c r="J417" s="21">
        <f>IF(OR(H417="",I417=""),"",IF(H417&gt;=IksaH,2*H417*I417,0))</f>
        <v/>
      </c>
      <c r="K417" s="21">
        <f>IF(OR(H417="",I417=""),"",HendekB*H417*I417)</f>
        <v/>
      </c>
      <c r="L417" s="5" t="n"/>
    </row>
    <row r="418">
      <c r="A418" s="5" t="n"/>
      <c r="B418" s="5" t="n"/>
      <c r="C418" s="5" t="n"/>
      <c r="D418" s="32" t="n"/>
      <c r="E418" s="32" t="n"/>
      <c r="F418" s="33">
        <f>IF(D418="","",D418+KaziEk)</f>
        <v/>
      </c>
      <c r="G418" s="33">
        <f>IF(E418="","",E418+KaziEk)</f>
        <v/>
      </c>
      <c r="H418" s="34">
        <f>IF(OR(F418="",G418=""),"",(F418+G418)/2)</f>
        <v/>
      </c>
      <c r="I418" s="20" t="n"/>
      <c r="J418" s="21">
        <f>IF(OR(H418="",I418=""),"",IF(H418&gt;=IksaH,2*H418*I418,0))</f>
        <v/>
      </c>
      <c r="K418" s="21">
        <f>IF(OR(H418="",I418=""),"",HendekB*H418*I418)</f>
        <v/>
      </c>
      <c r="L418" s="5" t="n"/>
    </row>
    <row r="419">
      <c r="A419" s="5" t="n"/>
      <c r="B419" s="5" t="n"/>
      <c r="C419" s="5" t="n"/>
      <c r="D419" s="32" t="n"/>
      <c r="E419" s="32" t="n"/>
      <c r="F419" s="33">
        <f>IF(D419="","",D419+KaziEk)</f>
        <v/>
      </c>
      <c r="G419" s="33">
        <f>IF(E419="","",E419+KaziEk)</f>
        <v/>
      </c>
      <c r="H419" s="34">
        <f>IF(OR(F419="",G419=""),"",(F419+G419)/2)</f>
        <v/>
      </c>
      <c r="I419" s="20" t="n"/>
      <c r="J419" s="21">
        <f>IF(OR(H419="",I419=""),"",IF(H419&gt;=IksaH,2*H419*I419,0))</f>
        <v/>
      </c>
      <c r="K419" s="21">
        <f>IF(OR(H419="",I419=""),"",HendekB*H419*I419)</f>
        <v/>
      </c>
      <c r="L419" s="5" t="n"/>
    </row>
    <row r="420">
      <c r="A420" s="5" t="n"/>
      <c r="B420" s="5" t="n"/>
      <c r="C420" s="5" t="n"/>
      <c r="D420" s="32" t="n"/>
      <c r="E420" s="32" t="n"/>
      <c r="F420" s="33">
        <f>IF(D420="","",D420+KaziEk)</f>
        <v/>
      </c>
      <c r="G420" s="33">
        <f>IF(E420="","",E420+KaziEk)</f>
        <v/>
      </c>
      <c r="H420" s="34">
        <f>IF(OR(F420="",G420=""),"",(F420+G420)/2)</f>
        <v/>
      </c>
      <c r="I420" s="20" t="n"/>
      <c r="J420" s="21">
        <f>IF(OR(H420="",I420=""),"",IF(H420&gt;=IksaH,2*H420*I420,0))</f>
        <v/>
      </c>
      <c r="K420" s="21">
        <f>IF(OR(H420="",I420=""),"",HendekB*H420*I420)</f>
        <v/>
      </c>
      <c r="L420" s="5" t="n"/>
    </row>
    <row r="421">
      <c r="A421" s="5" t="n"/>
      <c r="B421" s="5" t="n"/>
      <c r="C421" s="5" t="n"/>
      <c r="D421" s="32" t="n"/>
      <c r="E421" s="32" t="n"/>
      <c r="F421" s="33">
        <f>IF(D421="","",D421+KaziEk)</f>
        <v/>
      </c>
      <c r="G421" s="33">
        <f>IF(E421="","",E421+KaziEk)</f>
        <v/>
      </c>
      <c r="H421" s="34">
        <f>IF(OR(F421="",G421=""),"",(F421+G421)/2)</f>
        <v/>
      </c>
      <c r="I421" s="20" t="n"/>
      <c r="J421" s="21">
        <f>IF(OR(H421="",I421=""),"",IF(H421&gt;=IksaH,2*H421*I421,0))</f>
        <v/>
      </c>
      <c r="K421" s="21">
        <f>IF(OR(H421="",I421=""),"",HendekB*H421*I421)</f>
        <v/>
      </c>
      <c r="L421" s="5" t="n"/>
    </row>
    <row r="422">
      <c r="A422" s="5" t="n"/>
      <c r="B422" s="5" t="n"/>
      <c r="C422" s="5" t="n"/>
      <c r="D422" s="32" t="n"/>
      <c r="E422" s="32" t="n"/>
      <c r="F422" s="33">
        <f>IF(D422="","",D422+KaziEk)</f>
        <v/>
      </c>
      <c r="G422" s="33">
        <f>IF(E422="","",E422+KaziEk)</f>
        <v/>
      </c>
      <c r="H422" s="34">
        <f>IF(OR(F422="",G422=""),"",(F422+G422)/2)</f>
        <v/>
      </c>
      <c r="I422" s="20" t="n"/>
      <c r="J422" s="21">
        <f>IF(OR(H422="",I422=""),"",IF(H422&gt;=IksaH,2*H422*I422,0))</f>
        <v/>
      </c>
      <c r="K422" s="21">
        <f>IF(OR(H422="",I422=""),"",HendekB*H422*I422)</f>
        <v/>
      </c>
      <c r="L422" s="5" t="n"/>
    </row>
    <row r="423">
      <c r="A423" s="5" t="n"/>
      <c r="B423" s="5" t="n"/>
      <c r="C423" s="5" t="n"/>
      <c r="D423" s="32" t="n"/>
      <c r="E423" s="32" t="n"/>
      <c r="F423" s="33">
        <f>IF(D423="","",D423+KaziEk)</f>
        <v/>
      </c>
      <c r="G423" s="33">
        <f>IF(E423="","",E423+KaziEk)</f>
        <v/>
      </c>
      <c r="H423" s="34">
        <f>IF(OR(F423="",G423=""),"",(F423+G423)/2)</f>
        <v/>
      </c>
      <c r="I423" s="20" t="n"/>
      <c r="J423" s="21">
        <f>IF(OR(H423="",I423=""),"",IF(H423&gt;=IksaH,2*H423*I423,0))</f>
        <v/>
      </c>
      <c r="K423" s="21">
        <f>IF(OR(H423="",I423=""),"",HendekB*H423*I423)</f>
        <v/>
      </c>
      <c r="L423" s="5" t="n"/>
    </row>
    <row r="424">
      <c r="A424" s="5" t="n"/>
      <c r="B424" s="5" t="n"/>
      <c r="C424" s="5" t="n"/>
      <c r="D424" s="32" t="n"/>
      <c r="E424" s="32" t="n"/>
      <c r="F424" s="33">
        <f>IF(D424="","",D424+KaziEk)</f>
        <v/>
      </c>
      <c r="G424" s="33">
        <f>IF(E424="","",E424+KaziEk)</f>
        <v/>
      </c>
      <c r="H424" s="34">
        <f>IF(OR(F424="",G424=""),"",(F424+G424)/2)</f>
        <v/>
      </c>
      <c r="I424" s="20" t="n"/>
      <c r="J424" s="21">
        <f>IF(OR(H424="",I424=""),"",IF(H424&gt;=IksaH,2*H424*I424,0))</f>
        <v/>
      </c>
      <c r="K424" s="21">
        <f>IF(OR(H424="",I424=""),"",HendekB*H424*I424)</f>
        <v/>
      </c>
      <c r="L424" s="5" t="n"/>
    </row>
    <row r="425">
      <c r="A425" s="5" t="n"/>
      <c r="B425" s="5" t="n"/>
      <c r="C425" s="5" t="n"/>
      <c r="D425" s="32" t="n"/>
      <c r="E425" s="32" t="n"/>
      <c r="F425" s="33">
        <f>IF(D425="","",D425+KaziEk)</f>
        <v/>
      </c>
      <c r="G425" s="33">
        <f>IF(E425="","",E425+KaziEk)</f>
        <v/>
      </c>
      <c r="H425" s="34">
        <f>IF(OR(F425="",G425=""),"",(F425+G425)/2)</f>
        <v/>
      </c>
      <c r="I425" s="20" t="n"/>
      <c r="J425" s="21">
        <f>IF(OR(H425="",I425=""),"",IF(H425&gt;=IksaH,2*H425*I425,0))</f>
        <v/>
      </c>
      <c r="K425" s="21">
        <f>IF(OR(H425="",I425=""),"",HendekB*H425*I425)</f>
        <v/>
      </c>
      <c r="L425" s="5" t="n"/>
    </row>
    <row r="426">
      <c r="A426" s="5" t="n"/>
      <c r="B426" s="5" t="n"/>
      <c r="C426" s="5" t="n"/>
      <c r="D426" s="32" t="n"/>
      <c r="E426" s="32" t="n"/>
      <c r="F426" s="33">
        <f>IF(D426="","",D426+KaziEk)</f>
        <v/>
      </c>
      <c r="G426" s="33">
        <f>IF(E426="","",E426+KaziEk)</f>
        <v/>
      </c>
      <c r="H426" s="34">
        <f>IF(OR(F426="",G426=""),"",(F426+G426)/2)</f>
        <v/>
      </c>
      <c r="I426" s="20" t="n"/>
      <c r="J426" s="21">
        <f>IF(OR(H426="",I426=""),"",IF(H426&gt;=IksaH,2*H426*I426,0))</f>
        <v/>
      </c>
      <c r="K426" s="21">
        <f>IF(OR(H426="",I426=""),"",HendekB*H426*I426)</f>
        <v/>
      </c>
      <c r="L426" s="5" t="n"/>
    </row>
    <row r="427">
      <c r="A427" s="5" t="n"/>
      <c r="B427" s="5" t="n"/>
      <c r="C427" s="5" t="n"/>
      <c r="D427" s="32" t="n"/>
      <c r="E427" s="32" t="n"/>
      <c r="F427" s="33">
        <f>IF(D427="","",D427+KaziEk)</f>
        <v/>
      </c>
      <c r="G427" s="33">
        <f>IF(E427="","",E427+KaziEk)</f>
        <v/>
      </c>
      <c r="H427" s="34">
        <f>IF(OR(F427="",G427=""),"",(F427+G427)/2)</f>
        <v/>
      </c>
      <c r="I427" s="20" t="n"/>
      <c r="J427" s="21">
        <f>IF(OR(H427="",I427=""),"",IF(H427&gt;=IksaH,2*H427*I427,0))</f>
        <v/>
      </c>
      <c r="K427" s="21">
        <f>IF(OR(H427="",I427=""),"",HendekB*H427*I427)</f>
        <v/>
      </c>
      <c r="L427" s="5" t="n"/>
    </row>
    <row r="428">
      <c r="A428" s="5" t="n"/>
      <c r="B428" s="5" t="n"/>
      <c r="C428" s="5" t="n"/>
      <c r="D428" s="32" t="n"/>
      <c r="E428" s="32" t="n"/>
      <c r="F428" s="33">
        <f>IF(D428="","",D428+KaziEk)</f>
        <v/>
      </c>
      <c r="G428" s="33">
        <f>IF(E428="","",E428+KaziEk)</f>
        <v/>
      </c>
      <c r="H428" s="34">
        <f>IF(OR(F428="",G428=""),"",(F428+G428)/2)</f>
        <v/>
      </c>
      <c r="I428" s="20" t="n"/>
      <c r="J428" s="21">
        <f>IF(OR(H428="",I428=""),"",IF(H428&gt;=IksaH,2*H428*I428,0))</f>
        <v/>
      </c>
      <c r="K428" s="21">
        <f>IF(OR(H428="",I428=""),"",HendekB*H428*I428)</f>
        <v/>
      </c>
      <c r="L428" s="5" t="n"/>
    </row>
    <row r="429">
      <c r="A429" s="5" t="n"/>
      <c r="B429" s="5" t="n"/>
      <c r="C429" s="5" t="n"/>
      <c r="D429" s="32" t="n"/>
      <c r="E429" s="32" t="n"/>
      <c r="F429" s="33">
        <f>IF(D429="","",D429+KaziEk)</f>
        <v/>
      </c>
      <c r="G429" s="33">
        <f>IF(E429="","",E429+KaziEk)</f>
        <v/>
      </c>
      <c r="H429" s="34">
        <f>IF(OR(F429="",G429=""),"",(F429+G429)/2)</f>
        <v/>
      </c>
      <c r="I429" s="20" t="n"/>
      <c r="J429" s="21">
        <f>IF(OR(H429="",I429=""),"",IF(H429&gt;=IksaH,2*H429*I429,0))</f>
        <v/>
      </c>
      <c r="K429" s="21">
        <f>IF(OR(H429="",I429=""),"",HendekB*H429*I429)</f>
        <v/>
      </c>
      <c r="L429" s="5" t="n"/>
    </row>
    <row r="430">
      <c r="A430" s="5" t="n"/>
      <c r="B430" s="5" t="n"/>
      <c r="C430" s="5" t="n"/>
      <c r="D430" s="32" t="n"/>
      <c r="E430" s="32" t="n"/>
      <c r="F430" s="33">
        <f>IF(D430="","",D430+KaziEk)</f>
        <v/>
      </c>
      <c r="G430" s="33">
        <f>IF(E430="","",E430+KaziEk)</f>
        <v/>
      </c>
      <c r="H430" s="34">
        <f>IF(OR(F430="",G430=""),"",(F430+G430)/2)</f>
        <v/>
      </c>
      <c r="I430" s="20" t="n"/>
      <c r="J430" s="21">
        <f>IF(OR(H430="",I430=""),"",IF(H430&gt;=IksaH,2*H430*I430,0))</f>
        <v/>
      </c>
      <c r="K430" s="21">
        <f>IF(OR(H430="",I430=""),"",HendekB*H430*I430)</f>
        <v/>
      </c>
      <c r="L430" s="5" t="n"/>
    </row>
    <row r="431">
      <c r="A431" s="5" t="n"/>
      <c r="B431" s="5" t="n"/>
      <c r="C431" s="5" t="n"/>
      <c r="D431" s="32" t="n"/>
      <c r="E431" s="32" t="n"/>
      <c r="F431" s="33">
        <f>IF(D431="","",D431+KaziEk)</f>
        <v/>
      </c>
      <c r="G431" s="33">
        <f>IF(E431="","",E431+KaziEk)</f>
        <v/>
      </c>
      <c r="H431" s="34">
        <f>IF(OR(F431="",G431=""),"",(F431+G431)/2)</f>
        <v/>
      </c>
      <c r="I431" s="20" t="n"/>
      <c r="J431" s="21">
        <f>IF(OR(H431="",I431=""),"",IF(H431&gt;=IksaH,2*H431*I431,0))</f>
        <v/>
      </c>
      <c r="K431" s="21">
        <f>IF(OR(H431="",I431=""),"",HendekB*H431*I431)</f>
        <v/>
      </c>
      <c r="L431" s="5" t="n"/>
    </row>
    <row r="432">
      <c r="A432" s="5" t="n"/>
      <c r="B432" s="5" t="n"/>
      <c r="C432" s="5" t="n"/>
      <c r="D432" s="32" t="n"/>
      <c r="E432" s="32" t="n"/>
      <c r="F432" s="33">
        <f>IF(D432="","",D432+KaziEk)</f>
        <v/>
      </c>
      <c r="G432" s="33">
        <f>IF(E432="","",E432+KaziEk)</f>
        <v/>
      </c>
      <c r="H432" s="34">
        <f>IF(OR(F432="",G432=""),"",(F432+G432)/2)</f>
        <v/>
      </c>
      <c r="I432" s="20" t="n"/>
      <c r="J432" s="21">
        <f>IF(OR(H432="",I432=""),"",IF(H432&gt;=IksaH,2*H432*I432,0))</f>
        <v/>
      </c>
      <c r="K432" s="21">
        <f>IF(OR(H432="",I432=""),"",HendekB*H432*I432)</f>
        <v/>
      </c>
      <c r="L432" s="5" t="n"/>
    </row>
    <row r="433">
      <c r="A433" s="5" t="n"/>
      <c r="B433" s="5" t="n"/>
      <c r="C433" s="5" t="n"/>
      <c r="D433" s="32" t="n"/>
      <c r="E433" s="32" t="n"/>
      <c r="F433" s="33">
        <f>IF(D433="","",D433+KaziEk)</f>
        <v/>
      </c>
      <c r="G433" s="33">
        <f>IF(E433="","",E433+KaziEk)</f>
        <v/>
      </c>
      <c r="H433" s="34">
        <f>IF(OR(F433="",G433=""),"",(F433+G433)/2)</f>
        <v/>
      </c>
      <c r="I433" s="20" t="n"/>
      <c r="J433" s="21">
        <f>IF(OR(H433="",I433=""),"",IF(H433&gt;=IksaH,2*H433*I433,0))</f>
        <v/>
      </c>
      <c r="K433" s="21">
        <f>IF(OR(H433="",I433=""),"",HendekB*H433*I433)</f>
        <v/>
      </c>
      <c r="L433" s="5" t="n"/>
    </row>
    <row r="434">
      <c r="A434" s="5" t="n"/>
      <c r="B434" s="5" t="n"/>
      <c r="C434" s="5" t="n"/>
      <c r="D434" s="32" t="n"/>
      <c r="E434" s="32" t="n"/>
      <c r="F434" s="33">
        <f>IF(D434="","",D434+KaziEk)</f>
        <v/>
      </c>
      <c r="G434" s="33">
        <f>IF(E434="","",E434+KaziEk)</f>
        <v/>
      </c>
      <c r="H434" s="34">
        <f>IF(OR(F434="",G434=""),"",(F434+G434)/2)</f>
        <v/>
      </c>
      <c r="I434" s="20" t="n"/>
      <c r="J434" s="21">
        <f>IF(OR(H434="",I434=""),"",IF(H434&gt;=IksaH,2*H434*I434,0))</f>
        <v/>
      </c>
      <c r="K434" s="21">
        <f>IF(OR(H434="",I434=""),"",HendekB*H434*I434)</f>
        <v/>
      </c>
      <c r="L434" s="5" t="n"/>
    </row>
    <row r="435">
      <c r="A435" s="5" t="n"/>
      <c r="B435" s="5" t="n"/>
      <c r="C435" s="5" t="n"/>
      <c r="D435" s="32" t="n"/>
      <c r="E435" s="32" t="n"/>
      <c r="F435" s="33">
        <f>IF(D435="","",D435+KaziEk)</f>
        <v/>
      </c>
      <c r="G435" s="33">
        <f>IF(E435="","",E435+KaziEk)</f>
        <v/>
      </c>
      <c r="H435" s="34">
        <f>IF(OR(F435="",G435=""),"",(F435+G435)/2)</f>
        <v/>
      </c>
      <c r="I435" s="20" t="n"/>
      <c r="J435" s="21">
        <f>IF(OR(H435="",I435=""),"",IF(H435&gt;=IksaH,2*H435*I435,0))</f>
        <v/>
      </c>
      <c r="K435" s="21">
        <f>IF(OR(H435="",I435=""),"",HendekB*H435*I435)</f>
        <v/>
      </c>
      <c r="L435" s="5" t="n"/>
    </row>
    <row r="436">
      <c r="A436" s="5" t="n"/>
      <c r="B436" s="5" t="n"/>
      <c r="C436" s="5" t="n"/>
      <c r="D436" s="32" t="n"/>
      <c r="E436" s="32" t="n"/>
      <c r="F436" s="33">
        <f>IF(D436="","",D436+KaziEk)</f>
        <v/>
      </c>
      <c r="G436" s="33">
        <f>IF(E436="","",E436+KaziEk)</f>
        <v/>
      </c>
      <c r="H436" s="34">
        <f>IF(OR(F436="",G436=""),"",(F436+G436)/2)</f>
        <v/>
      </c>
      <c r="I436" s="20" t="n"/>
      <c r="J436" s="21">
        <f>IF(OR(H436="",I436=""),"",IF(H436&gt;=IksaH,2*H436*I436,0))</f>
        <v/>
      </c>
      <c r="K436" s="21">
        <f>IF(OR(H436="",I436=""),"",HendekB*H436*I436)</f>
        <v/>
      </c>
      <c r="L436" s="5" t="n"/>
    </row>
    <row r="437">
      <c r="A437" s="5" t="n"/>
      <c r="B437" s="5" t="n"/>
      <c r="C437" s="5" t="n"/>
      <c r="D437" s="32" t="n"/>
      <c r="E437" s="32" t="n"/>
      <c r="F437" s="33">
        <f>IF(D437="","",D437+KaziEk)</f>
        <v/>
      </c>
      <c r="G437" s="33">
        <f>IF(E437="","",E437+KaziEk)</f>
        <v/>
      </c>
      <c r="H437" s="34">
        <f>IF(OR(F437="",G437=""),"",(F437+G437)/2)</f>
        <v/>
      </c>
      <c r="I437" s="20" t="n"/>
      <c r="J437" s="21">
        <f>IF(OR(H437="",I437=""),"",IF(H437&gt;=IksaH,2*H437*I437,0))</f>
        <v/>
      </c>
      <c r="K437" s="21">
        <f>IF(OR(H437="",I437=""),"",HendekB*H437*I437)</f>
        <v/>
      </c>
      <c r="L437" s="5" t="n"/>
    </row>
    <row r="438">
      <c r="A438" s="5" t="n"/>
      <c r="B438" s="5" t="n"/>
      <c r="C438" s="5" t="n"/>
      <c r="D438" s="32" t="n"/>
      <c r="E438" s="32" t="n"/>
      <c r="F438" s="33">
        <f>IF(D438="","",D438+KaziEk)</f>
        <v/>
      </c>
      <c r="G438" s="33">
        <f>IF(E438="","",E438+KaziEk)</f>
        <v/>
      </c>
      <c r="H438" s="34">
        <f>IF(OR(F438="",G438=""),"",(F438+G438)/2)</f>
        <v/>
      </c>
      <c r="I438" s="20" t="n"/>
      <c r="J438" s="21">
        <f>IF(OR(H438="",I438=""),"",IF(H438&gt;=IksaH,2*H438*I438,0))</f>
        <v/>
      </c>
      <c r="K438" s="21">
        <f>IF(OR(H438="",I438=""),"",HendekB*H438*I438)</f>
        <v/>
      </c>
      <c r="L438" s="5" t="n"/>
    </row>
    <row r="439">
      <c r="A439" s="5" t="n"/>
      <c r="B439" s="5" t="n"/>
      <c r="C439" s="5" t="n"/>
      <c r="D439" s="32" t="n"/>
      <c r="E439" s="32" t="n"/>
      <c r="F439" s="33">
        <f>IF(D439="","",D439+KaziEk)</f>
        <v/>
      </c>
      <c r="G439" s="33">
        <f>IF(E439="","",E439+KaziEk)</f>
        <v/>
      </c>
      <c r="H439" s="34">
        <f>IF(OR(F439="",G439=""),"",(F439+G439)/2)</f>
        <v/>
      </c>
      <c r="I439" s="20" t="n"/>
      <c r="J439" s="21">
        <f>IF(OR(H439="",I439=""),"",IF(H439&gt;=IksaH,2*H439*I439,0))</f>
        <v/>
      </c>
      <c r="K439" s="21">
        <f>IF(OR(H439="",I439=""),"",HendekB*H439*I439)</f>
        <v/>
      </c>
      <c r="L439" s="5" t="n"/>
    </row>
    <row r="440">
      <c r="A440" s="5" t="n"/>
      <c r="B440" s="5" t="n"/>
      <c r="C440" s="5" t="n"/>
      <c r="D440" s="32" t="n"/>
      <c r="E440" s="32" t="n"/>
      <c r="F440" s="33">
        <f>IF(D440="","",D440+KaziEk)</f>
        <v/>
      </c>
      <c r="G440" s="33">
        <f>IF(E440="","",E440+KaziEk)</f>
        <v/>
      </c>
      <c r="H440" s="34">
        <f>IF(OR(F440="",G440=""),"",(F440+G440)/2)</f>
        <v/>
      </c>
      <c r="I440" s="20" t="n"/>
      <c r="J440" s="21">
        <f>IF(OR(H440="",I440=""),"",IF(H440&gt;=IksaH,2*H440*I440,0))</f>
        <v/>
      </c>
      <c r="K440" s="21">
        <f>IF(OR(H440="",I440=""),"",HendekB*H440*I440)</f>
        <v/>
      </c>
      <c r="L440" s="5" t="n"/>
    </row>
    <row r="441">
      <c r="A441" s="5" t="n"/>
      <c r="B441" s="5" t="n"/>
      <c r="C441" s="5" t="n"/>
      <c r="D441" s="32" t="n"/>
      <c r="E441" s="32" t="n"/>
      <c r="F441" s="33">
        <f>IF(D441="","",D441+KaziEk)</f>
        <v/>
      </c>
      <c r="G441" s="33">
        <f>IF(E441="","",E441+KaziEk)</f>
        <v/>
      </c>
      <c r="H441" s="34">
        <f>IF(OR(F441="",G441=""),"",(F441+G441)/2)</f>
        <v/>
      </c>
      <c r="I441" s="20" t="n"/>
      <c r="J441" s="21">
        <f>IF(OR(H441="",I441=""),"",IF(H441&gt;=IksaH,2*H441*I441,0))</f>
        <v/>
      </c>
      <c r="K441" s="21">
        <f>IF(OR(H441="",I441=""),"",HendekB*H441*I441)</f>
        <v/>
      </c>
      <c r="L441" s="5" t="n"/>
    </row>
    <row r="442">
      <c r="A442" s="5" t="n"/>
      <c r="B442" s="5" t="n"/>
      <c r="C442" s="5" t="n"/>
      <c r="D442" s="32" t="n"/>
      <c r="E442" s="32" t="n"/>
      <c r="F442" s="33">
        <f>IF(D442="","",D442+KaziEk)</f>
        <v/>
      </c>
      <c r="G442" s="33">
        <f>IF(E442="","",E442+KaziEk)</f>
        <v/>
      </c>
      <c r="H442" s="34">
        <f>IF(OR(F442="",G442=""),"",(F442+G442)/2)</f>
        <v/>
      </c>
      <c r="I442" s="20" t="n"/>
      <c r="J442" s="21">
        <f>IF(OR(H442="",I442=""),"",IF(H442&gt;=IksaH,2*H442*I442,0))</f>
        <v/>
      </c>
      <c r="K442" s="21">
        <f>IF(OR(H442="",I442=""),"",HendekB*H442*I442)</f>
        <v/>
      </c>
      <c r="L442" s="5" t="n"/>
    </row>
    <row r="443">
      <c r="A443" s="5" t="n"/>
      <c r="B443" s="5" t="n"/>
      <c r="C443" s="5" t="n"/>
      <c r="D443" s="32" t="n"/>
      <c r="E443" s="32" t="n"/>
      <c r="F443" s="33">
        <f>IF(D443="","",D443+KaziEk)</f>
        <v/>
      </c>
      <c r="G443" s="33">
        <f>IF(E443="","",E443+KaziEk)</f>
        <v/>
      </c>
      <c r="H443" s="34">
        <f>IF(OR(F443="",G443=""),"",(F443+G443)/2)</f>
        <v/>
      </c>
      <c r="I443" s="20" t="n"/>
      <c r="J443" s="21">
        <f>IF(OR(H443="",I443=""),"",IF(H443&gt;=IksaH,2*H443*I443,0))</f>
        <v/>
      </c>
      <c r="K443" s="21">
        <f>IF(OR(H443="",I443=""),"",HendekB*H443*I443)</f>
        <v/>
      </c>
      <c r="L443" s="5" t="n"/>
    </row>
    <row r="444">
      <c r="A444" s="5" t="n"/>
      <c r="B444" s="5" t="n"/>
      <c r="C444" s="5" t="n"/>
      <c r="D444" s="32" t="n"/>
      <c r="E444" s="32" t="n"/>
      <c r="F444" s="33">
        <f>IF(D444="","",D444+KaziEk)</f>
        <v/>
      </c>
      <c r="G444" s="33">
        <f>IF(E444="","",E444+KaziEk)</f>
        <v/>
      </c>
      <c r="H444" s="34">
        <f>IF(OR(F444="",G444=""),"",(F444+G444)/2)</f>
        <v/>
      </c>
      <c r="I444" s="20" t="n"/>
      <c r="J444" s="21">
        <f>IF(OR(H444="",I444=""),"",IF(H444&gt;=IksaH,2*H444*I444,0))</f>
        <v/>
      </c>
      <c r="K444" s="21">
        <f>IF(OR(H444="",I444=""),"",HendekB*H444*I444)</f>
        <v/>
      </c>
      <c r="L444" s="5" t="n"/>
    </row>
    <row r="445">
      <c r="A445" s="5" t="n"/>
      <c r="B445" s="5" t="n"/>
      <c r="C445" s="5" t="n"/>
      <c r="D445" s="32" t="n"/>
      <c r="E445" s="32" t="n"/>
      <c r="F445" s="33">
        <f>IF(D445="","",D445+KaziEk)</f>
        <v/>
      </c>
      <c r="G445" s="33">
        <f>IF(E445="","",E445+KaziEk)</f>
        <v/>
      </c>
      <c r="H445" s="34">
        <f>IF(OR(F445="",G445=""),"",(F445+G445)/2)</f>
        <v/>
      </c>
      <c r="I445" s="20" t="n"/>
      <c r="J445" s="21">
        <f>IF(OR(H445="",I445=""),"",IF(H445&gt;=IksaH,2*H445*I445,0))</f>
        <v/>
      </c>
      <c r="K445" s="21">
        <f>IF(OR(H445="",I445=""),"",HendekB*H445*I445)</f>
        <v/>
      </c>
      <c r="L445" s="5" t="n"/>
    </row>
    <row r="446">
      <c r="A446" s="5" t="n"/>
      <c r="B446" s="5" t="n"/>
      <c r="C446" s="5" t="n"/>
      <c r="D446" s="32" t="n"/>
      <c r="E446" s="32" t="n"/>
      <c r="F446" s="33">
        <f>IF(D446="","",D446+KaziEk)</f>
        <v/>
      </c>
      <c r="G446" s="33">
        <f>IF(E446="","",E446+KaziEk)</f>
        <v/>
      </c>
      <c r="H446" s="34">
        <f>IF(OR(F446="",G446=""),"",(F446+G446)/2)</f>
        <v/>
      </c>
      <c r="I446" s="20" t="n"/>
      <c r="J446" s="21">
        <f>IF(OR(H446="",I446=""),"",IF(H446&gt;=IksaH,2*H446*I446,0))</f>
        <v/>
      </c>
      <c r="K446" s="21">
        <f>IF(OR(H446="",I446=""),"",HendekB*H446*I446)</f>
        <v/>
      </c>
      <c r="L446" s="5" t="n"/>
    </row>
    <row r="447">
      <c r="A447" s="5" t="n"/>
      <c r="B447" s="5" t="n"/>
      <c r="C447" s="5" t="n"/>
      <c r="D447" s="32" t="n"/>
      <c r="E447" s="32" t="n"/>
      <c r="F447" s="33">
        <f>IF(D447="","",D447+KaziEk)</f>
        <v/>
      </c>
      <c r="G447" s="33">
        <f>IF(E447="","",E447+KaziEk)</f>
        <v/>
      </c>
      <c r="H447" s="34">
        <f>IF(OR(F447="",G447=""),"",(F447+G447)/2)</f>
        <v/>
      </c>
      <c r="I447" s="20" t="n"/>
      <c r="J447" s="21">
        <f>IF(OR(H447="",I447=""),"",IF(H447&gt;=IksaH,2*H447*I447,0))</f>
        <v/>
      </c>
      <c r="K447" s="21">
        <f>IF(OR(H447="",I447=""),"",HendekB*H447*I447)</f>
        <v/>
      </c>
      <c r="L447" s="5" t="n"/>
    </row>
    <row r="448">
      <c r="A448" s="5" t="n"/>
      <c r="B448" s="5" t="n"/>
      <c r="C448" s="5" t="n"/>
      <c r="D448" s="32" t="n"/>
      <c r="E448" s="32" t="n"/>
      <c r="F448" s="33">
        <f>IF(D448="","",D448+KaziEk)</f>
        <v/>
      </c>
      <c r="G448" s="33">
        <f>IF(E448="","",E448+KaziEk)</f>
        <v/>
      </c>
      <c r="H448" s="34">
        <f>IF(OR(F448="",G448=""),"",(F448+G448)/2)</f>
        <v/>
      </c>
      <c r="I448" s="20" t="n"/>
      <c r="J448" s="21">
        <f>IF(OR(H448="",I448=""),"",IF(H448&gt;=IksaH,2*H448*I448,0))</f>
        <v/>
      </c>
      <c r="K448" s="21">
        <f>IF(OR(H448="",I448=""),"",HendekB*H448*I448)</f>
        <v/>
      </c>
      <c r="L448" s="5" t="n"/>
    </row>
    <row r="449">
      <c r="A449" s="5" t="n"/>
      <c r="B449" s="5" t="n"/>
      <c r="C449" s="5" t="n"/>
      <c r="D449" s="32" t="n"/>
      <c r="E449" s="32" t="n"/>
      <c r="F449" s="33">
        <f>IF(D449="","",D449+KaziEk)</f>
        <v/>
      </c>
      <c r="G449" s="33">
        <f>IF(E449="","",E449+KaziEk)</f>
        <v/>
      </c>
      <c r="H449" s="34">
        <f>IF(OR(F449="",G449=""),"",(F449+G449)/2)</f>
        <v/>
      </c>
      <c r="I449" s="20" t="n"/>
      <c r="J449" s="21">
        <f>IF(OR(H449="",I449=""),"",IF(H449&gt;=IksaH,2*H449*I449,0))</f>
        <v/>
      </c>
      <c r="K449" s="21">
        <f>IF(OR(H449="",I449=""),"",HendekB*H449*I449)</f>
        <v/>
      </c>
      <c r="L449" s="5" t="n"/>
    </row>
    <row r="450">
      <c r="A450" s="5" t="n"/>
      <c r="B450" s="5" t="n"/>
      <c r="C450" s="5" t="n"/>
      <c r="D450" s="32" t="n"/>
      <c r="E450" s="32" t="n"/>
      <c r="F450" s="33">
        <f>IF(D450="","",D450+KaziEk)</f>
        <v/>
      </c>
      <c r="G450" s="33">
        <f>IF(E450="","",E450+KaziEk)</f>
        <v/>
      </c>
      <c r="H450" s="34">
        <f>IF(OR(F450="",G450=""),"",(F450+G450)/2)</f>
        <v/>
      </c>
      <c r="I450" s="20" t="n"/>
      <c r="J450" s="21">
        <f>IF(OR(H450="",I450=""),"",IF(H450&gt;=IksaH,2*H450*I450,0))</f>
        <v/>
      </c>
      <c r="K450" s="21">
        <f>IF(OR(H450="",I450=""),"",HendekB*H450*I450)</f>
        <v/>
      </c>
      <c r="L450" s="5" t="n"/>
    </row>
    <row r="451">
      <c r="A451" s="5" t="n"/>
      <c r="B451" s="5" t="n"/>
      <c r="C451" s="5" t="n"/>
      <c r="D451" s="32" t="n"/>
      <c r="E451" s="32" t="n"/>
      <c r="F451" s="33">
        <f>IF(D451="","",D451+KaziEk)</f>
        <v/>
      </c>
      <c r="G451" s="33">
        <f>IF(E451="","",E451+KaziEk)</f>
        <v/>
      </c>
      <c r="H451" s="34">
        <f>IF(OR(F451="",G451=""),"",(F451+G451)/2)</f>
        <v/>
      </c>
      <c r="I451" s="20" t="n"/>
      <c r="J451" s="21">
        <f>IF(OR(H451="",I451=""),"",IF(H451&gt;=IksaH,2*H451*I451,0))</f>
        <v/>
      </c>
      <c r="K451" s="21">
        <f>IF(OR(H451="",I451=""),"",HendekB*H451*I451)</f>
        <v/>
      </c>
      <c r="L451" s="5" t="n"/>
    </row>
    <row r="452">
      <c r="A452" s="5" t="n"/>
      <c r="B452" s="5" t="n"/>
      <c r="C452" s="5" t="n"/>
      <c r="D452" s="32" t="n"/>
      <c r="E452" s="32" t="n"/>
      <c r="F452" s="33">
        <f>IF(D452="","",D452+KaziEk)</f>
        <v/>
      </c>
      <c r="G452" s="33">
        <f>IF(E452="","",E452+KaziEk)</f>
        <v/>
      </c>
      <c r="H452" s="34">
        <f>IF(OR(F452="",G452=""),"",(F452+G452)/2)</f>
        <v/>
      </c>
      <c r="I452" s="20" t="n"/>
      <c r="J452" s="21">
        <f>IF(OR(H452="",I452=""),"",IF(H452&gt;=IksaH,2*H452*I452,0))</f>
        <v/>
      </c>
      <c r="K452" s="21">
        <f>IF(OR(H452="",I452=""),"",HendekB*H452*I452)</f>
        <v/>
      </c>
      <c r="L452" s="5" t="n"/>
    </row>
    <row r="453">
      <c r="A453" s="5" t="n"/>
      <c r="B453" s="5" t="n"/>
      <c r="C453" s="5" t="n"/>
      <c r="D453" s="32" t="n"/>
      <c r="E453" s="32" t="n"/>
      <c r="F453" s="33">
        <f>IF(D453="","",D453+KaziEk)</f>
        <v/>
      </c>
      <c r="G453" s="33">
        <f>IF(E453="","",E453+KaziEk)</f>
        <v/>
      </c>
      <c r="H453" s="34">
        <f>IF(OR(F453="",G453=""),"",(F453+G453)/2)</f>
        <v/>
      </c>
      <c r="I453" s="20" t="n"/>
      <c r="J453" s="21">
        <f>IF(OR(H453="",I453=""),"",IF(H453&gt;=IksaH,2*H453*I453,0))</f>
        <v/>
      </c>
      <c r="K453" s="21">
        <f>IF(OR(H453="",I453=""),"",HendekB*H453*I453)</f>
        <v/>
      </c>
      <c r="L453" s="5" t="n"/>
    </row>
    <row r="454">
      <c r="A454" s="5" t="n"/>
      <c r="B454" s="5" t="n"/>
      <c r="C454" s="5" t="n"/>
      <c r="D454" s="32" t="n"/>
      <c r="E454" s="32" t="n"/>
      <c r="F454" s="33">
        <f>IF(D454="","",D454+KaziEk)</f>
        <v/>
      </c>
      <c r="G454" s="33">
        <f>IF(E454="","",E454+KaziEk)</f>
        <v/>
      </c>
      <c r="H454" s="34">
        <f>IF(OR(F454="",G454=""),"",(F454+G454)/2)</f>
        <v/>
      </c>
      <c r="I454" s="20" t="n"/>
      <c r="J454" s="21">
        <f>IF(OR(H454="",I454=""),"",IF(H454&gt;=IksaH,2*H454*I454,0))</f>
        <v/>
      </c>
      <c r="K454" s="21">
        <f>IF(OR(H454="",I454=""),"",HendekB*H454*I454)</f>
        <v/>
      </c>
      <c r="L454" s="5" t="n"/>
    </row>
    <row r="455">
      <c r="A455" s="5" t="n"/>
      <c r="B455" s="5" t="n"/>
      <c r="C455" s="5" t="n"/>
      <c r="D455" s="32" t="n"/>
      <c r="E455" s="32" t="n"/>
      <c r="F455" s="33">
        <f>IF(D455="","",D455+KaziEk)</f>
        <v/>
      </c>
      <c r="G455" s="33">
        <f>IF(E455="","",E455+KaziEk)</f>
        <v/>
      </c>
      <c r="H455" s="34">
        <f>IF(OR(F455="",G455=""),"",(F455+G455)/2)</f>
        <v/>
      </c>
      <c r="I455" s="20" t="n"/>
      <c r="J455" s="21">
        <f>IF(OR(H455="",I455=""),"",IF(H455&gt;=IksaH,2*H455*I455,0))</f>
        <v/>
      </c>
      <c r="K455" s="21">
        <f>IF(OR(H455="",I455=""),"",HendekB*H455*I455)</f>
        <v/>
      </c>
      <c r="L455" s="5" t="n"/>
    </row>
    <row r="456">
      <c r="A456" s="5" t="n"/>
      <c r="B456" s="5" t="n"/>
      <c r="C456" s="5" t="n"/>
      <c r="D456" s="32" t="n"/>
      <c r="E456" s="32" t="n"/>
      <c r="F456" s="33">
        <f>IF(D456="","",D456+KaziEk)</f>
        <v/>
      </c>
      <c r="G456" s="33">
        <f>IF(E456="","",E456+KaziEk)</f>
        <v/>
      </c>
      <c r="H456" s="34">
        <f>IF(OR(F456="",G456=""),"",(F456+G456)/2)</f>
        <v/>
      </c>
      <c r="I456" s="20" t="n"/>
      <c r="J456" s="21">
        <f>IF(OR(H456="",I456=""),"",IF(H456&gt;=IksaH,2*H456*I456,0))</f>
        <v/>
      </c>
      <c r="K456" s="21">
        <f>IF(OR(H456="",I456=""),"",HendekB*H456*I456)</f>
        <v/>
      </c>
      <c r="L456" s="5" t="n"/>
    </row>
    <row r="457">
      <c r="A457" s="5" t="n"/>
      <c r="B457" s="5" t="n"/>
      <c r="C457" s="5" t="n"/>
      <c r="D457" s="32" t="n"/>
      <c r="E457" s="32" t="n"/>
      <c r="F457" s="33">
        <f>IF(D457="","",D457+KaziEk)</f>
        <v/>
      </c>
      <c r="G457" s="33">
        <f>IF(E457="","",E457+KaziEk)</f>
        <v/>
      </c>
      <c r="H457" s="34">
        <f>IF(OR(F457="",G457=""),"",(F457+G457)/2)</f>
        <v/>
      </c>
      <c r="I457" s="20" t="n"/>
      <c r="J457" s="21">
        <f>IF(OR(H457="",I457=""),"",IF(H457&gt;=IksaH,2*H457*I457,0))</f>
        <v/>
      </c>
      <c r="K457" s="21">
        <f>IF(OR(H457="",I457=""),"",HendekB*H457*I457)</f>
        <v/>
      </c>
      <c r="L457" s="5" t="n"/>
    </row>
    <row r="458">
      <c r="A458" s="5" t="n"/>
      <c r="B458" s="5" t="n"/>
      <c r="C458" s="5" t="n"/>
      <c r="D458" s="32" t="n"/>
      <c r="E458" s="32" t="n"/>
      <c r="F458" s="33">
        <f>IF(D458="","",D458+KaziEk)</f>
        <v/>
      </c>
      <c r="G458" s="33">
        <f>IF(E458="","",E458+KaziEk)</f>
        <v/>
      </c>
      <c r="H458" s="34">
        <f>IF(OR(F458="",G458=""),"",(F458+G458)/2)</f>
        <v/>
      </c>
      <c r="I458" s="20" t="n"/>
      <c r="J458" s="21">
        <f>IF(OR(H458="",I458=""),"",IF(H458&gt;=IksaH,2*H458*I458,0))</f>
        <v/>
      </c>
      <c r="K458" s="21">
        <f>IF(OR(H458="",I458=""),"",HendekB*H458*I458)</f>
        <v/>
      </c>
      <c r="L458" s="5" t="n"/>
    </row>
    <row r="459">
      <c r="A459" s="5" t="n"/>
      <c r="B459" s="5" t="n"/>
      <c r="C459" s="5" t="n"/>
      <c r="D459" s="32" t="n"/>
      <c r="E459" s="32" t="n"/>
      <c r="F459" s="33">
        <f>IF(D459="","",D459+KaziEk)</f>
        <v/>
      </c>
      <c r="G459" s="33">
        <f>IF(E459="","",E459+KaziEk)</f>
        <v/>
      </c>
      <c r="H459" s="34">
        <f>IF(OR(F459="",G459=""),"",(F459+G459)/2)</f>
        <v/>
      </c>
      <c r="I459" s="20" t="n"/>
      <c r="J459" s="21">
        <f>IF(OR(H459="",I459=""),"",IF(H459&gt;=IksaH,2*H459*I459,0))</f>
        <v/>
      </c>
      <c r="K459" s="21">
        <f>IF(OR(H459="",I459=""),"",HendekB*H459*I459)</f>
        <v/>
      </c>
      <c r="L459" s="5" t="n"/>
    </row>
    <row r="460">
      <c r="A460" s="5" t="n"/>
      <c r="B460" s="5" t="n"/>
      <c r="C460" s="5" t="n"/>
      <c r="D460" s="32" t="n"/>
      <c r="E460" s="32" t="n"/>
      <c r="F460" s="33">
        <f>IF(D460="","",D460+KaziEk)</f>
        <v/>
      </c>
      <c r="G460" s="33">
        <f>IF(E460="","",E460+KaziEk)</f>
        <v/>
      </c>
      <c r="H460" s="34">
        <f>IF(OR(F460="",G460=""),"",(F460+G460)/2)</f>
        <v/>
      </c>
      <c r="I460" s="20" t="n"/>
      <c r="J460" s="21">
        <f>IF(OR(H460="",I460=""),"",IF(H460&gt;=IksaH,2*H460*I460,0))</f>
        <v/>
      </c>
      <c r="K460" s="21">
        <f>IF(OR(H460="",I460=""),"",HendekB*H460*I460)</f>
        <v/>
      </c>
      <c r="L460" s="5" t="n"/>
    </row>
    <row r="461">
      <c r="A461" s="5" t="n"/>
      <c r="B461" s="5" t="n"/>
      <c r="C461" s="5" t="n"/>
      <c r="D461" s="32" t="n"/>
      <c r="E461" s="32" t="n"/>
      <c r="F461" s="33">
        <f>IF(D461="","",D461+KaziEk)</f>
        <v/>
      </c>
      <c r="G461" s="33">
        <f>IF(E461="","",E461+KaziEk)</f>
        <v/>
      </c>
      <c r="H461" s="34">
        <f>IF(OR(F461="",G461=""),"",(F461+G461)/2)</f>
        <v/>
      </c>
      <c r="I461" s="20" t="n"/>
      <c r="J461" s="21">
        <f>IF(OR(H461="",I461=""),"",IF(H461&gt;=IksaH,2*H461*I461,0))</f>
        <v/>
      </c>
      <c r="K461" s="21">
        <f>IF(OR(H461="",I461=""),"",HendekB*H461*I461)</f>
        <v/>
      </c>
      <c r="L461" s="5" t="n"/>
    </row>
    <row r="462">
      <c r="A462" s="5" t="n"/>
      <c r="B462" s="5" t="n"/>
      <c r="C462" s="5" t="n"/>
      <c r="D462" s="32" t="n"/>
      <c r="E462" s="32" t="n"/>
      <c r="F462" s="33">
        <f>IF(D462="","",D462+KaziEk)</f>
        <v/>
      </c>
      <c r="G462" s="33">
        <f>IF(E462="","",E462+KaziEk)</f>
        <v/>
      </c>
      <c r="H462" s="34">
        <f>IF(OR(F462="",G462=""),"",(F462+G462)/2)</f>
        <v/>
      </c>
      <c r="I462" s="20" t="n"/>
      <c r="J462" s="21">
        <f>IF(OR(H462="",I462=""),"",IF(H462&gt;=IksaH,2*H462*I462,0))</f>
        <v/>
      </c>
      <c r="K462" s="21">
        <f>IF(OR(H462="",I462=""),"",HendekB*H462*I462)</f>
        <v/>
      </c>
      <c r="L462" s="5" t="n"/>
    </row>
    <row r="463">
      <c r="A463" s="5" t="n"/>
      <c r="B463" s="5" t="n"/>
      <c r="C463" s="5" t="n"/>
      <c r="D463" s="32" t="n"/>
      <c r="E463" s="32" t="n"/>
      <c r="F463" s="33">
        <f>IF(D463="","",D463+KaziEk)</f>
        <v/>
      </c>
      <c r="G463" s="33">
        <f>IF(E463="","",E463+KaziEk)</f>
        <v/>
      </c>
      <c r="H463" s="34">
        <f>IF(OR(F463="",G463=""),"",(F463+G463)/2)</f>
        <v/>
      </c>
      <c r="I463" s="20" t="n"/>
      <c r="J463" s="21">
        <f>IF(OR(H463="",I463=""),"",IF(H463&gt;=IksaH,2*H463*I463,0))</f>
        <v/>
      </c>
      <c r="K463" s="21">
        <f>IF(OR(H463="",I463=""),"",HendekB*H463*I463)</f>
        <v/>
      </c>
      <c r="L463" s="5" t="n"/>
    </row>
    <row r="464">
      <c r="A464" s="5" t="n"/>
      <c r="B464" s="5" t="n"/>
      <c r="C464" s="5" t="n"/>
      <c r="D464" s="32" t="n"/>
      <c r="E464" s="32" t="n"/>
      <c r="F464" s="33">
        <f>IF(D464="","",D464+KaziEk)</f>
        <v/>
      </c>
      <c r="G464" s="33">
        <f>IF(E464="","",E464+KaziEk)</f>
        <v/>
      </c>
      <c r="H464" s="34">
        <f>IF(OR(F464="",G464=""),"",(F464+G464)/2)</f>
        <v/>
      </c>
      <c r="I464" s="20" t="n"/>
      <c r="J464" s="21">
        <f>IF(OR(H464="",I464=""),"",IF(H464&gt;=IksaH,2*H464*I464,0))</f>
        <v/>
      </c>
      <c r="K464" s="21">
        <f>IF(OR(H464="",I464=""),"",HendekB*H464*I464)</f>
        <v/>
      </c>
      <c r="L464" s="5" t="n"/>
    </row>
    <row r="465">
      <c r="A465" s="5" t="n"/>
      <c r="B465" s="5" t="n"/>
      <c r="C465" s="5" t="n"/>
      <c r="D465" s="32" t="n"/>
      <c r="E465" s="32" t="n"/>
      <c r="F465" s="33">
        <f>IF(D465="","",D465+KaziEk)</f>
        <v/>
      </c>
      <c r="G465" s="33">
        <f>IF(E465="","",E465+KaziEk)</f>
        <v/>
      </c>
      <c r="H465" s="34">
        <f>IF(OR(F465="",G465=""),"",(F465+G465)/2)</f>
        <v/>
      </c>
      <c r="I465" s="20" t="n"/>
      <c r="J465" s="21">
        <f>IF(OR(H465="",I465=""),"",IF(H465&gt;=IksaH,2*H465*I465,0))</f>
        <v/>
      </c>
      <c r="K465" s="21">
        <f>IF(OR(H465="",I465=""),"",HendekB*H465*I465)</f>
        <v/>
      </c>
      <c r="L465" s="5" t="n"/>
    </row>
    <row r="466">
      <c r="A466" s="5" t="n"/>
      <c r="B466" s="5" t="n"/>
      <c r="C466" s="5" t="n"/>
      <c r="D466" s="32" t="n"/>
      <c r="E466" s="32" t="n"/>
      <c r="F466" s="33">
        <f>IF(D466="","",D466+KaziEk)</f>
        <v/>
      </c>
      <c r="G466" s="33">
        <f>IF(E466="","",E466+KaziEk)</f>
        <v/>
      </c>
      <c r="H466" s="34">
        <f>IF(OR(F466="",G466=""),"",(F466+G466)/2)</f>
        <v/>
      </c>
      <c r="I466" s="20" t="n"/>
      <c r="J466" s="21">
        <f>IF(OR(H466="",I466=""),"",IF(H466&gt;=IksaH,2*H466*I466,0))</f>
        <v/>
      </c>
      <c r="K466" s="21">
        <f>IF(OR(H466="",I466=""),"",HendekB*H466*I466)</f>
        <v/>
      </c>
      <c r="L466" s="5" t="n"/>
    </row>
    <row r="467">
      <c r="A467" s="5" t="n"/>
      <c r="B467" s="5" t="n"/>
      <c r="C467" s="5" t="n"/>
      <c r="D467" s="32" t="n"/>
      <c r="E467" s="32" t="n"/>
      <c r="F467" s="33">
        <f>IF(D467="","",D467+KaziEk)</f>
        <v/>
      </c>
      <c r="G467" s="33">
        <f>IF(E467="","",E467+KaziEk)</f>
        <v/>
      </c>
      <c r="H467" s="34">
        <f>IF(OR(F467="",G467=""),"",(F467+G467)/2)</f>
        <v/>
      </c>
      <c r="I467" s="20" t="n"/>
      <c r="J467" s="21">
        <f>IF(OR(H467="",I467=""),"",IF(H467&gt;=IksaH,2*H467*I467,0))</f>
        <v/>
      </c>
      <c r="K467" s="21">
        <f>IF(OR(H467="",I467=""),"",HendekB*H467*I467)</f>
        <v/>
      </c>
      <c r="L467" s="5" t="n"/>
    </row>
    <row r="468">
      <c r="A468" s="5" t="n"/>
      <c r="B468" s="5" t="n"/>
      <c r="C468" s="5" t="n"/>
      <c r="D468" s="32" t="n"/>
      <c r="E468" s="32" t="n"/>
      <c r="F468" s="33">
        <f>IF(D468="","",D468+KaziEk)</f>
        <v/>
      </c>
      <c r="G468" s="33">
        <f>IF(E468="","",E468+KaziEk)</f>
        <v/>
      </c>
      <c r="H468" s="34">
        <f>IF(OR(F468="",G468=""),"",(F468+G468)/2)</f>
        <v/>
      </c>
      <c r="I468" s="20" t="n"/>
      <c r="J468" s="21">
        <f>IF(OR(H468="",I468=""),"",IF(H468&gt;=IksaH,2*H468*I468,0))</f>
        <v/>
      </c>
      <c r="K468" s="21">
        <f>IF(OR(H468="",I468=""),"",HendekB*H468*I468)</f>
        <v/>
      </c>
      <c r="L468" s="5" t="n"/>
    </row>
    <row r="469">
      <c r="A469" s="5" t="n"/>
      <c r="B469" s="5" t="n"/>
      <c r="C469" s="5" t="n"/>
      <c r="D469" s="32" t="n"/>
      <c r="E469" s="32" t="n"/>
      <c r="F469" s="33">
        <f>IF(D469="","",D469+KaziEk)</f>
        <v/>
      </c>
      <c r="G469" s="33">
        <f>IF(E469="","",E469+KaziEk)</f>
        <v/>
      </c>
      <c r="H469" s="34">
        <f>IF(OR(F469="",G469=""),"",(F469+G469)/2)</f>
        <v/>
      </c>
      <c r="I469" s="20" t="n"/>
      <c r="J469" s="21">
        <f>IF(OR(H469="",I469=""),"",IF(H469&gt;=IksaH,2*H469*I469,0))</f>
        <v/>
      </c>
      <c r="K469" s="21">
        <f>IF(OR(H469="",I469=""),"",HendekB*H469*I469)</f>
        <v/>
      </c>
      <c r="L469" s="5" t="n"/>
    </row>
    <row r="470">
      <c r="A470" s="5" t="n"/>
      <c r="B470" s="5" t="n"/>
      <c r="C470" s="5" t="n"/>
      <c r="D470" s="32" t="n"/>
      <c r="E470" s="32" t="n"/>
      <c r="F470" s="33">
        <f>IF(D470="","",D470+KaziEk)</f>
        <v/>
      </c>
      <c r="G470" s="33">
        <f>IF(E470="","",E470+KaziEk)</f>
        <v/>
      </c>
      <c r="H470" s="34">
        <f>IF(OR(F470="",G470=""),"",(F470+G470)/2)</f>
        <v/>
      </c>
      <c r="I470" s="20" t="n"/>
      <c r="J470" s="21">
        <f>IF(OR(H470="",I470=""),"",IF(H470&gt;=IksaH,2*H470*I470,0))</f>
        <v/>
      </c>
      <c r="K470" s="21">
        <f>IF(OR(H470="",I470=""),"",HendekB*H470*I470)</f>
        <v/>
      </c>
      <c r="L470" s="5" t="n"/>
    </row>
    <row r="471">
      <c r="A471" s="5" t="n"/>
      <c r="B471" s="5" t="n"/>
      <c r="C471" s="5" t="n"/>
      <c r="D471" s="32" t="n"/>
      <c r="E471" s="32" t="n"/>
      <c r="F471" s="33">
        <f>IF(D471="","",D471+KaziEk)</f>
        <v/>
      </c>
      <c r="G471" s="33">
        <f>IF(E471="","",E471+KaziEk)</f>
        <v/>
      </c>
      <c r="H471" s="34">
        <f>IF(OR(F471="",G471=""),"",(F471+G471)/2)</f>
        <v/>
      </c>
      <c r="I471" s="20" t="n"/>
      <c r="J471" s="21">
        <f>IF(OR(H471="",I471=""),"",IF(H471&gt;=IksaH,2*H471*I471,0))</f>
        <v/>
      </c>
      <c r="K471" s="21">
        <f>IF(OR(H471="",I471=""),"",HendekB*H471*I471)</f>
        <v/>
      </c>
      <c r="L471" s="5" t="n"/>
    </row>
    <row r="472">
      <c r="A472" s="5" t="n"/>
      <c r="B472" s="5" t="n"/>
      <c r="C472" s="5" t="n"/>
      <c r="D472" s="32" t="n"/>
      <c r="E472" s="32" t="n"/>
      <c r="F472" s="33">
        <f>IF(D472="","",D472+KaziEk)</f>
        <v/>
      </c>
      <c r="G472" s="33">
        <f>IF(E472="","",E472+KaziEk)</f>
        <v/>
      </c>
      <c r="H472" s="34">
        <f>IF(OR(F472="",G472=""),"",(F472+G472)/2)</f>
        <v/>
      </c>
      <c r="I472" s="20" t="n"/>
      <c r="J472" s="21">
        <f>IF(OR(H472="",I472=""),"",IF(H472&gt;=IksaH,2*H472*I472,0))</f>
        <v/>
      </c>
      <c r="K472" s="21">
        <f>IF(OR(H472="",I472=""),"",HendekB*H472*I472)</f>
        <v/>
      </c>
      <c r="L472" s="5" t="n"/>
    </row>
    <row r="473">
      <c r="A473" s="5" t="n"/>
      <c r="B473" s="5" t="n"/>
      <c r="C473" s="5" t="n"/>
      <c r="D473" s="32" t="n"/>
      <c r="E473" s="32" t="n"/>
      <c r="F473" s="33">
        <f>IF(D473="","",D473+KaziEk)</f>
        <v/>
      </c>
      <c r="G473" s="33">
        <f>IF(E473="","",E473+KaziEk)</f>
        <v/>
      </c>
      <c r="H473" s="34">
        <f>IF(OR(F473="",G473=""),"",(F473+G473)/2)</f>
        <v/>
      </c>
      <c r="I473" s="20" t="n"/>
      <c r="J473" s="21">
        <f>IF(OR(H473="",I473=""),"",IF(H473&gt;=IksaH,2*H473*I473,0))</f>
        <v/>
      </c>
      <c r="K473" s="21">
        <f>IF(OR(H473="",I473=""),"",HendekB*H473*I473)</f>
        <v/>
      </c>
      <c r="L473" s="5" t="n"/>
    </row>
    <row r="474">
      <c r="A474" s="5" t="n"/>
      <c r="B474" s="5" t="n"/>
      <c r="C474" s="5" t="n"/>
      <c r="D474" s="32" t="n"/>
      <c r="E474" s="32" t="n"/>
      <c r="F474" s="33">
        <f>IF(D474="","",D474+KaziEk)</f>
        <v/>
      </c>
      <c r="G474" s="33">
        <f>IF(E474="","",E474+KaziEk)</f>
        <v/>
      </c>
      <c r="H474" s="34">
        <f>IF(OR(F474="",G474=""),"",(F474+G474)/2)</f>
        <v/>
      </c>
      <c r="I474" s="20" t="n"/>
      <c r="J474" s="21">
        <f>IF(OR(H474="",I474=""),"",IF(H474&gt;=IksaH,2*H474*I474,0))</f>
        <v/>
      </c>
      <c r="K474" s="21">
        <f>IF(OR(H474="",I474=""),"",HendekB*H474*I474)</f>
        <v/>
      </c>
      <c r="L474" s="5" t="n"/>
    </row>
    <row r="475">
      <c r="A475" s="5" t="n"/>
      <c r="B475" s="5" t="n"/>
      <c r="C475" s="5" t="n"/>
      <c r="D475" s="32" t="n"/>
      <c r="E475" s="32" t="n"/>
      <c r="F475" s="33">
        <f>IF(D475="","",D475+KaziEk)</f>
        <v/>
      </c>
      <c r="G475" s="33">
        <f>IF(E475="","",E475+KaziEk)</f>
        <v/>
      </c>
      <c r="H475" s="34">
        <f>IF(OR(F475="",G475=""),"",(F475+G475)/2)</f>
        <v/>
      </c>
      <c r="I475" s="20" t="n"/>
      <c r="J475" s="21">
        <f>IF(OR(H475="",I475=""),"",IF(H475&gt;=IksaH,2*H475*I475,0))</f>
        <v/>
      </c>
      <c r="K475" s="21">
        <f>IF(OR(H475="",I475=""),"",HendekB*H475*I475)</f>
        <v/>
      </c>
      <c r="L475" s="5" t="n"/>
    </row>
    <row r="476">
      <c r="A476" s="5" t="n"/>
      <c r="B476" s="5" t="n"/>
      <c r="C476" s="5" t="n"/>
      <c r="D476" s="32" t="n"/>
      <c r="E476" s="32" t="n"/>
      <c r="F476" s="33">
        <f>IF(D476="","",D476+KaziEk)</f>
        <v/>
      </c>
      <c r="G476" s="33">
        <f>IF(E476="","",E476+KaziEk)</f>
        <v/>
      </c>
      <c r="H476" s="34">
        <f>IF(OR(F476="",G476=""),"",(F476+G476)/2)</f>
        <v/>
      </c>
      <c r="I476" s="20" t="n"/>
      <c r="J476" s="21">
        <f>IF(OR(H476="",I476=""),"",IF(H476&gt;=IksaH,2*H476*I476,0))</f>
        <v/>
      </c>
      <c r="K476" s="21">
        <f>IF(OR(H476="",I476=""),"",HendekB*H476*I476)</f>
        <v/>
      </c>
      <c r="L476" s="5" t="n"/>
    </row>
    <row r="477">
      <c r="A477" s="5" t="n"/>
      <c r="B477" s="5" t="n"/>
      <c r="C477" s="5" t="n"/>
      <c r="D477" s="32" t="n"/>
      <c r="E477" s="32" t="n"/>
      <c r="F477" s="33">
        <f>IF(D477="","",D477+KaziEk)</f>
        <v/>
      </c>
      <c r="G477" s="33">
        <f>IF(E477="","",E477+KaziEk)</f>
        <v/>
      </c>
      <c r="H477" s="34">
        <f>IF(OR(F477="",G477=""),"",(F477+G477)/2)</f>
        <v/>
      </c>
      <c r="I477" s="20" t="n"/>
      <c r="J477" s="21">
        <f>IF(OR(H477="",I477=""),"",IF(H477&gt;=IksaH,2*H477*I477,0))</f>
        <v/>
      </c>
      <c r="K477" s="21">
        <f>IF(OR(H477="",I477=""),"",HendekB*H477*I477)</f>
        <v/>
      </c>
      <c r="L477" s="5" t="n"/>
    </row>
    <row r="478">
      <c r="A478" s="5" t="n"/>
      <c r="B478" s="5" t="n"/>
      <c r="C478" s="5" t="n"/>
      <c r="D478" s="32" t="n"/>
      <c r="E478" s="32" t="n"/>
      <c r="F478" s="33">
        <f>IF(D478="","",D478+KaziEk)</f>
        <v/>
      </c>
      <c r="G478" s="33">
        <f>IF(E478="","",E478+KaziEk)</f>
        <v/>
      </c>
      <c r="H478" s="34">
        <f>IF(OR(F478="",G478=""),"",(F478+G478)/2)</f>
        <v/>
      </c>
      <c r="I478" s="20" t="n"/>
      <c r="J478" s="21">
        <f>IF(OR(H478="",I478=""),"",IF(H478&gt;=IksaH,2*H478*I478,0))</f>
        <v/>
      </c>
      <c r="K478" s="21">
        <f>IF(OR(H478="",I478=""),"",HendekB*H478*I478)</f>
        <v/>
      </c>
      <c r="L478" s="5" t="n"/>
    </row>
    <row r="479">
      <c r="A479" s="5" t="n"/>
      <c r="B479" s="5" t="n"/>
      <c r="C479" s="5" t="n"/>
      <c r="D479" s="32" t="n"/>
      <c r="E479" s="32" t="n"/>
      <c r="F479" s="33">
        <f>IF(D479="","",D479+KaziEk)</f>
        <v/>
      </c>
      <c r="G479" s="33">
        <f>IF(E479="","",E479+KaziEk)</f>
        <v/>
      </c>
      <c r="H479" s="34">
        <f>IF(OR(F479="",G479=""),"",(F479+G479)/2)</f>
        <v/>
      </c>
      <c r="I479" s="20" t="n"/>
      <c r="J479" s="21">
        <f>IF(OR(H479="",I479=""),"",IF(H479&gt;=IksaH,2*H479*I479,0))</f>
        <v/>
      </c>
      <c r="K479" s="21">
        <f>IF(OR(H479="",I479=""),"",HendekB*H479*I479)</f>
        <v/>
      </c>
      <c r="L479" s="5" t="n"/>
    </row>
    <row r="480">
      <c r="A480" s="5" t="n"/>
      <c r="B480" s="5" t="n"/>
      <c r="C480" s="5" t="n"/>
      <c r="D480" s="32" t="n"/>
      <c r="E480" s="32" t="n"/>
      <c r="F480" s="33">
        <f>IF(D480="","",D480+KaziEk)</f>
        <v/>
      </c>
      <c r="G480" s="33">
        <f>IF(E480="","",E480+KaziEk)</f>
        <v/>
      </c>
      <c r="H480" s="34">
        <f>IF(OR(F480="",G480=""),"",(F480+G480)/2)</f>
        <v/>
      </c>
      <c r="I480" s="20" t="n"/>
      <c r="J480" s="21">
        <f>IF(OR(H480="",I480=""),"",IF(H480&gt;=IksaH,2*H480*I480,0))</f>
        <v/>
      </c>
      <c r="K480" s="21">
        <f>IF(OR(H480="",I480=""),"",HendekB*H480*I480)</f>
        <v/>
      </c>
      <c r="L480" s="5" t="n"/>
    </row>
    <row r="481">
      <c r="A481" s="5" t="n"/>
      <c r="B481" s="5" t="n"/>
      <c r="C481" s="5" t="n"/>
      <c r="D481" s="32" t="n"/>
      <c r="E481" s="32" t="n"/>
      <c r="F481" s="33">
        <f>IF(D481="","",D481+KaziEk)</f>
        <v/>
      </c>
      <c r="G481" s="33">
        <f>IF(E481="","",E481+KaziEk)</f>
        <v/>
      </c>
      <c r="H481" s="34">
        <f>IF(OR(F481="",G481=""),"",(F481+G481)/2)</f>
        <v/>
      </c>
      <c r="I481" s="20" t="n"/>
      <c r="J481" s="21">
        <f>IF(OR(H481="",I481=""),"",IF(H481&gt;=IksaH,2*H481*I481,0))</f>
        <v/>
      </c>
      <c r="K481" s="21">
        <f>IF(OR(H481="",I481=""),"",HendekB*H481*I481)</f>
        <v/>
      </c>
      <c r="L481" s="5" t="n"/>
    </row>
    <row r="482">
      <c r="A482" s="5" t="n"/>
      <c r="B482" s="5" t="n"/>
      <c r="C482" s="5" t="n"/>
      <c r="D482" s="32" t="n"/>
      <c r="E482" s="32" t="n"/>
      <c r="F482" s="33">
        <f>IF(D482="","",D482+KaziEk)</f>
        <v/>
      </c>
      <c r="G482" s="33">
        <f>IF(E482="","",E482+KaziEk)</f>
        <v/>
      </c>
      <c r="H482" s="34">
        <f>IF(OR(F482="",G482=""),"",(F482+G482)/2)</f>
        <v/>
      </c>
      <c r="I482" s="20" t="n"/>
      <c r="J482" s="21">
        <f>IF(OR(H482="",I482=""),"",IF(H482&gt;=IksaH,2*H482*I482,0))</f>
        <v/>
      </c>
      <c r="K482" s="21">
        <f>IF(OR(H482="",I482=""),"",HendekB*H482*I482)</f>
        <v/>
      </c>
      <c r="L482" s="5" t="n"/>
    </row>
    <row r="483">
      <c r="A483" s="5" t="n"/>
      <c r="B483" s="5" t="n"/>
      <c r="C483" s="5" t="n"/>
      <c r="D483" s="32" t="n"/>
      <c r="E483" s="32" t="n"/>
      <c r="F483" s="33">
        <f>IF(D483="","",D483+KaziEk)</f>
        <v/>
      </c>
      <c r="G483" s="33">
        <f>IF(E483="","",E483+KaziEk)</f>
        <v/>
      </c>
      <c r="H483" s="34">
        <f>IF(OR(F483="",G483=""),"",(F483+G483)/2)</f>
        <v/>
      </c>
      <c r="I483" s="20" t="n"/>
      <c r="J483" s="21">
        <f>IF(OR(H483="",I483=""),"",IF(H483&gt;=IksaH,2*H483*I483,0))</f>
        <v/>
      </c>
      <c r="K483" s="21">
        <f>IF(OR(H483="",I483=""),"",HendekB*H483*I483)</f>
        <v/>
      </c>
      <c r="L483" s="5" t="n"/>
    </row>
    <row r="484">
      <c r="A484" s="5" t="n"/>
      <c r="B484" s="5" t="n"/>
      <c r="C484" s="5" t="n"/>
      <c r="D484" s="32" t="n"/>
      <c r="E484" s="32" t="n"/>
      <c r="F484" s="33">
        <f>IF(D484="","",D484+KaziEk)</f>
        <v/>
      </c>
      <c r="G484" s="33">
        <f>IF(E484="","",E484+KaziEk)</f>
        <v/>
      </c>
      <c r="H484" s="34">
        <f>IF(OR(F484="",G484=""),"",(F484+G484)/2)</f>
        <v/>
      </c>
      <c r="I484" s="20" t="n"/>
      <c r="J484" s="21">
        <f>IF(OR(H484="",I484=""),"",IF(H484&gt;=IksaH,2*H484*I484,0))</f>
        <v/>
      </c>
      <c r="K484" s="21">
        <f>IF(OR(H484="",I484=""),"",HendekB*H484*I484)</f>
        <v/>
      </c>
      <c r="L484" s="5" t="n"/>
    </row>
    <row r="485">
      <c r="A485" s="5" t="n"/>
      <c r="B485" s="5" t="n"/>
      <c r="C485" s="5" t="n"/>
      <c r="D485" s="32" t="n"/>
      <c r="E485" s="32" t="n"/>
      <c r="F485" s="33">
        <f>IF(D485="","",D485+KaziEk)</f>
        <v/>
      </c>
      <c r="G485" s="33">
        <f>IF(E485="","",E485+KaziEk)</f>
        <v/>
      </c>
      <c r="H485" s="34">
        <f>IF(OR(F485="",G485=""),"",(F485+G485)/2)</f>
        <v/>
      </c>
      <c r="I485" s="20" t="n"/>
      <c r="J485" s="21">
        <f>IF(OR(H485="",I485=""),"",IF(H485&gt;=IksaH,2*H485*I485,0))</f>
        <v/>
      </c>
      <c r="K485" s="21">
        <f>IF(OR(H485="",I485=""),"",HendekB*H485*I485)</f>
        <v/>
      </c>
      <c r="L485" s="5" t="n"/>
    </row>
    <row r="486">
      <c r="A486" s="5" t="n"/>
      <c r="B486" s="5" t="n"/>
      <c r="C486" s="5" t="n"/>
      <c r="D486" s="32" t="n"/>
      <c r="E486" s="32" t="n"/>
      <c r="F486" s="33">
        <f>IF(D486="","",D486+KaziEk)</f>
        <v/>
      </c>
      <c r="G486" s="33">
        <f>IF(E486="","",E486+KaziEk)</f>
        <v/>
      </c>
      <c r="H486" s="34">
        <f>IF(OR(F486="",G486=""),"",(F486+G486)/2)</f>
        <v/>
      </c>
      <c r="I486" s="20" t="n"/>
      <c r="J486" s="21">
        <f>IF(OR(H486="",I486=""),"",IF(H486&gt;=IksaH,2*H486*I486,0))</f>
        <v/>
      </c>
      <c r="K486" s="21">
        <f>IF(OR(H486="",I486=""),"",HendekB*H486*I486)</f>
        <v/>
      </c>
      <c r="L486" s="5" t="n"/>
    </row>
    <row r="487">
      <c r="A487" s="5" t="n"/>
      <c r="B487" s="5" t="n"/>
      <c r="C487" s="5" t="n"/>
      <c r="D487" s="32" t="n"/>
      <c r="E487" s="32" t="n"/>
      <c r="F487" s="33">
        <f>IF(D487="","",D487+KaziEk)</f>
        <v/>
      </c>
      <c r="G487" s="33">
        <f>IF(E487="","",E487+KaziEk)</f>
        <v/>
      </c>
      <c r="H487" s="34">
        <f>IF(OR(F487="",G487=""),"",(F487+G487)/2)</f>
        <v/>
      </c>
      <c r="I487" s="20" t="n"/>
      <c r="J487" s="21">
        <f>IF(OR(H487="",I487=""),"",IF(H487&gt;=IksaH,2*H487*I487,0))</f>
        <v/>
      </c>
      <c r="K487" s="21">
        <f>IF(OR(H487="",I487=""),"",HendekB*H487*I487)</f>
        <v/>
      </c>
      <c r="L487" s="5" t="n"/>
    </row>
    <row r="488">
      <c r="A488" s="5" t="n"/>
      <c r="B488" s="5" t="n"/>
      <c r="C488" s="5" t="n"/>
      <c r="D488" s="32" t="n"/>
      <c r="E488" s="32" t="n"/>
      <c r="F488" s="33">
        <f>IF(D488="","",D488+KaziEk)</f>
        <v/>
      </c>
      <c r="G488" s="33">
        <f>IF(E488="","",E488+KaziEk)</f>
        <v/>
      </c>
      <c r="H488" s="34">
        <f>IF(OR(F488="",G488=""),"",(F488+G488)/2)</f>
        <v/>
      </c>
      <c r="I488" s="20" t="n"/>
      <c r="J488" s="21">
        <f>IF(OR(H488="",I488=""),"",IF(H488&gt;=IksaH,2*H488*I488,0))</f>
        <v/>
      </c>
      <c r="K488" s="21">
        <f>IF(OR(H488="",I488=""),"",HendekB*H488*I488)</f>
        <v/>
      </c>
      <c r="L488" s="5" t="n"/>
    </row>
    <row r="489">
      <c r="A489" s="5" t="n"/>
      <c r="B489" s="5" t="n"/>
      <c r="C489" s="5" t="n"/>
      <c r="D489" s="32" t="n"/>
      <c r="E489" s="32" t="n"/>
      <c r="F489" s="33">
        <f>IF(D489="","",D489+KaziEk)</f>
        <v/>
      </c>
      <c r="G489" s="33">
        <f>IF(E489="","",E489+KaziEk)</f>
        <v/>
      </c>
      <c r="H489" s="34">
        <f>IF(OR(F489="",G489=""),"",(F489+G489)/2)</f>
        <v/>
      </c>
      <c r="I489" s="20" t="n"/>
      <c r="J489" s="21">
        <f>IF(OR(H489="",I489=""),"",IF(H489&gt;=IksaH,2*H489*I489,0))</f>
        <v/>
      </c>
      <c r="K489" s="21">
        <f>IF(OR(H489="",I489=""),"",HendekB*H489*I489)</f>
        <v/>
      </c>
      <c r="L489" s="5" t="n"/>
    </row>
    <row r="490">
      <c r="A490" s="5" t="n"/>
      <c r="B490" s="5" t="n"/>
      <c r="C490" s="5" t="n"/>
      <c r="D490" s="32" t="n"/>
      <c r="E490" s="32" t="n"/>
      <c r="F490" s="33">
        <f>IF(D490="","",D490+KaziEk)</f>
        <v/>
      </c>
      <c r="G490" s="33">
        <f>IF(E490="","",E490+KaziEk)</f>
        <v/>
      </c>
      <c r="H490" s="34">
        <f>IF(OR(F490="",G490=""),"",(F490+G490)/2)</f>
        <v/>
      </c>
      <c r="I490" s="20" t="n"/>
      <c r="J490" s="21">
        <f>IF(OR(H490="",I490=""),"",IF(H490&gt;=IksaH,2*H490*I490,0))</f>
        <v/>
      </c>
      <c r="K490" s="21">
        <f>IF(OR(H490="",I490=""),"",HendekB*H490*I490)</f>
        <v/>
      </c>
      <c r="L490" s="5" t="n"/>
    </row>
    <row r="491">
      <c r="A491" s="5" t="n"/>
      <c r="B491" s="5" t="n"/>
      <c r="C491" s="5" t="n"/>
      <c r="D491" s="32" t="n"/>
      <c r="E491" s="32" t="n"/>
      <c r="F491" s="33">
        <f>IF(D491="","",D491+KaziEk)</f>
        <v/>
      </c>
      <c r="G491" s="33">
        <f>IF(E491="","",E491+KaziEk)</f>
        <v/>
      </c>
      <c r="H491" s="34">
        <f>IF(OR(F491="",G491=""),"",(F491+G491)/2)</f>
        <v/>
      </c>
      <c r="I491" s="20" t="n"/>
      <c r="J491" s="21">
        <f>IF(OR(H491="",I491=""),"",IF(H491&gt;=IksaH,2*H491*I491,0))</f>
        <v/>
      </c>
      <c r="K491" s="21">
        <f>IF(OR(H491="",I491=""),"",HendekB*H491*I491)</f>
        <v/>
      </c>
      <c r="L491" s="5" t="n"/>
    </row>
    <row r="492">
      <c r="A492" s="5" t="n"/>
      <c r="B492" s="5" t="n"/>
      <c r="C492" s="5" t="n"/>
      <c r="D492" s="32" t="n"/>
      <c r="E492" s="32" t="n"/>
      <c r="F492" s="33">
        <f>IF(D492="","",D492+KaziEk)</f>
        <v/>
      </c>
      <c r="G492" s="33">
        <f>IF(E492="","",E492+KaziEk)</f>
        <v/>
      </c>
      <c r="H492" s="34">
        <f>IF(OR(F492="",G492=""),"",(F492+G492)/2)</f>
        <v/>
      </c>
      <c r="I492" s="20" t="n"/>
      <c r="J492" s="21">
        <f>IF(OR(H492="",I492=""),"",IF(H492&gt;=IksaH,2*H492*I492,0))</f>
        <v/>
      </c>
      <c r="K492" s="21">
        <f>IF(OR(H492="",I492=""),"",HendekB*H492*I492)</f>
        <v/>
      </c>
      <c r="L492" s="5" t="n"/>
    </row>
    <row r="493">
      <c r="A493" s="5" t="n"/>
      <c r="B493" s="5" t="n"/>
      <c r="C493" s="5" t="n"/>
      <c r="D493" s="32" t="n"/>
      <c r="E493" s="32" t="n"/>
      <c r="F493" s="33">
        <f>IF(D493="","",D493+KaziEk)</f>
        <v/>
      </c>
      <c r="G493" s="33">
        <f>IF(E493="","",E493+KaziEk)</f>
        <v/>
      </c>
      <c r="H493" s="34">
        <f>IF(OR(F493="",G493=""),"",(F493+G493)/2)</f>
        <v/>
      </c>
      <c r="I493" s="20" t="n"/>
      <c r="J493" s="21">
        <f>IF(OR(H493="",I493=""),"",IF(H493&gt;=IksaH,2*H493*I493,0))</f>
        <v/>
      </c>
      <c r="K493" s="21">
        <f>IF(OR(H493="",I493=""),"",HendekB*H493*I493)</f>
        <v/>
      </c>
      <c r="L493" s="5" t="n"/>
    </row>
    <row r="494">
      <c r="A494" s="5" t="n"/>
      <c r="B494" s="5" t="n"/>
      <c r="C494" s="5" t="n"/>
      <c r="D494" s="32" t="n"/>
      <c r="E494" s="32" t="n"/>
      <c r="F494" s="33">
        <f>IF(D494="","",D494+KaziEk)</f>
        <v/>
      </c>
      <c r="G494" s="33">
        <f>IF(E494="","",E494+KaziEk)</f>
        <v/>
      </c>
      <c r="H494" s="34">
        <f>IF(OR(F494="",G494=""),"",(F494+G494)/2)</f>
        <v/>
      </c>
      <c r="I494" s="20" t="n"/>
      <c r="J494" s="21">
        <f>IF(OR(H494="",I494=""),"",IF(H494&gt;=IksaH,2*H494*I494,0))</f>
        <v/>
      </c>
      <c r="K494" s="21">
        <f>IF(OR(H494="",I494=""),"",HendekB*H494*I494)</f>
        <v/>
      </c>
      <c r="L494" s="5" t="n"/>
    </row>
    <row r="495">
      <c r="A495" s="5" t="n"/>
      <c r="B495" s="5" t="n"/>
      <c r="C495" s="5" t="n"/>
      <c r="D495" s="32" t="n"/>
      <c r="E495" s="32" t="n"/>
      <c r="F495" s="33">
        <f>IF(D495="","",D495+KaziEk)</f>
        <v/>
      </c>
      <c r="G495" s="33">
        <f>IF(E495="","",E495+KaziEk)</f>
        <v/>
      </c>
      <c r="H495" s="34">
        <f>IF(OR(F495="",G495=""),"",(F495+G495)/2)</f>
        <v/>
      </c>
      <c r="I495" s="20" t="n"/>
      <c r="J495" s="21">
        <f>IF(OR(H495="",I495=""),"",IF(H495&gt;=IksaH,2*H495*I495,0))</f>
        <v/>
      </c>
      <c r="K495" s="21">
        <f>IF(OR(H495="",I495=""),"",HendekB*H495*I495)</f>
        <v/>
      </c>
      <c r="L495" s="5" t="n"/>
    </row>
    <row r="496">
      <c r="A496" s="5" t="n"/>
      <c r="B496" s="5" t="n"/>
      <c r="C496" s="5" t="n"/>
      <c r="D496" s="32" t="n"/>
      <c r="E496" s="32" t="n"/>
      <c r="F496" s="33">
        <f>IF(D496="","",D496+KaziEk)</f>
        <v/>
      </c>
      <c r="G496" s="33">
        <f>IF(E496="","",E496+KaziEk)</f>
        <v/>
      </c>
      <c r="H496" s="34">
        <f>IF(OR(F496="",G496=""),"",(F496+G496)/2)</f>
        <v/>
      </c>
      <c r="I496" s="20" t="n"/>
      <c r="J496" s="21">
        <f>IF(OR(H496="",I496=""),"",IF(H496&gt;=IksaH,2*H496*I496,0))</f>
        <v/>
      </c>
      <c r="K496" s="21">
        <f>IF(OR(H496="",I496=""),"",HendekB*H496*I496)</f>
        <v/>
      </c>
      <c r="L496" s="5" t="n"/>
    </row>
    <row r="497">
      <c r="A497" s="5" t="n"/>
      <c r="B497" s="5" t="n"/>
      <c r="C497" s="5" t="n"/>
      <c r="D497" s="32" t="n"/>
      <c r="E497" s="32" t="n"/>
      <c r="F497" s="33">
        <f>IF(D497="","",D497+KaziEk)</f>
        <v/>
      </c>
      <c r="G497" s="33">
        <f>IF(E497="","",E497+KaziEk)</f>
        <v/>
      </c>
      <c r="H497" s="34">
        <f>IF(OR(F497="",G497=""),"",(F497+G497)/2)</f>
        <v/>
      </c>
      <c r="I497" s="20" t="n"/>
      <c r="J497" s="21">
        <f>IF(OR(H497="",I497=""),"",IF(H497&gt;=IksaH,2*H497*I497,0))</f>
        <v/>
      </c>
      <c r="K497" s="21">
        <f>IF(OR(H497="",I497=""),"",HendekB*H497*I497)</f>
        <v/>
      </c>
      <c r="L497" s="5" t="n"/>
    </row>
    <row r="498">
      <c r="A498" s="5" t="n"/>
      <c r="B498" s="5" t="n"/>
      <c r="C498" s="5" t="n"/>
      <c r="D498" s="32" t="n"/>
      <c r="E498" s="32" t="n"/>
      <c r="F498" s="33">
        <f>IF(D498="","",D498+KaziEk)</f>
        <v/>
      </c>
      <c r="G498" s="33">
        <f>IF(E498="","",E498+KaziEk)</f>
        <v/>
      </c>
      <c r="H498" s="34">
        <f>IF(OR(F498="",G498=""),"",(F498+G498)/2)</f>
        <v/>
      </c>
      <c r="I498" s="20" t="n"/>
      <c r="J498" s="21">
        <f>IF(OR(H498="",I498=""),"",IF(H498&gt;=IksaH,2*H498*I498,0))</f>
        <v/>
      </c>
      <c r="K498" s="21">
        <f>IF(OR(H498="",I498=""),"",HendekB*H498*I498)</f>
        <v/>
      </c>
      <c r="L498" s="5" t="n"/>
    </row>
    <row r="499">
      <c r="A499" s="5" t="n"/>
      <c r="B499" s="5" t="n"/>
      <c r="C499" s="5" t="n"/>
      <c r="D499" s="32" t="n"/>
      <c r="E499" s="32" t="n"/>
      <c r="F499" s="33">
        <f>IF(D499="","",D499+KaziEk)</f>
        <v/>
      </c>
      <c r="G499" s="33">
        <f>IF(E499="","",E499+KaziEk)</f>
        <v/>
      </c>
      <c r="H499" s="34">
        <f>IF(OR(F499="",G499=""),"",(F499+G499)/2)</f>
        <v/>
      </c>
      <c r="I499" s="20" t="n"/>
      <c r="J499" s="21">
        <f>IF(OR(H499="",I499=""),"",IF(H499&gt;=IksaH,2*H499*I499,0))</f>
        <v/>
      </c>
      <c r="K499" s="21">
        <f>IF(OR(H499="",I499=""),"",HendekB*H499*I499)</f>
        <v/>
      </c>
      <c r="L499" s="5" t="n"/>
    </row>
    <row r="500">
      <c r="A500" s="5" t="n"/>
      <c r="B500" s="5" t="n"/>
      <c r="C500" s="5" t="n"/>
      <c r="D500" s="32" t="n"/>
      <c r="E500" s="32" t="n"/>
      <c r="F500" s="33">
        <f>IF(D500="","",D500+KaziEk)</f>
        <v/>
      </c>
      <c r="G500" s="33">
        <f>IF(E500="","",E500+KaziEk)</f>
        <v/>
      </c>
      <c r="H500" s="34">
        <f>IF(OR(F500="",G500=""),"",(F500+G500)/2)</f>
        <v/>
      </c>
      <c r="I500" s="20" t="n"/>
      <c r="J500" s="21">
        <f>IF(OR(H500="",I500=""),"",IF(H500&gt;=IksaH,2*H500*I500,0))</f>
        <v/>
      </c>
      <c r="K500" s="21">
        <f>IF(OR(H500="",I500=""),"",HendekB*H500*I500)</f>
        <v/>
      </c>
      <c r="L500" s="5" t="n"/>
    </row>
    <row r="501">
      <c r="A501" s="5" t="n"/>
      <c r="B501" s="5" t="n"/>
      <c r="C501" s="5" t="n"/>
      <c r="D501" s="32" t="n"/>
      <c r="E501" s="32" t="n"/>
      <c r="F501" s="33">
        <f>IF(D501="","",D501+KaziEk)</f>
        <v/>
      </c>
      <c r="G501" s="33">
        <f>IF(E501="","",E501+KaziEk)</f>
        <v/>
      </c>
      <c r="H501" s="34">
        <f>IF(OR(F501="",G501=""),"",(F501+G501)/2)</f>
        <v/>
      </c>
      <c r="I501" s="20" t="n"/>
      <c r="J501" s="21">
        <f>IF(OR(H501="",I501=""),"",IF(H501&gt;=IksaH,2*H501*I501,0))</f>
        <v/>
      </c>
      <c r="K501" s="21">
        <f>IF(OR(H501="",I501=""),"",HendekB*H501*I501)</f>
        <v/>
      </c>
      <c r="L501" s="5" t="n"/>
    </row>
    <row r="502">
      <c r="A502" s="5" t="n"/>
      <c r="B502" s="5" t="n"/>
      <c r="C502" s="5" t="n"/>
      <c r="D502" s="32" t="n"/>
      <c r="E502" s="32" t="n"/>
      <c r="F502" s="33">
        <f>IF(D502="","",D502+KaziEk)</f>
        <v/>
      </c>
      <c r="G502" s="33">
        <f>IF(E502="","",E502+KaziEk)</f>
        <v/>
      </c>
      <c r="H502" s="34">
        <f>IF(OR(F502="",G502=""),"",(F502+G502)/2)</f>
        <v/>
      </c>
      <c r="I502" s="20" t="n"/>
      <c r="J502" s="21">
        <f>IF(OR(H502="",I502=""),"",IF(H502&gt;=IksaH,2*H502*I502,0))</f>
        <v/>
      </c>
      <c r="K502" s="21">
        <f>IF(OR(H502="",I502=""),"",HendekB*H502*I502)</f>
        <v/>
      </c>
      <c r="L502" s="5" t="n"/>
    </row>
    <row r="503">
      <c r="A503" s="5" t="n"/>
      <c r="B503" s="5" t="n"/>
      <c r="C503" s="5" t="n"/>
      <c r="D503" s="32" t="n"/>
      <c r="E503" s="32" t="n"/>
      <c r="F503" s="33">
        <f>IF(D503="","",D503+KaziEk)</f>
        <v/>
      </c>
      <c r="G503" s="33">
        <f>IF(E503="","",E503+KaziEk)</f>
        <v/>
      </c>
      <c r="H503" s="34">
        <f>IF(OR(F503="",G503=""),"",(F503+G503)/2)</f>
        <v/>
      </c>
      <c r="I503" s="20" t="n"/>
      <c r="J503" s="21">
        <f>IF(OR(H503="",I503=""),"",IF(H503&gt;=IksaH,2*H503*I503,0))</f>
        <v/>
      </c>
      <c r="K503" s="21">
        <f>IF(OR(H503="",I503=""),"",HendekB*H503*I503)</f>
        <v/>
      </c>
      <c r="L503" s="5" t="n"/>
    </row>
    <row r="504">
      <c r="A504" s="5" t="n"/>
      <c r="B504" s="5" t="n"/>
      <c r="C504" s="5" t="n"/>
      <c r="D504" s="32" t="n"/>
      <c r="E504" s="32" t="n"/>
      <c r="F504" s="33">
        <f>IF(D504="","",D504+KaziEk)</f>
        <v/>
      </c>
      <c r="G504" s="33">
        <f>IF(E504="","",E504+KaziEk)</f>
        <v/>
      </c>
      <c r="H504" s="34">
        <f>IF(OR(F504="",G504=""),"",(F504+G504)/2)</f>
        <v/>
      </c>
      <c r="I504" s="20" t="n"/>
      <c r="J504" s="21">
        <f>IF(OR(H504="",I504=""),"",IF(H504&gt;=IksaH,2*H504*I504,0))</f>
        <v/>
      </c>
      <c r="K504" s="21">
        <f>IF(OR(H504="",I504=""),"",HendekB*H504*I504)</f>
        <v/>
      </c>
      <c r="L504" s="5" t="n"/>
    </row>
  </sheetData>
  <autoFilter ref="A4:L504"/>
  <mergeCells count="2">
    <mergeCell ref="A2:L2"/>
    <mergeCell ref="A1:L1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6" customWidth="1" min="4" max="4"/>
    <col width="50" customWidth="1" min="5" max="5"/>
  </cols>
  <sheetData>
    <row r="1" ht="28" customHeight="1">
      <c r="A1" s="1" t="inlineStr">
        <is>
          <t>YETERLİLİK KONTROLÜ</t>
        </is>
      </c>
    </row>
    <row r="2" ht="30" customHeight="1">
      <c r="A2" s="2" t="inlineStr">
        <is>
          <t>İdari şartnamedeki katılım ve yeterlilik koşullarının firma profiliyle karşılaştırması.</t>
        </is>
      </c>
    </row>
    <row r="3">
      <c r="A3" s="15" t="inlineStr">
        <is>
          <t>TOPLAM</t>
        </is>
      </c>
      <c r="B3" s="16" t="n"/>
      <c r="C3" s="16" t="n"/>
      <c r="D3" s="16" t="n"/>
      <c r="E3" s="16" t="n"/>
    </row>
    <row r="4" ht="32" customHeight="1">
      <c r="A4" s="18" t="inlineStr">
        <is>
          <t>Sıra</t>
        </is>
      </c>
      <c r="B4" s="18" t="inlineStr">
        <is>
          <t>Koşul</t>
        </is>
      </c>
      <c r="C4" s="18" t="inlineStr">
        <is>
          <t>Şartname Maddesi</t>
        </is>
      </c>
      <c r="D4" s="18" t="inlineStr">
        <is>
          <t>Firma Durumu</t>
        </is>
      </c>
      <c r="E4" s="18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ISNUMBER(SEARCH("Eksik",D5))</formula>
    </cfRule>
    <cfRule type="expression" priority="2" dxfId="1">
      <formula>ISNUMBER(SEARCH("Belirsiz",D5))</formula>
    </cfRule>
    <cfRule type="expression" priority="3" dxfId="0">
      <formula>ISNUMBER(SEARCH("Karşılıyor",D5))</formula>
    </cfRule>
  </conditionalFormatting>
  <dataValidations count="1">
    <dataValidation sqref="D5:D504" showDropDown="0" showInputMessage="0" showErrorMessage="0" allowBlank="1" type="list">
      <formula1>"Karşılıyor,Eksik,Belirsiz"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8" customWidth="1" min="4" max="4"/>
    <col width="50" customWidth="1" min="5" max="5"/>
  </cols>
  <sheetData>
    <row r="1" ht="28" customHeight="1">
      <c r="A1" s="1" t="inlineStr">
        <is>
          <t>TEKNİK DEĞERLENDİRME</t>
        </is>
      </c>
    </row>
    <row r="2" ht="30" customHeight="1">
      <c r="A2" s="2" t="inlineStr">
        <is>
          <t>Teknik şartname gereksinimleri, karşılanamayan ve rekabeti kısıtlayan maddeler.</t>
        </is>
      </c>
    </row>
    <row r="3">
      <c r="A3" s="15" t="inlineStr">
        <is>
          <t>TOPLAM</t>
        </is>
      </c>
      <c r="B3" s="16" t="n"/>
      <c r="C3" s="16" t="n"/>
      <c r="D3" s="16" t="n"/>
      <c r="E3" s="16" t="n"/>
    </row>
    <row r="4" ht="32" customHeight="1">
      <c r="A4" s="18" t="inlineStr">
        <is>
          <t>Sıra</t>
        </is>
      </c>
      <c r="B4" s="18" t="inlineStr">
        <is>
          <t>Gereksinim</t>
        </is>
      </c>
      <c r="C4" s="18" t="inlineStr">
        <is>
          <t>Şartname Maddesi</t>
        </is>
      </c>
      <c r="D4" s="18" t="inlineStr">
        <is>
          <t>Durum</t>
        </is>
      </c>
      <c r="E4" s="18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ISNUMBER(SEARCH("Karşılanamıyor",D5))</formula>
    </cfRule>
    <cfRule type="expression" priority="2" dxfId="3">
      <formula>ISNUMBER(SEARCH("Kısıtlayıcı",D5))</formula>
    </cfRule>
    <cfRule type="expression" priority="3" dxfId="1">
      <formula>ISNUMBER(SEARCH("Belirsiz",D5))</formula>
    </cfRule>
  </conditionalFormatting>
  <dataValidations count="1">
    <dataValidation sqref="D5:D504" showDropDown="0" showInputMessage="0" showErrorMessage="0" allowBlank="1" type="list">
      <formula1>"Karşılanıyor,Karşılanamıyor,Belirsiz,Kısıtlayıcı"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18" customWidth="1" min="4" max="4"/>
    <col width="56" customWidth="1" min="5" max="5"/>
  </cols>
  <sheetData>
    <row r="1" ht="28" customHeight="1">
      <c r="A1" s="1" t="inlineStr">
        <is>
          <t>MALİ DEĞERLENDİRME</t>
        </is>
      </c>
    </row>
    <row r="2" ht="30" customHeight="1">
      <c r="A2" s="2" t="inlineStr">
        <is>
          <t>Teminat, ödeme, avans, fiyat farkı, ceza ve kârlılık kalemleri.</t>
        </is>
      </c>
    </row>
    <row r="3">
      <c r="A3" s="15" t="inlineStr">
        <is>
          <t>TOPLAM</t>
        </is>
      </c>
      <c r="B3" s="16" t="n"/>
      <c r="C3" s="16" t="n"/>
      <c r="D3" s="16" t="n"/>
      <c r="E3" s="16" t="n"/>
    </row>
    <row r="4" ht="32" customHeight="1">
      <c r="A4" s="18" t="inlineStr">
        <is>
          <t>Sıra</t>
        </is>
      </c>
      <c r="B4" s="18" t="inlineStr">
        <is>
          <t>Kalem</t>
        </is>
      </c>
      <c r="C4" s="18" t="inlineStr">
        <is>
          <t>Değer</t>
        </is>
      </c>
      <c r="D4" s="18" t="inlineStr">
        <is>
          <t>Kaynak</t>
        </is>
      </c>
      <c r="E4" s="18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12" customWidth="1" min="4" max="4"/>
    <col width="50" customWidth="1" min="5" max="5"/>
  </cols>
  <sheetData>
    <row r="1" ht="28" customHeight="1">
      <c r="A1" s="1" t="inlineStr">
        <is>
          <t>RİSK LİSTESİ</t>
        </is>
      </c>
    </row>
    <row r="2" ht="30" customHeight="1">
      <c r="A2" s="2" t="inlineStr">
        <is>
          <t>Risk denetçisinin derecelendirdiği riskler ve önlemler.</t>
        </is>
      </c>
    </row>
    <row r="3">
      <c r="A3" s="15" t="inlineStr">
        <is>
          <t>TOPLAM</t>
        </is>
      </c>
      <c r="B3" s="16" t="n"/>
      <c r="C3" s="16" t="n"/>
      <c r="D3" s="16" t="n"/>
      <c r="E3" s="16" t="n"/>
    </row>
    <row r="4" ht="32" customHeight="1">
      <c r="A4" s="18" t="inlineStr">
        <is>
          <t>Sıra</t>
        </is>
      </c>
      <c r="B4" s="18" t="inlineStr">
        <is>
          <t>Risk</t>
        </is>
      </c>
      <c r="C4" s="18" t="inlineStr">
        <is>
          <t>Kaynak</t>
        </is>
      </c>
      <c r="D4" s="18" t="inlineStr">
        <is>
          <t>Seviye</t>
        </is>
      </c>
      <c r="E4" s="18" t="inlineStr">
        <is>
          <t>Önlem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ISNUMBER(SEARCH("Yüksek",D5))</formula>
    </cfRule>
    <cfRule type="expression" priority="2" dxfId="1">
      <formula>ISNUMBER(SEARCH("Orta",D5))</formula>
    </cfRule>
    <cfRule type="expression" priority="3" dxfId="0">
      <formula>ISNUMBER(SEARCH("Düşük",D5))</formula>
    </cfRule>
  </conditionalFormatting>
  <dataValidations count="1">
    <dataValidation sqref="D5:D504" showDropDown="0" showInputMessage="0" showErrorMessage="0" allowBlank="1" type="list">
      <formula1>"Düşük,Orta,Yüksek"</formula1>
    </dataValidation>
  </dataValidation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J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0" customWidth="1" min="3" max="3"/>
    <col width="8" customWidth="1" min="4" max="4"/>
    <col width="13" customWidth="1" min="5" max="5"/>
    <col width="14" customWidth="1" min="6" max="6"/>
    <col width="17" customWidth="1" min="7" max="7"/>
    <col width="17" customWidth="1" min="8" max="8"/>
    <col width="15" customWidth="1" min="9" max="9"/>
    <col width="36" customWidth="1" min="10" max="10"/>
  </cols>
  <sheetData>
    <row r="1" ht="28" customHeight="1">
      <c r="A1" s="1" t="inlineStr">
        <is>
          <t>KİŞİSEL HESAP</t>
        </is>
      </c>
    </row>
    <row r="2" ht="30" customHeight="1">
      <c r="A2" s="2" t="inlineStr">
        <is>
          <t>Kullanıcının kendi hesap kurallarıyla bulunan tutarın sistem tahminiyle karşılaştırması (kisisel_hesap.py çıktısı).</t>
        </is>
      </c>
    </row>
    <row r="3">
      <c r="A3" s="15" t="inlineStr">
        <is>
          <t>TOPLAM</t>
        </is>
      </c>
      <c r="B3" s="16" t="n"/>
      <c r="C3" s="16" t="n"/>
      <c r="D3" s="16" t="n"/>
      <c r="E3" s="16" t="n"/>
      <c r="F3" s="16" t="n"/>
      <c r="G3" s="17">
        <f>SUM(G5:G504)</f>
        <v/>
      </c>
      <c r="H3" s="17">
        <f>SUM(H5:H504)</f>
        <v/>
      </c>
      <c r="I3" s="17">
        <f>SUM(I5:I504)</f>
        <v/>
      </c>
      <c r="J3" s="16" t="n"/>
    </row>
    <row r="4" ht="32" customHeight="1">
      <c r="A4" s="18" t="inlineStr">
        <is>
          <t>Sıra</t>
        </is>
      </c>
      <c r="B4" s="18" t="inlineStr">
        <is>
          <t>Poz No</t>
        </is>
      </c>
      <c r="C4" s="18" t="inlineStr">
        <is>
          <t>Tanım</t>
        </is>
      </c>
      <c r="D4" s="18" t="inlineStr">
        <is>
          <t>Birim</t>
        </is>
      </c>
      <c r="E4" s="18" t="inlineStr">
        <is>
          <t>Miktar</t>
        </is>
      </c>
      <c r="F4" s="18" t="inlineStr">
        <is>
          <t>Birim Fiyat</t>
        </is>
      </c>
      <c r="G4" s="18" t="inlineStr">
        <is>
          <t>Sistem Tutarı</t>
        </is>
      </c>
      <c r="H4" s="18" t="inlineStr">
        <is>
          <t>Kişisel Tutar</t>
        </is>
      </c>
      <c r="I4" s="18" t="inlineStr">
        <is>
          <t>Fark</t>
        </is>
      </c>
      <c r="J4" s="18" t="inlineStr">
        <is>
          <t>Uygulanan Kurallar</t>
        </is>
      </c>
    </row>
    <row r="5">
      <c r="A5" s="5" t="n"/>
      <c r="B5" s="5" t="n"/>
      <c r="C5" s="5" t="n"/>
      <c r="D5" s="5" t="n"/>
      <c r="E5" s="23" t="n"/>
      <c r="F5" s="20" t="n"/>
      <c r="G5" s="20" t="n"/>
      <c r="H5" s="20" t="n"/>
      <c r="I5" s="21">
        <f>IF(OR(G5="",H5=""),"",H5-G5)</f>
        <v/>
      </c>
      <c r="J5" s="5" t="n"/>
    </row>
    <row r="6">
      <c r="A6" s="5" t="n"/>
      <c r="B6" s="5" t="n"/>
      <c r="C6" s="5" t="n"/>
      <c r="D6" s="5" t="n"/>
      <c r="E6" s="23" t="n"/>
      <c r="F6" s="20" t="n"/>
      <c r="G6" s="20" t="n"/>
      <c r="H6" s="20" t="n"/>
      <c r="I6" s="21">
        <f>IF(OR(G6="",H6=""),"",H6-G6)</f>
        <v/>
      </c>
      <c r="J6" s="5" t="n"/>
    </row>
    <row r="7">
      <c r="A7" s="5" t="n"/>
      <c r="B7" s="5" t="n"/>
      <c r="C7" s="5" t="n"/>
      <c r="D7" s="5" t="n"/>
      <c r="E7" s="23" t="n"/>
      <c r="F7" s="20" t="n"/>
      <c r="G7" s="20" t="n"/>
      <c r="H7" s="20" t="n"/>
      <c r="I7" s="21">
        <f>IF(OR(G7="",H7=""),"",H7-G7)</f>
        <v/>
      </c>
      <c r="J7" s="5" t="n"/>
    </row>
    <row r="8">
      <c r="A8" s="5" t="n"/>
      <c r="B8" s="5" t="n"/>
      <c r="C8" s="5" t="n"/>
      <c r="D8" s="5" t="n"/>
      <c r="E8" s="23" t="n"/>
      <c r="F8" s="20" t="n"/>
      <c r="G8" s="20" t="n"/>
      <c r="H8" s="20" t="n"/>
      <c r="I8" s="21">
        <f>IF(OR(G8="",H8=""),"",H8-G8)</f>
        <v/>
      </c>
      <c r="J8" s="5" t="n"/>
    </row>
    <row r="9">
      <c r="A9" s="5" t="n"/>
      <c r="B9" s="5" t="n"/>
      <c r="C9" s="5" t="n"/>
      <c r="D9" s="5" t="n"/>
      <c r="E9" s="23" t="n"/>
      <c r="F9" s="20" t="n"/>
      <c r="G9" s="20" t="n"/>
      <c r="H9" s="20" t="n"/>
      <c r="I9" s="21">
        <f>IF(OR(G9="",H9=""),"",H9-G9)</f>
        <v/>
      </c>
      <c r="J9" s="5" t="n"/>
    </row>
    <row r="10">
      <c r="A10" s="5" t="n"/>
      <c r="B10" s="5" t="n"/>
      <c r="C10" s="5" t="n"/>
      <c r="D10" s="5" t="n"/>
      <c r="E10" s="23" t="n"/>
      <c r="F10" s="20" t="n"/>
      <c r="G10" s="20" t="n"/>
      <c r="H10" s="20" t="n"/>
      <c r="I10" s="21">
        <f>IF(OR(G10="",H10=""),"",H10-G10)</f>
        <v/>
      </c>
      <c r="J10" s="5" t="n"/>
    </row>
    <row r="11">
      <c r="A11" s="5" t="n"/>
      <c r="B11" s="5" t="n"/>
      <c r="C11" s="5" t="n"/>
      <c r="D11" s="5" t="n"/>
      <c r="E11" s="23" t="n"/>
      <c r="F11" s="20" t="n"/>
      <c r="G11" s="20" t="n"/>
      <c r="H11" s="20" t="n"/>
      <c r="I11" s="21">
        <f>IF(OR(G11="",H11=""),"",H11-G11)</f>
        <v/>
      </c>
      <c r="J11" s="5" t="n"/>
    </row>
    <row r="12">
      <c r="A12" s="5" t="n"/>
      <c r="B12" s="5" t="n"/>
      <c r="C12" s="5" t="n"/>
      <c r="D12" s="5" t="n"/>
      <c r="E12" s="23" t="n"/>
      <c r="F12" s="20" t="n"/>
      <c r="G12" s="20" t="n"/>
      <c r="H12" s="20" t="n"/>
      <c r="I12" s="21">
        <f>IF(OR(G12="",H12=""),"",H12-G12)</f>
        <v/>
      </c>
      <c r="J12" s="5" t="n"/>
    </row>
    <row r="13">
      <c r="A13" s="5" t="n"/>
      <c r="B13" s="5" t="n"/>
      <c r="C13" s="5" t="n"/>
      <c r="D13" s="5" t="n"/>
      <c r="E13" s="23" t="n"/>
      <c r="F13" s="20" t="n"/>
      <c r="G13" s="20" t="n"/>
      <c r="H13" s="20" t="n"/>
      <c r="I13" s="21">
        <f>IF(OR(G13="",H13=""),"",H13-G13)</f>
        <v/>
      </c>
      <c r="J13" s="5" t="n"/>
    </row>
    <row r="14">
      <c r="A14" s="5" t="n"/>
      <c r="B14" s="5" t="n"/>
      <c r="C14" s="5" t="n"/>
      <c r="D14" s="5" t="n"/>
      <c r="E14" s="23" t="n"/>
      <c r="F14" s="20" t="n"/>
      <c r="G14" s="20" t="n"/>
      <c r="H14" s="20" t="n"/>
      <c r="I14" s="21">
        <f>IF(OR(G14="",H14=""),"",H14-G14)</f>
        <v/>
      </c>
      <c r="J14" s="5" t="n"/>
    </row>
    <row r="15">
      <c r="A15" s="5" t="n"/>
      <c r="B15" s="5" t="n"/>
      <c r="C15" s="5" t="n"/>
      <c r="D15" s="5" t="n"/>
      <c r="E15" s="23" t="n"/>
      <c r="F15" s="20" t="n"/>
      <c r="G15" s="20" t="n"/>
      <c r="H15" s="20" t="n"/>
      <c r="I15" s="21">
        <f>IF(OR(G15="",H15=""),"",H15-G15)</f>
        <v/>
      </c>
      <c r="J15" s="5" t="n"/>
    </row>
    <row r="16">
      <c r="A16" s="5" t="n"/>
      <c r="B16" s="5" t="n"/>
      <c r="C16" s="5" t="n"/>
      <c r="D16" s="5" t="n"/>
      <c r="E16" s="23" t="n"/>
      <c r="F16" s="20" t="n"/>
      <c r="G16" s="20" t="n"/>
      <c r="H16" s="20" t="n"/>
      <c r="I16" s="21">
        <f>IF(OR(G16="",H16=""),"",H16-G16)</f>
        <v/>
      </c>
      <c r="J16" s="5" t="n"/>
    </row>
    <row r="17">
      <c r="A17" s="5" t="n"/>
      <c r="B17" s="5" t="n"/>
      <c r="C17" s="5" t="n"/>
      <c r="D17" s="5" t="n"/>
      <c r="E17" s="23" t="n"/>
      <c r="F17" s="20" t="n"/>
      <c r="G17" s="20" t="n"/>
      <c r="H17" s="20" t="n"/>
      <c r="I17" s="21">
        <f>IF(OR(G17="",H17=""),"",H17-G17)</f>
        <v/>
      </c>
      <c r="J17" s="5" t="n"/>
    </row>
    <row r="18">
      <c r="A18" s="5" t="n"/>
      <c r="B18" s="5" t="n"/>
      <c r="C18" s="5" t="n"/>
      <c r="D18" s="5" t="n"/>
      <c r="E18" s="23" t="n"/>
      <c r="F18" s="20" t="n"/>
      <c r="G18" s="20" t="n"/>
      <c r="H18" s="20" t="n"/>
      <c r="I18" s="21">
        <f>IF(OR(G18="",H18=""),"",H18-G18)</f>
        <v/>
      </c>
      <c r="J18" s="5" t="n"/>
    </row>
    <row r="19">
      <c r="A19" s="5" t="n"/>
      <c r="B19" s="5" t="n"/>
      <c r="C19" s="5" t="n"/>
      <c r="D19" s="5" t="n"/>
      <c r="E19" s="23" t="n"/>
      <c r="F19" s="20" t="n"/>
      <c r="G19" s="20" t="n"/>
      <c r="H19" s="20" t="n"/>
      <c r="I19" s="21">
        <f>IF(OR(G19="",H19=""),"",H19-G19)</f>
        <v/>
      </c>
      <c r="J19" s="5" t="n"/>
    </row>
    <row r="20">
      <c r="A20" s="5" t="n"/>
      <c r="B20" s="5" t="n"/>
      <c r="C20" s="5" t="n"/>
      <c r="D20" s="5" t="n"/>
      <c r="E20" s="23" t="n"/>
      <c r="F20" s="20" t="n"/>
      <c r="G20" s="20" t="n"/>
      <c r="H20" s="20" t="n"/>
      <c r="I20" s="21">
        <f>IF(OR(G20="",H20=""),"",H20-G20)</f>
        <v/>
      </c>
      <c r="J20" s="5" t="n"/>
    </row>
    <row r="21">
      <c r="A21" s="5" t="n"/>
      <c r="B21" s="5" t="n"/>
      <c r="C21" s="5" t="n"/>
      <c r="D21" s="5" t="n"/>
      <c r="E21" s="23" t="n"/>
      <c r="F21" s="20" t="n"/>
      <c r="G21" s="20" t="n"/>
      <c r="H21" s="20" t="n"/>
      <c r="I21" s="21">
        <f>IF(OR(G21="",H21=""),"",H21-G21)</f>
        <v/>
      </c>
      <c r="J21" s="5" t="n"/>
    </row>
    <row r="22">
      <c r="A22" s="5" t="n"/>
      <c r="B22" s="5" t="n"/>
      <c r="C22" s="5" t="n"/>
      <c r="D22" s="5" t="n"/>
      <c r="E22" s="23" t="n"/>
      <c r="F22" s="20" t="n"/>
      <c r="G22" s="20" t="n"/>
      <c r="H22" s="20" t="n"/>
      <c r="I22" s="21">
        <f>IF(OR(G22="",H22=""),"",H22-G22)</f>
        <v/>
      </c>
      <c r="J22" s="5" t="n"/>
    </row>
    <row r="23">
      <c r="A23" s="5" t="n"/>
      <c r="B23" s="5" t="n"/>
      <c r="C23" s="5" t="n"/>
      <c r="D23" s="5" t="n"/>
      <c r="E23" s="23" t="n"/>
      <c r="F23" s="20" t="n"/>
      <c r="G23" s="20" t="n"/>
      <c r="H23" s="20" t="n"/>
      <c r="I23" s="21">
        <f>IF(OR(G23="",H23=""),"",H23-G23)</f>
        <v/>
      </c>
      <c r="J23" s="5" t="n"/>
    </row>
    <row r="24">
      <c r="A24" s="5" t="n"/>
      <c r="B24" s="5" t="n"/>
      <c r="C24" s="5" t="n"/>
      <c r="D24" s="5" t="n"/>
      <c r="E24" s="23" t="n"/>
      <c r="F24" s="20" t="n"/>
      <c r="G24" s="20" t="n"/>
      <c r="H24" s="20" t="n"/>
      <c r="I24" s="21">
        <f>IF(OR(G24="",H24=""),"",H24-G24)</f>
        <v/>
      </c>
      <c r="J24" s="5" t="n"/>
    </row>
    <row r="25">
      <c r="A25" s="5" t="n"/>
      <c r="B25" s="5" t="n"/>
      <c r="C25" s="5" t="n"/>
      <c r="D25" s="5" t="n"/>
      <c r="E25" s="23" t="n"/>
      <c r="F25" s="20" t="n"/>
      <c r="G25" s="20" t="n"/>
      <c r="H25" s="20" t="n"/>
      <c r="I25" s="21">
        <f>IF(OR(G25="",H25=""),"",H25-G25)</f>
        <v/>
      </c>
      <c r="J25" s="5" t="n"/>
    </row>
    <row r="26">
      <c r="A26" s="5" t="n"/>
      <c r="B26" s="5" t="n"/>
      <c r="C26" s="5" t="n"/>
      <c r="D26" s="5" t="n"/>
      <c r="E26" s="23" t="n"/>
      <c r="F26" s="20" t="n"/>
      <c r="G26" s="20" t="n"/>
      <c r="H26" s="20" t="n"/>
      <c r="I26" s="21">
        <f>IF(OR(G26="",H26=""),"",H26-G26)</f>
        <v/>
      </c>
      <c r="J26" s="5" t="n"/>
    </row>
    <row r="27">
      <c r="A27" s="5" t="n"/>
      <c r="B27" s="5" t="n"/>
      <c r="C27" s="5" t="n"/>
      <c r="D27" s="5" t="n"/>
      <c r="E27" s="23" t="n"/>
      <c r="F27" s="20" t="n"/>
      <c r="G27" s="20" t="n"/>
      <c r="H27" s="20" t="n"/>
      <c r="I27" s="21">
        <f>IF(OR(G27="",H27=""),"",H27-G27)</f>
        <v/>
      </c>
      <c r="J27" s="5" t="n"/>
    </row>
    <row r="28">
      <c r="A28" s="5" t="n"/>
      <c r="B28" s="5" t="n"/>
      <c r="C28" s="5" t="n"/>
      <c r="D28" s="5" t="n"/>
      <c r="E28" s="23" t="n"/>
      <c r="F28" s="20" t="n"/>
      <c r="G28" s="20" t="n"/>
      <c r="H28" s="20" t="n"/>
      <c r="I28" s="21">
        <f>IF(OR(G28="",H28=""),"",H28-G28)</f>
        <v/>
      </c>
      <c r="J28" s="5" t="n"/>
    </row>
    <row r="29">
      <c r="A29" s="5" t="n"/>
      <c r="B29" s="5" t="n"/>
      <c r="C29" s="5" t="n"/>
      <c r="D29" s="5" t="n"/>
      <c r="E29" s="23" t="n"/>
      <c r="F29" s="20" t="n"/>
      <c r="G29" s="20" t="n"/>
      <c r="H29" s="20" t="n"/>
      <c r="I29" s="21">
        <f>IF(OR(G29="",H29=""),"",H29-G29)</f>
        <v/>
      </c>
      <c r="J29" s="5" t="n"/>
    </row>
    <row r="30">
      <c r="A30" s="5" t="n"/>
      <c r="B30" s="5" t="n"/>
      <c r="C30" s="5" t="n"/>
      <c r="D30" s="5" t="n"/>
      <c r="E30" s="23" t="n"/>
      <c r="F30" s="20" t="n"/>
      <c r="G30" s="20" t="n"/>
      <c r="H30" s="20" t="n"/>
      <c r="I30" s="21">
        <f>IF(OR(G30="",H30=""),"",H30-G30)</f>
        <v/>
      </c>
      <c r="J30" s="5" t="n"/>
    </row>
    <row r="31">
      <c r="A31" s="5" t="n"/>
      <c r="B31" s="5" t="n"/>
      <c r="C31" s="5" t="n"/>
      <c r="D31" s="5" t="n"/>
      <c r="E31" s="23" t="n"/>
      <c r="F31" s="20" t="n"/>
      <c r="G31" s="20" t="n"/>
      <c r="H31" s="20" t="n"/>
      <c r="I31" s="21">
        <f>IF(OR(G31="",H31=""),"",H31-G31)</f>
        <v/>
      </c>
      <c r="J31" s="5" t="n"/>
    </row>
    <row r="32">
      <c r="A32" s="5" t="n"/>
      <c r="B32" s="5" t="n"/>
      <c r="C32" s="5" t="n"/>
      <c r="D32" s="5" t="n"/>
      <c r="E32" s="23" t="n"/>
      <c r="F32" s="20" t="n"/>
      <c r="G32" s="20" t="n"/>
      <c r="H32" s="20" t="n"/>
      <c r="I32" s="21">
        <f>IF(OR(G32="",H32=""),"",H32-G32)</f>
        <v/>
      </c>
      <c r="J32" s="5" t="n"/>
    </row>
    <row r="33">
      <c r="A33" s="5" t="n"/>
      <c r="B33" s="5" t="n"/>
      <c r="C33" s="5" t="n"/>
      <c r="D33" s="5" t="n"/>
      <c r="E33" s="23" t="n"/>
      <c r="F33" s="20" t="n"/>
      <c r="G33" s="20" t="n"/>
      <c r="H33" s="20" t="n"/>
      <c r="I33" s="21">
        <f>IF(OR(G33="",H33=""),"",H33-G33)</f>
        <v/>
      </c>
      <c r="J33" s="5" t="n"/>
    </row>
    <row r="34">
      <c r="A34" s="5" t="n"/>
      <c r="B34" s="5" t="n"/>
      <c r="C34" s="5" t="n"/>
      <c r="D34" s="5" t="n"/>
      <c r="E34" s="23" t="n"/>
      <c r="F34" s="20" t="n"/>
      <c r="G34" s="20" t="n"/>
      <c r="H34" s="20" t="n"/>
      <c r="I34" s="21">
        <f>IF(OR(G34="",H34=""),"",H34-G34)</f>
        <v/>
      </c>
      <c r="J34" s="5" t="n"/>
    </row>
    <row r="35">
      <c r="A35" s="5" t="n"/>
      <c r="B35" s="5" t="n"/>
      <c r="C35" s="5" t="n"/>
      <c r="D35" s="5" t="n"/>
      <c r="E35" s="23" t="n"/>
      <c r="F35" s="20" t="n"/>
      <c r="G35" s="20" t="n"/>
      <c r="H35" s="20" t="n"/>
      <c r="I35" s="21">
        <f>IF(OR(G35="",H35=""),"",H35-G35)</f>
        <v/>
      </c>
      <c r="J35" s="5" t="n"/>
    </row>
    <row r="36">
      <c r="A36" s="5" t="n"/>
      <c r="B36" s="5" t="n"/>
      <c r="C36" s="5" t="n"/>
      <c r="D36" s="5" t="n"/>
      <c r="E36" s="23" t="n"/>
      <c r="F36" s="20" t="n"/>
      <c r="G36" s="20" t="n"/>
      <c r="H36" s="20" t="n"/>
      <c r="I36" s="21">
        <f>IF(OR(G36="",H36=""),"",H36-G36)</f>
        <v/>
      </c>
      <c r="J36" s="5" t="n"/>
    </row>
    <row r="37">
      <c r="A37" s="5" t="n"/>
      <c r="B37" s="5" t="n"/>
      <c r="C37" s="5" t="n"/>
      <c r="D37" s="5" t="n"/>
      <c r="E37" s="23" t="n"/>
      <c r="F37" s="20" t="n"/>
      <c r="G37" s="20" t="n"/>
      <c r="H37" s="20" t="n"/>
      <c r="I37" s="21">
        <f>IF(OR(G37="",H37=""),"",H37-G37)</f>
        <v/>
      </c>
      <c r="J37" s="5" t="n"/>
    </row>
    <row r="38">
      <c r="A38" s="5" t="n"/>
      <c r="B38" s="5" t="n"/>
      <c r="C38" s="5" t="n"/>
      <c r="D38" s="5" t="n"/>
      <c r="E38" s="23" t="n"/>
      <c r="F38" s="20" t="n"/>
      <c r="G38" s="20" t="n"/>
      <c r="H38" s="20" t="n"/>
      <c r="I38" s="21">
        <f>IF(OR(G38="",H38=""),"",H38-G38)</f>
        <v/>
      </c>
      <c r="J38" s="5" t="n"/>
    </row>
    <row r="39">
      <c r="A39" s="5" t="n"/>
      <c r="B39" s="5" t="n"/>
      <c r="C39" s="5" t="n"/>
      <c r="D39" s="5" t="n"/>
      <c r="E39" s="23" t="n"/>
      <c r="F39" s="20" t="n"/>
      <c r="G39" s="20" t="n"/>
      <c r="H39" s="20" t="n"/>
      <c r="I39" s="21">
        <f>IF(OR(G39="",H39=""),"",H39-G39)</f>
        <v/>
      </c>
      <c r="J39" s="5" t="n"/>
    </row>
    <row r="40">
      <c r="A40" s="5" t="n"/>
      <c r="B40" s="5" t="n"/>
      <c r="C40" s="5" t="n"/>
      <c r="D40" s="5" t="n"/>
      <c r="E40" s="23" t="n"/>
      <c r="F40" s="20" t="n"/>
      <c r="G40" s="20" t="n"/>
      <c r="H40" s="20" t="n"/>
      <c r="I40" s="21">
        <f>IF(OR(G40="",H40=""),"",H40-G40)</f>
        <v/>
      </c>
      <c r="J40" s="5" t="n"/>
    </row>
    <row r="41">
      <c r="A41" s="5" t="n"/>
      <c r="B41" s="5" t="n"/>
      <c r="C41" s="5" t="n"/>
      <c r="D41" s="5" t="n"/>
      <c r="E41" s="23" t="n"/>
      <c r="F41" s="20" t="n"/>
      <c r="G41" s="20" t="n"/>
      <c r="H41" s="20" t="n"/>
      <c r="I41" s="21">
        <f>IF(OR(G41="",H41=""),"",H41-G41)</f>
        <v/>
      </c>
      <c r="J41" s="5" t="n"/>
    </row>
    <row r="42">
      <c r="A42" s="5" t="n"/>
      <c r="B42" s="5" t="n"/>
      <c r="C42" s="5" t="n"/>
      <c r="D42" s="5" t="n"/>
      <c r="E42" s="23" t="n"/>
      <c r="F42" s="20" t="n"/>
      <c r="G42" s="20" t="n"/>
      <c r="H42" s="20" t="n"/>
      <c r="I42" s="21">
        <f>IF(OR(G42="",H42=""),"",H42-G42)</f>
        <v/>
      </c>
      <c r="J42" s="5" t="n"/>
    </row>
    <row r="43">
      <c r="A43" s="5" t="n"/>
      <c r="B43" s="5" t="n"/>
      <c r="C43" s="5" t="n"/>
      <c r="D43" s="5" t="n"/>
      <c r="E43" s="23" t="n"/>
      <c r="F43" s="20" t="n"/>
      <c r="G43" s="20" t="n"/>
      <c r="H43" s="20" t="n"/>
      <c r="I43" s="21">
        <f>IF(OR(G43="",H43=""),"",H43-G43)</f>
        <v/>
      </c>
      <c r="J43" s="5" t="n"/>
    </row>
    <row r="44">
      <c r="A44" s="5" t="n"/>
      <c r="B44" s="5" t="n"/>
      <c r="C44" s="5" t="n"/>
      <c r="D44" s="5" t="n"/>
      <c r="E44" s="23" t="n"/>
      <c r="F44" s="20" t="n"/>
      <c r="G44" s="20" t="n"/>
      <c r="H44" s="20" t="n"/>
      <c r="I44" s="21">
        <f>IF(OR(G44="",H44=""),"",H44-G44)</f>
        <v/>
      </c>
      <c r="J44" s="5" t="n"/>
    </row>
    <row r="45">
      <c r="A45" s="5" t="n"/>
      <c r="B45" s="5" t="n"/>
      <c r="C45" s="5" t="n"/>
      <c r="D45" s="5" t="n"/>
      <c r="E45" s="23" t="n"/>
      <c r="F45" s="20" t="n"/>
      <c r="G45" s="20" t="n"/>
      <c r="H45" s="20" t="n"/>
      <c r="I45" s="21">
        <f>IF(OR(G45="",H45=""),"",H45-G45)</f>
        <v/>
      </c>
      <c r="J45" s="5" t="n"/>
    </row>
    <row r="46">
      <c r="A46" s="5" t="n"/>
      <c r="B46" s="5" t="n"/>
      <c r="C46" s="5" t="n"/>
      <c r="D46" s="5" t="n"/>
      <c r="E46" s="23" t="n"/>
      <c r="F46" s="20" t="n"/>
      <c r="G46" s="20" t="n"/>
      <c r="H46" s="20" t="n"/>
      <c r="I46" s="21">
        <f>IF(OR(G46="",H46=""),"",H46-G46)</f>
        <v/>
      </c>
      <c r="J46" s="5" t="n"/>
    </row>
    <row r="47">
      <c r="A47" s="5" t="n"/>
      <c r="B47" s="5" t="n"/>
      <c r="C47" s="5" t="n"/>
      <c r="D47" s="5" t="n"/>
      <c r="E47" s="23" t="n"/>
      <c r="F47" s="20" t="n"/>
      <c r="G47" s="20" t="n"/>
      <c r="H47" s="20" t="n"/>
      <c r="I47" s="21">
        <f>IF(OR(G47="",H47=""),"",H47-G47)</f>
        <v/>
      </c>
      <c r="J47" s="5" t="n"/>
    </row>
    <row r="48">
      <c r="A48" s="5" t="n"/>
      <c r="B48" s="5" t="n"/>
      <c r="C48" s="5" t="n"/>
      <c r="D48" s="5" t="n"/>
      <c r="E48" s="23" t="n"/>
      <c r="F48" s="20" t="n"/>
      <c r="G48" s="20" t="n"/>
      <c r="H48" s="20" t="n"/>
      <c r="I48" s="21">
        <f>IF(OR(G48="",H48=""),"",H48-G48)</f>
        <v/>
      </c>
      <c r="J48" s="5" t="n"/>
    </row>
    <row r="49">
      <c r="A49" s="5" t="n"/>
      <c r="B49" s="5" t="n"/>
      <c r="C49" s="5" t="n"/>
      <c r="D49" s="5" t="n"/>
      <c r="E49" s="23" t="n"/>
      <c r="F49" s="20" t="n"/>
      <c r="G49" s="20" t="n"/>
      <c r="H49" s="20" t="n"/>
      <c r="I49" s="21">
        <f>IF(OR(G49="",H49=""),"",H49-G49)</f>
        <v/>
      </c>
      <c r="J49" s="5" t="n"/>
    </row>
    <row r="50">
      <c r="A50" s="5" t="n"/>
      <c r="B50" s="5" t="n"/>
      <c r="C50" s="5" t="n"/>
      <c r="D50" s="5" t="n"/>
      <c r="E50" s="23" t="n"/>
      <c r="F50" s="20" t="n"/>
      <c r="G50" s="20" t="n"/>
      <c r="H50" s="20" t="n"/>
      <c r="I50" s="21">
        <f>IF(OR(G50="",H50=""),"",H50-G50)</f>
        <v/>
      </c>
      <c r="J50" s="5" t="n"/>
    </row>
    <row r="51">
      <c r="A51" s="5" t="n"/>
      <c r="B51" s="5" t="n"/>
      <c r="C51" s="5" t="n"/>
      <c r="D51" s="5" t="n"/>
      <c r="E51" s="23" t="n"/>
      <c r="F51" s="20" t="n"/>
      <c r="G51" s="20" t="n"/>
      <c r="H51" s="20" t="n"/>
      <c r="I51" s="21">
        <f>IF(OR(G51="",H51=""),"",H51-G51)</f>
        <v/>
      </c>
      <c r="J51" s="5" t="n"/>
    </row>
    <row r="52">
      <c r="A52" s="5" t="n"/>
      <c r="B52" s="5" t="n"/>
      <c r="C52" s="5" t="n"/>
      <c r="D52" s="5" t="n"/>
      <c r="E52" s="23" t="n"/>
      <c r="F52" s="20" t="n"/>
      <c r="G52" s="20" t="n"/>
      <c r="H52" s="20" t="n"/>
      <c r="I52" s="21">
        <f>IF(OR(G52="",H52=""),"",H52-G52)</f>
        <v/>
      </c>
      <c r="J52" s="5" t="n"/>
    </row>
    <row r="53">
      <c r="A53" s="5" t="n"/>
      <c r="B53" s="5" t="n"/>
      <c r="C53" s="5" t="n"/>
      <c r="D53" s="5" t="n"/>
      <c r="E53" s="23" t="n"/>
      <c r="F53" s="20" t="n"/>
      <c r="G53" s="20" t="n"/>
      <c r="H53" s="20" t="n"/>
      <c r="I53" s="21">
        <f>IF(OR(G53="",H53=""),"",H53-G53)</f>
        <v/>
      </c>
      <c r="J53" s="5" t="n"/>
    </row>
    <row r="54">
      <c r="A54" s="5" t="n"/>
      <c r="B54" s="5" t="n"/>
      <c r="C54" s="5" t="n"/>
      <c r="D54" s="5" t="n"/>
      <c r="E54" s="23" t="n"/>
      <c r="F54" s="20" t="n"/>
      <c r="G54" s="20" t="n"/>
      <c r="H54" s="20" t="n"/>
      <c r="I54" s="21">
        <f>IF(OR(G54="",H54=""),"",H54-G54)</f>
        <v/>
      </c>
      <c r="J54" s="5" t="n"/>
    </row>
    <row r="55">
      <c r="A55" s="5" t="n"/>
      <c r="B55" s="5" t="n"/>
      <c r="C55" s="5" t="n"/>
      <c r="D55" s="5" t="n"/>
      <c r="E55" s="23" t="n"/>
      <c r="F55" s="20" t="n"/>
      <c r="G55" s="20" t="n"/>
      <c r="H55" s="20" t="n"/>
      <c r="I55" s="21">
        <f>IF(OR(G55="",H55=""),"",H55-G55)</f>
        <v/>
      </c>
      <c r="J55" s="5" t="n"/>
    </row>
    <row r="56">
      <c r="A56" s="5" t="n"/>
      <c r="B56" s="5" t="n"/>
      <c r="C56" s="5" t="n"/>
      <c r="D56" s="5" t="n"/>
      <c r="E56" s="23" t="n"/>
      <c r="F56" s="20" t="n"/>
      <c r="G56" s="20" t="n"/>
      <c r="H56" s="20" t="n"/>
      <c r="I56" s="21">
        <f>IF(OR(G56="",H56=""),"",H56-G56)</f>
        <v/>
      </c>
      <c r="J56" s="5" t="n"/>
    </row>
    <row r="57">
      <c r="A57" s="5" t="n"/>
      <c r="B57" s="5" t="n"/>
      <c r="C57" s="5" t="n"/>
      <c r="D57" s="5" t="n"/>
      <c r="E57" s="23" t="n"/>
      <c r="F57" s="20" t="n"/>
      <c r="G57" s="20" t="n"/>
      <c r="H57" s="20" t="n"/>
      <c r="I57" s="21">
        <f>IF(OR(G57="",H57=""),"",H57-G57)</f>
        <v/>
      </c>
      <c r="J57" s="5" t="n"/>
    </row>
    <row r="58">
      <c r="A58" s="5" t="n"/>
      <c r="B58" s="5" t="n"/>
      <c r="C58" s="5" t="n"/>
      <c r="D58" s="5" t="n"/>
      <c r="E58" s="23" t="n"/>
      <c r="F58" s="20" t="n"/>
      <c r="G58" s="20" t="n"/>
      <c r="H58" s="20" t="n"/>
      <c r="I58" s="21">
        <f>IF(OR(G58="",H58=""),"",H58-G58)</f>
        <v/>
      </c>
      <c r="J58" s="5" t="n"/>
    </row>
    <row r="59">
      <c r="A59" s="5" t="n"/>
      <c r="B59" s="5" t="n"/>
      <c r="C59" s="5" t="n"/>
      <c r="D59" s="5" t="n"/>
      <c r="E59" s="23" t="n"/>
      <c r="F59" s="20" t="n"/>
      <c r="G59" s="20" t="n"/>
      <c r="H59" s="20" t="n"/>
      <c r="I59" s="21">
        <f>IF(OR(G59="",H59=""),"",H59-G59)</f>
        <v/>
      </c>
      <c r="J59" s="5" t="n"/>
    </row>
    <row r="60">
      <c r="A60" s="5" t="n"/>
      <c r="B60" s="5" t="n"/>
      <c r="C60" s="5" t="n"/>
      <c r="D60" s="5" t="n"/>
      <c r="E60" s="23" t="n"/>
      <c r="F60" s="20" t="n"/>
      <c r="G60" s="20" t="n"/>
      <c r="H60" s="20" t="n"/>
      <c r="I60" s="21">
        <f>IF(OR(G60="",H60=""),"",H60-G60)</f>
        <v/>
      </c>
      <c r="J60" s="5" t="n"/>
    </row>
    <row r="61">
      <c r="A61" s="5" t="n"/>
      <c r="B61" s="5" t="n"/>
      <c r="C61" s="5" t="n"/>
      <c r="D61" s="5" t="n"/>
      <c r="E61" s="23" t="n"/>
      <c r="F61" s="20" t="n"/>
      <c r="G61" s="20" t="n"/>
      <c r="H61" s="20" t="n"/>
      <c r="I61" s="21">
        <f>IF(OR(G61="",H61=""),"",H61-G61)</f>
        <v/>
      </c>
      <c r="J61" s="5" t="n"/>
    </row>
    <row r="62">
      <c r="A62" s="5" t="n"/>
      <c r="B62" s="5" t="n"/>
      <c r="C62" s="5" t="n"/>
      <c r="D62" s="5" t="n"/>
      <c r="E62" s="23" t="n"/>
      <c r="F62" s="20" t="n"/>
      <c r="G62" s="20" t="n"/>
      <c r="H62" s="20" t="n"/>
      <c r="I62" s="21">
        <f>IF(OR(G62="",H62=""),"",H62-G62)</f>
        <v/>
      </c>
      <c r="J62" s="5" t="n"/>
    </row>
    <row r="63">
      <c r="A63" s="5" t="n"/>
      <c r="B63" s="5" t="n"/>
      <c r="C63" s="5" t="n"/>
      <c r="D63" s="5" t="n"/>
      <c r="E63" s="23" t="n"/>
      <c r="F63" s="20" t="n"/>
      <c r="G63" s="20" t="n"/>
      <c r="H63" s="20" t="n"/>
      <c r="I63" s="21">
        <f>IF(OR(G63="",H63=""),"",H63-G63)</f>
        <v/>
      </c>
      <c r="J63" s="5" t="n"/>
    </row>
    <row r="64">
      <c r="A64" s="5" t="n"/>
      <c r="B64" s="5" t="n"/>
      <c r="C64" s="5" t="n"/>
      <c r="D64" s="5" t="n"/>
      <c r="E64" s="23" t="n"/>
      <c r="F64" s="20" t="n"/>
      <c r="G64" s="20" t="n"/>
      <c r="H64" s="20" t="n"/>
      <c r="I64" s="21">
        <f>IF(OR(G64="",H64=""),"",H64-G64)</f>
        <v/>
      </c>
      <c r="J64" s="5" t="n"/>
    </row>
    <row r="65">
      <c r="A65" s="5" t="n"/>
      <c r="B65" s="5" t="n"/>
      <c r="C65" s="5" t="n"/>
      <c r="D65" s="5" t="n"/>
      <c r="E65" s="23" t="n"/>
      <c r="F65" s="20" t="n"/>
      <c r="G65" s="20" t="n"/>
      <c r="H65" s="20" t="n"/>
      <c r="I65" s="21">
        <f>IF(OR(G65="",H65=""),"",H65-G65)</f>
        <v/>
      </c>
      <c r="J65" s="5" t="n"/>
    </row>
    <row r="66">
      <c r="A66" s="5" t="n"/>
      <c r="B66" s="5" t="n"/>
      <c r="C66" s="5" t="n"/>
      <c r="D66" s="5" t="n"/>
      <c r="E66" s="23" t="n"/>
      <c r="F66" s="20" t="n"/>
      <c r="G66" s="20" t="n"/>
      <c r="H66" s="20" t="n"/>
      <c r="I66" s="21">
        <f>IF(OR(G66="",H66=""),"",H66-G66)</f>
        <v/>
      </c>
      <c r="J66" s="5" t="n"/>
    </row>
    <row r="67">
      <c r="A67" s="5" t="n"/>
      <c r="B67" s="5" t="n"/>
      <c r="C67" s="5" t="n"/>
      <c r="D67" s="5" t="n"/>
      <c r="E67" s="23" t="n"/>
      <c r="F67" s="20" t="n"/>
      <c r="G67" s="20" t="n"/>
      <c r="H67" s="20" t="n"/>
      <c r="I67" s="21">
        <f>IF(OR(G67="",H67=""),"",H67-G67)</f>
        <v/>
      </c>
      <c r="J67" s="5" t="n"/>
    </row>
    <row r="68">
      <c r="A68" s="5" t="n"/>
      <c r="B68" s="5" t="n"/>
      <c r="C68" s="5" t="n"/>
      <c r="D68" s="5" t="n"/>
      <c r="E68" s="23" t="n"/>
      <c r="F68" s="20" t="n"/>
      <c r="G68" s="20" t="n"/>
      <c r="H68" s="20" t="n"/>
      <c r="I68" s="21">
        <f>IF(OR(G68="",H68=""),"",H68-G68)</f>
        <v/>
      </c>
      <c r="J68" s="5" t="n"/>
    </row>
    <row r="69">
      <c r="A69" s="5" t="n"/>
      <c r="B69" s="5" t="n"/>
      <c r="C69" s="5" t="n"/>
      <c r="D69" s="5" t="n"/>
      <c r="E69" s="23" t="n"/>
      <c r="F69" s="20" t="n"/>
      <c r="G69" s="20" t="n"/>
      <c r="H69" s="20" t="n"/>
      <c r="I69" s="21">
        <f>IF(OR(G69="",H69=""),"",H69-G69)</f>
        <v/>
      </c>
      <c r="J69" s="5" t="n"/>
    </row>
    <row r="70">
      <c r="A70" s="5" t="n"/>
      <c r="B70" s="5" t="n"/>
      <c r="C70" s="5" t="n"/>
      <c r="D70" s="5" t="n"/>
      <c r="E70" s="23" t="n"/>
      <c r="F70" s="20" t="n"/>
      <c r="G70" s="20" t="n"/>
      <c r="H70" s="20" t="n"/>
      <c r="I70" s="21">
        <f>IF(OR(G70="",H70=""),"",H70-G70)</f>
        <v/>
      </c>
      <c r="J70" s="5" t="n"/>
    </row>
    <row r="71">
      <c r="A71" s="5" t="n"/>
      <c r="B71" s="5" t="n"/>
      <c r="C71" s="5" t="n"/>
      <c r="D71" s="5" t="n"/>
      <c r="E71" s="23" t="n"/>
      <c r="F71" s="20" t="n"/>
      <c r="G71" s="20" t="n"/>
      <c r="H71" s="20" t="n"/>
      <c r="I71" s="21">
        <f>IF(OR(G71="",H71=""),"",H71-G71)</f>
        <v/>
      </c>
      <c r="J71" s="5" t="n"/>
    </row>
    <row r="72">
      <c r="A72" s="5" t="n"/>
      <c r="B72" s="5" t="n"/>
      <c r="C72" s="5" t="n"/>
      <c r="D72" s="5" t="n"/>
      <c r="E72" s="23" t="n"/>
      <c r="F72" s="20" t="n"/>
      <c r="G72" s="20" t="n"/>
      <c r="H72" s="20" t="n"/>
      <c r="I72" s="21">
        <f>IF(OR(G72="",H72=""),"",H72-G72)</f>
        <v/>
      </c>
      <c r="J72" s="5" t="n"/>
    </row>
    <row r="73">
      <c r="A73" s="5" t="n"/>
      <c r="B73" s="5" t="n"/>
      <c r="C73" s="5" t="n"/>
      <c r="D73" s="5" t="n"/>
      <c r="E73" s="23" t="n"/>
      <c r="F73" s="20" t="n"/>
      <c r="G73" s="20" t="n"/>
      <c r="H73" s="20" t="n"/>
      <c r="I73" s="21">
        <f>IF(OR(G73="",H73=""),"",H73-G73)</f>
        <v/>
      </c>
      <c r="J73" s="5" t="n"/>
    </row>
    <row r="74">
      <c r="A74" s="5" t="n"/>
      <c r="B74" s="5" t="n"/>
      <c r="C74" s="5" t="n"/>
      <c r="D74" s="5" t="n"/>
      <c r="E74" s="23" t="n"/>
      <c r="F74" s="20" t="n"/>
      <c r="G74" s="20" t="n"/>
      <c r="H74" s="20" t="n"/>
      <c r="I74" s="21">
        <f>IF(OR(G74="",H74=""),"",H74-G74)</f>
        <v/>
      </c>
      <c r="J74" s="5" t="n"/>
    </row>
    <row r="75">
      <c r="A75" s="5" t="n"/>
      <c r="B75" s="5" t="n"/>
      <c r="C75" s="5" t="n"/>
      <c r="D75" s="5" t="n"/>
      <c r="E75" s="23" t="n"/>
      <c r="F75" s="20" t="n"/>
      <c r="G75" s="20" t="n"/>
      <c r="H75" s="20" t="n"/>
      <c r="I75" s="21">
        <f>IF(OR(G75="",H75=""),"",H75-G75)</f>
        <v/>
      </c>
      <c r="J75" s="5" t="n"/>
    </row>
    <row r="76">
      <c r="A76" s="5" t="n"/>
      <c r="B76" s="5" t="n"/>
      <c r="C76" s="5" t="n"/>
      <c r="D76" s="5" t="n"/>
      <c r="E76" s="23" t="n"/>
      <c r="F76" s="20" t="n"/>
      <c r="G76" s="20" t="n"/>
      <c r="H76" s="20" t="n"/>
      <c r="I76" s="21">
        <f>IF(OR(G76="",H76=""),"",H76-G76)</f>
        <v/>
      </c>
      <c r="J76" s="5" t="n"/>
    </row>
    <row r="77">
      <c r="A77" s="5" t="n"/>
      <c r="B77" s="5" t="n"/>
      <c r="C77" s="5" t="n"/>
      <c r="D77" s="5" t="n"/>
      <c r="E77" s="23" t="n"/>
      <c r="F77" s="20" t="n"/>
      <c r="G77" s="20" t="n"/>
      <c r="H77" s="20" t="n"/>
      <c r="I77" s="21">
        <f>IF(OR(G77="",H77=""),"",H77-G77)</f>
        <v/>
      </c>
      <c r="J77" s="5" t="n"/>
    </row>
    <row r="78">
      <c r="A78" s="5" t="n"/>
      <c r="B78" s="5" t="n"/>
      <c r="C78" s="5" t="n"/>
      <c r="D78" s="5" t="n"/>
      <c r="E78" s="23" t="n"/>
      <c r="F78" s="20" t="n"/>
      <c r="G78" s="20" t="n"/>
      <c r="H78" s="20" t="n"/>
      <c r="I78" s="21">
        <f>IF(OR(G78="",H78=""),"",H78-G78)</f>
        <v/>
      </c>
      <c r="J78" s="5" t="n"/>
    </row>
    <row r="79">
      <c r="A79" s="5" t="n"/>
      <c r="B79" s="5" t="n"/>
      <c r="C79" s="5" t="n"/>
      <c r="D79" s="5" t="n"/>
      <c r="E79" s="23" t="n"/>
      <c r="F79" s="20" t="n"/>
      <c r="G79" s="20" t="n"/>
      <c r="H79" s="20" t="n"/>
      <c r="I79" s="21">
        <f>IF(OR(G79="",H79=""),"",H79-G79)</f>
        <v/>
      </c>
      <c r="J79" s="5" t="n"/>
    </row>
    <row r="80">
      <c r="A80" s="5" t="n"/>
      <c r="B80" s="5" t="n"/>
      <c r="C80" s="5" t="n"/>
      <c r="D80" s="5" t="n"/>
      <c r="E80" s="23" t="n"/>
      <c r="F80" s="20" t="n"/>
      <c r="G80" s="20" t="n"/>
      <c r="H80" s="20" t="n"/>
      <c r="I80" s="21">
        <f>IF(OR(G80="",H80=""),"",H80-G80)</f>
        <v/>
      </c>
      <c r="J80" s="5" t="n"/>
    </row>
    <row r="81">
      <c r="A81" s="5" t="n"/>
      <c r="B81" s="5" t="n"/>
      <c r="C81" s="5" t="n"/>
      <c r="D81" s="5" t="n"/>
      <c r="E81" s="23" t="n"/>
      <c r="F81" s="20" t="n"/>
      <c r="G81" s="20" t="n"/>
      <c r="H81" s="20" t="n"/>
      <c r="I81" s="21">
        <f>IF(OR(G81="",H81=""),"",H81-G81)</f>
        <v/>
      </c>
      <c r="J81" s="5" t="n"/>
    </row>
    <row r="82">
      <c r="A82" s="5" t="n"/>
      <c r="B82" s="5" t="n"/>
      <c r="C82" s="5" t="n"/>
      <c r="D82" s="5" t="n"/>
      <c r="E82" s="23" t="n"/>
      <c r="F82" s="20" t="n"/>
      <c r="G82" s="20" t="n"/>
      <c r="H82" s="20" t="n"/>
      <c r="I82" s="21">
        <f>IF(OR(G82="",H82=""),"",H82-G82)</f>
        <v/>
      </c>
      <c r="J82" s="5" t="n"/>
    </row>
    <row r="83">
      <c r="A83" s="5" t="n"/>
      <c r="B83" s="5" t="n"/>
      <c r="C83" s="5" t="n"/>
      <c r="D83" s="5" t="n"/>
      <c r="E83" s="23" t="n"/>
      <c r="F83" s="20" t="n"/>
      <c r="G83" s="20" t="n"/>
      <c r="H83" s="20" t="n"/>
      <c r="I83" s="21">
        <f>IF(OR(G83="",H83=""),"",H83-G83)</f>
        <v/>
      </c>
      <c r="J83" s="5" t="n"/>
    </row>
    <row r="84">
      <c r="A84" s="5" t="n"/>
      <c r="B84" s="5" t="n"/>
      <c r="C84" s="5" t="n"/>
      <c r="D84" s="5" t="n"/>
      <c r="E84" s="23" t="n"/>
      <c r="F84" s="20" t="n"/>
      <c r="G84" s="20" t="n"/>
      <c r="H84" s="20" t="n"/>
      <c r="I84" s="21">
        <f>IF(OR(G84="",H84=""),"",H84-G84)</f>
        <v/>
      </c>
      <c r="J84" s="5" t="n"/>
    </row>
    <row r="85">
      <c r="A85" s="5" t="n"/>
      <c r="B85" s="5" t="n"/>
      <c r="C85" s="5" t="n"/>
      <c r="D85" s="5" t="n"/>
      <c r="E85" s="23" t="n"/>
      <c r="F85" s="20" t="n"/>
      <c r="G85" s="20" t="n"/>
      <c r="H85" s="20" t="n"/>
      <c r="I85" s="21">
        <f>IF(OR(G85="",H85=""),"",H85-G85)</f>
        <v/>
      </c>
      <c r="J85" s="5" t="n"/>
    </row>
    <row r="86">
      <c r="A86" s="5" t="n"/>
      <c r="B86" s="5" t="n"/>
      <c r="C86" s="5" t="n"/>
      <c r="D86" s="5" t="n"/>
      <c r="E86" s="23" t="n"/>
      <c r="F86" s="20" t="n"/>
      <c r="G86" s="20" t="n"/>
      <c r="H86" s="20" t="n"/>
      <c r="I86" s="21">
        <f>IF(OR(G86="",H86=""),"",H86-G86)</f>
        <v/>
      </c>
      <c r="J86" s="5" t="n"/>
    </row>
    <row r="87">
      <c r="A87" s="5" t="n"/>
      <c r="B87" s="5" t="n"/>
      <c r="C87" s="5" t="n"/>
      <c r="D87" s="5" t="n"/>
      <c r="E87" s="23" t="n"/>
      <c r="F87" s="20" t="n"/>
      <c r="G87" s="20" t="n"/>
      <c r="H87" s="20" t="n"/>
      <c r="I87" s="21">
        <f>IF(OR(G87="",H87=""),"",H87-G87)</f>
        <v/>
      </c>
      <c r="J87" s="5" t="n"/>
    </row>
    <row r="88">
      <c r="A88" s="5" t="n"/>
      <c r="B88" s="5" t="n"/>
      <c r="C88" s="5" t="n"/>
      <c r="D88" s="5" t="n"/>
      <c r="E88" s="23" t="n"/>
      <c r="F88" s="20" t="n"/>
      <c r="G88" s="20" t="n"/>
      <c r="H88" s="20" t="n"/>
      <c r="I88" s="21">
        <f>IF(OR(G88="",H88=""),"",H88-G88)</f>
        <v/>
      </c>
      <c r="J88" s="5" t="n"/>
    </row>
    <row r="89">
      <c r="A89" s="5" t="n"/>
      <c r="B89" s="5" t="n"/>
      <c r="C89" s="5" t="n"/>
      <c r="D89" s="5" t="n"/>
      <c r="E89" s="23" t="n"/>
      <c r="F89" s="20" t="n"/>
      <c r="G89" s="20" t="n"/>
      <c r="H89" s="20" t="n"/>
      <c r="I89" s="21">
        <f>IF(OR(G89="",H89=""),"",H89-G89)</f>
        <v/>
      </c>
      <c r="J89" s="5" t="n"/>
    </row>
    <row r="90">
      <c r="A90" s="5" t="n"/>
      <c r="B90" s="5" t="n"/>
      <c r="C90" s="5" t="n"/>
      <c r="D90" s="5" t="n"/>
      <c r="E90" s="23" t="n"/>
      <c r="F90" s="20" t="n"/>
      <c r="G90" s="20" t="n"/>
      <c r="H90" s="20" t="n"/>
      <c r="I90" s="21">
        <f>IF(OR(G90="",H90=""),"",H90-G90)</f>
        <v/>
      </c>
      <c r="J90" s="5" t="n"/>
    </row>
    <row r="91">
      <c r="A91" s="5" t="n"/>
      <c r="B91" s="5" t="n"/>
      <c r="C91" s="5" t="n"/>
      <c r="D91" s="5" t="n"/>
      <c r="E91" s="23" t="n"/>
      <c r="F91" s="20" t="n"/>
      <c r="G91" s="20" t="n"/>
      <c r="H91" s="20" t="n"/>
      <c r="I91" s="21">
        <f>IF(OR(G91="",H91=""),"",H91-G91)</f>
        <v/>
      </c>
      <c r="J91" s="5" t="n"/>
    </row>
    <row r="92">
      <c r="A92" s="5" t="n"/>
      <c r="B92" s="5" t="n"/>
      <c r="C92" s="5" t="n"/>
      <c r="D92" s="5" t="n"/>
      <c r="E92" s="23" t="n"/>
      <c r="F92" s="20" t="n"/>
      <c r="G92" s="20" t="n"/>
      <c r="H92" s="20" t="n"/>
      <c r="I92" s="21">
        <f>IF(OR(G92="",H92=""),"",H92-G92)</f>
        <v/>
      </c>
      <c r="J92" s="5" t="n"/>
    </row>
    <row r="93">
      <c r="A93" s="5" t="n"/>
      <c r="B93" s="5" t="n"/>
      <c r="C93" s="5" t="n"/>
      <c r="D93" s="5" t="n"/>
      <c r="E93" s="23" t="n"/>
      <c r="F93" s="20" t="n"/>
      <c r="G93" s="20" t="n"/>
      <c r="H93" s="20" t="n"/>
      <c r="I93" s="21">
        <f>IF(OR(G93="",H93=""),"",H93-G93)</f>
        <v/>
      </c>
      <c r="J93" s="5" t="n"/>
    </row>
    <row r="94">
      <c r="A94" s="5" t="n"/>
      <c r="B94" s="5" t="n"/>
      <c r="C94" s="5" t="n"/>
      <c r="D94" s="5" t="n"/>
      <c r="E94" s="23" t="n"/>
      <c r="F94" s="20" t="n"/>
      <c r="G94" s="20" t="n"/>
      <c r="H94" s="20" t="n"/>
      <c r="I94" s="21">
        <f>IF(OR(G94="",H94=""),"",H94-G94)</f>
        <v/>
      </c>
      <c r="J94" s="5" t="n"/>
    </row>
    <row r="95">
      <c r="A95" s="5" t="n"/>
      <c r="B95" s="5" t="n"/>
      <c r="C95" s="5" t="n"/>
      <c r="D95" s="5" t="n"/>
      <c r="E95" s="23" t="n"/>
      <c r="F95" s="20" t="n"/>
      <c r="G95" s="20" t="n"/>
      <c r="H95" s="20" t="n"/>
      <c r="I95" s="21">
        <f>IF(OR(G95="",H95=""),"",H95-G95)</f>
        <v/>
      </c>
      <c r="J95" s="5" t="n"/>
    </row>
    <row r="96">
      <c r="A96" s="5" t="n"/>
      <c r="B96" s="5" t="n"/>
      <c r="C96" s="5" t="n"/>
      <c r="D96" s="5" t="n"/>
      <c r="E96" s="23" t="n"/>
      <c r="F96" s="20" t="n"/>
      <c r="G96" s="20" t="n"/>
      <c r="H96" s="20" t="n"/>
      <c r="I96" s="21">
        <f>IF(OR(G96="",H96=""),"",H96-G96)</f>
        <v/>
      </c>
      <c r="J96" s="5" t="n"/>
    </row>
    <row r="97">
      <c r="A97" s="5" t="n"/>
      <c r="B97" s="5" t="n"/>
      <c r="C97" s="5" t="n"/>
      <c r="D97" s="5" t="n"/>
      <c r="E97" s="23" t="n"/>
      <c r="F97" s="20" t="n"/>
      <c r="G97" s="20" t="n"/>
      <c r="H97" s="20" t="n"/>
      <c r="I97" s="21">
        <f>IF(OR(G97="",H97=""),"",H97-G97)</f>
        <v/>
      </c>
      <c r="J97" s="5" t="n"/>
    </row>
    <row r="98">
      <c r="A98" s="5" t="n"/>
      <c r="B98" s="5" t="n"/>
      <c r="C98" s="5" t="n"/>
      <c r="D98" s="5" t="n"/>
      <c r="E98" s="23" t="n"/>
      <c r="F98" s="20" t="n"/>
      <c r="G98" s="20" t="n"/>
      <c r="H98" s="20" t="n"/>
      <c r="I98" s="21">
        <f>IF(OR(G98="",H98=""),"",H98-G98)</f>
        <v/>
      </c>
      <c r="J98" s="5" t="n"/>
    </row>
    <row r="99">
      <c r="A99" s="5" t="n"/>
      <c r="B99" s="5" t="n"/>
      <c r="C99" s="5" t="n"/>
      <c r="D99" s="5" t="n"/>
      <c r="E99" s="23" t="n"/>
      <c r="F99" s="20" t="n"/>
      <c r="G99" s="20" t="n"/>
      <c r="H99" s="20" t="n"/>
      <c r="I99" s="21">
        <f>IF(OR(G99="",H99=""),"",H99-G99)</f>
        <v/>
      </c>
      <c r="J99" s="5" t="n"/>
    </row>
    <row r="100">
      <c r="A100" s="5" t="n"/>
      <c r="B100" s="5" t="n"/>
      <c r="C100" s="5" t="n"/>
      <c r="D100" s="5" t="n"/>
      <c r="E100" s="23" t="n"/>
      <c r="F100" s="20" t="n"/>
      <c r="G100" s="20" t="n"/>
      <c r="H100" s="20" t="n"/>
      <c r="I100" s="21">
        <f>IF(OR(G100="",H100=""),"",H100-G100)</f>
        <v/>
      </c>
      <c r="J100" s="5" t="n"/>
    </row>
    <row r="101">
      <c r="A101" s="5" t="n"/>
      <c r="B101" s="5" t="n"/>
      <c r="C101" s="5" t="n"/>
      <c r="D101" s="5" t="n"/>
      <c r="E101" s="23" t="n"/>
      <c r="F101" s="20" t="n"/>
      <c r="G101" s="20" t="n"/>
      <c r="H101" s="20" t="n"/>
      <c r="I101" s="21">
        <f>IF(OR(G101="",H101=""),"",H101-G101)</f>
        <v/>
      </c>
      <c r="J101" s="5" t="n"/>
    </row>
    <row r="102">
      <c r="A102" s="5" t="n"/>
      <c r="B102" s="5" t="n"/>
      <c r="C102" s="5" t="n"/>
      <c r="D102" s="5" t="n"/>
      <c r="E102" s="23" t="n"/>
      <c r="F102" s="20" t="n"/>
      <c r="G102" s="20" t="n"/>
      <c r="H102" s="20" t="n"/>
      <c r="I102" s="21">
        <f>IF(OR(G102="",H102=""),"",H102-G102)</f>
        <v/>
      </c>
      <c r="J102" s="5" t="n"/>
    </row>
    <row r="103">
      <c r="A103" s="5" t="n"/>
      <c r="B103" s="5" t="n"/>
      <c r="C103" s="5" t="n"/>
      <c r="D103" s="5" t="n"/>
      <c r="E103" s="23" t="n"/>
      <c r="F103" s="20" t="n"/>
      <c r="G103" s="20" t="n"/>
      <c r="H103" s="20" t="n"/>
      <c r="I103" s="21">
        <f>IF(OR(G103="",H103=""),"",H103-G103)</f>
        <v/>
      </c>
      <c r="J103" s="5" t="n"/>
    </row>
    <row r="104">
      <c r="A104" s="5" t="n"/>
      <c r="B104" s="5" t="n"/>
      <c r="C104" s="5" t="n"/>
      <c r="D104" s="5" t="n"/>
      <c r="E104" s="23" t="n"/>
      <c r="F104" s="20" t="n"/>
      <c r="G104" s="20" t="n"/>
      <c r="H104" s="20" t="n"/>
      <c r="I104" s="21">
        <f>IF(OR(G104="",H104=""),"",H104-G104)</f>
        <v/>
      </c>
      <c r="J104" s="5" t="n"/>
    </row>
    <row r="105">
      <c r="A105" s="5" t="n"/>
      <c r="B105" s="5" t="n"/>
      <c r="C105" s="5" t="n"/>
      <c r="D105" s="5" t="n"/>
      <c r="E105" s="23" t="n"/>
      <c r="F105" s="20" t="n"/>
      <c r="G105" s="20" t="n"/>
      <c r="H105" s="20" t="n"/>
      <c r="I105" s="21">
        <f>IF(OR(G105="",H105=""),"",H105-G105)</f>
        <v/>
      </c>
      <c r="J105" s="5" t="n"/>
    </row>
    <row r="106">
      <c r="A106" s="5" t="n"/>
      <c r="B106" s="5" t="n"/>
      <c r="C106" s="5" t="n"/>
      <c r="D106" s="5" t="n"/>
      <c r="E106" s="23" t="n"/>
      <c r="F106" s="20" t="n"/>
      <c r="G106" s="20" t="n"/>
      <c r="H106" s="20" t="n"/>
      <c r="I106" s="21">
        <f>IF(OR(G106="",H106=""),"",H106-G106)</f>
        <v/>
      </c>
      <c r="J106" s="5" t="n"/>
    </row>
    <row r="107">
      <c r="A107" s="5" t="n"/>
      <c r="B107" s="5" t="n"/>
      <c r="C107" s="5" t="n"/>
      <c r="D107" s="5" t="n"/>
      <c r="E107" s="23" t="n"/>
      <c r="F107" s="20" t="n"/>
      <c r="G107" s="20" t="n"/>
      <c r="H107" s="20" t="n"/>
      <c r="I107" s="21">
        <f>IF(OR(G107="",H107=""),"",H107-G107)</f>
        <v/>
      </c>
      <c r="J107" s="5" t="n"/>
    </row>
    <row r="108">
      <c r="A108" s="5" t="n"/>
      <c r="B108" s="5" t="n"/>
      <c r="C108" s="5" t="n"/>
      <c r="D108" s="5" t="n"/>
      <c r="E108" s="23" t="n"/>
      <c r="F108" s="20" t="n"/>
      <c r="G108" s="20" t="n"/>
      <c r="H108" s="20" t="n"/>
      <c r="I108" s="21">
        <f>IF(OR(G108="",H108=""),"",H108-G108)</f>
        <v/>
      </c>
      <c r="J108" s="5" t="n"/>
    </row>
    <row r="109">
      <c r="A109" s="5" t="n"/>
      <c r="B109" s="5" t="n"/>
      <c r="C109" s="5" t="n"/>
      <c r="D109" s="5" t="n"/>
      <c r="E109" s="23" t="n"/>
      <c r="F109" s="20" t="n"/>
      <c r="G109" s="20" t="n"/>
      <c r="H109" s="20" t="n"/>
      <c r="I109" s="21">
        <f>IF(OR(G109="",H109=""),"",H109-G109)</f>
        <v/>
      </c>
      <c r="J109" s="5" t="n"/>
    </row>
    <row r="110">
      <c r="A110" s="5" t="n"/>
      <c r="B110" s="5" t="n"/>
      <c r="C110" s="5" t="n"/>
      <c r="D110" s="5" t="n"/>
      <c r="E110" s="23" t="n"/>
      <c r="F110" s="20" t="n"/>
      <c r="G110" s="20" t="n"/>
      <c r="H110" s="20" t="n"/>
      <c r="I110" s="21">
        <f>IF(OR(G110="",H110=""),"",H110-G110)</f>
        <v/>
      </c>
      <c r="J110" s="5" t="n"/>
    </row>
    <row r="111">
      <c r="A111" s="5" t="n"/>
      <c r="B111" s="5" t="n"/>
      <c r="C111" s="5" t="n"/>
      <c r="D111" s="5" t="n"/>
      <c r="E111" s="23" t="n"/>
      <c r="F111" s="20" t="n"/>
      <c r="G111" s="20" t="n"/>
      <c r="H111" s="20" t="n"/>
      <c r="I111" s="21">
        <f>IF(OR(G111="",H111=""),"",H111-G111)</f>
        <v/>
      </c>
      <c r="J111" s="5" t="n"/>
    </row>
    <row r="112">
      <c r="A112" s="5" t="n"/>
      <c r="B112" s="5" t="n"/>
      <c r="C112" s="5" t="n"/>
      <c r="D112" s="5" t="n"/>
      <c r="E112" s="23" t="n"/>
      <c r="F112" s="20" t="n"/>
      <c r="G112" s="20" t="n"/>
      <c r="H112" s="20" t="n"/>
      <c r="I112" s="21">
        <f>IF(OR(G112="",H112=""),"",H112-G112)</f>
        <v/>
      </c>
      <c r="J112" s="5" t="n"/>
    </row>
    <row r="113">
      <c r="A113" s="5" t="n"/>
      <c r="B113" s="5" t="n"/>
      <c r="C113" s="5" t="n"/>
      <c r="D113" s="5" t="n"/>
      <c r="E113" s="23" t="n"/>
      <c r="F113" s="20" t="n"/>
      <c r="G113" s="20" t="n"/>
      <c r="H113" s="20" t="n"/>
      <c r="I113" s="21">
        <f>IF(OR(G113="",H113=""),"",H113-G113)</f>
        <v/>
      </c>
      <c r="J113" s="5" t="n"/>
    </row>
    <row r="114">
      <c r="A114" s="5" t="n"/>
      <c r="B114" s="5" t="n"/>
      <c r="C114" s="5" t="n"/>
      <c r="D114" s="5" t="n"/>
      <c r="E114" s="23" t="n"/>
      <c r="F114" s="20" t="n"/>
      <c r="G114" s="20" t="n"/>
      <c r="H114" s="20" t="n"/>
      <c r="I114" s="21">
        <f>IF(OR(G114="",H114=""),"",H114-G114)</f>
        <v/>
      </c>
      <c r="J114" s="5" t="n"/>
    </row>
    <row r="115">
      <c r="A115" s="5" t="n"/>
      <c r="B115" s="5" t="n"/>
      <c r="C115" s="5" t="n"/>
      <c r="D115" s="5" t="n"/>
      <c r="E115" s="23" t="n"/>
      <c r="F115" s="20" t="n"/>
      <c r="G115" s="20" t="n"/>
      <c r="H115" s="20" t="n"/>
      <c r="I115" s="21">
        <f>IF(OR(G115="",H115=""),"",H115-G115)</f>
        <v/>
      </c>
      <c r="J115" s="5" t="n"/>
    </row>
    <row r="116">
      <c r="A116" s="5" t="n"/>
      <c r="B116" s="5" t="n"/>
      <c r="C116" s="5" t="n"/>
      <c r="D116" s="5" t="n"/>
      <c r="E116" s="23" t="n"/>
      <c r="F116" s="20" t="n"/>
      <c r="G116" s="20" t="n"/>
      <c r="H116" s="20" t="n"/>
      <c r="I116" s="21">
        <f>IF(OR(G116="",H116=""),"",H116-G116)</f>
        <v/>
      </c>
      <c r="J116" s="5" t="n"/>
    </row>
    <row r="117">
      <c r="A117" s="5" t="n"/>
      <c r="B117" s="5" t="n"/>
      <c r="C117" s="5" t="n"/>
      <c r="D117" s="5" t="n"/>
      <c r="E117" s="23" t="n"/>
      <c r="F117" s="20" t="n"/>
      <c r="G117" s="20" t="n"/>
      <c r="H117" s="20" t="n"/>
      <c r="I117" s="21">
        <f>IF(OR(G117="",H117=""),"",H117-G117)</f>
        <v/>
      </c>
      <c r="J117" s="5" t="n"/>
    </row>
    <row r="118">
      <c r="A118" s="5" t="n"/>
      <c r="B118" s="5" t="n"/>
      <c r="C118" s="5" t="n"/>
      <c r="D118" s="5" t="n"/>
      <c r="E118" s="23" t="n"/>
      <c r="F118" s="20" t="n"/>
      <c r="G118" s="20" t="n"/>
      <c r="H118" s="20" t="n"/>
      <c r="I118" s="21">
        <f>IF(OR(G118="",H118=""),"",H118-G118)</f>
        <v/>
      </c>
      <c r="J118" s="5" t="n"/>
    </row>
    <row r="119">
      <c r="A119" s="5" t="n"/>
      <c r="B119" s="5" t="n"/>
      <c r="C119" s="5" t="n"/>
      <c r="D119" s="5" t="n"/>
      <c r="E119" s="23" t="n"/>
      <c r="F119" s="20" t="n"/>
      <c r="G119" s="20" t="n"/>
      <c r="H119" s="20" t="n"/>
      <c r="I119" s="21">
        <f>IF(OR(G119="",H119=""),"",H119-G119)</f>
        <v/>
      </c>
      <c r="J119" s="5" t="n"/>
    </row>
    <row r="120">
      <c r="A120" s="5" t="n"/>
      <c r="B120" s="5" t="n"/>
      <c r="C120" s="5" t="n"/>
      <c r="D120" s="5" t="n"/>
      <c r="E120" s="23" t="n"/>
      <c r="F120" s="20" t="n"/>
      <c r="G120" s="20" t="n"/>
      <c r="H120" s="20" t="n"/>
      <c r="I120" s="21">
        <f>IF(OR(G120="",H120=""),"",H120-G120)</f>
        <v/>
      </c>
      <c r="J120" s="5" t="n"/>
    </row>
    <row r="121">
      <c r="A121" s="5" t="n"/>
      <c r="B121" s="5" t="n"/>
      <c r="C121" s="5" t="n"/>
      <c r="D121" s="5" t="n"/>
      <c r="E121" s="23" t="n"/>
      <c r="F121" s="20" t="n"/>
      <c r="G121" s="20" t="n"/>
      <c r="H121" s="20" t="n"/>
      <c r="I121" s="21">
        <f>IF(OR(G121="",H121=""),"",H121-G121)</f>
        <v/>
      </c>
      <c r="J121" s="5" t="n"/>
    </row>
    <row r="122">
      <c r="A122" s="5" t="n"/>
      <c r="B122" s="5" t="n"/>
      <c r="C122" s="5" t="n"/>
      <c r="D122" s="5" t="n"/>
      <c r="E122" s="23" t="n"/>
      <c r="F122" s="20" t="n"/>
      <c r="G122" s="20" t="n"/>
      <c r="H122" s="20" t="n"/>
      <c r="I122" s="21">
        <f>IF(OR(G122="",H122=""),"",H122-G122)</f>
        <v/>
      </c>
      <c r="J122" s="5" t="n"/>
    </row>
    <row r="123">
      <c r="A123" s="5" t="n"/>
      <c r="B123" s="5" t="n"/>
      <c r="C123" s="5" t="n"/>
      <c r="D123" s="5" t="n"/>
      <c r="E123" s="23" t="n"/>
      <c r="F123" s="20" t="n"/>
      <c r="G123" s="20" t="n"/>
      <c r="H123" s="20" t="n"/>
      <c r="I123" s="21">
        <f>IF(OR(G123="",H123=""),"",H123-G123)</f>
        <v/>
      </c>
      <c r="J123" s="5" t="n"/>
    </row>
    <row r="124">
      <c r="A124" s="5" t="n"/>
      <c r="B124" s="5" t="n"/>
      <c r="C124" s="5" t="n"/>
      <c r="D124" s="5" t="n"/>
      <c r="E124" s="23" t="n"/>
      <c r="F124" s="20" t="n"/>
      <c r="G124" s="20" t="n"/>
      <c r="H124" s="20" t="n"/>
      <c r="I124" s="21">
        <f>IF(OR(G124="",H124=""),"",H124-G124)</f>
        <v/>
      </c>
      <c r="J124" s="5" t="n"/>
    </row>
    <row r="125">
      <c r="A125" s="5" t="n"/>
      <c r="B125" s="5" t="n"/>
      <c r="C125" s="5" t="n"/>
      <c r="D125" s="5" t="n"/>
      <c r="E125" s="23" t="n"/>
      <c r="F125" s="20" t="n"/>
      <c r="G125" s="20" t="n"/>
      <c r="H125" s="20" t="n"/>
      <c r="I125" s="21">
        <f>IF(OR(G125="",H125=""),"",H125-G125)</f>
        <v/>
      </c>
      <c r="J125" s="5" t="n"/>
    </row>
    <row r="126">
      <c r="A126" s="5" t="n"/>
      <c r="B126" s="5" t="n"/>
      <c r="C126" s="5" t="n"/>
      <c r="D126" s="5" t="n"/>
      <c r="E126" s="23" t="n"/>
      <c r="F126" s="20" t="n"/>
      <c r="G126" s="20" t="n"/>
      <c r="H126" s="20" t="n"/>
      <c r="I126" s="21">
        <f>IF(OR(G126="",H126=""),"",H126-G126)</f>
        <v/>
      </c>
      <c r="J126" s="5" t="n"/>
    </row>
    <row r="127">
      <c r="A127" s="5" t="n"/>
      <c r="B127" s="5" t="n"/>
      <c r="C127" s="5" t="n"/>
      <c r="D127" s="5" t="n"/>
      <c r="E127" s="23" t="n"/>
      <c r="F127" s="20" t="n"/>
      <c r="G127" s="20" t="n"/>
      <c r="H127" s="20" t="n"/>
      <c r="I127" s="21">
        <f>IF(OR(G127="",H127=""),"",H127-G127)</f>
        <v/>
      </c>
      <c r="J127" s="5" t="n"/>
    </row>
    <row r="128">
      <c r="A128" s="5" t="n"/>
      <c r="B128" s="5" t="n"/>
      <c r="C128" s="5" t="n"/>
      <c r="D128" s="5" t="n"/>
      <c r="E128" s="23" t="n"/>
      <c r="F128" s="20" t="n"/>
      <c r="G128" s="20" t="n"/>
      <c r="H128" s="20" t="n"/>
      <c r="I128" s="21">
        <f>IF(OR(G128="",H128=""),"",H128-G128)</f>
        <v/>
      </c>
      <c r="J128" s="5" t="n"/>
    </row>
    <row r="129">
      <c r="A129" s="5" t="n"/>
      <c r="B129" s="5" t="n"/>
      <c r="C129" s="5" t="n"/>
      <c r="D129" s="5" t="n"/>
      <c r="E129" s="23" t="n"/>
      <c r="F129" s="20" t="n"/>
      <c r="G129" s="20" t="n"/>
      <c r="H129" s="20" t="n"/>
      <c r="I129" s="21">
        <f>IF(OR(G129="",H129=""),"",H129-G129)</f>
        <v/>
      </c>
      <c r="J129" s="5" t="n"/>
    </row>
    <row r="130">
      <c r="A130" s="5" t="n"/>
      <c r="B130" s="5" t="n"/>
      <c r="C130" s="5" t="n"/>
      <c r="D130" s="5" t="n"/>
      <c r="E130" s="23" t="n"/>
      <c r="F130" s="20" t="n"/>
      <c r="G130" s="20" t="n"/>
      <c r="H130" s="20" t="n"/>
      <c r="I130" s="21">
        <f>IF(OR(G130="",H130=""),"",H130-G130)</f>
        <v/>
      </c>
      <c r="J130" s="5" t="n"/>
    </row>
    <row r="131">
      <c r="A131" s="5" t="n"/>
      <c r="B131" s="5" t="n"/>
      <c r="C131" s="5" t="n"/>
      <c r="D131" s="5" t="n"/>
      <c r="E131" s="23" t="n"/>
      <c r="F131" s="20" t="n"/>
      <c r="G131" s="20" t="n"/>
      <c r="H131" s="20" t="n"/>
      <c r="I131" s="21">
        <f>IF(OR(G131="",H131=""),"",H131-G131)</f>
        <v/>
      </c>
      <c r="J131" s="5" t="n"/>
    </row>
    <row r="132">
      <c r="A132" s="5" t="n"/>
      <c r="B132" s="5" t="n"/>
      <c r="C132" s="5" t="n"/>
      <c r="D132" s="5" t="n"/>
      <c r="E132" s="23" t="n"/>
      <c r="F132" s="20" t="n"/>
      <c r="G132" s="20" t="n"/>
      <c r="H132" s="20" t="n"/>
      <c r="I132" s="21">
        <f>IF(OR(G132="",H132=""),"",H132-G132)</f>
        <v/>
      </c>
      <c r="J132" s="5" t="n"/>
    </row>
    <row r="133">
      <c r="A133" s="5" t="n"/>
      <c r="B133" s="5" t="n"/>
      <c r="C133" s="5" t="n"/>
      <c r="D133" s="5" t="n"/>
      <c r="E133" s="23" t="n"/>
      <c r="F133" s="20" t="n"/>
      <c r="G133" s="20" t="n"/>
      <c r="H133" s="20" t="n"/>
      <c r="I133" s="21">
        <f>IF(OR(G133="",H133=""),"",H133-G133)</f>
        <v/>
      </c>
      <c r="J133" s="5" t="n"/>
    </row>
    <row r="134">
      <c r="A134" s="5" t="n"/>
      <c r="B134" s="5" t="n"/>
      <c r="C134" s="5" t="n"/>
      <c r="D134" s="5" t="n"/>
      <c r="E134" s="23" t="n"/>
      <c r="F134" s="20" t="n"/>
      <c r="G134" s="20" t="n"/>
      <c r="H134" s="20" t="n"/>
      <c r="I134" s="21">
        <f>IF(OR(G134="",H134=""),"",H134-G134)</f>
        <v/>
      </c>
      <c r="J134" s="5" t="n"/>
    </row>
    <row r="135">
      <c r="A135" s="5" t="n"/>
      <c r="B135" s="5" t="n"/>
      <c r="C135" s="5" t="n"/>
      <c r="D135" s="5" t="n"/>
      <c r="E135" s="23" t="n"/>
      <c r="F135" s="20" t="n"/>
      <c r="G135" s="20" t="n"/>
      <c r="H135" s="20" t="n"/>
      <c r="I135" s="21">
        <f>IF(OR(G135="",H135=""),"",H135-G135)</f>
        <v/>
      </c>
      <c r="J135" s="5" t="n"/>
    </row>
    <row r="136">
      <c r="A136" s="5" t="n"/>
      <c r="B136" s="5" t="n"/>
      <c r="C136" s="5" t="n"/>
      <c r="D136" s="5" t="n"/>
      <c r="E136" s="23" t="n"/>
      <c r="F136" s="20" t="n"/>
      <c r="G136" s="20" t="n"/>
      <c r="H136" s="20" t="n"/>
      <c r="I136" s="21">
        <f>IF(OR(G136="",H136=""),"",H136-G136)</f>
        <v/>
      </c>
      <c r="J136" s="5" t="n"/>
    </row>
    <row r="137">
      <c r="A137" s="5" t="n"/>
      <c r="B137" s="5" t="n"/>
      <c r="C137" s="5" t="n"/>
      <c r="D137" s="5" t="n"/>
      <c r="E137" s="23" t="n"/>
      <c r="F137" s="20" t="n"/>
      <c r="G137" s="20" t="n"/>
      <c r="H137" s="20" t="n"/>
      <c r="I137" s="21">
        <f>IF(OR(G137="",H137=""),"",H137-G137)</f>
        <v/>
      </c>
      <c r="J137" s="5" t="n"/>
    </row>
    <row r="138">
      <c r="A138" s="5" t="n"/>
      <c r="B138" s="5" t="n"/>
      <c r="C138" s="5" t="n"/>
      <c r="D138" s="5" t="n"/>
      <c r="E138" s="23" t="n"/>
      <c r="F138" s="20" t="n"/>
      <c r="G138" s="20" t="n"/>
      <c r="H138" s="20" t="n"/>
      <c r="I138" s="21">
        <f>IF(OR(G138="",H138=""),"",H138-G138)</f>
        <v/>
      </c>
      <c r="J138" s="5" t="n"/>
    </row>
    <row r="139">
      <c r="A139" s="5" t="n"/>
      <c r="B139" s="5" t="n"/>
      <c r="C139" s="5" t="n"/>
      <c r="D139" s="5" t="n"/>
      <c r="E139" s="23" t="n"/>
      <c r="F139" s="20" t="n"/>
      <c r="G139" s="20" t="n"/>
      <c r="H139" s="20" t="n"/>
      <c r="I139" s="21">
        <f>IF(OR(G139="",H139=""),"",H139-G139)</f>
        <v/>
      </c>
      <c r="J139" s="5" t="n"/>
    </row>
    <row r="140">
      <c r="A140" s="5" t="n"/>
      <c r="B140" s="5" t="n"/>
      <c r="C140" s="5" t="n"/>
      <c r="D140" s="5" t="n"/>
      <c r="E140" s="23" t="n"/>
      <c r="F140" s="20" t="n"/>
      <c r="G140" s="20" t="n"/>
      <c r="H140" s="20" t="n"/>
      <c r="I140" s="21">
        <f>IF(OR(G140="",H140=""),"",H140-G140)</f>
        <v/>
      </c>
      <c r="J140" s="5" t="n"/>
    </row>
    <row r="141">
      <c r="A141" s="5" t="n"/>
      <c r="B141" s="5" t="n"/>
      <c r="C141" s="5" t="n"/>
      <c r="D141" s="5" t="n"/>
      <c r="E141" s="23" t="n"/>
      <c r="F141" s="20" t="n"/>
      <c r="G141" s="20" t="n"/>
      <c r="H141" s="20" t="n"/>
      <c r="I141" s="21">
        <f>IF(OR(G141="",H141=""),"",H141-G141)</f>
        <v/>
      </c>
      <c r="J141" s="5" t="n"/>
    </row>
    <row r="142">
      <c r="A142" s="5" t="n"/>
      <c r="B142" s="5" t="n"/>
      <c r="C142" s="5" t="n"/>
      <c r="D142" s="5" t="n"/>
      <c r="E142" s="23" t="n"/>
      <c r="F142" s="20" t="n"/>
      <c r="G142" s="20" t="n"/>
      <c r="H142" s="20" t="n"/>
      <c r="I142" s="21">
        <f>IF(OR(G142="",H142=""),"",H142-G142)</f>
        <v/>
      </c>
      <c r="J142" s="5" t="n"/>
    </row>
    <row r="143">
      <c r="A143" s="5" t="n"/>
      <c r="B143" s="5" t="n"/>
      <c r="C143" s="5" t="n"/>
      <c r="D143" s="5" t="n"/>
      <c r="E143" s="23" t="n"/>
      <c r="F143" s="20" t="n"/>
      <c r="G143" s="20" t="n"/>
      <c r="H143" s="20" t="n"/>
      <c r="I143" s="21">
        <f>IF(OR(G143="",H143=""),"",H143-G143)</f>
        <v/>
      </c>
      <c r="J143" s="5" t="n"/>
    </row>
    <row r="144">
      <c r="A144" s="5" t="n"/>
      <c r="B144" s="5" t="n"/>
      <c r="C144" s="5" t="n"/>
      <c r="D144" s="5" t="n"/>
      <c r="E144" s="23" t="n"/>
      <c r="F144" s="20" t="n"/>
      <c r="G144" s="20" t="n"/>
      <c r="H144" s="20" t="n"/>
      <c r="I144" s="21">
        <f>IF(OR(G144="",H144=""),"",H144-G144)</f>
        <v/>
      </c>
      <c r="J144" s="5" t="n"/>
    </row>
    <row r="145">
      <c r="A145" s="5" t="n"/>
      <c r="B145" s="5" t="n"/>
      <c r="C145" s="5" t="n"/>
      <c r="D145" s="5" t="n"/>
      <c r="E145" s="23" t="n"/>
      <c r="F145" s="20" t="n"/>
      <c r="G145" s="20" t="n"/>
      <c r="H145" s="20" t="n"/>
      <c r="I145" s="21">
        <f>IF(OR(G145="",H145=""),"",H145-G145)</f>
        <v/>
      </c>
      <c r="J145" s="5" t="n"/>
    </row>
    <row r="146">
      <c r="A146" s="5" t="n"/>
      <c r="B146" s="5" t="n"/>
      <c r="C146" s="5" t="n"/>
      <c r="D146" s="5" t="n"/>
      <c r="E146" s="23" t="n"/>
      <c r="F146" s="20" t="n"/>
      <c r="G146" s="20" t="n"/>
      <c r="H146" s="20" t="n"/>
      <c r="I146" s="21">
        <f>IF(OR(G146="",H146=""),"",H146-G146)</f>
        <v/>
      </c>
      <c r="J146" s="5" t="n"/>
    </row>
    <row r="147">
      <c r="A147" s="5" t="n"/>
      <c r="B147" s="5" t="n"/>
      <c r="C147" s="5" t="n"/>
      <c r="D147" s="5" t="n"/>
      <c r="E147" s="23" t="n"/>
      <c r="F147" s="20" t="n"/>
      <c r="G147" s="20" t="n"/>
      <c r="H147" s="20" t="n"/>
      <c r="I147" s="21">
        <f>IF(OR(G147="",H147=""),"",H147-G147)</f>
        <v/>
      </c>
      <c r="J147" s="5" t="n"/>
    </row>
    <row r="148">
      <c r="A148" s="5" t="n"/>
      <c r="B148" s="5" t="n"/>
      <c r="C148" s="5" t="n"/>
      <c r="D148" s="5" t="n"/>
      <c r="E148" s="23" t="n"/>
      <c r="F148" s="20" t="n"/>
      <c r="G148" s="20" t="n"/>
      <c r="H148" s="20" t="n"/>
      <c r="I148" s="21">
        <f>IF(OR(G148="",H148=""),"",H148-G148)</f>
        <v/>
      </c>
      <c r="J148" s="5" t="n"/>
    </row>
    <row r="149">
      <c r="A149" s="5" t="n"/>
      <c r="B149" s="5" t="n"/>
      <c r="C149" s="5" t="n"/>
      <c r="D149" s="5" t="n"/>
      <c r="E149" s="23" t="n"/>
      <c r="F149" s="20" t="n"/>
      <c r="G149" s="20" t="n"/>
      <c r="H149" s="20" t="n"/>
      <c r="I149" s="21">
        <f>IF(OR(G149="",H149=""),"",H149-G149)</f>
        <v/>
      </c>
      <c r="J149" s="5" t="n"/>
    </row>
    <row r="150">
      <c r="A150" s="5" t="n"/>
      <c r="B150" s="5" t="n"/>
      <c r="C150" s="5" t="n"/>
      <c r="D150" s="5" t="n"/>
      <c r="E150" s="23" t="n"/>
      <c r="F150" s="20" t="n"/>
      <c r="G150" s="20" t="n"/>
      <c r="H150" s="20" t="n"/>
      <c r="I150" s="21">
        <f>IF(OR(G150="",H150=""),"",H150-G150)</f>
        <v/>
      </c>
      <c r="J150" s="5" t="n"/>
    </row>
    <row r="151">
      <c r="A151" s="5" t="n"/>
      <c r="B151" s="5" t="n"/>
      <c r="C151" s="5" t="n"/>
      <c r="D151" s="5" t="n"/>
      <c r="E151" s="23" t="n"/>
      <c r="F151" s="20" t="n"/>
      <c r="G151" s="20" t="n"/>
      <c r="H151" s="20" t="n"/>
      <c r="I151" s="21">
        <f>IF(OR(G151="",H151=""),"",H151-G151)</f>
        <v/>
      </c>
      <c r="J151" s="5" t="n"/>
    </row>
    <row r="152">
      <c r="A152" s="5" t="n"/>
      <c r="B152" s="5" t="n"/>
      <c r="C152" s="5" t="n"/>
      <c r="D152" s="5" t="n"/>
      <c r="E152" s="23" t="n"/>
      <c r="F152" s="20" t="n"/>
      <c r="G152" s="20" t="n"/>
      <c r="H152" s="20" t="n"/>
      <c r="I152" s="21">
        <f>IF(OR(G152="",H152=""),"",H152-G152)</f>
        <v/>
      </c>
      <c r="J152" s="5" t="n"/>
    </row>
    <row r="153">
      <c r="A153" s="5" t="n"/>
      <c r="B153" s="5" t="n"/>
      <c r="C153" s="5" t="n"/>
      <c r="D153" s="5" t="n"/>
      <c r="E153" s="23" t="n"/>
      <c r="F153" s="20" t="n"/>
      <c r="G153" s="20" t="n"/>
      <c r="H153" s="20" t="n"/>
      <c r="I153" s="21">
        <f>IF(OR(G153="",H153=""),"",H153-G153)</f>
        <v/>
      </c>
      <c r="J153" s="5" t="n"/>
    </row>
    <row r="154">
      <c r="A154" s="5" t="n"/>
      <c r="B154" s="5" t="n"/>
      <c r="C154" s="5" t="n"/>
      <c r="D154" s="5" t="n"/>
      <c r="E154" s="23" t="n"/>
      <c r="F154" s="20" t="n"/>
      <c r="G154" s="20" t="n"/>
      <c r="H154" s="20" t="n"/>
      <c r="I154" s="21">
        <f>IF(OR(G154="",H154=""),"",H154-G154)</f>
        <v/>
      </c>
      <c r="J154" s="5" t="n"/>
    </row>
    <row r="155">
      <c r="A155" s="5" t="n"/>
      <c r="B155" s="5" t="n"/>
      <c r="C155" s="5" t="n"/>
      <c r="D155" s="5" t="n"/>
      <c r="E155" s="23" t="n"/>
      <c r="F155" s="20" t="n"/>
      <c r="G155" s="20" t="n"/>
      <c r="H155" s="20" t="n"/>
      <c r="I155" s="21">
        <f>IF(OR(G155="",H155=""),"",H155-G155)</f>
        <v/>
      </c>
      <c r="J155" s="5" t="n"/>
    </row>
    <row r="156">
      <c r="A156" s="5" t="n"/>
      <c r="B156" s="5" t="n"/>
      <c r="C156" s="5" t="n"/>
      <c r="D156" s="5" t="n"/>
      <c r="E156" s="23" t="n"/>
      <c r="F156" s="20" t="n"/>
      <c r="G156" s="20" t="n"/>
      <c r="H156" s="20" t="n"/>
      <c r="I156" s="21">
        <f>IF(OR(G156="",H156=""),"",H156-G156)</f>
        <v/>
      </c>
      <c r="J156" s="5" t="n"/>
    </row>
    <row r="157">
      <c r="A157" s="5" t="n"/>
      <c r="B157" s="5" t="n"/>
      <c r="C157" s="5" t="n"/>
      <c r="D157" s="5" t="n"/>
      <c r="E157" s="23" t="n"/>
      <c r="F157" s="20" t="n"/>
      <c r="G157" s="20" t="n"/>
      <c r="H157" s="20" t="n"/>
      <c r="I157" s="21">
        <f>IF(OR(G157="",H157=""),"",H157-G157)</f>
        <v/>
      </c>
      <c r="J157" s="5" t="n"/>
    </row>
    <row r="158">
      <c r="A158" s="5" t="n"/>
      <c r="B158" s="5" t="n"/>
      <c r="C158" s="5" t="n"/>
      <c r="D158" s="5" t="n"/>
      <c r="E158" s="23" t="n"/>
      <c r="F158" s="20" t="n"/>
      <c r="G158" s="20" t="n"/>
      <c r="H158" s="20" t="n"/>
      <c r="I158" s="21">
        <f>IF(OR(G158="",H158=""),"",H158-G158)</f>
        <v/>
      </c>
      <c r="J158" s="5" t="n"/>
    </row>
    <row r="159">
      <c r="A159" s="5" t="n"/>
      <c r="B159" s="5" t="n"/>
      <c r="C159" s="5" t="n"/>
      <c r="D159" s="5" t="n"/>
      <c r="E159" s="23" t="n"/>
      <c r="F159" s="20" t="n"/>
      <c r="G159" s="20" t="n"/>
      <c r="H159" s="20" t="n"/>
      <c r="I159" s="21">
        <f>IF(OR(G159="",H159=""),"",H159-G159)</f>
        <v/>
      </c>
      <c r="J159" s="5" t="n"/>
    </row>
    <row r="160">
      <c r="A160" s="5" t="n"/>
      <c r="B160" s="5" t="n"/>
      <c r="C160" s="5" t="n"/>
      <c r="D160" s="5" t="n"/>
      <c r="E160" s="23" t="n"/>
      <c r="F160" s="20" t="n"/>
      <c r="G160" s="20" t="n"/>
      <c r="H160" s="20" t="n"/>
      <c r="I160" s="21">
        <f>IF(OR(G160="",H160=""),"",H160-G160)</f>
        <v/>
      </c>
      <c r="J160" s="5" t="n"/>
    </row>
    <row r="161">
      <c r="A161" s="5" t="n"/>
      <c r="B161" s="5" t="n"/>
      <c r="C161" s="5" t="n"/>
      <c r="D161" s="5" t="n"/>
      <c r="E161" s="23" t="n"/>
      <c r="F161" s="20" t="n"/>
      <c r="G161" s="20" t="n"/>
      <c r="H161" s="20" t="n"/>
      <c r="I161" s="21">
        <f>IF(OR(G161="",H161=""),"",H161-G161)</f>
        <v/>
      </c>
      <c r="J161" s="5" t="n"/>
    </row>
    <row r="162">
      <c r="A162" s="5" t="n"/>
      <c r="B162" s="5" t="n"/>
      <c r="C162" s="5" t="n"/>
      <c r="D162" s="5" t="n"/>
      <c r="E162" s="23" t="n"/>
      <c r="F162" s="20" t="n"/>
      <c r="G162" s="20" t="n"/>
      <c r="H162" s="20" t="n"/>
      <c r="I162" s="21">
        <f>IF(OR(G162="",H162=""),"",H162-G162)</f>
        <v/>
      </c>
      <c r="J162" s="5" t="n"/>
    </row>
    <row r="163">
      <c r="A163" s="5" t="n"/>
      <c r="B163" s="5" t="n"/>
      <c r="C163" s="5" t="n"/>
      <c r="D163" s="5" t="n"/>
      <c r="E163" s="23" t="n"/>
      <c r="F163" s="20" t="n"/>
      <c r="G163" s="20" t="n"/>
      <c r="H163" s="20" t="n"/>
      <c r="I163" s="21">
        <f>IF(OR(G163="",H163=""),"",H163-G163)</f>
        <v/>
      </c>
      <c r="J163" s="5" t="n"/>
    </row>
    <row r="164">
      <c r="A164" s="5" t="n"/>
      <c r="B164" s="5" t="n"/>
      <c r="C164" s="5" t="n"/>
      <c r="D164" s="5" t="n"/>
      <c r="E164" s="23" t="n"/>
      <c r="F164" s="20" t="n"/>
      <c r="G164" s="20" t="n"/>
      <c r="H164" s="20" t="n"/>
      <c r="I164" s="21">
        <f>IF(OR(G164="",H164=""),"",H164-G164)</f>
        <v/>
      </c>
      <c r="J164" s="5" t="n"/>
    </row>
    <row r="165">
      <c r="A165" s="5" t="n"/>
      <c r="B165" s="5" t="n"/>
      <c r="C165" s="5" t="n"/>
      <c r="D165" s="5" t="n"/>
      <c r="E165" s="23" t="n"/>
      <c r="F165" s="20" t="n"/>
      <c r="G165" s="20" t="n"/>
      <c r="H165" s="20" t="n"/>
      <c r="I165" s="21">
        <f>IF(OR(G165="",H165=""),"",H165-G165)</f>
        <v/>
      </c>
      <c r="J165" s="5" t="n"/>
    </row>
    <row r="166">
      <c r="A166" s="5" t="n"/>
      <c r="B166" s="5" t="n"/>
      <c r="C166" s="5" t="n"/>
      <c r="D166" s="5" t="n"/>
      <c r="E166" s="23" t="n"/>
      <c r="F166" s="20" t="n"/>
      <c r="G166" s="20" t="n"/>
      <c r="H166" s="20" t="n"/>
      <c r="I166" s="21">
        <f>IF(OR(G166="",H166=""),"",H166-G166)</f>
        <v/>
      </c>
      <c r="J166" s="5" t="n"/>
    </row>
    <row r="167">
      <c r="A167" s="5" t="n"/>
      <c r="B167" s="5" t="n"/>
      <c r="C167" s="5" t="n"/>
      <c r="D167" s="5" t="n"/>
      <c r="E167" s="23" t="n"/>
      <c r="F167" s="20" t="n"/>
      <c r="G167" s="20" t="n"/>
      <c r="H167" s="20" t="n"/>
      <c r="I167" s="21">
        <f>IF(OR(G167="",H167=""),"",H167-G167)</f>
        <v/>
      </c>
      <c r="J167" s="5" t="n"/>
    </row>
    <row r="168">
      <c r="A168" s="5" t="n"/>
      <c r="B168" s="5" t="n"/>
      <c r="C168" s="5" t="n"/>
      <c r="D168" s="5" t="n"/>
      <c r="E168" s="23" t="n"/>
      <c r="F168" s="20" t="n"/>
      <c r="G168" s="20" t="n"/>
      <c r="H168" s="20" t="n"/>
      <c r="I168" s="21">
        <f>IF(OR(G168="",H168=""),"",H168-G168)</f>
        <v/>
      </c>
      <c r="J168" s="5" t="n"/>
    </row>
    <row r="169">
      <c r="A169" s="5" t="n"/>
      <c r="B169" s="5" t="n"/>
      <c r="C169" s="5" t="n"/>
      <c r="D169" s="5" t="n"/>
      <c r="E169" s="23" t="n"/>
      <c r="F169" s="20" t="n"/>
      <c r="G169" s="20" t="n"/>
      <c r="H169" s="20" t="n"/>
      <c r="I169" s="21">
        <f>IF(OR(G169="",H169=""),"",H169-G169)</f>
        <v/>
      </c>
      <c r="J169" s="5" t="n"/>
    </row>
    <row r="170">
      <c r="A170" s="5" t="n"/>
      <c r="B170" s="5" t="n"/>
      <c r="C170" s="5" t="n"/>
      <c r="D170" s="5" t="n"/>
      <c r="E170" s="23" t="n"/>
      <c r="F170" s="20" t="n"/>
      <c r="G170" s="20" t="n"/>
      <c r="H170" s="20" t="n"/>
      <c r="I170" s="21">
        <f>IF(OR(G170="",H170=""),"",H170-G170)</f>
        <v/>
      </c>
      <c r="J170" s="5" t="n"/>
    </row>
    <row r="171">
      <c r="A171" s="5" t="n"/>
      <c r="B171" s="5" t="n"/>
      <c r="C171" s="5" t="n"/>
      <c r="D171" s="5" t="n"/>
      <c r="E171" s="23" t="n"/>
      <c r="F171" s="20" t="n"/>
      <c r="G171" s="20" t="n"/>
      <c r="H171" s="20" t="n"/>
      <c r="I171" s="21">
        <f>IF(OR(G171="",H171=""),"",H171-G171)</f>
        <v/>
      </c>
      <c r="J171" s="5" t="n"/>
    </row>
    <row r="172">
      <c r="A172" s="5" t="n"/>
      <c r="B172" s="5" t="n"/>
      <c r="C172" s="5" t="n"/>
      <c r="D172" s="5" t="n"/>
      <c r="E172" s="23" t="n"/>
      <c r="F172" s="20" t="n"/>
      <c r="G172" s="20" t="n"/>
      <c r="H172" s="20" t="n"/>
      <c r="I172" s="21">
        <f>IF(OR(G172="",H172=""),"",H172-G172)</f>
        <v/>
      </c>
      <c r="J172" s="5" t="n"/>
    </row>
    <row r="173">
      <c r="A173" s="5" t="n"/>
      <c r="B173" s="5" t="n"/>
      <c r="C173" s="5" t="n"/>
      <c r="D173" s="5" t="n"/>
      <c r="E173" s="23" t="n"/>
      <c r="F173" s="20" t="n"/>
      <c r="G173" s="20" t="n"/>
      <c r="H173" s="20" t="n"/>
      <c r="I173" s="21">
        <f>IF(OR(G173="",H173=""),"",H173-G173)</f>
        <v/>
      </c>
      <c r="J173" s="5" t="n"/>
    </row>
    <row r="174">
      <c r="A174" s="5" t="n"/>
      <c r="B174" s="5" t="n"/>
      <c r="C174" s="5" t="n"/>
      <c r="D174" s="5" t="n"/>
      <c r="E174" s="23" t="n"/>
      <c r="F174" s="20" t="n"/>
      <c r="G174" s="20" t="n"/>
      <c r="H174" s="20" t="n"/>
      <c r="I174" s="21">
        <f>IF(OR(G174="",H174=""),"",H174-G174)</f>
        <v/>
      </c>
      <c r="J174" s="5" t="n"/>
    </row>
    <row r="175">
      <c r="A175" s="5" t="n"/>
      <c r="B175" s="5" t="n"/>
      <c r="C175" s="5" t="n"/>
      <c r="D175" s="5" t="n"/>
      <c r="E175" s="23" t="n"/>
      <c r="F175" s="20" t="n"/>
      <c r="G175" s="20" t="n"/>
      <c r="H175" s="20" t="n"/>
      <c r="I175" s="21">
        <f>IF(OR(G175="",H175=""),"",H175-G175)</f>
        <v/>
      </c>
      <c r="J175" s="5" t="n"/>
    </row>
    <row r="176">
      <c r="A176" s="5" t="n"/>
      <c r="B176" s="5" t="n"/>
      <c r="C176" s="5" t="n"/>
      <c r="D176" s="5" t="n"/>
      <c r="E176" s="23" t="n"/>
      <c r="F176" s="20" t="n"/>
      <c r="G176" s="20" t="n"/>
      <c r="H176" s="20" t="n"/>
      <c r="I176" s="21">
        <f>IF(OR(G176="",H176=""),"",H176-G176)</f>
        <v/>
      </c>
      <c r="J176" s="5" t="n"/>
    </row>
    <row r="177">
      <c r="A177" s="5" t="n"/>
      <c r="B177" s="5" t="n"/>
      <c r="C177" s="5" t="n"/>
      <c r="D177" s="5" t="n"/>
      <c r="E177" s="23" t="n"/>
      <c r="F177" s="20" t="n"/>
      <c r="G177" s="20" t="n"/>
      <c r="H177" s="20" t="n"/>
      <c r="I177" s="21">
        <f>IF(OR(G177="",H177=""),"",H177-G177)</f>
        <v/>
      </c>
      <c r="J177" s="5" t="n"/>
    </row>
    <row r="178">
      <c r="A178" s="5" t="n"/>
      <c r="B178" s="5" t="n"/>
      <c r="C178" s="5" t="n"/>
      <c r="D178" s="5" t="n"/>
      <c r="E178" s="23" t="n"/>
      <c r="F178" s="20" t="n"/>
      <c r="G178" s="20" t="n"/>
      <c r="H178" s="20" t="n"/>
      <c r="I178" s="21">
        <f>IF(OR(G178="",H178=""),"",H178-G178)</f>
        <v/>
      </c>
      <c r="J178" s="5" t="n"/>
    </row>
    <row r="179">
      <c r="A179" s="5" t="n"/>
      <c r="B179" s="5" t="n"/>
      <c r="C179" s="5" t="n"/>
      <c r="D179" s="5" t="n"/>
      <c r="E179" s="23" t="n"/>
      <c r="F179" s="20" t="n"/>
      <c r="G179" s="20" t="n"/>
      <c r="H179" s="20" t="n"/>
      <c r="I179" s="21">
        <f>IF(OR(G179="",H179=""),"",H179-G179)</f>
        <v/>
      </c>
      <c r="J179" s="5" t="n"/>
    </row>
    <row r="180">
      <c r="A180" s="5" t="n"/>
      <c r="B180" s="5" t="n"/>
      <c r="C180" s="5" t="n"/>
      <c r="D180" s="5" t="n"/>
      <c r="E180" s="23" t="n"/>
      <c r="F180" s="20" t="n"/>
      <c r="G180" s="20" t="n"/>
      <c r="H180" s="20" t="n"/>
      <c r="I180" s="21">
        <f>IF(OR(G180="",H180=""),"",H180-G180)</f>
        <v/>
      </c>
      <c r="J180" s="5" t="n"/>
    </row>
    <row r="181">
      <c r="A181" s="5" t="n"/>
      <c r="B181" s="5" t="n"/>
      <c r="C181" s="5" t="n"/>
      <c r="D181" s="5" t="n"/>
      <c r="E181" s="23" t="n"/>
      <c r="F181" s="20" t="n"/>
      <c r="G181" s="20" t="n"/>
      <c r="H181" s="20" t="n"/>
      <c r="I181" s="21">
        <f>IF(OR(G181="",H181=""),"",H181-G181)</f>
        <v/>
      </c>
      <c r="J181" s="5" t="n"/>
    </row>
    <row r="182">
      <c r="A182" s="5" t="n"/>
      <c r="B182" s="5" t="n"/>
      <c r="C182" s="5" t="n"/>
      <c r="D182" s="5" t="n"/>
      <c r="E182" s="23" t="n"/>
      <c r="F182" s="20" t="n"/>
      <c r="G182" s="20" t="n"/>
      <c r="H182" s="20" t="n"/>
      <c r="I182" s="21">
        <f>IF(OR(G182="",H182=""),"",H182-G182)</f>
        <v/>
      </c>
      <c r="J182" s="5" t="n"/>
    </row>
    <row r="183">
      <c r="A183" s="5" t="n"/>
      <c r="B183" s="5" t="n"/>
      <c r="C183" s="5" t="n"/>
      <c r="D183" s="5" t="n"/>
      <c r="E183" s="23" t="n"/>
      <c r="F183" s="20" t="n"/>
      <c r="G183" s="20" t="n"/>
      <c r="H183" s="20" t="n"/>
      <c r="I183" s="21">
        <f>IF(OR(G183="",H183=""),"",H183-G183)</f>
        <v/>
      </c>
      <c r="J183" s="5" t="n"/>
    </row>
    <row r="184">
      <c r="A184" s="5" t="n"/>
      <c r="B184" s="5" t="n"/>
      <c r="C184" s="5" t="n"/>
      <c r="D184" s="5" t="n"/>
      <c r="E184" s="23" t="n"/>
      <c r="F184" s="20" t="n"/>
      <c r="G184" s="20" t="n"/>
      <c r="H184" s="20" t="n"/>
      <c r="I184" s="21">
        <f>IF(OR(G184="",H184=""),"",H184-G184)</f>
        <v/>
      </c>
      <c r="J184" s="5" t="n"/>
    </row>
    <row r="185">
      <c r="A185" s="5" t="n"/>
      <c r="B185" s="5" t="n"/>
      <c r="C185" s="5" t="n"/>
      <c r="D185" s="5" t="n"/>
      <c r="E185" s="23" t="n"/>
      <c r="F185" s="20" t="n"/>
      <c r="G185" s="20" t="n"/>
      <c r="H185" s="20" t="n"/>
      <c r="I185" s="21">
        <f>IF(OR(G185="",H185=""),"",H185-G185)</f>
        <v/>
      </c>
      <c r="J185" s="5" t="n"/>
    </row>
    <row r="186">
      <c r="A186" s="5" t="n"/>
      <c r="B186" s="5" t="n"/>
      <c r="C186" s="5" t="n"/>
      <c r="D186" s="5" t="n"/>
      <c r="E186" s="23" t="n"/>
      <c r="F186" s="20" t="n"/>
      <c r="G186" s="20" t="n"/>
      <c r="H186" s="20" t="n"/>
      <c r="I186" s="21">
        <f>IF(OR(G186="",H186=""),"",H186-G186)</f>
        <v/>
      </c>
      <c r="J186" s="5" t="n"/>
    </row>
    <row r="187">
      <c r="A187" s="5" t="n"/>
      <c r="B187" s="5" t="n"/>
      <c r="C187" s="5" t="n"/>
      <c r="D187" s="5" t="n"/>
      <c r="E187" s="23" t="n"/>
      <c r="F187" s="20" t="n"/>
      <c r="G187" s="20" t="n"/>
      <c r="H187" s="20" t="n"/>
      <c r="I187" s="21">
        <f>IF(OR(G187="",H187=""),"",H187-G187)</f>
        <v/>
      </c>
      <c r="J187" s="5" t="n"/>
    </row>
    <row r="188">
      <c r="A188" s="5" t="n"/>
      <c r="B188" s="5" t="n"/>
      <c r="C188" s="5" t="n"/>
      <c r="D188" s="5" t="n"/>
      <c r="E188" s="23" t="n"/>
      <c r="F188" s="20" t="n"/>
      <c r="G188" s="20" t="n"/>
      <c r="H188" s="20" t="n"/>
      <c r="I188" s="21">
        <f>IF(OR(G188="",H188=""),"",H188-G188)</f>
        <v/>
      </c>
      <c r="J188" s="5" t="n"/>
    </row>
    <row r="189">
      <c r="A189" s="5" t="n"/>
      <c r="B189" s="5" t="n"/>
      <c r="C189" s="5" t="n"/>
      <c r="D189" s="5" t="n"/>
      <c r="E189" s="23" t="n"/>
      <c r="F189" s="20" t="n"/>
      <c r="G189" s="20" t="n"/>
      <c r="H189" s="20" t="n"/>
      <c r="I189" s="21">
        <f>IF(OR(G189="",H189=""),"",H189-G189)</f>
        <v/>
      </c>
      <c r="J189" s="5" t="n"/>
    </row>
    <row r="190">
      <c r="A190" s="5" t="n"/>
      <c r="B190" s="5" t="n"/>
      <c r="C190" s="5" t="n"/>
      <c r="D190" s="5" t="n"/>
      <c r="E190" s="23" t="n"/>
      <c r="F190" s="20" t="n"/>
      <c r="G190" s="20" t="n"/>
      <c r="H190" s="20" t="n"/>
      <c r="I190" s="21">
        <f>IF(OR(G190="",H190=""),"",H190-G190)</f>
        <v/>
      </c>
      <c r="J190" s="5" t="n"/>
    </row>
    <row r="191">
      <c r="A191" s="5" t="n"/>
      <c r="B191" s="5" t="n"/>
      <c r="C191" s="5" t="n"/>
      <c r="D191" s="5" t="n"/>
      <c r="E191" s="23" t="n"/>
      <c r="F191" s="20" t="n"/>
      <c r="G191" s="20" t="n"/>
      <c r="H191" s="20" t="n"/>
      <c r="I191" s="21">
        <f>IF(OR(G191="",H191=""),"",H191-G191)</f>
        <v/>
      </c>
      <c r="J191" s="5" t="n"/>
    </row>
    <row r="192">
      <c r="A192" s="5" t="n"/>
      <c r="B192" s="5" t="n"/>
      <c r="C192" s="5" t="n"/>
      <c r="D192" s="5" t="n"/>
      <c r="E192" s="23" t="n"/>
      <c r="F192" s="20" t="n"/>
      <c r="G192" s="20" t="n"/>
      <c r="H192" s="20" t="n"/>
      <c r="I192" s="21">
        <f>IF(OR(G192="",H192=""),"",H192-G192)</f>
        <v/>
      </c>
      <c r="J192" s="5" t="n"/>
    </row>
    <row r="193">
      <c r="A193" s="5" t="n"/>
      <c r="B193" s="5" t="n"/>
      <c r="C193" s="5" t="n"/>
      <c r="D193" s="5" t="n"/>
      <c r="E193" s="23" t="n"/>
      <c r="F193" s="20" t="n"/>
      <c r="G193" s="20" t="n"/>
      <c r="H193" s="20" t="n"/>
      <c r="I193" s="21">
        <f>IF(OR(G193="",H193=""),"",H193-G193)</f>
        <v/>
      </c>
      <c r="J193" s="5" t="n"/>
    </row>
    <row r="194">
      <c r="A194" s="5" t="n"/>
      <c r="B194" s="5" t="n"/>
      <c r="C194" s="5" t="n"/>
      <c r="D194" s="5" t="n"/>
      <c r="E194" s="23" t="n"/>
      <c r="F194" s="20" t="n"/>
      <c r="G194" s="20" t="n"/>
      <c r="H194" s="20" t="n"/>
      <c r="I194" s="21">
        <f>IF(OR(G194="",H194=""),"",H194-G194)</f>
        <v/>
      </c>
      <c r="J194" s="5" t="n"/>
    </row>
    <row r="195">
      <c r="A195" s="5" t="n"/>
      <c r="B195" s="5" t="n"/>
      <c r="C195" s="5" t="n"/>
      <c r="D195" s="5" t="n"/>
      <c r="E195" s="23" t="n"/>
      <c r="F195" s="20" t="n"/>
      <c r="G195" s="20" t="n"/>
      <c r="H195" s="20" t="n"/>
      <c r="I195" s="21">
        <f>IF(OR(G195="",H195=""),"",H195-G195)</f>
        <v/>
      </c>
      <c r="J195" s="5" t="n"/>
    </row>
    <row r="196">
      <c r="A196" s="5" t="n"/>
      <c r="B196" s="5" t="n"/>
      <c r="C196" s="5" t="n"/>
      <c r="D196" s="5" t="n"/>
      <c r="E196" s="23" t="n"/>
      <c r="F196" s="20" t="n"/>
      <c r="G196" s="20" t="n"/>
      <c r="H196" s="20" t="n"/>
      <c r="I196" s="21">
        <f>IF(OR(G196="",H196=""),"",H196-G196)</f>
        <v/>
      </c>
      <c r="J196" s="5" t="n"/>
    </row>
    <row r="197">
      <c r="A197" s="5" t="n"/>
      <c r="B197" s="5" t="n"/>
      <c r="C197" s="5" t="n"/>
      <c r="D197" s="5" t="n"/>
      <c r="E197" s="23" t="n"/>
      <c r="F197" s="20" t="n"/>
      <c r="G197" s="20" t="n"/>
      <c r="H197" s="20" t="n"/>
      <c r="I197" s="21">
        <f>IF(OR(G197="",H197=""),"",H197-G197)</f>
        <v/>
      </c>
      <c r="J197" s="5" t="n"/>
    </row>
    <row r="198">
      <c r="A198" s="5" t="n"/>
      <c r="B198" s="5" t="n"/>
      <c r="C198" s="5" t="n"/>
      <c r="D198" s="5" t="n"/>
      <c r="E198" s="23" t="n"/>
      <c r="F198" s="20" t="n"/>
      <c r="G198" s="20" t="n"/>
      <c r="H198" s="20" t="n"/>
      <c r="I198" s="21">
        <f>IF(OR(G198="",H198=""),"",H198-G198)</f>
        <v/>
      </c>
      <c r="J198" s="5" t="n"/>
    </row>
    <row r="199">
      <c r="A199" s="5" t="n"/>
      <c r="B199" s="5" t="n"/>
      <c r="C199" s="5" t="n"/>
      <c r="D199" s="5" t="n"/>
      <c r="E199" s="23" t="n"/>
      <c r="F199" s="20" t="n"/>
      <c r="G199" s="20" t="n"/>
      <c r="H199" s="20" t="n"/>
      <c r="I199" s="21">
        <f>IF(OR(G199="",H199=""),"",H199-G199)</f>
        <v/>
      </c>
      <c r="J199" s="5" t="n"/>
    </row>
    <row r="200">
      <c r="A200" s="5" t="n"/>
      <c r="B200" s="5" t="n"/>
      <c r="C200" s="5" t="n"/>
      <c r="D200" s="5" t="n"/>
      <c r="E200" s="23" t="n"/>
      <c r="F200" s="20" t="n"/>
      <c r="G200" s="20" t="n"/>
      <c r="H200" s="20" t="n"/>
      <c r="I200" s="21">
        <f>IF(OR(G200="",H200=""),"",H200-G200)</f>
        <v/>
      </c>
      <c r="J200" s="5" t="n"/>
    </row>
    <row r="201">
      <c r="A201" s="5" t="n"/>
      <c r="B201" s="5" t="n"/>
      <c r="C201" s="5" t="n"/>
      <c r="D201" s="5" t="n"/>
      <c r="E201" s="23" t="n"/>
      <c r="F201" s="20" t="n"/>
      <c r="G201" s="20" t="n"/>
      <c r="H201" s="20" t="n"/>
      <c r="I201" s="21">
        <f>IF(OR(G201="",H201=""),"",H201-G201)</f>
        <v/>
      </c>
      <c r="J201" s="5" t="n"/>
    </row>
    <row r="202">
      <c r="A202" s="5" t="n"/>
      <c r="B202" s="5" t="n"/>
      <c r="C202" s="5" t="n"/>
      <c r="D202" s="5" t="n"/>
      <c r="E202" s="23" t="n"/>
      <c r="F202" s="20" t="n"/>
      <c r="G202" s="20" t="n"/>
      <c r="H202" s="20" t="n"/>
      <c r="I202" s="21">
        <f>IF(OR(G202="",H202=""),"",H202-G202)</f>
        <v/>
      </c>
      <c r="J202" s="5" t="n"/>
    </row>
    <row r="203">
      <c r="A203" s="5" t="n"/>
      <c r="B203" s="5" t="n"/>
      <c r="C203" s="5" t="n"/>
      <c r="D203" s="5" t="n"/>
      <c r="E203" s="23" t="n"/>
      <c r="F203" s="20" t="n"/>
      <c r="G203" s="20" t="n"/>
      <c r="H203" s="20" t="n"/>
      <c r="I203" s="21">
        <f>IF(OR(G203="",H203=""),"",H203-G203)</f>
        <v/>
      </c>
      <c r="J203" s="5" t="n"/>
    </row>
    <row r="204">
      <c r="A204" s="5" t="n"/>
      <c r="B204" s="5" t="n"/>
      <c r="C204" s="5" t="n"/>
      <c r="D204" s="5" t="n"/>
      <c r="E204" s="23" t="n"/>
      <c r="F204" s="20" t="n"/>
      <c r="G204" s="20" t="n"/>
      <c r="H204" s="20" t="n"/>
      <c r="I204" s="21">
        <f>IF(OR(G204="",H204=""),"",H204-G204)</f>
        <v/>
      </c>
      <c r="J204" s="5" t="n"/>
    </row>
    <row r="205">
      <c r="A205" s="5" t="n"/>
      <c r="B205" s="5" t="n"/>
      <c r="C205" s="5" t="n"/>
      <c r="D205" s="5" t="n"/>
      <c r="E205" s="23" t="n"/>
      <c r="F205" s="20" t="n"/>
      <c r="G205" s="20" t="n"/>
      <c r="H205" s="20" t="n"/>
      <c r="I205" s="21">
        <f>IF(OR(G205="",H205=""),"",H205-G205)</f>
        <v/>
      </c>
      <c r="J205" s="5" t="n"/>
    </row>
    <row r="206">
      <c r="A206" s="5" t="n"/>
      <c r="B206" s="5" t="n"/>
      <c r="C206" s="5" t="n"/>
      <c r="D206" s="5" t="n"/>
      <c r="E206" s="23" t="n"/>
      <c r="F206" s="20" t="n"/>
      <c r="G206" s="20" t="n"/>
      <c r="H206" s="20" t="n"/>
      <c r="I206" s="21">
        <f>IF(OR(G206="",H206=""),"",H206-G206)</f>
        <v/>
      </c>
      <c r="J206" s="5" t="n"/>
    </row>
    <row r="207">
      <c r="A207" s="5" t="n"/>
      <c r="B207" s="5" t="n"/>
      <c r="C207" s="5" t="n"/>
      <c r="D207" s="5" t="n"/>
      <c r="E207" s="23" t="n"/>
      <c r="F207" s="20" t="n"/>
      <c r="G207" s="20" t="n"/>
      <c r="H207" s="20" t="n"/>
      <c r="I207" s="21">
        <f>IF(OR(G207="",H207=""),"",H207-G207)</f>
        <v/>
      </c>
      <c r="J207" s="5" t="n"/>
    </row>
    <row r="208">
      <c r="A208" s="5" t="n"/>
      <c r="B208" s="5" t="n"/>
      <c r="C208" s="5" t="n"/>
      <c r="D208" s="5" t="n"/>
      <c r="E208" s="23" t="n"/>
      <c r="F208" s="20" t="n"/>
      <c r="G208" s="20" t="n"/>
      <c r="H208" s="20" t="n"/>
      <c r="I208" s="21">
        <f>IF(OR(G208="",H208=""),"",H208-G208)</f>
        <v/>
      </c>
      <c r="J208" s="5" t="n"/>
    </row>
    <row r="209">
      <c r="A209" s="5" t="n"/>
      <c r="B209" s="5" t="n"/>
      <c r="C209" s="5" t="n"/>
      <c r="D209" s="5" t="n"/>
      <c r="E209" s="23" t="n"/>
      <c r="F209" s="20" t="n"/>
      <c r="G209" s="20" t="n"/>
      <c r="H209" s="20" t="n"/>
      <c r="I209" s="21">
        <f>IF(OR(G209="",H209=""),"",H209-G209)</f>
        <v/>
      </c>
      <c r="J209" s="5" t="n"/>
    </row>
    <row r="210">
      <c r="A210" s="5" t="n"/>
      <c r="B210" s="5" t="n"/>
      <c r="C210" s="5" t="n"/>
      <c r="D210" s="5" t="n"/>
      <c r="E210" s="23" t="n"/>
      <c r="F210" s="20" t="n"/>
      <c r="G210" s="20" t="n"/>
      <c r="H210" s="20" t="n"/>
      <c r="I210" s="21">
        <f>IF(OR(G210="",H210=""),"",H210-G210)</f>
        <v/>
      </c>
      <c r="J210" s="5" t="n"/>
    </row>
    <row r="211">
      <c r="A211" s="5" t="n"/>
      <c r="B211" s="5" t="n"/>
      <c r="C211" s="5" t="n"/>
      <c r="D211" s="5" t="n"/>
      <c r="E211" s="23" t="n"/>
      <c r="F211" s="20" t="n"/>
      <c r="G211" s="20" t="n"/>
      <c r="H211" s="20" t="n"/>
      <c r="I211" s="21">
        <f>IF(OR(G211="",H211=""),"",H211-G211)</f>
        <v/>
      </c>
      <c r="J211" s="5" t="n"/>
    </row>
    <row r="212">
      <c r="A212" s="5" t="n"/>
      <c r="B212" s="5" t="n"/>
      <c r="C212" s="5" t="n"/>
      <c r="D212" s="5" t="n"/>
      <c r="E212" s="23" t="n"/>
      <c r="F212" s="20" t="n"/>
      <c r="G212" s="20" t="n"/>
      <c r="H212" s="20" t="n"/>
      <c r="I212" s="21">
        <f>IF(OR(G212="",H212=""),"",H212-G212)</f>
        <v/>
      </c>
      <c r="J212" s="5" t="n"/>
    </row>
    <row r="213">
      <c r="A213" s="5" t="n"/>
      <c r="B213" s="5" t="n"/>
      <c r="C213" s="5" t="n"/>
      <c r="D213" s="5" t="n"/>
      <c r="E213" s="23" t="n"/>
      <c r="F213" s="20" t="n"/>
      <c r="G213" s="20" t="n"/>
      <c r="H213" s="20" t="n"/>
      <c r="I213" s="21">
        <f>IF(OR(G213="",H213=""),"",H213-G213)</f>
        <v/>
      </c>
      <c r="J213" s="5" t="n"/>
    </row>
    <row r="214">
      <c r="A214" s="5" t="n"/>
      <c r="B214" s="5" t="n"/>
      <c r="C214" s="5" t="n"/>
      <c r="D214" s="5" t="n"/>
      <c r="E214" s="23" t="n"/>
      <c r="F214" s="20" t="n"/>
      <c r="G214" s="20" t="n"/>
      <c r="H214" s="20" t="n"/>
      <c r="I214" s="21">
        <f>IF(OR(G214="",H214=""),"",H214-G214)</f>
        <v/>
      </c>
      <c r="J214" s="5" t="n"/>
    </row>
    <row r="215">
      <c r="A215" s="5" t="n"/>
      <c r="B215" s="5" t="n"/>
      <c r="C215" s="5" t="n"/>
      <c r="D215" s="5" t="n"/>
      <c r="E215" s="23" t="n"/>
      <c r="F215" s="20" t="n"/>
      <c r="G215" s="20" t="n"/>
      <c r="H215" s="20" t="n"/>
      <c r="I215" s="21">
        <f>IF(OR(G215="",H215=""),"",H215-G215)</f>
        <v/>
      </c>
      <c r="J215" s="5" t="n"/>
    </row>
    <row r="216">
      <c r="A216" s="5" t="n"/>
      <c r="B216" s="5" t="n"/>
      <c r="C216" s="5" t="n"/>
      <c r="D216" s="5" t="n"/>
      <c r="E216" s="23" t="n"/>
      <c r="F216" s="20" t="n"/>
      <c r="G216" s="20" t="n"/>
      <c r="H216" s="20" t="n"/>
      <c r="I216" s="21">
        <f>IF(OR(G216="",H216=""),"",H216-G216)</f>
        <v/>
      </c>
      <c r="J216" s="5" t="n"/>
    </row>
    <row r="217">
      <c r="A217" s="5" t="n"/>
      <c r="B217" s="5" t="n"/>
      <c r="C217" s="5" t="n"/>
      <c r="D217" s="5" t="n"/>
      <c r="E217" s="23" t="n"/>
      <c r="F217" s="20" t="n"/>
      <c r="G217" s="20" t="n"/>
      <c r="H217" s="20" t="n"/>
      <c r="I217" s="21">
        <f>IF(OR(G217="",H217=""),"",H217-G217)</f>
        <v/>
      </c>
      <c r="J217" s="5" t="n"/>
    </row>
    <row r="218">
      <c r="A218" s="5" t="n"/>
      <c r="B218" s="5" t="n"/>
      <c r="C218" s="5" t="n"/>
      <c r="D218" s="5" t="n"/>
      <c r="E218" s="23" t="n"/>
      <c r="F218" s="20" t="n"/>
      <c r="G218" s="20" t="n"/>
      <c r="H218" s="20" t="n"/>
      <c r="I218" s="21">
        <f>IF(OR(G218="",H218=""),"",H218-G218)</f>
        <v/>
      </c>
      <c r="J218" s="5" t="n"/>
    </row>
    <row r="219">
      <c r="A219" s="5" t="n"/>
      <c r="B219" s="5" t="n"/>
      <c r="C219" s="5" t="n"/>
      <c r="D219" s="5" t="n"/>
      <c r="E219" s="23" t="n"/>
      <c r="F219" s="20" t="n"/>
      <c r="G219" s="20" t="n"/>
      <c r="H219" s="20" t="n"/>
      <c r="I219" s="21">
        <f>IF(OR(G219="",H219=""),"",H219-G219)</f>
        <v/>
      </c>
      <c r="J219" s="5" t="n"/>
    </row>
    <row r="220">
      <c r="A220" s="5" t="n"/>
      <c r="B220" s="5" t="n"/>
      <c r="C220" s="5" t="n"/>
      <c r="D220" s="5" t="n"/>
      <c r="E220" s="23" t="n"/>
      <c r="F220" s="20" t="n"/>
      <c r="G220" s="20" t="n"/>
      <c r="H220" s="20" t="n"/>
      <c r="I220" s="21">
        <f>IF(OR(G220="",H220=""),"",H220-G220)</f>
        <v/>
      </c>
      <c r="J220" s="5" t="n"/>
    </row>
    <row r="221">
      <c r="A221" s="5" t="n"/>
      <c r="B221" s="5" t="n"/>
      <c r="C221" s="5" t="n"/>
      <c r="D221" s="5" t="n"/>
      <c r="E221" s="23" t="n"/>
      <c r="F221" s="20" t="n"/>
      <c r="G221" s="20" t="n"/>
      <c r="H221" s="20" t="n"/>
      <c r="I221" s="21">
        <f>IF(OR(G221="",H221=""),"",H221-G221)</f>
        <v/>
      </c>
      <c r="J221" s="5" t="n"/>
    </row>
    <row r="222">
      <c r="A222" s="5" t="n"/>
      <c r="B222" s="5" t="n"/>
      <c r="C222" s="5" t="n"/>
      <c r="D222" s="5" t="n"/>
      <c r="E222" s="23" t="n"/>
      <c r="F222" s="20" t="n"/>
      <c r="G222" s="20" t="n"/>
      <c r="H222" s="20" t="n"/>
      <c r="I222" s="21">
        <f>IF(OR(G222="",H222=""),"",H222-G222)</f>
        <v/>
      </c>
      <c r="J222" s="5" t="n"/>
    </row>
    <row r="223">
      <c r="A223" s="5" t="n"/>
      <c r="B223" s="5" t="n"/>
      <c r="C223" s="5" t="n"/>
      <c r="D223" s="5" t="n"/>
      <c r="E223" s="23" t="n"/>
      <c r="F223" s="20" t="n"/>
      <c r="G223" s="20" t="n"/>
      <c r="H223" s="20" t="n"/>
      <c r="I223" s="21">
        <f>IF(OR(G223="",H223=""),"",H223-G223)</f>
        <v/>
      </c>
      <c r="J223" s="5" t="n"/>
    </row>
    <row r="224">
      <c r="A224" s="5" t="n"/>
      <c r="B224" s="5" t="n"/>
      <c r="C224" s="5" t="n"/>
      <c r="D224" s="5" t="n"/>
      <c r="E224" s="23" t="n"/>
      <c r="F224" s="20" t="n"/>
      <c r="G224" s="20" t="n"/>
      <c r="H224" s="20" t="n"/>
      <c r="I224" s="21">
        <f>IF(OR(G224="",H224=""),"",H224-G224)</f>
        <v/>
      </c>
      <c r="J224" s="5" t="n"/>
    </row>
    <row r="225">
      <c r="A225" s="5" t="n"/>
      <c r="B225" s="5" t="n"/>
      <c r="C225" s="5" t="n"/>
      <c r="D225" s="5" t="n"/>
      <c r="E225" s="23" t="n"/>
      <c r="F225" s="20" t="n"/>
      <c r="G225" s="20" t="n"/>
      <c r="H225" s="20" t="n"/>
      <c r="I225" s="21">
        <f>IF(OR(G225="",H225=""),"",H225-G225)</f>
        <v/>
      </c>
      <c r="J225" s="5" t="n"/>
    </row>
    <row r="226">
      <c r="A226" s="5" t="n"/>
      <c r="B226" s="5" t="n"/>
      <c r="C226" s="5" t="n"/>
      <c r="D226" s="5" t="n"/>
      <c r="E226" s="23" t="n"/>
      <c r="F226" s="20" t="n"/>
      <c r="G226" s="20" t="n"/>
      <c r="H226" s="20" t="n"/>
      <c r="I226" s="21">
        <f>IF(OR(G226="",H226=""),"",H226-G226)</f>
        <v/>
      </c>
      <c r="J226" s="5" t="n"/>
    </row>
    <row r="227">
      <c r="A227" s="5" t="n"/>
      <c r="B227" s="5" t="n"/>
      <c r="C227" s="5" t="n"/>
      <c r="D227" s="5" t="n"/>
      <c r="E227" s="23" t="n"/>
      <c r="F227" s="20" t="n"/>
      <c r="G227" s="20" t="n"/>
      <c r="H227" s="20" t="n"/>
      <c r="I227" s="21">
        <f>IF(OR(G227="",H227=""),"",H227-G227)</f>
        <v/>
      </c>
      <c r="J227" s="5" t="n"/>
    </row>
    <row r="228">
      <c r="A228" s="5" t="n"/>
      <c r="B228" s="5" t="n"/>
      <c r="C228" s="5" t="n"/>
      <c r="D228" s="5" t="n"/>
      <c r="E228" s="23" t="n"/>
      <c r="F228" s="20" t="n"/>
      <c r="G228" s="20" t="n"/>
      <c r="H228" s="20" t="n"/>
      <c r="I228" s="21">
        <f>IF(OR(G228="",H228=""),"",H228-G228)</f>
        <v/>
      </c>
      <c r="J228" s="5" t="n"/>
    </row>
    <row r="229">
      <c r="A229" s="5" t="n"/>
      <c r="B229" s="5" t="n"/>
      <c r="C229" s="5" t="n"/>
      <c r="D229" s="5" t="n"/>
      <c r="E229" s="23" t="n"/>
      <c r="F229" s="20" t="n"/>
      <c r="G229" s="20" t="n"/>
      <c r="H229" s="20" t="n"/>
      <c r="I229" s="21">
        <f>IF(OR(G229="",H229=""),"",H229-G229)</f>
        <v/>
      </c>
      <c r="J229" s="5" t="n"/>
    </row>
    <row r="230">
      <c r="A230" s="5" t="n"/>
      <c r="B230" s="5" t="n"/>
      <c r="C230" s="5" t="n"/>
      <c r="D230" s="5" t="n"/>
      <c r="E230" s="23" t="n"/>
      <c r="F230" s="20" t="n"/>
      <c r="G230" s="20" t="n"/>
      <c r="H230" s="20" t="n"/>
      <c r="I230" s="21">
        <f>IF(OR(G230="",H230=""),"",H230-G230)</f>
        <v/>
      </c>
      <c r="J230" s="5" t="n"/>
    </row>
    <row r="231">
      <c r="A231" s="5" t="n"/>
      <c r="B231" s="5" t="n"/>
      <c r="C231" s="5" t="n"/>
      <c r="D231" s="5" t="n"/>
      <c r="E231" s="23" t="n"/>
      <c r="F231" s="20" t="n"/>
      <c r="G231" s="20" t="n"/>
      <c r="H231" s="20" t="n"/>
      <c r="I231" s="21">
        <f>IF(OR(G231="",H231=""),"",H231-G231)</f>
        <v/>
      </c>
      <c r="J231" s="5" t="n"/>
    </row>
    <row r="232">
      <c r="A232" s="5" t="n"/>
      <c r="B232" s="5" t="n"/>
      <c r="C232" s="5" t="n"/>
      <c r="D232" s="5" t="n"/>
      <c r="E232" s="23" t="n"/>
      <c r="F232" s="20" t="n"/>
      <c r="G232" s="20" t="n"/>
      <c r="H232" s="20" t="n"/>
      <c r="I232" s="21">
        <f>IF(OR(G232="",H232=""),"",H232-G232)</f>
        <v/>
      </c>
      <c r="J232" s="5" t="n"/>
    </row>
    <row r="233">
      <c r="A233" s="5" t="n"/>
      <c r="B233" s="5" t="n"/>
      <c r="C233" s="5" t="n"/>
      <c r="D233" s="5" t="n"/>
      <c r="E233" s="23" t="n"/>
      <c r="F233" s="20" t="n"/>
      <c r="G233" s="20" t="n"/>
      <c r="H233" s="20" t="n"/>
      <c r="I233" s="21">
        <f>IF(OR(G233="",H233=""),"",H233-G233)</f>
        <v/>
      </c>
      <c r="J233" s="5" t="n"/>
    </row>
    <row r="234">
      <c r="A234" s="5" t="n"/>
      <c r="B234" s="5" t="n"/>
      <c r="C234" s="5" t="n"/>
      <c r="D234" s="5" t="n"/>
      <c r="E234" s="23" t="n"/>
      <c r="F234" s="20" t="n"/>
      <c r="G234" s="20" t="n"/>
      <c r="H234" s="20" t="n"/>
      <c r="I234" s="21">
        <f>IF(OR(G234="",H234=""),"",H234-G234)</f>
        <v/>
      </c>
      <c r="J234" s="5" t="n"/>
    </row>
    <row r="235">
      <c r="A235" s="5" t="n"/>
      <c r="B235" s="5" t="n"/>
      <c r="C235" s="5" t="n"/>
      <c r="D235" s="5" t="n"/>
      <c r="E235" s="23" t="n"/>
      <c r="F235" s="20" t="n"/>
      <c r="G235" s="20" t="n"/>
      <c r="H235" s="20" t="n"/>
      <c r="I235" s="21">
        <f>IF(OR(G235="",H235=""),"",H235-G235)</f>
        <v/>
      </c>
      <c r="J235" s="5" t="n"/>
    </row>
    <row r="236">
      <c r="A236" s="5" t="n"/>
      <c r="B236" s="5" t="n"/>
      <c r="C236" s="5" t="n"/>
      <c r="D236" s="5" t="n"/>
      <c r="E236" s="23" t="n"/>
      <c r="F236" s="20" t="n"/>
      <c r="G236" s="20" t="n"/>
      <c r="H236" s="20" t="n"/>
      <c r="I236" s="21">
        <f>IF(OR(G236="",H236=""),"",H236-G236)</f>
        <v/>
      </c>
      <c r="J236" s="5" t="n"/>
    </row>
    <row r="237">
      <c r="A237" s="5" t="n"/>
      <c r="B237" s="5" t="n"/>
      <c r="C237" s="5" t="n"/>
      <c r="D237" s="5" t="n"/>
      <c r="E237" s="23" t="n"/>
      <c r="F237" s="20" t="n"/>
      <c r="G237" s="20" t="n"/>
      <c r="H237" s="20" t="n"/>
      <c r="I237" s="21">
        <f>IF(OR(G237="",H237=""),"",H237-G237)</f>
        <v/>
      </c>
      <c r="J237" s="5" t="n"/>
    </row>
    <row r="238">
      <c r="A238" s="5" t="n"/>
      <c r="B238" s="5" t="n"/>
      <c r="C238" s="5" t="n"/>
      <c r="D238" s="5" t="n"/>
      <c r="E238" s="23" t="n"/>
      <c r="F238" s="20" t="n"/>
      <c r="G238" s="20" t="n"/>
      <c r="H238" s="20" t="n"/>
      <c r="I238" s="21">
        <f>IF(OR(G238="",H238=""),"",H238-G238)</f>
        <v/>
      </c>
      <c r="J238" s="5" t="n"/>
    </row>
    <row r="239">
      <c r="A239" s="5" t="n"/>
      <c r="B239" s="5" t="n"/>
      <c r="C239" s="5" t="n"/>
      <c r="D239" s="5" t="n"/>
      <c r="E239" s="23" t="n"/>
      <c r="F239" s="20" t="n"/>
      <c r="G239" s="20" t="n"/>
      <c r="H239" s="20" t="n"/>
      <c r="I239" s="21">
        <f>IF(OR(G239="",H239=""),"",H239-G239)</f>
        <v/>
      </c>
      <c r="J239" s="5" t="n"/>
    </row>
    <row r="240">
      <c r="A240" s="5" t="n"/>
      <c r="B240" s="5" t="n"/>
      <c r="C240" s="5" t="n"/>
      <c r="D240" s="5" t="n"/>
      <c r="E240" s="23" t="n"/>
      <c r="F240" s="20" t="n"/>
      <c r="G240" s="20" t="n"/>
      <c r="H240" s="20" t="n"/>
      <c r="I240" s="21">
        <f>IF(OR(G240="",H240=""),"",H240-G240)</f>
        <v/>
      </c>
      <c r="J240" s="5" t="n"/>
    </row>
    <row r="241">
      <c r="A241" s="5" t="n"/>
      <c r="B241" s="5" t="n"/>
      <c r="C241" s="5" t="n"/>
      <c r="D241" s="5" t="n"/>
      <c r="E241" s="23" t="n"/>
      <c r="F241" s="20" t="n"/>
      <c r="G241" s="20" t="n"/>
      <c r="H241" s="20" t="n"/>
      <c r="I241" s="21">
        <f>IF(OR(G241="",H241=""),"",H241-G241)</f>
        <v/>
      </c>
      <c r="J241" s="5" t="n"/>
    </row>
    <row r="242">
      <c r="A242" s="5" t="n"/>
      <c r="B242" s="5" t="n"/>
      <c r="C242" s="5" t="n"/>
      <c r="D242" s="5" t="n"/>
      <c r="E242" s="23" t="n"/>
      <c r="F242" s="20" t="n"/>
      <c r="G242" s="20" t="n"/>
      <c r="H242" s="20" t="n"/>
      <c r="I242" s="21">
        <f>IF(OR(G242="",H242=""),"",H242-G242)</f>
        <v/>
      </c>
      <c r="J242" s="5" t="n"/>
    </row>
    <row r="243">
      <c r="A243" s="5" t="n"/>
      <c r="B243" s="5" t="n"/>
      <c r="C243" s="5" t="n"/>
      <c r="D243" s="5" t="n"/>
      <c r="E243" s="23" t="n"/>
      <c r="F243" s="20" t="n"/>
      <c r="G243" s="20" t="n"/>
      <c r="H243" s="20" t="n"/>
      <c r="I243" s="21">
        <f>IF(OR(G243="",H243=""),"",H243-G243)</f>
        <v/>
      </c>
      <c r="J243" s="5" t="n"/>
    </row>
    <row r="244">
      <c r="A244" s="5" t="n"/>
      <c r="B244" s="5" t="n"/>
      <c r="C244" s="5" t="n"/>
      <c r="D244" s="5" t="n"/>
      <c r="E244" s="23" t="n"/>
      <c r="F244" s="20" t="n"/>
      <c r="G244" s="20" t="n"/>
      <c r="H244" s="20" t="n"/>
      <c r="I244" s="21">
        <f>IF(OR(G244="",H244=""),"",H244-G244)</f>
        <v/>
      </c>
      <c r="J244" s="5" t="n"/>
    </row>
    <row r="245">
      <c r="A245" s="5" t="n"/>
      <c r="B245" s="5" t="n"/>
      <c r="C245" s="5" t="n"/>
      <c r="D245" s="5" t="n"/>
      <c r="E245" s="23" t="n"/>
      <c r="F245" s="20" t="n"/>
      <c r="G245" s="20" t="n"/>
      <c r="H245" s="20" t="n"/>
      <c r="I245" s="21">
        <f>IF(OR(G245="",H245=""),"",H245-G245)</f>
        <v/>
      </c>
      <c r="J245" s="5" t="n"/>
    </row>
    <row r="246">
      <c r="A246" s="5" t="n"/>
      <c r="B246" s="5" t="n"/>
      <c r="C246" s="5" t="n"/>
      <c r="D246" s="5" t="n"/>
      <c r="E246" s="23" t="n"/>
      <c r="F246" s="20" t="n"/>
      <c r="G246" s="20" t="n"/>
      <c r="H246" s="20" t="n"/>
      <c r="I246" s="21">
        <f>IF(OR(G246="",H246=""),"",H246-G246)</f>
        <v/>
      </c>
      <c r="J246" s="5" t="n"/>
    </row>
    <row r="247">
      <c r="A247" s="5" t="n"/>
      <c r="B247" s="5" t="n"/>
      <c r="C247" s="5" t="n"/>
      <c r="D247" s="5" t="n"/>
      <c r="E247" s="23" t="n"/>
      <c r="F247" s="20" t="n"/>
      <c r="G247" s="20" t="n"/>
      <c r="H247" s="20" t="n"/>
      <c r="I247" s="21">
        <f>IF(OR(G247="",H247=""),"",H247-G247)</f>
        <v/>
      </c>
      <c r="J247" s="5" t="n"/>
    </row>
    <row r="248">
      <c r="A248" s="5" t="n"/>
      <c r="B248" s="5" t="n"/>
      <c r="C248" s="5" t="n"/>
      <c r="D248" s="5" t="n"/>
      <c r="E248" s="23" t="n"/>
      <c r="F248" s="20" t="n"/>
      <c r="G248" s="20" t="n"/>
      <c r="H248" s="20" t="n"/>
      <c r="I248" s="21">
        <f>IF(OR(G248="",H248=""),"",H248-G248)</f>
        <v/>
      </c>
      <c r="J248" s="5" t="n"/>
    </row>
    <row r="249">
      <c r="A249" s="5" t="n"/>
      <c r="B249" s="5" t="n"/>
      <c r="C249" s="5" t="n"/>
      <c r="D249" s="5" t="n"/>
      <c r="E249" s="23" t="n"/>
      <c r="F249" s="20" t="n"/>
      <c r="G249" s="20" t="n"/>
      <c r="H249" s="20" t="n"/>
      <c r="I249" s="21">
        <f>IF(OR(G249="",H249=""),"",H249-G249)</f>
        <v/>
      </c>
      <c r="J249" s="5" t="n"/>
    </row>
    <row r="250">
      <c r="A250" s="5" t="n"/>
      <c r="B250" s="5" t="n"/>
      <c r="C250" s="5" t="n"/>
      <c r="D250" s="5" t="n"/>
      <c r="E250" s="23" t="n"/>
      <c r="F250" s="20" t="n"/>
      <c r="G250" s="20" t="n"/>
      <c r="H250" s="20" t="n"/>
      <c r="I250" s="21">
        <f>IF(OR(G250="",H250=""),"",H250-G250)</f>
        <v/>
      </c>
      <c r="J250" s="5" t="n"/>
    </row>
    <row r="251">
      <c r="A251" s="5" t="n"/>
      <c r="B251" s="5" t="n"/>
      <c r="C251" s="5" t="n"/>
      <c r="D251" s="5" t="n"/>
      <c r="E251" s="23" t="n"/>
      <c r="F251" s="20" t="n"/>
      <c r="G251" s="20" t="n"/>
      <c r="H251" s="20" t="n"/>
      <c r="I251" s="21">
        <f>IF(OR(G251="",H251=""),"",H251-G251)</f>
        <v/>
      </c>
      <c r="J251" s="5" t="n"/>
    </row>
    <row r="252">
      <c r="A252" s="5" t="n"/>
      <c r="B252" s="5" t="n"/>
      <c r="C252" s="5" t="n"/>
      <c r="D252" s="5" t="n"/>
      <c r="E252" s="23" t="n"/>
      <c r="F252" s="20" t="n"/>
      <c r="G252" s="20" t="n"/>
      <c r="H252" s="20" t="n"/>
      <c r="I252" s="21">
        <f>IF(OR(G252="",H252=""),"",H252-G252)</f>
        <v/>
      </c>
      <c r="J252" s="5" t="n"/>
    </row>
    <row r="253">
      <c r="A253" s="5" t="n"/>
      <c r="B253" s="5" t="n"/>
      <c r="C253" s="5" t="n"/>
      <c r="D253" s="5" t="n"/>
      <c r="E253" s="23" t="n"/>
      <c r="F253" s="20" t="n"/>
      <c r="G253" s="20" t="n"/>
      <c r="H253" s="20" t="n"/>
      <c r="I253" s="21">
        <f>IF(OR(G253="",H253=""),"",H253-G253)</f>
        <v/>
      </c>
      <c r="J253" s="5" t="n"/>
    </row>
    <row r="254">
      <c r="A254" s="5" t="n"/>
      <c r="B254" s="5" t="n"/>
      <c r="C254" s="5" t="n"/>
      <c r="D254" s="5" t="n"/>
      <c r="E254" s="23" t="n"/>
      <c r="F254" s="20" t="n"/>
      <c r="G254" s="20" t="n"/>
      <c r="H254" s="20" t="n"/>
      <c r="I254" s="21">
        <f>IF(OR(G254="",H254=""),"",H254-G254)</f>
        <v/>
      </c>
      <c r="J254" s="5" t="n"/>
    </row>
    <row r="255">
      <c r="A255" s="5" t="n"/>
      <c r="B255" s="5" t="n"/>
      <c r="C255" s="5" t="n"/>
      <c r="D255" s="5" t="n"/>
      <c r="E255" s="23" t="n"/>
      <c r="F255" s="20" t="n"/>
      <c r="G255" s="20" t="n"/>
      <c r="H255" s="20" t="n"/>
      <c r="I255" s="21">
        <f>IF(OR(G255="",H255=""),"",H255-G255)</f>
        <v/>
      </c>
      <c r="J255" s="5" t="n"/>
    </row>
    <row r="256">
      <c r="A256" s="5" t="n"/>
      <c r="B256" s="5" t="n"/>
      <c r="C256" s="5" t="n"/>
      <c r="D256" s="5" t="n"/>
      <c r="E256" s="23" t="n"/>
      <c r="F256" s="20" t="n"/>
      <c r="G256" s="20" t="n"/>
      <c r="H256" s="20" t="n"/>
      <c r="I256" s="21">
        <f>IF(OR(G256="",H256=""),"",H256-G256)</f>
        <v/>
      </c>
      <c r="J256" s="5" t="n"/>
    </row>
    <row r="257">
      <c r="A257" s="5" t="n"/>
      <c r="B257" s="5" t="n"/>
      <c r="C257" s="5" t="n"/>
      <c r="D257" s="5" t="n"/>
      <c r="E257" s="23" t="n"/>
      <c r="F257" s="20" t="n"/>
      <c r="G257" s="20" t="n"/>
      <c r="H257" s="20" t="n"/>
      <c r="I257" s="21">
        <f>IF(OR(G257="",H257=""),"",H257-G257)</f>
        <v/>
      </c>
      <c r="J257" s="5" t="n"/>
    </row>
    <row r="258">
      <c r="A258" s="5" t="n"/>
      <c r="B258" s="5" t="n"/>
      <c r="C258" s="5" t="n"/>
      <c r="D258" s="5" t="n"/>
      <c r="E258" s="23" t="n"/>
      <c r="F258" s="20" t="n"/>
      <c r="G258" s="20" t="n"/>
      <c r="H258" s="20" t="n"/>
      <c r="I258" s="21">
        <f>IF(OR(G258="",H258=""),"",H258-G258)</f>
        <v/>
      </c>
      <c r="J258" s="5" t="n"/>
    </row>
    <row r="259">
      <c r="A259" s="5" t="n"/>
      <c r="B259" s="5" t="n"/>
      <c r="C259" s="5" t="n"/>
      <c r="D259" s="5" t="n"/>
      <c r="E259" s="23" t="n"/>
      <c r="F259" s="20" t="n"/>
      <c r="G259" s="20" t="n"/>
      <c r="H259" s="20" t="n"/>
      <c r="I259" s="21">
        <f>IF(OR(G259="",H259=""),"",H259-G259)</f>
        <v/>
      </c>
      <c r="J259" s="5" t="n"/>
    </row>
    <row r="260">
      <c r="A260" s="5" t="n"/>
      <c r="B260" s="5" t="n"/>
      <c r="C260" s="5" t="n"/>
      <c r="D260" s="5" t="n"/>
      <c r="E260" s="23" t="n"/>
      <c r="F260" s="20" t="n"/>
      <c r="G260" s="20" t="n"/>
      <c r="H260" s="20" t="n"/>
      <c r="I260" s="21">
        <f>IF(OR(G260="",H260=""),"",H260-G260)</f>
        <v/>
      </c>
      <c r="J260" s="5" t="n"/>
    </row>
    <row r="261">
      <c r="A261" s="5" t="n"/>
      <c r="B261" s="5" t="n"/>
      <c r="C261" s="5" t="n"/>
      <c r="D261" s="5" t="n"/>
      <c r="E261" s="23" t="n"/>
      <c r="F261" s="20" t="n"/>
      <c r="G261" s="20" t="n"/>
      <c r="H261" s="20" t="n"/>
      <c r="I261" s="21">
        <f>IF(OR(G261="",H261=""),"",H261-G261)</f>
        <v/>
      </c>
      <c r="J261" s="5" t="n"/>
    </row>
    <row r="262">
      <c r="A262" s="5" t="n"/>
      <c r="B262" s="5" t="n"/>
      <c r="C262" s="5" t="n"/>
      <c r="D262" s="5" t="n"/>
      <c r="E262" s="23" t="n"/>
      <c r="F262" s="20" t="n"/>
      <c r="G262" s="20" t="n"/>
      <c r="H262" s="20" t="n"/>
      <c r="I262" s="21">
        <f>IF(OR(G262="",H262=""),"",H262-G262)</f>
        <v/>
      </c>
      <c r="J262" s="5" t="n"/>
    </row>
    <row r="263">
      <c r="A263" s="5" t="n"/>
      <c r="B263" s="5" t="n"/>
      <c r="C263" s="5" t="n"/>
      <c r="D263" s="5" t="n"/>
      <c r="E263" s="23" t="n"/>
      <c r="F263" s="20" t="n"/>
      <c r="G263" s="20" t="n"/>
      <c r="H263" s="20" t="n"/>
      <c r="I263" s="21">
        <f>IF(OR(G263="",H263=""),"",H263-G263)</f>
        <v/>
      </c>
      <c r="J263" s="5" t="n"/>
    </row>
    <row r="264">
      <c r="A264" s="5" t="n"/>
      <c r="B264" s="5" t="n"/>
      <c r="C264" s="5" t="n"/>
      <c r="D264" s="5" t="n"/>
      <c r="E264" s="23" t="n"/>
      <c r="F264" s="20" t="n"/>
      <c r="G264" s="20" t="n"/>
      <c r="H264" s="20" t="n"/>
      <c r="I264" s="21">
        <f>IF(OR(G264="",H264=""),"",H264-G264)</f>
        <v/>
      </c>
      <c r="J264" s="5" t="n"/>
    </row>
    <row r="265">
      <c r="A265" s="5" t="n"/>
      <c r="B265" s="5" t="n"/>
      <c r="C265" s="5" t="n"/>
      <c r="D265" s="5" t="n"/>
      <c r="E265" s="23" t="n"/>
      <c r="F265" s="20" t="n"/>
      <c r="G265" s="20" t="n"/>
      <c r="H265" s="20" t="n"/>
      <c r="I265" s="21">
        <f>IF(OR(G265="",H265=""),"",H265-G265)</f>
        <v/>
      </c>
      <c r="J265" s="5" t="n"/>
    </row>
    <row r="266">
      <c r="A266" s="5" t="n"/>
      <c r="B266" s="5" t="n"/>
      <c r="C266" s="5" t="n"/>
      <c r="D266" s="5" t="n"/>
      <c r="E266" s="23" t="n"/>
      <c r="F266" s="20" t="n"/>
      <c r="G266" s="20" t="n"/>
      <c r="H266" s="20" t="n"/>
      <c r="I266" s="21">
        <f>IF(OR(G266="",H266=""),"",H266-G266)</f>
        <v/>
      </c>
      <c r="J266" s="5" t="n"/>
    </row>
    <row r="267">
      <c r="A267" s="5" t="n"/>
      <c r="B267" s="5" t="n"/>
      <c r="C267" s="5" t="n"/>
      <c r="D267" s="5" t="n"/>
      <c r="E267" s="23" t="n"/>
      <c r="F267" s="20" t="n"/>
      <c r="G267" s="20" t="n"/>
      <c r="H267" s="20" t="n"/>
      <c r="I267" s="21">
        <f>IF(OR(G267="",H267=""),"",H267-G267)</f>
        <v/>
      </c>
      <c r="J267" s="5" t="n"/>
    </row>
    <row r="268">
      <c r="A268" s="5" t="n"/>
      <c r="B268" s="5" t="n"/>
      <c r="C268" s="5" t="n"/>
      <c r="D268" s="5" t="n"/>
      <c r="E268" s="23" t="n"/>
      <c r="F268" s="20" t="n"/>
      <c r="G268" s="20" t="n"/>
      <c r="H268" s="20" t="n"/>
      <c r="I268" s="21">
        <f>IF(OR(G268="",H268=""),"",H268-G268)</f>
        <v/>
      </c>
      <c r="J268" s="5" t="n"/>
    </row>
    <row r="269">
      <c r="A269" s="5" t="n"/>
      <c r="B269" s="5" t="n"/>
      <c r="C269" s="5" t="n"/>
      <c r="D269" s="5" t="n"/>
      <c r="E269" s="23" t="n"/>
      <c r="F269" s="20" t="n"/>
      <c r="G269" s="20" t="n"/>
      <c r="H269" s="20" t="n"/>
      <c r="I269" s="21">
        <f>IF(OR(G269="",H269=""),"",H269-G269)</f>
        <v/>
      </c>
      <c r="J269" s="5" t="n"/>
    </row>
    <row r="270">
      <c r="A270" s="5" t="n"/>
      <c r="B270" s="5" t="n"/>
      <c r="C270" s="5" t="n"/>
      <c r="D270" s="5" t="n"/>
      <c r="E270" s="23" t="n"/>
      <c r="F270" s="20" t="n"/>
      <c r="G270" s="20" t="n"/>
      <c r="H270" s="20" t="n"/>
      <c r="I270" s="21">
        <f>IF(OR(G270="",H270=""),"",H270-G270)</f>
        <v/>
      </c>
      <c r="J270" s="5" t="n"/>
    </row>
    <row r="271">
      <c r="A271" s="5" t="n"/>
      <c r="B271" s="5" t="n"/>
      <c r="C271" s="5" t="n"/>
      <c r="D271" s="5" t="n"/>
      <c r="E271" s="23" t="n"/>
      <c r="F271" s="20" t="n"/>
      <c r="G271" s="20" t="n"/>
      <c r="H271" s="20" t="n"/>
      <c r="I271" s="21">
        <f>IF(OR(G271="",H271=""),"",H271-G271)</f>
        <v/>
      </c>
      <c r="J271" s="5" t="n"/>
    </row>
    <row r="272">
      <c r="A272" s="5" t="n"/>
      <c r="B272" s="5" t="n"/>
      <c r="C272" s="5" t="n"/>
      <c r="D272" s="5" t="n"/>
      <c r="E272" s="23" t="n"/>
      <c r="F272" s="20" t="n"/>
      <c r="G272" s="20" t="n"/>
      <c r="H272" s="20" t="n"/>
      <c r="I272" s="21">
        <f>IF(OR(G272="",H272=""),"",H272-G272)</f>
        <v/>
      </c>
      <c r="J272" s="5" t="n"/>
    </row>
    <row r="273">
      <c r="A273" s="5" t="n"/>
      <c r="B273" s="5" t="n"/>
      <c r="C273" s="5" t="n"/>
      <c r="D273" s="5" t="n"/>
      <c r="E273" s="23" t="n"/>
      <c r="F273" s="20" t="n"/>
      <c r="G273" s="20" t="n"/>
      <c r="H273" s="20" t="n"/>
      <c r="I273" s="21">
        <f>IF(OR(G273="",H273=""),"",H273-G273)</f>
        <v/>
      </c>
      <c r="J273" s="5" t="n"/>
    </row>
    <row r="274">
      <c r="A274" s="5" t="n"/>
      <c r="B274" s="5" t="n"/>
      <c r="C274" s="5" t="n"/>
      <c r="D274" s="5" t="n"/>
      <c r="E274" s="23" t="n"/>
      <c r="F274" s="20" t="n"/>
      <c r="G274" s="20" t="n"/>
      <c r="H274" s="20" t="n"/>
      <c r="I274" s="21">
        <f>IF(OR(G274="",H274=""),"",H274-G274)</f>
        <v/>
      </c>
      <c r="J274" s="5" t="n"/>
    </row>
    <row r="275">
      <c r="A275" s="5" t="n"/>
      <c r="B275" s="5" t="n"/>
      <c r="C275" s="5" t="n"/>
      <c r="D275" s="5" t="n"/>
      <c r="E275" s="23" t="n"/>
      <c r="F275" s="20" t="n"/>
      <c r="G275" s="20" t="n"/>
      <c r="H275" s="20" t="n"/>
      <c r="I275" s="21">
        <f>IF(OR(G275="",H275=""),"",H275-G275)</f>
        <v/>
      </c>
      <c r="J275" s="5" t="n"/>
    </row>
    <row r="276">
      <c r="A276" s="5" t="n"/>
      <c r="B276" s="5" t="n"/>
      <c r="C276" s="5" t="n"/>
      <c r="D276" s="5" t="n"/>
      <c r="E276" s="23" t="n"/>
      <c r="F276" s="20" t="n"/>
      <c r="G276" s="20" t="n"/>
      <c r="H276" s="20" t="n"/>
      <c r="I276" s="21">
        <f>IF(OR(G276="",H276=""),"",H276-G276)</f>
        <v/>
      </c>
      <c r="J276" s="5" t="n"/>
    </row>
    <row r="277">
      <c r="A277" s="5" t="n"/>
      <c r="B277" s="5" t="n"/>
      <c r="C277" s="5" t="n"/>
      <c r="D277" s="5" t="n"/>
      <c r="E277" s="23" t="n"/>
      <c r="F277" s="20" t="n"/>
      <c r="G277" s="20" t="n"/>
      <c r="H277" s="20" t="n"/>
      <c r="I277" s="21">
        <f>IF(OR(G277="",H277=""),"",H277-G277)</f>
        <v/>
      </c>
      <c r="J277" s="5" t="n"/>
    </row>
    <row r="278">
      <c r="A278" s="5" t="n"/>
      <c r="B278" s="5" t="n"/>
      <c r="C278" s="5" t="n"/>
      <c r="D278" s="5" t="n"/>
      <c r="E278" s="23" t="n"/>
      <c r="F278" s="20" t="n"/>
      <c r="G278" s="20" t="n"/>
      <c r="H278" s="20" t="n"/>
      <c r="I278" s="21">
        <f>IF(OR(G278="",H278=""),"",H278-G278)</f>
        <v/>
      </c>
      <c r="J278" s="5" t="n"/>
    </row>
    <row r="279">
      <c r="A279" s="5" t="n"/>
      <c r="B279" s="5" t="n"/>
      <c r="C279" s="5" t="n"/>
      <c r="D279" s="5" t="n"/>
      <c r="E279" s="23" t="n"/>
      <c r="F279" s="20" t="n"/>
      <c r="G279" s="20" t="n"/>
      <c r="H279" s="20" t="n"/>
      <c r="I279" s="21">
        <f>IF(OR(G279="",H279=""),"",H279-G279)</f>
        <v/>
      </c>
      <c r="J279" s="5" t="n"/>
    </row>
    <row r="280">
      <c r="A280" s="5" t="n"/>
      <c r="B280" s="5" t="n"/>
      <c r="C280" s="5" t="n"/>
      <c r="D280" s="5" t="n"/>
      <c r="E280" s="23" t="n"/>
      <c r="F280" s="20" t="n"/>
      <c r="G280" s="20" t="n"/>
      <c r="H280" s="20" t="n"/>
      <c r="I280" s="21">
        <f>IF(OR(G280="",H280=""),"",H280-G280)</f>
        <v/>
      </c>
      <c r="J280" s="5" t="n"/>
    </row>
    <row r="281">
      <c r="A281" s="5" t="n"/>
      <c r="B281" s="5" t="n"/>
      <c r="C281" s="5" t="n"/>
      <c r="D281" s="5" t="n"/>
      <c r="E281" s="23" t="n"/>
      <c r="F281" s="20" t="n"/>
      <c r="G281" s="20" t="n"/>
      <c r="H281" s="20" t="n"/>
      <c r="I281" s="21">
        <f>IF(OR(G281="",H281=""),"",H281-G281)</f>
        <v/>
      </c>
      <c r="J281" s="5" t="n"/>
    </row>
    <row r="282">
      <c r="A282" s="5" t="n"/>
      <c r="B282" s="5" t="n"/>
      <c r="C282" s="5" t="n"/>
      <c r="D282" s="5" t="n"/>
      <c r="E282" s="23" t="n"/>
      <c r="F282" s="20" t="n"/>
      <c r="G282" s="20" t="n"/>
      <c r="H282" s="20" t="n"/>
      <c r="I282" s="21">
        <f>IF(OR(G282="",H282=""),"",H282-G282)</f>
        <v/>
      </c>
      <c r="J282" s="5" t="n"/>
    </row>
    <row r="283">
      <c r="A283" s="5" t="n"/>
      <c r="B283" s="5" t="n"/>
      <c r="C283" s="5" t="n"/>
      <c r="D283" s="5" t="n"/>
      <c r="E283" s="23" t="n"/>
      <c r="F283" s="20" t="n"/>
      <c r="G283" s="20" t="n"/>
      <c r="H283" s="20" t="n"/>
      <c r="I283" s="21">
        <f>IF(OR(G283="",H283=""),"",H283-G283)</f>
        <v/>
      </c>
      <c r="J283" s="5" t="n"/>
    </row>
    <row r="284">
      <c r="A284" s="5" t="n"/>
      <c r="B284" s="5" t="n"/>
      <c r="C284" s="5" t="n"/>
      <c r="D284" s="5" t="n"/>
      <c r="E284" s="23" t="n"/>
      <c r="F284" s="20" t="n"/>
      <c r="G284" s="20" t="n"/>
      <c r="H284" s="20" t="n"/>
      <c r="I284" s="21">
        <f>IF(OR(G284="",H284=""),"",H284-G284)</f>
        <v/>
      </c>
      <c r="J284" s="5" t="n"/>
    </row>
    <row r="285">
      <c r="A285" s="5" t="n"/>
      <c r="B285" s="5" t="n"/>
      <c r="C285" s="5" t="n"/>
      <c r="D285" s="5" t="n"/>
      <c r="E285" s="23" t="n"/>
      <c r="F285" s="20" t="n"/>
      <c r="G285" s="20" t="n"/>
      <c r="H285" s="20" t="n"/>
      <c r="I285" s="21">
        <f>IF(OR(G285="",H285=""),"",H285-G285)</f>
        <v/>
      </c>
      <c r="J285" s="5" t="n"/>
    </row>
    <row r="286">
      <c r="A286" s="5" t="n"/>
      <c r="B286" s="5" t="n"/>
      <c r="C286" s="5" t="n"/>
      <c r="D286" s="5" t="n"/>
      <c r="E286" s="23" t="n"/>
      <c r="F286" s="20" t="n"/>
      <c r="G286" s="20" t="n"/>
      <c r="H286" s="20" t="n"/>
      <c r="I286" s="21">
        <f>IF(OR(G286="",H286=""),"",H286-G286)</f>
        <v/>
      </c>
      <c r="J286" s="5" t="n"/>
    </row>
    <row r="287">
      <c r="A287" s="5" t="n"/>
      <c r="B287" s="5" t="n"/>
      <c r="C287" s="5" t="n"/>
      <c r="D287" s="5" t="n"/>
      <c r="E287" s="23" t="n"/>
      <c r="F287" s="20" t="n"/>
      <c r="G287" s="20" t="n"/>
      <c r="H287" s="20" t="n"/>
      <c r="I287" s="21">
        <f>IF(OR(G287="",H287=""),"",H287-G287)</f>
        <v/>
      </c>
      <c r="J287" s="5" t="n"/>
    </row>
    <row r="288">
      <c r="A288" s="5" t="n"/>
      <c r="B288" s="5" t="n"/>
      <c r="C288" s="5" t="n"/>
      <c r="D288" s="5" t="n"/>
      <c r="E288" s="23" t="n"/>
      <c r="F288" s="20" t="n"/>
      <c r="G288" s="20" t="n"/>
      <c r="H288" s="20" t="n"/>
      <c r="I288" s="21">
        <f>IF(OR(G288="",H288=""),"",H288-G288)</f>
        <v/>
      </c>
      <c r="J288" s="5" t="n"/>
    </row>
    <row r="289">
      <c r="A289" s="5" t="n"/>
      <c r="B289" s="5" t="n"/>
      <c r="C289" s="5" t="n"/>
      <c r="D289" s="5" t="n"/>
      <c r="E289" s="23" t="n"/>
      <c r="F289" s="20" t="n"/>
      <c r="G289" s="20" t="n"/>
      <c r="H289" s="20" t="n"/>
      <c r="I289" s="21">
        <f>IF(OR(G289="",H289=""),"",H289-G289)</f>
        <v/>
      </c>
      <c r="J289" s="5" t="n"/>
    </row>
    <row r="290">
      <c r="A290" s="5" t="n"/>
      <c r="B290" s="5" t="n"/>
      <c r="C290" s="5" t="n"/>
      <c r="D290" s="5" t="n"/>
      <c r="E290" s="23" t="n"/>
      <c r="F290" s="20" t="n"/>
      <c r="G290" s="20" t="n"/>
      <c r="H290" s="20" t="n"/>
      <c r="I290" s="21">
        <f>IF(OR(G290="",H290=""),"",H290-G290)</f>
        <v/>
      </c>
      <c r="J290" s="5" t="n"/>
    </row>
    <row r="291">
      <c r="A291" s="5" t="n"/>
      <c r="B291" s="5" t="n"/>
      <c r="C291" s="5" t="n"/>
      <c r="D291" s="5" t="n"/>
      <c r="E291" s="23" t="n"/>
      <c r="F291" s="20" t="n"/>
      <c r="G291" s="20" t="n"/>
      <c r="H291" s="20" t="n"/>
      <c r="I291" s="21">
        <f>IF(OR(G291="",H291=""),"",H291-G291)</f>
        <v/>
      </c>
      <c r="J291" s="5" t="n"/>
    </row>
    <row r="292">
      <c r="A292" s="5" t="n"/>
      <c r="B292" s="5" t="n"/>
      <c r="C292" s="5" t="n"/>
      <c r="D292" s="5" t="n"/>
      <c r="E292" s="23" t="n"/>
      <c r="F292" s="20" t="n"/>
      <c r="G292" s="20" t="n"/>
      <c r="H292" s="20" t="n"/>
      <c r="I292" s="21">
        <f>IF(OR(G292="",H292=""),"",H292-G292)</f>
        <v/>
      </c>
      <c r="J292" s="5" t="n"/>
    </row>
    <row r="293">
      <c r="A293" s="5" t="n"/>
      <c r="B293" s="5" t="n"/>
      <c r="C293" s="5" t="n"/>
      <c r="D293" s="5" t="n"/>
      <c r="E293" s="23" t="n"/>
      <c r="F293" s="20" t="n"/>
      <c r="G293" s="20" t="n"/>
      <c r="H293" s="20" t="n"/>
      <c r="I293" s="21">
        <f>IF(OR(G293="",H293=""),"",H293-G293)</f>
        <v/>
      </c>
      <c r="J293" s="5" t="n"/>
    </row>
    <row r="294">
      <c r="A294" s="5" t="n"/>
      <c r="B294" s="5" t="n"/>
      <c r="C294" s="5" t="n"/>
      <c r="D294" s="5" t="n"/>
      <c r="E294" s="23" t="n"/>
      <c r="F294" s="20" t="n"/>
      <c r="G294" s="20" t="n"/>
      <c r="H294" s="20" t="n"/>
      <c r="I294" s="21">
        <f>IF(OR(G294="",H294=""),"",H294-G294)</f>
        <v/>
      </c>
      <c r="J294" s="5" t="n"/>
    </row>
    <row r="295">
      <c r="A295" s="5" t="n"/>
      <c r="B295" s="5" t="n"/>
      <c r="C295" s="5" t="n"/>
      <c r="D295" s="5" t="n"/>
      <c r="E295" s="23" t="n"/>
      <c r="F295" s="20" t="n"/>
      <c r="G295" s="20" t="n"/>
      <c r="H295" s="20" t="n"/>
      <c r="I295" s="21">
        <f>IF(OR(G295="",H295=""),"",H295-G295)</f>
        <v/>
      </c>
      <c r="J295" s="5" t="n"/>
    </row>
    <row r="296">
      <c r="A296" s="5" t="n"/>
      <c r="B296" s="5" t="n"/>
      <c r="C296" s="5" t="n"/>
      <c r="D296" s="5" t="n"/>
      <c r="E296" s="23" t="n"/>
      <c r="F296" s="20" t="n"/>
      <c r="G296" s="20" t="n"/>
      <c r="H296" s="20" t="n"/>
      <c r="I296" s="21">
        <f>IF(OR(G296="",H296=""),"",H296-G296)</f>
        <v/>
      </c>
      <c r="J296" s="5" t="n"/>
    </row>
    <row r="297">
      <c r="A297" s="5" t="n"/>
      <c r="B297" s="5" t="n"/>
      <c r="C297" s="5" t="n"/>
      <c r="D297" s="5" t="n"/>
      <c r="E297" s="23" t="n"/>
      <c r="F297" s="20" t="n"/>
      <c r="G297" s="20" t="n"/>
      <c r="H297" s="20" t="n"/>
      <c r="I297" s="21">
        <f>IF(OR(G297="",H297=""),"",H297-G297)</f>
        <v/>
      </c>
      <c r="J297" s="5" t="n"/>
    </row>
    <row r="298">
      <c r="A298" s="5" t="n"/>
      <c r="B298" s="5" t="n"/>
      <c r="C298" s="5" t="n"/>
      <c r="D298" s="5" t="n"/>
      <c r="E298" s="23" t="n"/>
      <c r="F298" s="20" t="n"/>
      <c r="G298" s="20" t="n"/>
      <c r="H298" s="20" t="n"/>
      <c r="I298" s="21">
        <f>IF(OR(G298="",H298=""),"",H298-G298)</f>
        <v/>
      </c>
      <c r="J298" s="5" t="n"/>
    </row>
    <row r="299">
      <c r="A299" s="5" t="n"/>
      <c r="B299" s="5" t="n"/>
      <c r="C299" s="5" t="n"/>
      <c r="D299" s="5" t="n"/>
      <c r="E299" s="23" t="n"/>
      <c r="F299" s="20" t="n"/>
      <c r="G299" s="20" t="n"/>
      <c r="H299" s="20" t="n"/>
      <c r="I299" s="21">
        <f>IF(OR(G299="",H299=""),"",H299-G299)</f>
        <v/>
      </c>
      <c r="J299" s="5" t="n"/>
    </row>
    <row r="300">
      <c r="A300" s="5" t="n"/>
      <c r="B300" s="5" t="n"/>
      <c r="C300" s="5" t="n"/>
      <c r="D300" s="5" t="n"/>
      <c r="E300" s="23" t="n"/>
      <c r="F300" s="20" t="n"/>
      <c r="G300" s="20" t="n"/>
      <c r="H300" s="20" t="n"/>
      <c r="I300" s="21">
        <f>IF(OR(G300="",H300=""),"",H300-G300)</f>
        <v/>
      </c>
      <c r="J300" s="5" t="n"/>
    </row>
    <row r="301">
      <c r="A301" s="5" t="n"/>
      <c r="B301" s="5" t="n"/>
      <c r="C301" s="5" t="n"/>
      <c r="D301" s="5" t="n"/>
      <c r="E301" s="23" t="n"/>
      <c r="F301" s="20" t="n"/>
      <c r="G301" s="20" t="n"/>
      <c r="H301" s="20" t="n"/>
      <c r="I301" s="21">
        <f>IF(OR(G301="",H301=""),"",H301-G301)</f>
        <v/>
      </c>
      <c r="J301" s="5" t="n"/>
    </row>
    <row r="302">
      <c r="A302" s="5" t="n"/>
      <c r="B302" s="5" t="n"/>
      <c r="C302" s="5" t="n"/>
      <c r="D302" s="5" t="n"/>
      <c r="E302" s="23" t="n"/>
      <c r="F302" s="20" t="n"/>
      <c r="G302" s="20" t="n"/>
      <c r="H302" s="20" t="n"/>
      <c r="I302" s="21">
        <f>IF(OR(G302="",H302=""),"",H302-G302)</f>
        <v/>
      </c>
      <c r="J302" s="5" t="n"/>
    </row>
    <row r="303">
      <c r="A303" s="5" t="n"/>
      <c r="B303" s="5" t="n"/>
      <c r="C303" s="5" t="n"/>
      <c r="D303" s="5" t="n"/>
      <c r="E303" s="23" t="n"/>
      <c r="F303" s="20" t="n"/>
      <c r="G303" s="20" t="n"/>
      <c r="H303" s="20" t="n"/>
      <c r="I303" s="21">
        <f>IF(OR(G303="",H303=""),"",H303-G303)</f>
        <v/>
      </c>
      <c r="J303" s="5" t="n"/>
    </row>
    <row r="304">
      <c r="A304" s="5" t="n"/>
      <c r="B304" s="5" t="n"/>
      <c r="C304" s="5" t="n"/>
      <c r="D304" s="5" t="n"/>
      <c r="E304" s="23" t="n"/>
      <c r="F304" s="20" t="n"/>
      <c r="G304" s="20" t="n"/>
      <c r="H304" s="20" t="n"/>
      <c r="I304" s="21">
        <f>IF(OR(G304="",H304=""),"",H304-G304)</f>
        <v/>
      </c>
      <c r="J304" s="5" t="n"/>
    </row>
    <row r="305">
      <c r="A305" s="5" t="n"/>
      <c r="B305" s="5" t="n"/>
      <c r="C305" s="5" t="n"/>
      <c r="D305" s="5" t="n"/>
      <c r="E305" s="23" t="n"/>
      <c r="F305" s="20" t="n"/>
      <c r="G305" s="20" t="n"/>
      <c r="H305" s="20" t="n"/>
      <c r="I305" s="21">
        <f>IF(OR(G305="",H305=""),"",H305-G305)</f>
        <v/>
      </c>
      <c r="J305" s="5" t="n"/>
    </row>
    <row r="306">
      <c r="A306" s="5" t="n"/>
      <c r="B306" s="5" t="n"/>
      <c r="C306" s="5" t="n"/>
      <c r="D306" s="5" t="n"/>
      <c r="E306" s="23" t="n"/>
      <c r="F306" s="20" t="n"/>
      <c r="G306" s="20" t="n"/>
      <c r="H306" s="20" t="n"/>
      <c r="I306" s="21">
        <f>IF(OR(G306="",H306=""),"",H306-G306)</f>
        <v/>
      </c>
      <c r="J306" s="5" t="n"/>
    </row>
    <row r="307">
      <c r="A307" s="5" t="n"/>
      <c r="B307" s="5" t="n"/>
      <c r="C307" s="5" t="n"/>
      <c r="D307" s="5" t="n"/>
      <c r="E307" s="23" t="n"/>
      <c r="F307" s="20" t="n"/>
      <c r="G307" s="20" t="n"/>
      <c r="H307" s="20" t="n"/>
      <c r="I307" s="21">
        <f>IF(OR(G307="",H307=""),"",H307-G307)</f>
        <v/>
      </c>
      <c r="J307" s="5" t="n"/>
    </row>
    <row r="308">
      <c r="A308" s="5" t="n"/>
      <c r="B308" s="5" t="n"/>
      <c r="C308" s="5" t="n"/>
      <c r="D308" s="5" t="n"/>
      <c r="E308" s="23" t="n"/>
      <c r="F308" s="20" t="n"/>
      <c r="G308" s="20" t="n"/>
      <c r="H308" s="20" t="n"/>
      <c r="I308" s="21">
        <f>IF(OR(G308="",H308=""),"",H308-G308)</f>
        <v/>
      </c>
      <c r="J308" s="5" t="n"/>
    </row>
    <row r="309">
      <c r="A309" s="5" t="n"/>
      <c r="B309" s="5" t="n"/>
      <c r="C309" s="5" t="n"/>
      <c r="D309" s="5" t="n"/>
      <c r="E309" s="23" t="n"/>
      <c r="F309" s="20" t="n"/>
      <c r="G309" s="20" t="n"/>
      <c r="H309" s="20" t="n"/>
      <c r="I309" s="21">
        <f>IF(OR(G309="",H309=""),"",H309-G309)</f>
        <v/>
      </c>
      <c r="J309" s="5" t="n"/>
    </row>
    <row r="310">
      <c r="A310" s="5" t="n"/>
      <c r="B310" s="5" t="n"/>
      <c r="C310" s="5" t="n"/>
      <c r="D310" s="5" t="n"/>
      <c r="E310" s="23" t="n"/>
      <c r="F310" s="20" t="n"/>
      <c r="G310" s="20" t="n"/>
      <c r="H310" s="20" t="n"/>
      <c r="I310" s="21">
        <f>IF(OR(G310="",H310=""),"",H310-G310)</f>
        <v/>
      </c>
      <c r="J310" s="5" t="n"/>
    </row>
    <row r="311">
      <c r="A311" s="5" t="n"/>
      <c r="B311" s="5" t="n"/>
      <c r="C311" s="5" t="n"/>
      <c r="D311" s="5" t="n"/>
      <c r="E311" s="23" t="n"/>
      <c r="F311" s="20" t="n"/>
      <c r="G311" s="20" t="n"/>
      <c r="H311" s="20" t="n"/>
      <c r="I311" s="21">
        <f>IF(OR(G311="",H311=""),"",H311-G311)</f>
        <v/>
      </c>
      <c r="J311" s="5" t="n"/>
    </row>
    <row r="312">
      <c r="A312" s="5" t="n"/>
      <c r="B312" s="5" t="n"/>
      <c r="C312" s="5" t="n"/>
      <c r="D312" s="5" t="n"/>
      <c r="E312" s="23" t="n"/>
      <c r="F312" s="20" t="n"/>
      <c r="G312" s="20" t="n"/>
      <c r="H312" s="20" t="n"/>
      <c r="I312" s="21">
        <f>IF(OR(G312="",H312=""),"",H312-G312)</f>
        <v/>
      </c>
      <c r="J312" s="5" t="n"/>
    </row>
    <row r="313">
      <c r="A313" s="5" t="n"/>
      <c r="B313" s="5" t="n"/>
      <c r="C313" s="5" t="n"/>
      <c r="D313" s="5" t="n"/>
      <c r="E313" s="23" t="n"/>
      <c r="F313" s="20" t="n"/>
      <c r="G313" s="20" t="n"/>
      <c r="H313" s="20" t="n"/>
      <c r="I313" s="21">
        <f>IF(OR(G313="",H313=""),"",H313-G313)</f>
        <v/>
      </c>
      <c r="J313" s="5" t="n"/>
    </row>
    <row r="314">
      <c r="A314" s="5" t="n"/>
      <c r="B314" s="5" t="n"/>
      <c r="C314" s="5" t="n"/>
      <c r="D314" s="5" t="n"/>
      <c r="E314" s="23" t="n"/>
      <c r="F314" s="20" t="n"/>
      <c r="G314" s="20" t="n"/>
      <c r="H314" s="20" t="n"/>
      <c r="I314" s="21">
        <f>IF(OR(G314="",H314=""),"",H314-G314)</f>
        <v/>
      </c>
      <c r="J314" s="5" t="n"/>
    </row>
    <row r="315">
      <c r="A315" s="5" t="n"/>
      <c r="B315" s="5" t="n"/>
      <c r="C315" s="5" t="n"/>
      <c r="D315" s="5" t="n"/>
      <c r="E315" s="23" t="n"/>
      <c r="F315" s="20" t="n"/>
      <c r="G315" s="20" t="n"/>
      <c r="H315" s="20" t="n"/>
      <c r="I315" s="21">
        <f>IF(OR(G315="",H315=""),"",H315-G315)</f>
        <v/>
      </c>
      <c r="J315" s="5" t="n"/>
    </row>
    <row r="316">
      <c r="A316" s="5" t="n"/>
      <c r="B316" s="5" t="n"/>
      <c r="C316" s="5" t="n"/>
      <c r="D316" s="5" t="n"/>
      <c r="E316" s="23" t="n"/>
      <c r="F316" s="20" t="n"/>
      <c r="G316" s="20" t="n"/>
      <c r="H316" s="20" t="n"/>
      <c r="I316" s="21">
        <f>IF(OR(G316="",H316=""),"",H316-G316)</f>
        <v/>
      </c>
      <c r="J316" s="5" t="n"/>
    </row>
    <row r="317">
      <c r="A317" s="5" t="n"/>
      <c r="B317" s="5" t="n"/>
      <c r="C317" s="5" t="n"/>
      <c r="D317" s="5" t="n"/>
      <c r="E317" s="23" t="n"/>
      <c r="F317" s="20" t="n"/>
      <c r="G317" s="20" t="n"/>
      <c r="H317" s="20" t="n"/>
      <c r="I317" s="21">
        <f>IF(OR(G317="",H317=""),"",H317-G317)</f>
        <v/>
      </c>
      <c r="J317" s="5" t="n"/>
    </row>
    <row r="318">
      <c r="A318" s="5" t="n"/>
      <c r="B318" s="5" t="n"/>
      <c r="C318" s="5" t="n"/>
      <c r="D318" s="5" t="n"/>
      <c r="E318" s="23" t="n"/>
      <c r="F318" s="20" t="n"/>
      <c r="G318" s="20" t="n"/>
      <c r="H318" s="20" t="n"/>
      <c r="I318" s="21">
        <f>IF(OR(G318="",H318=""),"",H318-G318)</f>
        <v/>
      </c>
      <c r="J318" s="5" t="n"/>
    </row>
    <row r="319">
      <c r="A319" s="5" t="n"/>
      <c r="B319" s="5" t="n"/>
      <c r="C319" s="5" t="n"/>
      <c r="D319" s="5" t="n"/>
      <c r="E319" s="23" t="n"/>
      <c r="F319" s="20" t="n"/>
      <c r="G319" s="20" t="n"/>
      <c r="H319" s="20" t="n"/>
      <c r="I319" s="21">
        <f>IF(OR(G319="",H319=""),"",H319-G319)</f>
        <v/>
      </c>
      <c r="J319" s="5" t="n"/>
    </row>
    <row r="320">
      <c r="A320" s="5" t="n"/>
      <c r="B320" s="5" t="n"/>
      <c r="C320" s="5" t="n"/>
      <c r="D320" s="5" t="n"/>
      <c r="E320" s="23" t="n"/>
      <c r="F320" s="20" t="n"/>
      <c r="G320" s="20" t="n"/>
      <c r="H320" s="20" t="n"/>
      <c r="I320" s="21">
        <f>IF(OR(G320="",H320=""),"",H320-G320)</f>
        <v/>
      </c>
      <c r="J320" s="5" t="n"/>
    </row>
    <row r="321">
      <c r="A321" s="5" t="n"/>
      <c r="B321" s="5" t="n"/>
      <c r="C321" s="5" t="n"/>
      <c r="D321" s="5" t="n"/>
      <c r="E321" s="23" t="n"/>
      <c r="F321" s="20" t="n"/>
      <c r="G321" s="20" t="n"/>
      <c r="H321" s="20" t="n"/>
      <c r="I321" s="21">
        <f>IF(OR(G321="",H321=""),"",H321-G321)</f>
        <v/>
      </c>
      <c r="J321" s="5" t="n"/>
    </row>
    <row r="322">
      <c r="A322" s="5" t="n"/>
      <c r="B322" s="5" t="n"/>
      <c r="C322" s="5" t="n"/>
      <c r="D322" s="5" t="n"/>
      <c r="E322" s="23" t="n"/>
      <c r="F322" s="20" t="n"/>
      <c r="G322" s="20" t="n"/>
      <c r="H322" s="20" t="n"/>
      <c r="I322" s="21">
        <f>IF(OR(G322="",H322=""),"",H322-G322)</f>
        <v/>
      </c>
      <c r="J322" s="5" t="n"/>
    </row>
    <row r="323">
      <c r="A323" s="5" t="n"/>
      <c r="B323" s="5" t="n"/>
      <c r="C323" s="5" t="n"/>
      <c r="D323" s="5" t="n"/>
      <c r="E323" s="23" t="n"/>
      <c r="F323" s="20" t="n"/>
      <c r="G323" s="20" t="n"/>
      <c r="H323" s="20" t="n"/>
      <c r="I323" s="21">
        <f>IF(OR(G323="",H323=""),"",H323-G323)</f>
        <v/>
      </c>
      <c r="J323" s="5" t="n"/>
    </row>
    <row r="324">
      <c r="A324" s="5" t="n"/>
      <c r="B324" s="5" t="n"/>
      <c r="C324" s="5" t="n"/>
      <c r="D324" s="5" t="n"/>
      <c r="E324" s="23" t="n"/>
      <c r="F324" s="20" t="n"/>
      <c r="G324" s="20" t="n"/>
      <c r="H324" s="20" t="n"/>
      <c r="I324" s="21">
        <f>IF(OR(G324="",H324=""),"",H324-G324)</f>
        <v/>
      </c>
      <c r="J324" s="5" t="n"/>
    </row>
    <row r="325">
      <c r="A325" s="5" t="n"/>
      <c r="B325" s="5" t="n"/>
      <c r="C325" s="5" t="n"/>
      <c r="D325" s="5" t="n"/>
      <c r="E325" s="23" t="n"/>
      <c r="F325" s="20" t="n"/>
      <c r="G325" s="20" t="n"/>
      <c r="H325" s="20" t="n"/>
      <c r="I325" s="21">
        <f>IF(OR(G325="",H325=""),"",H325-G325)</f>
        <v/>
      </c>
      <c r="J325" s="5" t="n"/>
    </row>
    <row r="326">
      <c r="A326" s="5" t="n"/>
      <c r="B326" s="5" t="n"/>
      <c r="C326" s="5" t="n"/>
      <c r="D326" s="5" t="n"/>
      <c r="E326" s="23" t="n"/>
      <c r="F326" s="20" t="n"/>
      <c r="G326" s="20" t="n"/>
      <c r="H326" s="20" t="n"/>
      <c r="I326" s="21">
        <f>IF(OR(G326="",H326=""),"",H326-G326)</f>
        <v/>
      </c>
      <c r="J326" s="5" t="n"/>
    </row>
    <row r="327">
      <c r="A327" s="5" t="n"/>
      <c r="B327" s="5" t="n"/>
      <c r="C327" s="5" t="n"/>
      <c r="D327" s="5" t="n"/>
      <c r="E327" s="23" t="n"/>
      <c r="F327" s="20" t="n"/>
      <c r="G327" s="20" t="n"/>
      <c r="H327" s="20" t="n"/>
      <c r="I327" s="21">
        <f>IF(OR(G327="",H327=""),"",H327-G327)</f>
        <v/>
      </c>
      <c r="J327" s="5" t="n"/>
    </row>
    <row r="328">
      <c r="A328" s="5" t="n"/>
      <c r="B328" s="5" t="n"/>
      <c r="C328" s="5" t="n"/>
      <c r="D328" s="5" t="n"/>
      <c r="E328" s="23" t="n"/>
      <c r="F328" s="20" t="n"/>
      <c r="G328" s="20" t="n"/>
      <c r="H328" s="20" t="n"/>
      <c r="I328" s="21">
        <f>IF(OR(G328="",H328=""),"",H328-G328)</f>
        <v/>
      </c>
      <c r="J328" s="5" t="n"/>
    </row>
    <row r="329">
      <c r="A329" s="5" t="n"/>
      <c r="B329" s="5" t="n"/>
      <c r="C329" s="5" t="n"/>
      <c r="D329" s="5" t="n"/>
      <c r="E329" s="23" t="n"/>
      <c r="F329" s="20" t="n"/>
      <c r="G329" s="20" t="n"/>
      <c r="H329" s="20" t="n"/>
      <c r="I329" s="21">
        <f>IF(OR(G329="",H329=""),"",H329-G329)</f>
        <v/>
      </c>
      <c r="J329" s="5" t="n"/>
    </row>
    <row r="330">
      <c r="A330" s="5" t="n"/>
      <c r="B330" s="5" t="n"/>
      <c r="C330" s="5" t="n"/>
      <c r="D330" s="5" t="n"/>
      <c r="E330" s="23" t="n"/>
      <c r="F330" s="20" t="n"/>
      <c r="G330" s="20" t="n"/>
      <c r="H330" s="20" t="n"/>
      <c r="I330" s="21">
        <f>IF(OR(G330="",H330=""),"",H330-G330)</f>
        <v/>
      </c>
      <c r="J330" s="5" t="n"/>
    </row>
    <row r="331">
      <c r="A331" s="5" t="n"/>
      <c r="B331" s="5" t="n"/>
      <c r="C331" s="5" t="n"/>
      <c r="D331" s="5" t="n"/>
      <c r="E331" s="23" t="n"/>
      <c r="F331" s="20" t="n"/>
      <c r="G331" s="20" t="n"/>
      <c r="H331" s="20" t="n"/>
      <c r="I331" s="21">
        <f>IF(OR(G331="",H331=""),"",H331-G331)</f>
        <v/>
      </c>
      <c r="J331" s="5" t="n"/>
    </row>
    <row r="332">
      <c r="A332" s="5" t="n"/>
      <c r="B332" s="5" t="n"/>
      <c r="C332" s="5" t="n"/>
      <c r="D332" s="5" t="n"/>
      <c r="E332" s="23" t="n"/>
      <c r="F332" s="20" t="n"/>
      <c r="G332" s="20" t="n"/>
      <c r="H332" s="20" t="n"/>
      <c r="I332" s="21">
        <f>IF(OR(G332="",H332=""),"",H332-G332)</f>
        <v/>
      </c>
      <c r="J332" s="5" t="n"/>
    </row>
    <row r="333">
      <c r="A333" s="5" t="n"/>
      <c r="B333" s="5" t="n"/>
      <c r="C333" s="5" t="n"/>
      <c r="D333" s="5" t="n"/>
      <c r="E333" s="23" t="n"/>
      <c r="F333" s="20" t="n"/>
      <c r="G333" s="20" t="n"/>
      <c r="H333" s="20" t="n"/>
      <c r="I333" s="21">
        <f>IF(OR(G333="",H333=""),"",H333-G333)</f>
        <v/>
      </c>
      <c r="J333" s="5" t="n"/>
    </row>
    <row r="334">
      <c r="A334" s="5" t="n"/>
      <c r="B334" s="5" t="n"/>
      <c r="C334" s="5" t="n"/>
      <c r="D334" s="5" t="n"/>
      <c r="E334" s="23" t="n"/>
      <c r="F334" s="20" t="n"/>
      <c r="G334" s="20" t="n"/>
      <c r="H334" s="20" t="n"/>
      <c r="I334" s="21">
        <f>IF(OR(G334="",H334=""),"",H334-G334)</f>
        <v/>
      </c>
      <c r="J334" s="5" t="n"/>
    </row>
    <row r="335">
      <c r="A335" s="5" t="n"/>
      <c r="B335" s="5" t="n"/>
      <c r="C335" s="5" t="n"/>
      <c r="D335" s="5" t="n"/>
      <c r="E335" s="23" t="n"/>
      <c r="F335" s="20" t="n"/>
      <c r="G335" s="20" t="n"/>
      <c r="H335" s="20" t="n"/>
      <c r="I335" s="21">
        <f>IF(OR(G335="",H335=""),"",H335-G335)</f>
        <v/>
      </c>
      <c r="J335" s="5" t="n"/>
    </row>
    <row r="336">
      <c r="A336" s="5" t="n"/>
      <c r="B336" s="5" t="n"/>
      <c r="C336" s="5" t="n"/>
      <c r="D336" s="5" t="n"/>
      <c r="E336" s="23" t="n"/>
      <c r="F336" s="20" t="n"/>
      <c r="G336" s="20" t="n"/>
      <c r="H336" s="20" t="n"/>
      <c r="I336" s="21">
        <f>IF(OR(G336="",H336=""),"",H336-G336)</f>
        <v/>
      </c>
      <c r="J336" s="5" t="n"/>
    </row>
    <row r="337">
      <c r="A337" s="5" t="n"/>
      <c r="B337" s="5" t="n"/>
      <c r="C337" s="5" t="n"/>
      <c r="D337" s="5" t="n"/>
      <c r="E337" s="23" t="n"/>
      <c r="F337" s="20" t="n"/>
      <c r="G337" s="20" t="n"/>
      <c r="H337" s="20" t="n"/>
      <c r="I337" s="21">
        <f>IF(OR(G337="",H337=""),"",H337-G337)</f>
        <v/>
      </c>
      <c r="J337" s="5" t="n"/>
    </row>
    <row r="338">
      <c r="A338" s="5" t="n"/>
      <c r="B338" s="5" t="n"/>
      <c r="C338" s="5" t="n"/>
      <c r="D338" s="5" t="n"/>
      <c r="E338" s="23" t="n"/>
      <c r="F338" s="20" t="n"/>
      <c r="G338" s="20" t="n"/>
      <c r="H338" s="20" t="n"/>
      <c r="I338" s="21">
        <f>IF(OR(G338="",H338=""),"",H338-G338)</f>
        <v/>
      </c>
      <c r="J338" s="5" t="n"/>
    </row>
    <row r="339">
      <c r="A339" s="5" t="n"/>
      <c r="B339" s="5" t="n"/>
      <c r="C339" s="5" t="n"/>
      <c r="D339" s="5" t="n"/>
      <c r="E339" s="23" t="n"/>
      <c r="F339" s="20" t="n"/>
      <c r="G339" s="20" t="n"/>
      <c r="H339" s="20" t="n"/>
      <c r="I339" s="21">
        <f>IF(OR(G339="",H339=""),"",H339-G339)</f>
        <v/>
      </c>
      <c r="J339" s="5" t="n"/>
    </row>
    <row r="340">
      <c r="A340" s="5" t="n"/>
      <c r="B340" s="5" t="n"/>
      <c r="C340" s="5" t="n"/>
      <c r="D340" s="5" t="n"/>
      <c r="E340" s="23" t="n"/>
      <c r="F340" s="20" t="n"/>
      <c r="G340" s="20" t="n"/>
      <c r="H340" s="20" t="n"/>
      <c r="I340" s="21">
        <f>IF(OR(G340="",H340=""),"",H340-G340)</f>
        <v/>
      </c>
      <c r="J340" s="5" t="n"/>
    </row>
    <row r="341">
      <c r="A341" s="5" t="n"/>
      <c r="B341" s="5" t="n"/>
      <c r="C341" s="5" t="n"/>
      <c r="D341" s="5" t="n"/>
      <c r="E341" s="23" t="n"/>
      <c r="F341" s="20" t="n"/>
      <c r="G341" s="20" t="n"/>
      <c r="H341" s="20" t="n"/>
      <c r="I341" s="21">
        <f>IF(OR(G341="",H341=""),"",H341-G341)</f>
        <v/>
      </c>
      <c r="J341" s="5" t="n"/>
    </row>
    <row r="342">
      <c r="A342" s="5" t="n"/>
      <c r="B342" s="5" t="n"/>
      <c r="C342" s="5" t="n"/>
      <c r="D342" s="5" t="n"/>
      <c r="E342" s="23" t="n"/>
      <c r="F342" s="20" t="n"/>
      <c r="G342" s="20" t="n"/>
      <c r="H342" s="20" t="n"/>
      <c r="I342" s="21">
        <f>IF(OR(G342="",H342=""),"",H342-G342)</f>
        <v/>
      </c>
      <c r="J342" s="5" t="n"/>
    </row>
    <row r="343">
      <c r="A343" s="5" t="n"/>
      <c r="B343" s="5" t="n"/>
      <c r="C343" s="5" t="n"/>
      <c r="D343" s="5" t="n"/>
      <c r="E343" s="23" t="n"/>
      <c r="F343" s="20" t="n"/>
      <c r="G343" s="20" t="n"/>
      <c r="H343" s="20" t="n"/>
      <c r="I343" s="21">
        <f>IF(OR(G343="",H343=""),"",H343-G343)</f>
        <v/>
      </c>
      <c r="J343" s="5" t="n"/>
    </row>
    <row r="344">
      <c r="A344" s="5" t="n"/>
      <c r="B344" s="5" t="n"/>
      <c r="C344" s="5" t="n"/>
      <c r="D344" s="5" t="n"/>
      <c r="E344" s="23" t="n"/>
      <c r="F344" s="20" t="n"/>
      <c r="G344" s="20" t="n"/>
      <c r="H344" s="20" t="n"/>
      <c r="I344" s="21">
        <f>IF(OR(G344="",H344=""),"",H344-G344)</f>
        <v/>
      </c>
      <c r="J344" s="5" t="n"/>
    </row>
    <row r="345">
      <c r="A345" s="5" t="n"/>
      <c r="B345" s="5" t="n"/>
      <c r="C345" s="5" t="n"/>
      <c r="D345" s="5" t="n"/>
      <c r="E345" s="23" t="n"/>
      <c r="F345" s="20" t="n"/>
      <c r="G345" s="20" t="n"/>
      <c r="H345" s="20" t="n"/>
      <c r="I345" s="21">
        <f>IF(OR(G345="",H345=""),"",H345-G345)</f>
        <v/>
      </c>
      <c r="J345" s="5" t="n"/>
    </row>
    <row r="346">
      <c r="A346" s="5" t="n"/>
      <c r="B346" s="5" t="n"/>
      <c r="C346" s="5" t="n"/>
      <c r="D346" s="5" t="n"/>
      <c r="E346" s="23" t="n"/>
      <c r="F346" s="20" t="n"/>
      <c r="G346" s="20" t="n"/>
      <c r="H346" s="20" t="n"/>
      <c r="I346" s="21">
        <f>IF(OR(G346="",H346=""),"",H346-G346)</f>
        <v/>
      </c>
      <c r="J346" s="5" t="n"/>
    </row>
    <row r="347">
      <c r="A347" s="5" t="n"/>
      <c r="B347" s="5" t="n"/>
      <c r="C347" s="5" t="n"/>
      <c r="D347" s="5" t="n"/>
      <c r="E347" s="23" t="n"/>
      <c r="F347" s="20" t="n"/>
      <c r="G347" s="20" t="n"/>
      <c r="H347" s="20" t="n"/>
      <c r="I347" s="21">
        <f>IF(OR(G347="",H347=""),"",H347-G347)</f>
        <v/>
      </c>
      <c r="J347" s="5" t="n"/>
    </row>
    <row r="348">
      <c r="A348" s="5" t="n"/>
      <c r="B348" s="5" t="n"/>
      <c r="C348" s="5" t="n"/>
      <c r="D348" s="5" t="n"/>
      <c r="E348" s="23" t="n"/>
      <c r="F348" s="20" t="n"/>
      <c r="G348" s="20" t="n"/>
      <c r="H348" s="20" t="n"/>
      <c r="I348" s="21">
        <f>IF(OR(G348="",H348=""),"",H348-G348)</f>
        <v/>
      </c>
      <c r="J348" s="5" t="n"/>
    </row>
    <row r="349">
      <c r="A349" s="5" t="n"/>
      <c r="B349" s="5" t="n"/>
      <c r="C349" s="5" t="n"/>
      <c r="D349" s="5" t="n"/>
      <c r="E349" s="23" t="n"/>
      <c r="F349" s="20" t="n"/>
      <c r="G349" s="20" t="n"/>
      <c r="H349" s="20" t="n"/>
      <c r="I349" s="21">
        <f>IF(OR(G349="",H349=""),"",H349-G349)</f>
        <v/>
      </c>
      <c r="J349" s="5" t="n"/>
    </row>
    <row r="350">
      <c r="A350" s="5" t="n"/>
      <c r="B350" s="5" t="n"/>
      <c r="C350" s="5" t="n"/>
      <c r="D350" s="5" t="n"/>
      <c r="E350" s="23" t="n"/>
      <c r="F350" s="20" t="n"/>
      <c r="G350" s="20" t="n"/>
      <c r="H350" s="20" t="n"/>
      <c r="I350" s="21">
        <f>IF(OR(G350="",H350=""),"",H350-G350)</f>
        <v/>
      </c>
      <c r="J350" s="5" t="n"/>
    </row>
    <row r="351">
      <c r="A351" s="5" t="n"/>
      <c r="B351" s="5" t="n"/>
      <c r="C351" s="5" t="n"/>
      <c r="D351" s="5" t="n"/>
      <c r="E351" s="23" t="n"/>
      <c r="F351" s="20" t="n"/>
      <c r="G351" s="20" t="n"/>
      <c r="H351" s="20" t="n"/>
      <c r="I351" s="21">
        <f>IF(OR(G351="",H351=""),"",H351-G351)</f>
        <v/>
      </c>
      <c r="J351" s="5" t="n"/>
    </row>
    <row r="352">
      <c r="A352" s="5" t="n"/>
      <c r="B352" s="5" t="n"/>
      <c r="C352" s="5" t="n"/>
      <c r="D352" s="5" t="n"/>
      <c r="E352" s="23" t="n"/>
      <c r="F352" s="20" t="n"/>
      <c r="G352" s="20" t="n"/>
      <c r="H352" s="20" t="n"/>
      <c r="I352" s="21">
        <f>IF(OR(G352="",H352=""),"",H352-G352)</f>
        <v/>
      </c>
      <c r="J352" s="5" t="n"/>
    </row>
    <row r="353">
      <c r="A353" s="5" t="n"/>
      <c r="B353" s="5" t="n"/>
      <c r="C353" s="5" t="n"/>
      <c r="D353" s="5" t="n"/>
      <c r="E353" s="23" t="n"/>
      <c r="F353" s="20" t="n"/>
      <c r="G353" s="20" t="n"/>
      <c r="H353" s="20" t="n"/>
      <c r="I353" s="21">
        <f>IF(OR(G353="",H353=""),"",H353-G353)</f>
        <v/>
      </c>
      <c r="J353" s="5" t="n"/>
    </row>
    <row r="354">
      <c r="A354" s="5" t="n"/>
      <c r="B354" s="5" t="n"/>
      <c r="C354" s="5" t="n"/>
      <c r="D354" s="5" t="n"/>
      <c r="E354" s="23" t="n"/>
      <c r="F354" s="20" t="n"/>
      <c r="G354" s="20" t="n"/>
      <c r="H354" s="20" t="n"/>
      <c r="I354" s="21">
        <f>IF(OR(G354="",H354=""),"",H354-G354)</f>
        <v/>
      </c>
      <c r="J354" s="5" t="n"/>
    </row>
    <row r="355">
      <c r="A355" s="5" t="n"/>
      <c r="B355" s="5" t="n"/>
      <c r="C355" s="5" t="n"/>
      <c r="D355" s="5" t="n"/>
      <c r="E355" s="23" t="n"/>
      <c r="F355" s="20" t="n"/>
      <c r="G355" s="20" t="n"/>
      <c r="H355" s="20" t="n"/>
      <c r="I355" s="21">
        <f>IF(OR(G355="",H355=""),"",H355-G355)</f>
        <v/>
      </c>
      <c r="J355" s="5" t="n"/>
    </row>
    <row r="356">
      <c r="A356" s="5" t="n"/>
      <c r="B356" s="5" t="n"/>
      <c r="C356" s="5" t="n"/>
      <c r="D356" s="5" t="n"/>
      <c r="E356" s="23" t="n"/>
      <c r="F356" s="20" t="n"/>
      <c r="G356" s="20" t="n"/>
      <c r="H356" s="20" t="n"/>
      <c r="I356" s="21">
        <f>IF(OR(G356="",H356=""),"",H356-G356)</f>
        <v/>
      </c>
      <c r="J356" s="5" t="n"/>
    </row>
    <row r="357">
      <c r="A357" s="5" t="n"/>
      <c r="B357" s="5" t="n"/>
      <c r="C357" s="5" t="n"/>
      <c r="D357" s="5" t="n"/>
      <c r="E357" s="23" t="n"/>
      <c r="F357" s="20" t="n"/>
      <c r="G357" s="20" t="n"/>
      <c r="H357" s="20" t="n"/>
      <c r="I357" s="21">
        <f>IF(OR(G357="",H357=""),"",H357-G357)</f>
        <v/>
      </c>
      <c r="J357" s="5" t="n"/>
    </row>
    <row r="358">
      <c r="A358" s="5" t="n"/>
      <c r="B358" s="5" t="n"/>
      <c r="C358" s="5" t="n"/>
      <c r="D358" s="5" t="n"/>
      <c r="E358" s="23" t="n"/>
      <c r="F358" s="20" t="n"/>
      <c r="G358" s="20" t="n"/>
      <c r="H358" s="20" t="n"/>
      <c r="I358" s="21">
        <f>IF(OR(G358="",H358=""),"",H358-G358)</f>
        <v/>
      </c>
      <c r="J358" s="5" t="n"/>
    </row>
    <row r="359">
      <c r="A359" s="5" t="n"/>
      <c r="B359" s="5" t="n"/>
      <c r="C359" s="5" t="n"/>
      <c r="D359" s="5" t="n"/>
      <c r="E359" s="23" t="n"/>
      <c r="F359" s="20" t="n"/>
      <c r="G359" s="20" t="n"/>
      <c r="H359" s="20" t="n"/>
      <c r="I359" s="21">
        <f>IF(OR(G359="",H359=""),"",H359-G359)</f>
        <v/>
      </c>
      <c r="J359" s="5" t="n"/>
    </row>
    <row r="360">
      <c r="A360" s="5" t="n"/>
      <c r="B360" s="5" t="n"/>
      <c r="C360" s="5" t="n"/>
      <c r="D360" s="5" t="n"/>
      <c r="E360" s="23" t="n"/>
      <c r="F360" s="20" t="n"/>
      <c r="G360" s="20" t="n"/>
      <c r="H360" s="20" t="n"/>
      <c r="I360" s="21">
        <f>IF(OR(G360="",H360=""),"",H360-G360)</f>
        <v/>
      </c>
      <c r="J360" s="5" t="n"/>
    </row>
    <row r="361">
      <c r="A361" s="5" t="n"/>
      <c r="B361" s="5" t="n"/>
      <c r="C361" s="5" t="n"/>
      <c r="D361" s="5" t="n"/>
      <c r="E361" s="23" t="n"/>
      <c r="F361" s="20" t="n"/>
      <c r="G361" s="20" t="n"/>
      <c r="H361" s="20" t="n"/>
      <c r="I361" s="21">
        <f>IF(OR(G361="",H361=""),"",H361-G361)</f>
        <v/>
      </c>
      <c r="J361" s="5" t="n"/>
    </row>
    <row r="362">
      <c r="A362" s="5" t="n"/>
      <c r="B362" s="5" t="n"/>
      <c r="C362" s="5" t="n"/>
      <c r="D362" s="5" t="n"/>
      <c r="E362" s="23" t="n"/>
      <c r="F362" s="20" t="n"/>
      <c r="G362" s="20" t="n"/>
      <c r="H362" s="20" t="n"/>
      <c r="I362" s="21">
        <f>IF(OR(G362="",H362=""),"",H362-G362)</f>
        <v/>
      </c>
      <c r="J362" s="5" t="n"/>
    </row>
    <row r="363">
      <c r="A363" s="5" t="n"/>
      <c r="B363" s="5" t="n"/>
      <c r="C363" s="5" t="n"/>
      <c r="D363" s="5" t="n"/>
      <c r="E363" s="23" t="n"/>
      <c r="F363" s="20" t="n"/>
      <c r="G363" s="20" t="n"/>
      <c r="H363" s="20" t="n"/>
      <c r="I363" s="21">
        <f>IF(OR(G363="",H363=""),"",H363-G363)</f>
        <v/>
      </c>
      <c r="J363" s="5" t="n"/>
    </row>
    <row r="364">
      <c r="A364" s="5" t="n"/>
      <c r="B364" s="5" t="n"/>
      <c r="C364" s="5" t="n"/>
      <c r="D364" s="5" t="n"/>
      <c r="E364" s="23" t="n"/>
      <c r="F364" s="20" t="n"/>
      <c r="G364" s="20" t="n"/>
      <c r="H364" s="20" t="n"/>
      <c r="I364" s="21">
        <f>IF(OR(G364="",H364=""),"",H364-G364)</f>
        <v/>
      </c>
      <c r="J364" s="5" t="n"/>
    </row>
    <row r="365">
      <c r="A365" s="5" t="n"/>
      <c r="B365" s="5" t="n"/>
      <c r="C365" s="5" t="n"/>
      <c r="D365" s="5" t="n"/>
      <c r="E365" s="23" t="n"/>
      <c r="F365" s="20" t="n"/>
      <c r="G365" s="20" t="n"/>
      <c r="H365" s="20" t="n"/>
      <c r="I365" s="21">
        <f>IF(OR(G365="",H365=""),"",H365-G365)</f>
        <v/>
      </c>
      <c r="J365" s="5" t="n"/>
    </row>
    <row r="366">
      <c r="A366" s="5" t="n"/>
      <c r="B366" s="5" t="n"/>
      <c r="C366" s="5" t="n"/>
      <c r="D366" s="5" t="n"/>
      <c r="E366" s="23" t="n"/>
      <c r="F366" s="20" t="n"/>
      <c r="G366" s="20" t="n"/>
      <c r="H366" s="20" t="n"/>
      <c r="I366" s="21">
        <f>IF(OR(G366="",H366=""),"",H366-G366)</f>
        <v/>
      </c>
      <c r="J366" s="5" t="n"/>
    </row>
    <row r="367">
      <c r="A367" s="5" t="n"/>
      <c r="B367" s="5" t="n"/>
      <c r="C367" s="5" t="n"/>
      <c r="D367" s="5" t="n"/>
      <c r="E367" s="23" t="n"/>
      <c r="F367" s="20" t="n"/>
      <c r="G367" s="20" t="n"/>
      <c r="H367" s="20" t="n"/>
      <c r="I367" s="21">
        <f>IF(OR(G367="",H367=""),"",H367-G367)</f>
        <v/>
      </c>
      <c r="J367" s="5" t="n"/>
    </row>
    <row r="368">
      <c r="A368" s="5" t="n"/>
      <c r="B368" s="5" t="n"/>
      <c r="C368" s="5" t="n"/>
      <c r="D368" s="5" t="n"/>
      <c r="E368" s="23" t="n"/>
      <c r="F368" s="20" t="n"/>
      <c r="G368" s="20" t="n"/>
      <c r="H368" s="20" t="n"/>
      <c r="I368" s="21">
        <f>IF(OR(G368="",H368=""),"",H368-G368)</f>
        <v/>
      </c>
      <c r="J368" s="5" t="n"/>
    </row>
    <row r="369">
      <c r="A369" s="5" t="n"/>
      <c r="B369" s="5" t="n"/>
      <c r="C369" s="5" t="n"/>
      <c r="D369" s="5" t="n"/>
      <c r="E369" s="23" t="n"/>
      <c r="F369" s="20" t="n"/>
      <c r="G369" s="20" t="n"/>
      <c r="H369" s="20" t="n"/>
      <c r="I369" s="21">
        <f>IF(OR(G369="",H369=""),"",H369-G369)</f>
        <v/>
      </c>
      <c r="J369" s="5" t="n"/>
    </row>
    <row r="370">
      <c r="A370" s="5" t="n"/>
      <c r="B370" s="5" t="n"/>
      <c r="C370" s="5" t="n"/>
      <c r="D370" s="5" t="n"/>
      <c r="E370" s="23" t="n"/>
      <c r="F370" s="20" t="n"/>
      <c r="G370" s="20" t="n"/>
      <c r="H370" s="20" t="n"/>
      <c r="I370" s="21">
        <f>IF(OR(G370="",H370=""),"",H370-G370)</f>
        <v/>
      </c>
      <c r="J370" s="5" t="n"/>
    </row>
    <row r="371">
      <c r="A371" s="5" t="n"/>
      <c r="B371" s="5" t="n"/>
      <c r="C371" s="5" t="n"/>
      <c r="D371" s="5" t="n"/>
      <c r="E371" s="23" t="n"/>
      <c r="F371" s="20" t="n"/>
      <c r="G371" s="20" t="n"/>
      <c r="H371" s="20" t="n"/>
      <c r="I371" s="21">
        <f>IF(OR(G371="",H371=""),"",H371-G371)</f>
        <v/>
      </c>
      <c r="J371" s="5" t="n"/>
    </row>
    <row r="372">
      <c r="A372" s="5" t="n"/>
      <c r="B372" s="5" t="n"/>
      <c r="C372" s="5" t="n"/>
      <c r="D372" s="5" t="n"/>
      <c r="E372" s="23" t="n"/>
      <c r="F372" s="20" t="n"/>
      <c r="G372" s="20" t="n"/>
      <c r="H372" s="20" t="n"/>
      <c r="I372" s="21">
        <f>IF(OR(G372="",H372=""),"",H372-G372)</f>
        <v/>
      </c>
      <c r="J372" s="5" t="n"/>
    </row>
    <row r="373">
      <c r="A373" s="5" t="n"/>
      <c r="B373" s="5" t="n"/>
      <c r="C373" s="5" t="n"/>
      <c r="D373" s="5" t="n"/>
      <c r="E373" s="23" t="n"/>
      <c r="F373" s="20" t="n"/>
      <c r="G373" s="20" t="n"/>
      <c r="H373" s="20" t="n"/>
      <c r="I373" s="21">
        <f>IF(OR(G373="",H373=""),"",H373-G373)</f>
        <v/>
      </c>
      <c r="J373" s="5" t="n"/>
    </row>
    <row r="374">
      <c r="A374" s="5" t="n"/>
      <c r="B374" s="5" t="n"/>
      <c r="C374" s="5" t="n"/>
      <c r="D374" s="5" t="n"/>
      <c r="E374" s="23" t="n"/>
      <c r="F374" s="20" t="n"/>
      <c r="G374" s="20" t="n"/>
      <c r="H374" s="20" t="n"/>
      <c r="I374" s="21">
        <f>IF(OR(G374="",H374=""),"",H374-G374)</f>
        <v/>
      </c>
      <c r="J374" s="5" t="n"/>
    </row>
    <row r="375">
      <c r="A375" s="5" t="n"/>
      <c r="B375" s="5" t="n"/>
      <c r="C375" s="5" t="n"/>
      <c r="D375" s="5" t="n"/>
      <c r="E375" s="23" t="n"/>
      <c r="F375" s="20" t="n"/>
      <c r="G375" s="20" t="n"/>
      <c r="H375" s="20" t="n"/>
      <c r="I375" s="21">
        <f>IF(OR(G375="",H375=""),"",H375-G375)</f>
        <v/>
      </c>
      <c r="J375" s="5" t="n"/>
    </row>
    <row r="376">
      <c r="A376" s="5" t="n"/>
      <c r="B376" s="5" t="n"/>
      <c r="C376" s="5" t="n"/>
      <c r="D376" s="5" t="n"/>
      <c r="E376" s="23" t="n"/>
      <c r="F376" s="20" t="n"/>
      <c r="G376" s="20" t="n"/>
      <c r="H376" s="20" t="n"/>
      <c r="I376" s="21">
        <f>IF(OR(G376="",H376=""),"",H376-G376)</f>
        <v/>
      </c>
      <c r="J376" s="5" t="n"/>
    </row>
    <row r="377">
      <c r="A377" s="5" t="n"/>
      <c r="B377" s="5" t="n"/>
      <c r="C377" s="5" t="n"/>
      <c r="D377" s="5" t="n"/>
      <c r="E377" s="23" t="n"/>
      <c r="F377" s="20" t="n"/>
      <c r="G377" s="20" t="n"/>
      <c r="H377" s="20" t="n"/>
      <c r="I377" s="21">
        <f>IF(OR(G377="",H377=""),"",H377-G377)</f>
        <v/>
      </c>
      <c r="J377" s="5" t="n"/>
    </row>
    <row r="378">
      <c r="A378" s="5" t="n"/>
      <c r="B378" s="5" t="n"/>
      <c r="C378" s="5" t="n"/>
      <c r="D378" s="5" t="n"/>
      <c r="E378" s="23" t="n"/>
      <c r="F378" s="20" t="n"/>
      <c r="G378" s="20" t="n"/>
      <c r="H378" s="20" t="n"/>
      <c r="I378" s="21">
        <f>IF(OR(G378="",H378=""),"",H378-G378)</f>
        <v/>
      </c>
      <c r="J378" s="5" t="n"/>
    </row>
    <row r="379">
      <c r="A379" s="5" t="n"/>
      <c r="B379" s="5" t="n"/>
      <c r="C379" s="5" t="n"/>
      <c r="D379" s="5" t="n"/>
      <c r="E379" s="23" t="n"/>
      <c r="F379" s="20" t="n"/>
      <c r="G379" s="20" t="n"/>
      <c r="H379" s="20" t="n"/>
      <c r="I379" s="21">
        <f>IF(OR(G379="",H379=""),"",H379-G379)</f>
        <v/>
      </c>
      <c r="J379" s="5" t="n"/>
    </row>
    <row r="380">
      <c r="A380" s="5" t="n"/>
      <c r="B380" s="5" t="n"/>
      <c r="C380" s="5" t="n"/>
      <c r="D380" s="5" t="n"/>
      <c r="E380" s="23" t="n"/>
      <c r="F380" s="20" t="n"/>
      <c r="G380" s="20" t="n"/>
      <c r="H380" s="20" t="n"/>
      <c r="I380" s="21">
        <f>IF(OR(G380="",H380=""),"",H380-G380)</f>
        <v/>
      </c>
      <c r="J380" s="5" t="n"/>
    </row>
    <row r="381">
      <c r="A381" s="5" t="n"/>
      <c r="B381" s="5" t="n"/>
      <c r="C381" s="5" t="n"/>
      <c r="D381" s="5" t="n"/>
      <c r="E381" s="23" t="n"/>
      <c r="F381" s="20" t="n"/>
      <c r="G381" s="20" t="n"/>
      <c r="H381" s="20" t="n"/>
      <c r="I381" s="21">
        <f>IF(OR(G381="",H381=""),"",H381-G381)</f>
        <v/>
      </c>
      <c r="J381" s="5" t="n"/>
    </row>
    <row r="382">
      <c r="A382" s="5" t="n"/>
      <c r="B382" s="5" t="n"/>
      <c r="C382" s="5" t="n"/>
      <c r="D382" s="5" t="n"/>
      <c r="E382" s="23" t="n"/>
      <c r="F382" s="20" t="n"/>
      <c r="G382" s="20" t="n"/>
      <c r="H382" s="20" t="n"/>
      <c r="I382" s="21">
        <f>IF(OR(G382="",H382=""),"",H382-G382)</f>
        <v/>
      </c>
      <c r="J382" s="5" t="n"/>
    </row>
    <row r="383">
      <c r="A383" s="5" t="n"/>
      <c r="B383" s="5" t="n"/>
      <c r="C383" s="5" t="n"/>
      <c r="D383" s="5" t="n"/>
      <c r="E383" s="23" t="n"/>
      <c r="F383" s="20" t="n"/>
      <c r="G383" s="20" t="n"/>
      <c r="H383" s="20" t="n"/>
      <c r="I383" s="21">
        <f>IF(OR(G383="",H383=""),"",H383-G383)</f>
        <v/>
      </c>
      <c r="J383" s="5" t="n"/>
    </row>
    <row r="384">
      <c r="A384" s="5" t="n"/>
      <c r="B384" s="5" t="n"/>
      <c r="C384" s="5" t="n"/>
      <c r="D384" s="5" t="n"/>
      <c r="E384" s="23" t="n"/>
      <c r="F384" s="20" t="n"/>
      <c r="G384" s="20" t="n"/>
      <c r="H384" s="20" t="n"/>
      <c r="I384" s="21">
        <f>IF(OR(G384="",H384=""),"",H384-G384)</f>
        <v/>
      </c>
      <c r="J384" s="5" t="n"/>
    </row>
    <row r="385">
      <c r="A385" s="5" t="n"/>
      <c r="B385" s="5" t="n"/>
      <c r="C385" s="5" t="n"/>
      <c r="D385" s="5" t="n"/>
      <c r="E385" s="23" t="n"/>
      <c r="F385" s="20" t="n"/>
      <c r="G385" s="20" t="n"/>
      <c r="H385" s="20" t="n"/>
      <c r="I385" s="21">
        <f>IF(OR(G385="",H385=""),"",H385-G385)</f>
        <v/>
      </c>
      <c r="J385" s="5" t="n"/>
    </row>
    <row r="386">
      <c r="A386" s="5" t="n"/>
      <c r="B386" s="5" t="n"/>
      <c r="C386" s="5" t="n"/>
      <c r="D386" s="5" t="n"/>
      <c r="E386" s="23" t="n"/>
      <c r="F386" s="20" t="n"/>
      <c r="G386" s="20" t="n"/>
      <c r="H386" s="20" t="n"/>
      <c r="I386" s="21">
        <f>IF(OR(G386="",H386=""),"",H386-G386)</f>
        <v/>
      </c>
      <c r="J386" s="5" t="n"/>
    </row>
    <row r="387">
      <c r="A387" s="5" t="n"/>
      <c r="B387" s="5" t="n"/>
      <c r="C387" s="5" t="n"/>
      <c r="D387" s="5" t="n"/>
      <c r="E387" s="23" t="n"/>
      <c r="F387" s="20" t="n"/>
      <c r="G387" s="20" t="n"/>
      <c r="H387" s="20" t="n"/>
      <c r="I387" s="21">
        <f>IF(OR(G387="",H387=""),"",H387-G387)</f>
        <v/>
      </c>
      <c r="J387" s="5" t="n"/>
    </row>
    <row r="388">
      <c r="A388" s="5" t="n"/>
      <c r="B388" s="5" t="n"/>
      <c r="C388" s="5" t="n"/>
      <c r="D388" s="5" t="n"/>
      <c r="E388" s="23" t="n"/>
      <c r="F388" s="20" t="n"/>
      <c r="G388" s="20" t="n"/>
      <c r="H388" s="20" t="n"/>
      <c r="I388" s="21">
        <f>IF(OR(G388="",H388=""),"",H388-G388)</f>
        <v/>
      </c>
      <c r="J388" s="5" t="n"/>
    </row>
    <row r="389">
      <c r="A389" s="5" t="n"/>
      <c r="B389" s="5" t="n"/>
      <c r="C389" s="5" t="n"/>
      <c r="D389" s="5" t="n"/>
      <c r="E389" s="23" t="n"/>
      <c r="F389" s="20" t="n"/>
      <c r="G389" s="20" t="n"/>
      <c r="H389" s="20" t="n"/>
      <c r="I389" s="21">
        <f>IF(OR(G389="",H389=""),"",H389-G389)</f>
        <v/>
      </c>
      <c r="J389" s="5" t="n"/>
    </row>
    <row r="390">
      <c r="A390" s="5" t="n"/>
      <c r="B390" s="5" t="n"/>
      <c r="C390" s="5" t="n"/>
      <c r="D390" s="5" t="n"/>
      <c r="E390" s="23" t="n"/>
      <c r="F390" s="20" t="n"/>
      <c r="G390" s="20" t="n"/>
      <c r="H390" s="20" t="n"/>
      <c r="I390" s="21">
        <f>IF(OR(G390="",H390=""),"",H390-G390)</f>
        <v/>
      </c>
      <c r="J390" s="5" t="n"/>
    </row>
    <row r="391">
      <c r="A391" s="5" t="n"/>
      <c r="B391" s="5" t="n"/>
      <c r="C391" s="5" t="n"/>
      <c r="D391" s="5" t="n"/>
      <c r="E391" s="23" t="n"/>
      <c r="F391" s="20" t="n"/>
      <c r="G391" s="20" t="n"/>
      <c r="H391" s="20" t="n"/>
      <c r="I391" s="21">
        <f>IF(OR(G391="",H391=""),"",H391-G391)</f>
        <v/>
      </c>
      <c r="J391" s="5" t="n"/>
    </row>
    <row r="392">
      <c r="A392" s="5" t="n"/>
      <c r="B392" s="5" t="n"/>
      <c r="C392" s="5" t="n"/>
      <c r="D392" s="5" t="n"/>
      <c r="E392" s="23" t="n"/>
      <c r="F392" s="20" t="n"/>
      <c r="G392" s="20" t="n"/>
      <c r="H392" s="20" t="n"/>
      <c r="I392" s="21">
        <f>IF(OR(G392="",H392=""),"",H392-G392)</f>
        <v/>
      </c>
      <c r="J392" s="5" t="n"/>
    </row>
    <row r="393">
      <c r="A393" s="5" t="n"/>
      <c r="B393" s="5" t="n"/>
      <c r="C393" s="5" t="n"/>
      <c r="D393" s="5" t="n"/>
      <c r="E393" s="23" t="n"/>
      <c r="F393" s="20" t="n"/>
      <c r="G393" s="20" t="n"/>
      <c r="H393" s="20" t="n"/>
      <c r="I393" s="21">
        <f>IF(OR(G393="",H393=""),"",H393-G393)</f>
        <v/>
      </c>
      <c r="J393" s="5" t="n"/>
    </row>
    <row r="394">
      <c r="A394" s="5" t="n"/>
      <c r="B394" s="5" t="n"/>
      <c r="C394" s="5" t="n"/>
      <c r="D394" s="5" t="n"/>
      <c r="E394" s="23" t="n"/>
      <c r="F394" s="20" t="n"/>
      <c r="G394" s="20" t="n"/>
      <c r="H394" s="20" t="n"/>
      <c r="I394" s="21">
        <f>IF(OR(G394="",H394=""),"",H394-G394)</f>
        <v/>
      </c>
      <c r="J394" s="5" t="n"/>
    </row>
    <row r="395">
      <c r="A395" s="5" t="n"/>
      <c r="B395" s="5" t="n"/>
      <c r="C395" s="5" t="n"/>
      <c r="D395" s="5" t="n"/>
      <c r="E395" s="23" t="n"/>
      <c r="F395" s="20" t="n"/>
      <c r="G395" s="20" t="n"/>
      <c r="H395" s="20" t="n"/>
      <c r="I395" s="21">
        <f>IF(OR(G395="",H395=""),"",H395-G395)</f>
        <v/>
      </c>
      <c r="J395" s="5" t="n"/>
    </row>
    <row r="396">
      <c r="A396" s="5" t="n"/>
      <c r="B396" s="5" t="n"/>
      <c r="C396" s="5" t="n"/>
      <c r="D396" s="5" t="n"/>
      <c r="E396" s="23" t="n"/>
      <c r="F396" s="20" t="n"/>
      <c r="G396" s="20" t="n"/>
      <c r="H396" s="20" t="n"/>
      <c r="I396" s="21">
        <f>IF(OR(G396="",H396=""),"",H396-G396)</f>
        <v/>
      </c>
      <c r="J396" s="5" t="n"/>
    </row>
    <row r="397">
      <c r="A397" s="5" t="n"/>
      <c r="B397" s="5" t="n"/>
      <c r="C397" s="5" t="n"/>
      <c r="D397" s="5" t="n"/>
      <c r="E397" s="23" t="n"/>
      <c r="F397" s="20" t="n"/>
      <c r="G397" s="20" t="n"/>
      <c r="H397" s="20" t="n"/>
      <c r="I397" s="21">
        <f>IF(OR(G397="",H397=""),"",H397-G397)</f>
        <v/>
      </c>
      <c r="J397" s="5" t="n"/>
    </row>
    <row r="398">
      <c r="A398" s="5" t="n"/>
      <c r="B398" s="5" t="n"/>
      <c r="C398" s="5" t="n"/>
      <c r="D398" s="5" t="n"/>
      <c r="E398" s="23" t="n"/>
      <c r="F398" s="20" t="n"/>
      <c r="G398" s="20" t="n"/>
      <c r="H398" s="20" t="n"/>
      <c r="I398" s="21">
        <f>IF(OR(G398="",H398=""),"",H398-G398)</f>
        <v/>
      </c>
      <c r="J398" s="5" t="n"/>
    </row>
    <row r="399">
      <c r="A399" s="5" t="n"/>
      <c r="B399" s="5" t="n"/>
      <c r="C399" s="5" t="n"/>
      <c r="D399" s="5" t="n"/>
      <c r="E399" s="23" t="n"/>
      <c r="F399" s="20" t="n"/>
      <c r="G399" s="20" t="n"/>
      <c r="H399" s="20" t="n"/>
      <c r="I399" s="21">
        <f>IF(OR(G399="",H399=""),"",H399-G399)</f>
        <v/>
      </c>
      <c r="J399" s="5" t="n"/>
    </row>
    <row r="400">
      <c r="A400" s="5" t="n"/>
      <c r="B400" s="5" t="n"/>
      <c r="C400" s="5" t="n"/>
      <c r="D400" s="5" t="n"/>
      <c r="E400" s="23" t="n"/>
      <c r="F400" s="20" t="n"/>
      <c r="G400" s="20" t="n"/>
      <c r="H400" s="20" t="n"/>
      <c r="I400" s="21">
        <f>IF(OR(G400="",H400=""),"",H400-G400)</f>
        <v/>
      </c>
      <c r="J400" s="5" t="n"/>
    </row>
    <row r="401">
      <c r="A401" s="5" t="n"/>
      <c r="B401" s="5" t="n"/>
      <c r="C401" s="5" t="n"/>
      <c r="D401" s="5" t="n"/>
      <c r="E401" s="23" t="n"/>
      <c r="F401" s="20" t="n"/>
      <c r="G401" s="20" t="n"/>
      <c r="H401" s="20" t="n"/>
      <c r="I401" s="21">
        <f>IF(OR(G401="",H401=""),"",H401-G401)</f>
        <v/>
      </c>
      <c r="J401" s="5" t="n"/>
    </row>
    <row r="402">
      <c r="A402" s="5" t="n"/>
      <c r="B402" s="5" t="n"/>
      <c r="C402" s="5" t="n"/>
      <c r="D402" s="5" t="n"/>
      <c r="E402" s="23" t="n"/>
      <c r="F402" s="20" t="n"/>
      <c r="G402" s="20" t="n"/>
      <c r="H402" s="20" t="n"/>
      <c r="I402" s="21">
        <f>IF(OR(G402="",H402=""),"",H402-G402)</f>
        <v/>
      </c>
      <c r="J402" s="5" t="n"/>
    </row>
    <row r="403">
      <c r="A403" s="5" t="n"/>
      <c r="B403" s="5" t="n"/>
      <c r="C403" s="5" t="n"/>
      <c r="D403" s="5" t="n"/>
      <c r="E403" s="23" t="n"/>
      <c r="F403" s="20" t="n"/>
      <c r="G403" s="20" t="n"/>
      <c r="H403" s="20" t="n"/>
      <c r="I403" s="21">
        <f>IF(OR(G403="",H403=""),"",H403-G403)</f>
        <v/>
      </c>
      <c r="J403" s="5" t="n"/>
    </row>
    <row r="404">
      <c r="A404" s="5" t="n"/>
      <c r="B404" s="5" t="n"/>
      <c r="C404" s="5" t="n"/>
      <c r="D404" s="5" t="n"/>
      <c r="E404" s="23" t="n"/>
      <c r="F404" s="20" t="n"/>
      <c r="G404" s="20" t="n"/>
      <c r="H404" s="20" t="n"/>
      <c r="I404" s="21">
        <f>IF(OR(G404="",H404=""),"",H404-G404)</f>
        <v/>
      </c>
      <c r="J404" s="5" t="n"/>
    </row>
    <row r="405">
      <c r="A405" s="5" t="n"/>
      <c r="B405" s="5" t="n"/>
      <c r="C405" s="5" t="n"/>
      <c r="D405" s="5" t="n"/>
      <c r="E405" s="23" t="n"/>
      <c r="F405" s="20" t="n"/>
      <c r="G405" s="20" t="n"/>
      <c r="H405" s="20" t="n"/>
      <c r="I405" s="21">
        <f>IF(OR(G405="",H405=""),"",H405-G405)</f>
        <v/>
      </c>
      <c r="J405" s="5" t="n"/>
    </row>
    <row r="406">
      <c r="A406" s="5" t="n"/>
      <c r="B406" s="5" t="n"/>
      <c r="C406" s="5" t="n"/>
      <c r="D406" s="5" t="n"/>
      <c r="E406" s="23" t="n"/>
      <c r="F406" s="20" t="n"/>
      <c r="G406" s="20" t="n"/>
      <c r="H406" s="20" t="n"/>
      <c r="I406" s="21">
        <f>IF(OR(G406="",H406=""),"",H406-G406)</f>
        <v/>
      </c>
      <c r="J406" s="5" t="n"/>
    </row>
    <row r="407">
      <c r="A407" s="5" t="n"/>
      <c r="B407" s="5" t="n"/>
      <c r="C407" s="5" t="n"/>
      <c r="D407" s="5" t="n"/>
      <c r="E407" s="23" t="n"/>
      <c r="F407" s="20" t="n"/>
      <c r="G407" s="20" t="n"/>
      <c r="H407" s="20" t="n"/>
      <c r="I407" s="21">
        <f>IF(OR(G407="",H407=""),"",H407-G407)</f>
        <v/>
      </c>
      <c r="J407" s="5" t="n"/>
    </row>
    <row r="408">
      <c r="A408" s="5" t="n"/>
      <c r="B408" s="5" t="n"/>
      <c r="C408" s="5" t="n"/>
      <c r="D408" s="5" t="n"/>
      <c r="E408" s="23" t="n"/>
      <c r="F408" s="20" t="n"/>
      <c r="G408" s="20" t="n"/>
      <c r="H408" s="20" t="n"/>
      <c r="I408" s="21">
        <f>IF(OR(G408="",H408=""),"",H408-G408)</f>
        <v/>
      </c>
      <c r="J408" s="5" t="n"/>
    </row>
    <row r="409">
      <c r="A409" s="5" t="n"/>
      <c r="B409" s="5" t="n"/>
      <c r="C409" s="5" t="n"/>
      <c r="D409" s="5" t="n"/>
      <c r="E409" s="23" t="n"/>
      <c r="F409" s="20" t="n"/>
      <c r="G409" s="20" t="n"/>
      <c r="H409" s="20" t="n"/>
      <c r="I409" s="21">
        <f>IF(OR(G409="",H409=""),"",H409-G409)</f>
        <v/>
      </c>
      <c r="J409" s="5" t="n"/>
    </row>
    <row r="410">
      <c r="A410" s="5" t="n"/>
      <c r="B410" s="5" t="n"/>
      <c r="C410" s="5" t="n"/>
      <c r="D410" s="5" t="n"/>
      <c r="E410" s="23" t="n"/>
      <c r="F410" s="20" t="n"/>
      <c r="G410" s="20" t="n"/>
      <c r="H410" s="20" t="n"/>
      <c r="I410" s="21">
        <f>IF(OR(G410="",H410=""),"",H410-G410)</f>
        <v/>
      </c>
      <c r="J410" s="5" t="n"/>
    </row>
    <row r="411">
      <c r="A411" s="5" t="n"/>
      <c r="B411" s="5" t="n"/>
      <c r="C411" s="5" t="n"/>
      <c r="D411" s="5" t="n"/>
      <c r="E411" s="23" t="n"/>
      <c r="F411" s="20" t="n"/>
      <c r="G411" s="20" t="n"/>
      <c r="H411" s="20" t="n"/>
      <c r="I411" s="21">
        <f>IF(OR(G411="",H411=""),"",H411-G411)</f>
        <v/>
      </c>
      <c r="J411" s="5" t="n"/>
    </row>
    <row r="412">
      <c r="A412" s="5" t="n"/>
      <c r="B412" s="5" t="n"/>
      <c r="C412" s="5" t="n"/>
      <c r="D412" s="5" t="n"/>
      <c r="E412" s="23" t="n"/>
      <c r="F412" s="20" t="n"/>
      <c r="G412" s="20" t="n"/>
      <c r="H412" s="20" t="n"/>
      <c r="I412" s="21">
        <f>IF(OR(G412="",H412=""),"",H412-G412)</f>
        <v/>
      </c>
      <c r="J412" s="5" t="n"/>
    </row>
    <row r="413">
      <c r="A413" s="5" t="n"/>
      <c r="B413" s="5" t="n"/>
      <c r="C413" s="5" t="n"/>
      <c r="D413" s="5" t="n"/>
      <c r="E413" s="23" t="n"/>
      <c r="F413" s="20" t="n"/>
      <c r="G413" s="20" t="n"/>
      <c r="H413" s="20" t="n"/>
      <c r="I413" s="21">
        <f>IF(OR(G413="",H413=""),"",H413-G413)</f>
        <v/>
      </c>
      <c r="J413" s="5" t="n"/>
    </row>
    <row r="414">
      <c r="A414" s="5" t="n"/>
      <c r="B414" s="5" t="n"/>
      <c r="C414" s="5" t="n"/>
      <c r="D414" s="5" t="n"/>
      <c r="E414" s="23" t="n"/>
      <c r="F414" s="20" t="n"/>
      <c r="G414" s="20" t="n"/>
      <c r="H414" s="20" t="n"/>
      <c r="I414" s="21">
        <f>IF(OR(G414="",H414=""),"",H414-G414)</f>
        <v/>
      </c>
      <c r="J414" s="5" t="n"/>
    </row>
    <row r="415">
      <c r="A415" s="5" t="n"/>
      <c r="B415" s="5" t="n"/>
      <c r="C415" s="5" t="n"/>
      <c r="D415" s="5" t="n"/>
      <c r="E415" s="23" t="n"/>
      <c r="F415" s="20" t="n"/>
      <c r="G415" s="20" t="n"/>
      <c r="H415" s="20" t="n"/>
      <c r="I415" s="21">
        <f>IF(OR(G415="",H415=""),"",H415-G415)</f>
        <v/>
      </c>
      <c r="J415" s="5" t="n"/>
    </row>
    <row r="416">
      <c r="A416" s="5" t="n"/>
      <c r="B416" s="5" t="n"/>
      <c r="C416" s="5" t="n"/>
      <c r="D416" s="5" t="n"/>
      <c r="E416" s="23" t="n"/>
      <c r="F416" s="20" t="n"/>
      <c r="G416" s="20" t="n"/>
      <c r="H416" s="20" t="n"/>
      <c r="I416" s="21">
        <f>IF(OR(G416="",H416=""),"",H416-G416)</f>
        <v/>
      </c>
      <c r="J416" s="5" t="n"/>
    </row>
    <row r="417">
      <c r="A417" s="5" t="n"/>
      <c r="B417" s="5" t="n"/>
      <c r="C417" s="5" t="n"/>
      <c r="D417" s="5" t="n"/>
      <c r="E417" s="23" t="n"/>
      <c r="F417" s="20" t="n"/>
      <c r="G417" s="20" t="n"/>
      <c r="H417" s="20" t="n"/>
      <c r="I417" s="21">
        <f>IF(OR(G417="",H417=""),"",H417-G417)</f>
        <v/>
      </c>
      <c r="J417" s="5" t="n"/>
    </row>
    <row r="418">
      <c r="A418" s="5" t="n"/>
      <c r="B418" s="5" t="n"/>
      <c r="C418" s="5" t="n"/>
      <c r="D418" s="5" t="n"/>
      <c r="E418" s="23" t="n"/>
      <c r="F418" s="20" t="n"/>
      <c r="G418" s="20" t="n"/>
      <c r="H418" s="20" t="n"/>
      <c r="I418" s="21">
        <f>IF(OR(G418="",H418=""),"",H418-G418)</f>
        <v/>
      </c>
      <c r="J418" s="5" t="n"/>
    </row>
    <row r="419">
      <c r="A419" s="5" t="n"/>
      <c r="B419" s="5" t="n"/>
      <c r="C419" s="5" t="n"/>
      <c r="D419" s="5" t="n"/>
      <c r="E419" s="23" t="n"/>
      <c r="F419" s="20" t="n"/>
      <c r="G419" s="20" t="n"/>
      <c r="H419" s="20" t="n"/>
      <c r="I419" s="21">
        <f>IF(OR(G419="",H419=""),"",H419-G419)</f>
        <v/>
      </c>
      <c r="J419" s="5" t="n"/>
    </row>
    <row r="420">
      <c r="A420" s="5" t="n"/>
      <c r="B420" s="5" t="n"/>
      <c r="C420" s="5" t="n"/>
      <c r="D420" s="5" t="n"/>
      <c r="E420" s="23" t="n"/>
      <c r="F420" s="20" t="n"/>
      <c r="G420" s="20" t="n"/>
      <c r="H420" s="20" t="n"/>
      <c r="I420" s="21">
        <f>IF(OR(G420="",H420=""),"",H420-G420)</f>
        <v/>
      </c>
      <c r="J420" s="5" t="n"/>
    </row>
    <row r="421">
      <c r="A421" s="5" t="n"/>
      <c r="B421" s="5" t="n"/>
      <c r="C421" s="5" t="n"/>
      <c r="D421" s="5" t="n"/>
      <c r="E421" s="23" t="n"/>
      <c r="F421" s="20" t="n"/>
      <c r="G421" s="20" t="n"/>
      <c r="H421" s="20" t="n"/>
      <c r="I421" s="21">
        <f>IF(OR(G421="",H421=""),"",H421-G421)</f>
        <v/>
      </c>
      <c r="J421" s="5" t="n"/>
    </row>
    <row r="422">
      <c r="A422" s="5" t="n"/>
      <c r="B422" s="5" t="n"/>
      <c r="C422" s="5" t="n"/>
      <c r="D422" s="5" t="n"/>
      <c r="E422" s="23" t="n"/>
      <c r="F422" s="20" t="n"/>
      <c r="G422" s="20" t="n"/>
      <c r="H422" s="20" t="n"/>
      <c r="I422" s="21">
        <f>IF(OR(G422="",H422=""),"",H422-G422)</f>
        <v/>
      </c>
      <c r="J422" s="5" t="n"/>
    </row>
    <row r="423">
      <c r="A423" s="5" t="n"/>
      <c r="B423" s="5" t="n"/>
      <c r="C423" s="5" t="n"/>
      <c r="D423" s="5" t="n"/>
      <c r="E423" s="23" t="n"/>
      <c r="F423" s="20" t="n"/>
      <c r="G423" s="20" t="n"/>
      <c r="H423" s="20" t="n"/>
      <c r="I423" s="21">
        <f>IF(OR(G423="",H423=""),"",H423-G423)</f>
        <v/>
      </c>
      <c r="J423" s="5" t="n"/>
    </row>
    <row r="424">
      <c r="A424" s="5" t="n"/>
      <c r="B424" s="5" t="n"/>
      <c r="C424" s="5" t="n"/>
      <c r="D424" s="5" t="n"/>
      <c r="E424" s="23" t="n"/>
      <c r="F424" s="20" t="n"/>
      <c r="G424" s="20" t="n"/>
      <c r="H424" s="20" t="n"/>
      <c r="I424" s="21">
        <f>IF(OR(G424="",H424=""),"",H424-G424)</f>
        <v/>
      </c>
      <c r="J424" s="5" t="n"/>
    </row>
    <row r="425">
      <c r="A425" s="5" t="n"/>
      <c r="B425" s="5" t="n"/>
      <c r="C425" s="5" t="n"/>
      <c r="D425" s="5" t="n"/>
      <c r="E425" s="23" t="n"/>
      <c r="F425" s="20" t="n"/>
      <c r="G425" s="20" t="n"/>
      <c r="H425" s="20" t="n"/>
      <c r="I425" s="21">
        <f>IF(OR(G425="",H425=""),"",H425-G425)</f>
        <v/>
      </c>
      <c r="J425" s="5" t="n"/>
    </row>
    <row r="426">
      <c r="A426" s="5" t="n"/>
      <c r="B426" s="5" t="n"/>
      <c r="C426" s="5" t="n"/>
      <c r="D426" s="5" t="n"/>
      <c r="E426" s="23" t="n"/>
      <c r="F426" s="20" t="n"/>
      <c r="G426" s="20" t="n"/>
      <c r="H426" s="20" t="n"/>
      <c r="I426" s="21">
        <f>IF(OR(G426="",H426=""),"",H426-G426)</f>
        <v/>
      </c>
      <c r="J426" s="5" t="n"/>
    </row>
    <row r="427">
      <c r="A427" s="5" t="n"/>
      <c r="B427" s="5" t="n"/>
      <c r="C427" s="5" t="n"/>
      <c r="D427" s="5" t="n"/>
      <c r="E427" s="23" t="n"/>
      <c r="F427" s="20" t="n"/>
      <c r="G427" s="20" t="n"/>
      <c r="H427" s="20" t="n"/>
      <c r="I427" s="21">
        <f>IF(OR(G427="",H427=""),"",H427-G427)</f>
        <v/>
      </c>
      <c r="J427" s="5" t="n"/>
    </row>
    <row r="428">
      <c r="A428" s="5" t="n"/>
      <c r="B428" s="5" t="n"/>
      <c r="C428" s="5" t="n"/>
      <c r="D428" s="5" t="n"/>
      <c r="E428" s="23" t="n"/>
      <c r="F428" s="20" t="n"/>
      <c r="G428" s="20" t="n"/>
      <c r="H428" s="20" t="n"/>
      <c r="I428" s="21">
        <f>IF(OR(G428="",H428=""),"",H428-G428)</f>
        <v/>
      </c>
      <c r="J428" s="5" t="n"/>
    </row>
    <row r="429">
      <c r="A429" s="5" t="n"/>
      <c r="B429" s="5" t="n"/>
      <c r="C429" s="5" t="n"/>
      <c r="D429" s="5" t="n"/>
      <c r="E429" s="23" t="n"/>
      <c r="F429" s="20" t="n"/>
      <c r="G429" s="20" t="n"/>
      <c r="H429" s="20" t="n"/>
      <c r="I429" s="21">
        <f>IF(OR(G429="",H429=""),"",H429-G429)</f>
        <v/>
      </c>
      <c r="J429" s="5" t="n"/>
    </row>
    <row r="430">
      <c r="A430" s="5" t="n"/>
      <c r="B430" s="5" t="n"/>
      <c r="C430" s="5" t="n"/>
      <c r="D430" s="5" t="n"/>
      <c r="E430" s="23" t="n"/>
      <c r="F430" s="20" t="n"/>
      <c r="G430" s="20" t="n"/>
      <c r="H430" s="20" t="n"/>
      <c r="I430" s="21">
        <f>IF(OR(G430="",H430=""),"",H430-G430)</f>
        <v/>
      </c>
      <c r="J430" s="5" t="n"/>
    </row>
    <row r="431">
      <c r="A431" s="5" t="n"/>
      <c r="B431" s="5" t="n"/>
      <c r="C431" s="5" t="n"/>
      <c r="D431" s="5" t="n"/>
      <c r="E431" s="23" t="n"/>
      <c r="F431" s="20" t="n"/>
      <c r="G431" s="20" t="n"/>
      <c r="H431" s="20" t="n"/>
      <c r="I431" s="21">
        <f>IF(OR(G431="",H431=""),"",H431-G431)</f>
        <v/>
      </c>
      <c r="J431" s="5" t="n"/>
    </row>
    <row r="432">
      <c r="A432" s="5" t="n"/>
      <c r="B432" s="5" t="n"/>
      <c r="C432" s="5" t="n"/>
      <c r="D432" s="5" t="n"/>
      <c r="E432" s="23" t="n"/>
      <c r="F432" s="20" t="n"/>
      <c r="G432" s="20" t="n"/>
      <c r="H432" s="20" t="n"/>
      <c r="I432" s="21">
        <f>IF(OR(G432="",H432=""),"",H432-G432)</f>
        <v/>
      </c>
      <c r="J432" s="5" t="n"/>
    </row>
    <row r="433">
      <c r="A433" s="5" t="n"/>
      <c r="B433" s="5" t="n"/>
      <c r="C433" s="5" t="n"/>
      <c r="D433" s="5" t="n"/>
      <c r="E433" s="23" t="n"/>
      <c r="F433" s="20" t="n"/>
      <c r="G433" s="20" t="n"/>
      <c r="H433" s="20" t="n"/>
      <c r="I433" s="21">
        <f>IF(OR(G433="",H433=""),"",H433-G433)</f>
        <v/>
      </c>
      <c r="J433" s="5" t="n"/>
    </row>
    <row r="434">
      <c r="A434" s="5" t="n"/>
      <c r="B434" s="5" t="n"/>
      <c r="C434" s="5" t="n"/>
      <c r="D434" s="5" t="n"/>
      <c r="E434" s="23" t="n"/>
      <c r="F434" s="20" t="n"/>
      <c r="G434" s="20" t="n"/>
      <c r="H434" s="20" t="n"/>
      <c r="I434" s="21">
        <f>IF(OR(G434="",H434=""),"",H434-G434)</f>
        <v/>
      </c>
      <c r="J434" s="5" t="n"/>
    </row>
    <row r="435">
      <c r="A435" s="5" t="n"/>
      <c r="B435" s="5" t="n"/>
      <c r="C435" s="5" t="n"/>
      <c r="D435" s="5" t="n"/>
      <c r="E435" s="23" t="n"/>
      <c r="F435" s="20" t="n"/>
      <c r="G435" s="20" t="n"/>
      <c r="H435" s="20" t="n"/>
      <c r="I435" s="21">
        <f>IF(OR(G435="",H435=""),"",H435-G435)</f>
        <v/>
      </c>
      <c r="J435" s="5" t="n"/>
    </row>
    <row r="436">
      <c r="A436" s="5" t="n"/>
      <c r="B436" s="5" t="n"/>
      <c r="C436" s="5" t="n"/>
      <c r="D436" s="5" t="n"/>
      <c r="E436" s="23" t="n"/>
      <c r="F436" s="20" t="n"/>
      <c r="G436" s="20" t="n"/>
      <c r="H436" s="20" t="n"/>
      <c r="I436" s="21">
        <f>IF(OR(G436="",H436=""),"",H436-G436)</f>
        <v/>
      </c>
      <c r="J436" s="5" t="n"/>
    </row>
    <row r="437">
      <c r="A437" s="5" t="n"/>
      <c r="B437" s="5" t="n"/>
      <c r="C437" s="5" t="n"/>
      <c r="D437" s="5" t="n"/>
      <c r="E437" s="23" t="n"/>
      <c r="F437" s="20" t="n"/>
      <c r="G437" s="20" t="n"/>
      <c r="H437" s="20" t="n"/>
      <c r="I437" s="21">
        <f>IF(OR(G437="",H437=""),"",H437-G437)</f>
        <v/>
      </c>
      <c r="J437" s="5" t="n"/>
    </row>
    <row r="438">
      <c r="A438" s="5" t="n"/>
      <c r="B438" s="5" t="n"/>
      <c r="C438" s="5" t="n"/>
      <c r="D438" s="5" t="n"/>
      <c r="E438" s="23" t="n"/>
      <c r="F438" s="20" t="n"/>
      <c r="G438" s="20" t="n"/>
      <c r="H438" s="20" t="n"/>
      <c r="I438" s="21">
        <f>IF(OR(G438="",H438=""),"",H438-G438)</f>
        <v/>
      </c>
      <c r="J438" s="5" t="n"/>
    </row>
    <row r="439">
      <c r="A439" s="5" t="n"/>
      <c r="B439" s="5" t="n"/>
      <c r="C439" s="5" t="n"/>
      <c r="D439" s="5" t="n"/>
      <c r="E439" s="23" t="n"/>
      <c r="F439" s="20" t="n"/>
      <c r="G439" s="20" t="n"/>
      <c r="H439" s="20" t="n"/>
      <c r="I439" s="21">
        <f>IF(OR(G439="",H439=""),"",H439-G439)</f>
        <v/>
      </c>
      <c r="J439" s="5" t="n"/>
    </row>
    <row r="440">
      <c r="A440" s="5" t="n"/>
      <c r="B440" s="5" t="n"/>
      <c r="C440" s="5" t="n"/>
      <c r="D440" s="5" t="n"/>
      <c r="E440" s="23" t="n"/>
      <c r="F440" s="20" t="n"/>
      <c r="G440" s="20" t="n"/>
      <c r="H440" s="20" t="n"/>
      <c r="I440" s="21">
        <f>IF(OR(G440="",H440=""),"",H440-G440)</f>
        <v/>
      </c>
      <c r="J440" s="5" t="n"/>
    </row>
    <row r="441">
      <c r="A441" s="5" t="n"/>
      <c r="B441" s="5" t="n"/>
      <c r="C441" s="5" t="n"/>
      <c r="D441" s="5" t="n"/>
      <c r="E441" s="23" t="n"/>
      <c r="F441" s="20" t="n"/>
      <c r="G441" s="20" t="n"/>
      <c r="H441" s="20" t="n"/>
      <c r="I441" s="21">
        <f>IF(OR(G441="",H441=""),"",H441-G441)</f>
        <v/>
      </c>
      <c r="J441" s="5" t="n"/>
    </row>
    <row r="442">
      <c r="A442" s="5" t="n"/>
      <c r="B442" s="5" t="n"/>
      <c r="C442" s="5" t="n"/>
      <c r="D442" s="5" t="n"/>
      <c r="E442" s="23" t="n"/>
      <c r="F442" s="20" t="n"/>
      <c r="G442" s="20" t="n"/>
      <c r="H442" s="20" t="n"/>
      <c r="I442" s="21">
        <f>IF(OR(G442="",H442=""),"",H442-G442)</f>
        <v/>
      </c>
      <c r="J442" s="5" t="n"/>
    </row>
    <row r="443">
      <c r="A443" s="5" t="n"/>
      <c r="B443" s="5" t="n"/>
      <c r="C443" s="5" t="n"/>
      <c r="D443" s="5" t="n"/>
      <c r="E443" s="23" t="n"/>
      <c r="F443" s="20" t="n"/>
      <c r="G443" s="20" t="n"/>
      <c r="H443" s="20" t="n"/>
      <c r="I443" s="21">
        <f>IF(OR(G443="",H443=""),"",H443-G443)</f>
        <v/>
      </c>
      <c r="J443" s="5" t="n"/>
    </row>
    <row r="444">
      <c r="A444" s="5" t="n"/>
      <c r="B444" s="5" t="n"/>
      <c r="C444" s="5" t="n"/>
      <c r="D444" s="5" t="n"/>
      <c r="E444" s="23" t="n"/>
      <c r="F444" s="20" t="n"/>
      <c r="G444" s="20" t="n"/>
      <c r="H444" s="20" t="n"/>
      <c r="I444" s="21">
        <f>IF(OR(G444="",H444=""),"",H444-G444)</f>
        <v/>
      </c>
      <c r="J444" s="5" t="n"/>
    </row>
    <row r="445">
      <c r="A445" s="5" t="n"/>
      <c r="B445" s="5" t="n"/>
      <c r="C445" s="5" t="n"/>
      <c r="D445" s="5" t="n"/>
      <c r="E445" s="23" t="n"/>
      <c r="F445" s="20" t="n"/>
      <c r="G445" s="20" t="n"/>
      <c r="H445" s="20" t="n"/>
      <c r="I445" s="21">
        <f>IF(OR(G445="",H445=""),"",H445-G445)</f>
        <v/>
      </c>
      <c r="J445" s="5" t="n"/>
    </row>
    <row r="446">
      <c r="A446" s="5" t="n"/>
      <c r="B446" s="5" t="n"/>
      <c r="C446" s="5" t="n"/>
      <c r="D446" s="5" t="n"/>
      <c r="E446" s="23" t="n"/>
      <c r="F446" s="20" t="n"/>
      <c r="G446" s="20" t="n"/>
      <c r="H446" s="20" t="n"/>
      <c r="I446" s="21">
        <f>IF(OR(G446="",H446=""),"",H446-G446)</f>
        <v/>
      </c>
      <c r="J446" s="5" t="n"/>
    </row>
    <row r="447">
      <c r="A447" s="5" t="n"/>
      <c r="B447" s="5" t="n"/>
      <c r="C447" s="5" t="n"/>
      <c r="D447" s="5" t="n"/>
      <c r="E447" s="23" t="n"/>
      <c r="F447" s="20" t="n"/>
      <c r="G447" s="20" t="n"/>
      <c r="H447" s="20" t="n"/>
      <c r="I447" s="21">
        <f>IF(OR(G447="",H447=""),"",H447-G447)</f>
        <v/>
      </c>
      <c r="J447" s="5" t="n"/>
    </row>
    <row r="448">
      <c r="A448" s="5" t="n"/>
      <c r="B448" s="5" t="n"/>
      <c r="C448" s="5" t="n"/>
      <c r="D448" s="5" t="n"/>
      <c r="E448" s="23" t="n"/>
      <c r="F448" s="20" t="n"/>
      <c r="G448" s="20" t="n"/>
      <c r="H448" s="20" t="n"/>
      <c r="I448" s="21">
        <f>IF(OR(G448="",H448=""),"",H448-G448)</f>
        <v/>
      </c>
      <c r="J448" s="5" t="n"/>
    </row>
    <row r="449">
      <c r="A449" s="5" t="n"/>
      <c r="B449" s="5" t="n"/>
      <c r="C449" s="5" t="n"/>
      <c r="D449" s="5" t="n"/>
      <c r="E449" s="23" t="n"/>
      <c r="F449" s="20" t="n"/>
      <c r="G449" s="20" t="n"/>
      <c r="H449" s="20" t="n"/>
      <c r="I449" s="21">
        <f>IF(OR(G449="",H449=""),"",H449-G449)</f>
        <v/>
      </c>
      <c r="J449" s="5" t="n"/>
    </row>
    <row r="450">
      <c r="A450" s="5" t="n"/>
      <c r="B450" s="5" t="n"/>
      <c r="C450" s="5" t="n"/>
      <c r="D450" s="5" t="n"/>
      <c r="E450" s="23" t="n"/>
      <c r="F450" s="20" t="n"/>
      <c r="G450" s="20" t="n"/>
      <c r="H450" s="20" t="n"/>
      <c r="I450" s="21">
        <f>IF(OR(G450="",H450=""),"",H450-G450)</f>
        <v/>
      </c>
      <c r="J450" s="5" t="n"/>
    </row>
    <row r="451">
      <c r="A451" s="5" t="n"/>
      <c r="B451" s="5" t="n"/>
      <c r="C451" s="5" t="n"/>
      <c r="D451" s="5" t="n"/>
      <c r="E451" s="23" t="n"/>
      <c r="F451" s="20" t="n"/>
      <c r="G451" s="20" t="n"/>
      <c r="H451" s="20" t="n"/>
      <c r="I451" s="21">
        <f>IF(OR(G451="",H451=""),"",H451-G451)</f>
        <v/>
      </c>
      <c r="J451" s="5" t="n"/>
    </row>
    <row r="452">
      <c r="A452" s="5" t="n"/>
      <c r="B452" s="5" t="n"/>
      <c r="C452" s="5" t="n"/>
      <c r="D452" s="5" t="n"/>
      <c r="E452" s="23" t="n"/>
      <c r="F452" s="20" t="n"/>
      <c r="G452" s="20" t="n"/>
      <c r="H452" s="20" t="n"/>
      <c r="I452" s="21">
        <f>IF(OR(G452="",H452=""),"",H452-G452)</f>
        <v/>
      </c>
      <c r="J452" s="5" t="n"/>
    </row>
    <row r="453">
      <c r="A453" s="5" t="n"/>
      <c r="B453" s="5" t="n"/>
      <c r="C453" s="5" t="n"/>
      <c r="D453" s="5" t="n"/>
      <c r="E453" s="23" t="n"/>
      <c r="F453" s="20" t="n"/>
      <c r="G453" s="20" t="n"/>
      <c r="H453" s="20" t="n"/>
      <c r="I453" s="21">
        <f>IF(OR(G453="",H453=""),"",H453-G453)</f>
        <v/>
      </c>
      <c r="J453" s="5" t="n"/>
    </row>
    <row r="454">
      <c r="A454" s="5" t="n"/>
      <c r="B454" s="5" t="n"/>
      <c r="C454" s="5" t="n"/>
      <c r="D454" s="5" t="n"/>
      <c r="E454" s="23" t="n"/>
      <c r="F454" s="20" t="n"/>
      <c r="G454" s="20" t="n"/>
      <c r="H454" s="20" t="n"/>
      <c r="I454" s="21">
        <f>IF(OR(G454="",H454=""),"",H454-G454)</f>
        <v/>
      </c>
      <c r="J454" s="5" t="n"/>
    </row>
    <row r="455">
      <c r="A455" s="5" t="n"/>
      <c r="B455" s="5" t="n"/>
      <c r="C455" s="5" t="n"/>
      <c r="D455" s="5" t="n"/>
      <c r="E455" s="23" t="n"/>
      <c r="F455" s="20" t="n"/>
      <c r="G455" s="20" t="n"/>
      <c r="H455" s="20" t="n"/>
      <c r="I455" s="21">
        <f>IF(OR(G455="",H455=""),"",H455-G455)</f>
        <v/>
      </c>
      <c r="J455" s="5" t="n"/>
    </row>
    <row r="456">
      <c r="A456" s="5" t="n"/>
      <c r="B456" s="5" t="n"/>
      <c r="C456" s="5" t="n"/>
      <c r="D456" s="5" t="n"/>
      <c r="E456" s="23" t="n"/>
      <c r="F456" s="20" t="n"/>
      <c r="G456" s="20" t="n"/>
      <c r="H456" s="20" t="n"/>
      <c r="I456" s="21">
        <f>IF(OR(G456="",H456=""),"",H456-G456)</f>
        <v/>
      </c>
      <c r="J456" s="5" t="n"/>
    </row>
    <row r="457">
      <c r="A457" s="5" t="n"/>
      <c r="B457" s="5" t="n"/>
      <c r="C457" s="5" t="n"/>
      <c r="D457" s="5" t="n"/>
      <c r="E457" s="23" t="n"/>
      <c r="F457" s="20" t="n"/>
      <c r="G457" s="20" t="n"/>
      <c r="H457" s="20" t="n"/>
      <c r="I457" s="21">
        <f>IF(OR(G457="",H457=""),"",H457-G457)</f>
        <v/>
      </c>
      <c r="J457" s="5" t="n"/>
    </row>
    <row r="458">
      <c r="A458" s="5" t="n"/>
      <c r="B458" s="5" t="n"/>
      <c r="C458" s="5" t="n"/>
      <c r="D458" s="5" t="n"/>
      <c r="E458" s="23" t="n"/>
      <c r="F458" s="20" t="n"/>
      <c r="G458" s="20" t="n"/>
      <c r="H458" s="20" t="n"/>
      <c r="I458" s="21">
        <f>IF(OR(G458="",H458=""),"",H458-G458)</f>
        <v/>
      </c>
      <c r="J458" s="5" t="n"/>
    </row>
    <row r="459">
      <c r="A459" s="5" t="n"/>
      <c r="B459" s="5" t="n"/>
      <c r="C459" s="5" t="n"/>
      <c r="D459" s="5" t="n"/>
      <c r="E459" s="23" t="n"/>
      <c r="F459" s="20" t="n"/>
      <c r="G459" s="20" t="n"/>
      <c r="H459" s="20" t="n"/>
      <c r="I459" s="21">
        <f>IF(OR(G459="",H459=""),"",H459-G459)</f>
        <v/>
      </c>
      <c r="J459" s="5" t="n"/>
    </row>
    <row r="460">
      <c r="A460" s="5" t="n"/>
      <c r="B460" s="5" t="n"/>
      <c r="C460" s="5" t="n"/>
      <c r="D460" s="5" t="n"/>
      <c r="E460" s="23" t="n"/>
      <c r="F460" s="20" t="n"/>
      <c r="G460" s="20" t="n"/>
      <c r="H460" s="20" t="n"/>
      <c r="I460" s="21">
        <f>IF(OR(G460="",H460=""),"",H460-G460)</f>
        <v/>
      </c>
      <c r="J460" s="5" t="n"/>
    </row>
    <row r="461">
      <c r="A461" s="5" t="n"/>
      <c r="B461" s="5" t="n"/>
      <c r="C461" s="5" t="n"/>
      <c r="D461" s="5" t="n"/>
      <c r="E461" s="23" t="n"/>
      <c r="F461" s="20" t="n"/>
      <c r="G461" s="20" t="n"/>
      <c r="H461" s="20" t="n"/>
      <c r="I461" s="21">
        <f>IF(OR(G461="",H461=""),"",H461-G461)</f>
        <v/>
      </c>
      <c r="J461" s="5" t="n"/>
    </row>
    <row r="462">
      <c r="A462" s="5" t="n"/>
      <c r="B462" s="5" t="n"/>
      <c r="C462" s="5" t="n"/>
      <c r="D462" s="5" t="n"/>
      <c r="E462" s="23" t="n"/>
      <c r="F462" s="20" t="n"/>
      <c r="G462" s="20" t="n"/>
      <c r="H462" s="20" t="n"/>
      <c r="I462" s="21">
        <f>IF(OR(G462="",H462=""),"",H462-G462)</f>
        <v/>
      </c>
      <c r="J462" s="5" t="n"/>
    </row>
    <row r="463">
      <c r="A463" s="5" t="n"/>
      <c r="B463" s="5" t="n"/>
      <c r="C463" s="5" t="n"/>
      <c r="D463" s="5" t="n"/>
      <c r="E463" s="23" t="n"/>
      <c r="F463" s="20" t="n"/>
      <c r="G463" s="20" t="n"/>
      <c r="H463" s="20" t="n"/>
      <c r="I463" s="21">
        <f>IF(OR(G463="",H463=""),"",H463-G463)</f>
        <v/>
      </c>
      <c r="J463" s="5" t="n"/>
    </row>
    <row r="464">
      <c r="A464" s="5" t="n"/>
      <c r="B464" s="5" t="n"/>
      <c r="C464" s="5" t="n"/>
      <c r="D464" s="5" t="n"/>
      <c r="E464" s="23" t="n"/>
      <c r="F464" s="20" t="n"/>
      <c r="G464" s="20" t="n"/>
      <c r="H464" s="20" t="n"/>
      <c r="I464" s="21">
        <f>IF(OR(G464="",H464=""),"",H464-G464)</f>
        <v/>
      </c>
      <c r="J464" s="5" t="n"/>
    </row>
    <row r="465">
      <c r="A465" s="5" t="n"/>
      <c r="B465" s="5" t="n"/>
      <c r="C465" s="5" t="n"/>
      <c r="D465" s="5" t="n"/>
      <c r="E465" s="23" t="n"/>
      <c r="F465" s="20" t="n"/>
      <c r="G465" s="20" t="n"/>
      <c r="H465" s="20" t="n"/>
      <c r="I465" s="21">
        <f>IF(OR(G465="",H465=""),"",H465-G465)</f>
        <v/>
      </c>
      <c r="J465" s="5" t="n"/>
    </row>
    <row r="466">
      <c r="A466" s="5" t="n"/>
      <c r="B466" s="5" t="n"/>
      <c r="C466" s="5" t="n"/>
      <c r="D466" s="5" t="n"/>
      <c r="E466" s="23" t="n"/>
      <c r="F466" s="20" t="n"/>
      <c r="G466" s="20" t="n"/>
      <c r="H466" s="20" t="n"/>
      <c r="I466" s="21">
        <f>IF(OR(G466="",H466=""),"",H466-G466)</f>
        <v/>
      </c>
      <c r="J466" s="5" t="n"/>
    </row>
    <row r="467">
      <c r="A467" s="5" t="n"/>
      <c r="B467" s="5" t="n"/>
      <c r="C467" s="5" t="n"/>
      <c r="D467" s="5" t="n"/>
      <c r="E467" s="23" t="n"/>
      <c r="F467" s="20" t="n"/>
      <c r="G467" s="20" t="n"/>
      <c r="H467" s="20" t="n"/>
      <c r="I467" s="21">
        <f>IF(OR(G467="",H467=""),"",H467-G467)</f>
        <v/>
      </c>
      <c r="J467" s="5" t="n"/>
    </row>
    <row r="468">
      <c r="A468" s="5" t="n"/>
      <c r="B468" s="5" t="n"/>
      <c r="C468" s="5" t="n"/>
      <c r="D468" s="5" t="n"/>
      <c r="E468" s="23" t="n"/>
      <c r="F468" s="20" t="n"/>
      <c r="G468" s="20" t="n"/>
      <c r="H468" s="20" t="n"/>
      <c r="I468" s="21">
        <f>IF(OR(G468="",H468=""),"",H468-G468)</f>
        <v/>
      </c>
      <c r="J468" s="5" t="n"/>
    </row>
    <row r="469">
      <c r="A469" s="5" t="n"/>
      <c r="B469" s="5" t="n"/>
      <c r="C469" s="5" t="n"/>
      <c r="D469" s="5" t="n"/>
      <c r="E469" s="23" t="n"/>
      <c r="F469" s="20" t="n"/>
      <c r="G469" s="20" t="n"/>
      <c r="H469" s="20" t="n"/>
      <c r="I469" s="21">
        <f>IF(OR(G469="",H469=""),"",H469-G469)</f>
        <v/>
      </c>
      <c r="J469" s="5" t="n"/>
    </row>
    <row r="470">
      <c r="A470" s="5" t="n"/>
      <c r="B470" s="5" t="n"/>
      <c r="C470" s="5" t="n"/>
      <c r="D470" s="5" t="n"/>
      <c r="E470" s="23" t="n"/>
      <c r="F470" s="20" t="n"/>
      <c r="G470" s="20" t="n"/>
      <c r="H470" s="20" t="n"/>
      <c r="I470" s="21">
        <f>IF(OR(G470="",H470=""),"",H470-G470)</f>
        <v/>
      </c>
      <c r="J470" s="5" t="n"/>
    </row>
    <row r="471">
      <c r="A471" s="5" t="n"/>
      <c r="B471" s="5" t="n"/>
      <c r="C471" s="5" t="n"/>
      <c r="D471" s="5" t="n"/>
      <c r="E471" s="23" t="n"/>
      <c r="F471" s="20" t="n"/>
      <c r="G471" s="20" t="n"/>
      <c r="H471" s="20" t="n"/>
      <c r="I471" s="21">
        <f>IF(OR(G471="",H471=""),"",H471-G471)</f>
        <v/>
      </c>
      <c r="J471" s="5" t="n"/>
    </row>
    <row r="472">
      <c r="A472" s="5" t="n"/>
      <c r="B472" s="5" t="n"/>
      <c r="C472" s="5" t="n"/>
      <c r="D472" s="5" t="n"/>
      <c r="E472" s="23" t="n"/>
      <c r="F472" s="20" t="n"/>
      <c r="G472" s="20" t="n"/>
      <c r="H472" s="20" t="n"/>
      <c r="I472" s="21">
        <f>IF(OR(G472="",H472=""),"",H472-G472)</f>
        <v/>
      </c>
      <c r="J472" s="5" t="n"/>
    </row>
    <row r="473">
      <c r="A473" s="5" t="n"/>
      <c r="B473" s="5" t="n"/>
      <c r="C473" s="5" t="n"/>
      <c r="D473" s="5" t="n"/>
      <c r="E473" s="23" t="n"/>
      <c r="F473" s="20" t="n"/>
      <c r="G473" s="20" t="n"/>
      <c r="H473" s="20" t="n"/>
      <c r="I473" s="21">
        <f>IF(OR(G473="",H473=""),"",H473-G473)</f>
        <v/>
      </c>
      <c r="J473" s="5" t="n"/>
    </row>
    <row r="474">
      <c r="A474" s="5" t="n"/>
      <c r="B474" s="5" t="n"/>
      <c r="C474" s="5" t="n"/>
      <c r="D474" s="5" t="n"/>
      <c r="E474" s="23" t="n"/>
      <c r="F474" s="20" t="n"/>
      <c r="G474" s="20" t="n"/>
      <c r="H474" s="20" t="n"/>
      <c r="I474" s="21">
        <f>IF(OR(G474="",H474=""),"",H474-G474)</f>
        <v/>
      </c>
      <c r="J474" s="5" t="n"/>
    </row>
    <row r="475">
      <c r="A475" s="5" t="n"/>
      <c r="B475" s="5" t="n"/>
      <c r="C475" s="5" t="n"/>
      <c r="D475" s="5" t="n"/>
      <c r="E475" s="23" t="n"/>
      <c r="F475" s="20" t="n"/>
      <c r="G475" s="20" t="n"/>
      <c r="H475" s="20" t="n"/>
      <c r="I475" s="21">
        <f>IF(OR(G475="",H475=""),"",H475-G475)</f>
        <v/>
      </c>
      <c r="J475" s="5" t="n"/>
    </row>
    <row r="476">
      <c r="A476" s="5" t="n"/>
      <c r="B476" s="5" t="n"/>
      <c r="C476" s="5" t="n"/>
      <c r="D476" s="5" t="n"/>
      <c r="E476" s="23" t="n"/>
      <c r="F476" s="20" t="n"/>
      <c r="G476" s="20" t="n"/>
      <c r="H476" s="20" t="n"/>
      <c r="I476" s="21">
        <f>IF(OR(G476="",H476=""),"",H476-G476)</f>
        <v/>
      </c>
      <c r="J476" s="5" t="n"/>
    </row>
    <row r="477">
      <c r="A477" s="5" t="n"/>
      <c r="B477" s="5" t="n"/>
      <c r="C477" s="5" t="n"/>
      <c r="D477" s="5" t="n"/>
      <c r="E477" s="23" t="n"/>
      <c r="F477" s="20" t="n"/>
      <c r="G477" s="20" t="n"/>
      <c r="H477" s="20" t="n"/>
      <c r="I477" s="21">
        <f>IF(OR(G477="",H477=""),"",H477-G477)</f>
        <v/>
      </c>
      <c r="J477" s="5" t="n"/>
    </row>
    <row r="478">
      <c r="A478" s="5" t="n"/>
      <c r="B478" s="5" t="n"/>
      <c r="C478" s="5" t="n"/>
      <c r="D478" s="5" t="n"/>
      <c r="E478" s="23" t="n"/>
      <c r="F478" s="20" t="n"/>
      <c r="G478" s="20" t="n"/>
      <c r="H478" s="20" t="n"/>
      <c r="I478" s="21">
        <f>IF(OR(G478="",H478=""),"",H478-G478)</f>
        <v/>
      </c>
      <c r="J478" s="5" t="n"/>
    </row>
    <row r="479">
      <c r="A479" s="5" t="n"/>
      <c r="B479" s="5" t="n"/>
      <c r="C479" s="5" t="n"/>
      <c r="D479" s="5" t="n"/>
      <c r="E479" s="23" t="n"/>
      <c r="F479" s="20" t="n"/>
      <c r="G479" s="20" t="n"/>
      <c r="H479" s="20" t="n"/>
      <c r="I479" s="21">
        <f>IF(OR(G479="",H479=""),"",H479-G479)</f>
        <v/>
      </c>
      <c r="J479" s="5" t="n"/>
    </row>
    <row r="480">
      <c r="A480" s="5" t="n"/>
      <c r="B480" s="5" t="n"/>
      <c r="C480" s="5" t="n"/>
      <c r="D480" s="5" t="n"/>
      <c r="E480" s="23" t="n"/>
      <c r="F480" s="20" t="n"/>
      <c r="G480" s="20" t="n"/>
      <c r="H480" s="20" t="n"/>
      <c r="I480" s="21">
        <f>IF(OR(G480="",H480=""),"",H480-G480)</f>
        <v/>
      </c>
      <c r="J480" s="5" t="n"/>
    </row>
    <row r="481">
      <c r="A481" s="5" t="n"/>
      <c r="B481" s="5" t="n"/>
      <c r="C481" s="5" t="n"/>
      <c r="D481" s="5" t="n"/>
      <c r="E481" s="23" t="n"/>
      <c r="F481" s="20" t="n"/>
      <c r="G481" s="20" t="n"/>
      <c r="H481" s="20" t="n"/>
      <c r="I481" s="21">
        <f>IF(OR(G481="",H481=""),"",H481-G481)</f>
        <v/>
      </c>
      <c r="J481" s="5" t="n"/>
    </row>
    <row r="482">
      <c r="A482" s="5" t="n"/>
      <c r="B482" s="5" t="n"/>
      <c r="C482" s="5" t="n"/>
      <c r="D482" s="5" t="n"/>
      <c r="E482" s="23" t="n"/>
      <c r="F482" s="20" t="n"/>
      <c r="G482" s="20" t="n"/>
      <c r="H482" s="20" t="n"/>
      <c r="I482" s="21">
        <f>IF(OR(G482="",H482=""),"",H482-G482)</f>
        <v/>
      </c>
      <c r="J482" s="5" t="n"/>
    </row>
    <row r="483">
      <c r="A483" s="5" t="n"/>
      <c r="B483" s="5" t="n"/>
      <c r="C483" s="5" t="n"/>
      <c r="D483" s="5" t="n"/>
      <c r="E483" s="23" t="n"/>
      <c r="F483" s="20" t="n"/>
      <c r="G483" s="20" t="n"/>
      <c r="H483" s="20" t="n"/>
      <c r="I483" s="21">
        <f>IF(OR(G483="",H483=""),"",H483-G483)</f>
        <v/>
      </c>
      <c r="J483" s="5" t="n"/>
    </row>
    <row r="484">
      <c r="A484" s="5" t="n"/>
      <c r="B484" s="5" t="n"/>
      <c r="C484" s="5" t="n"/>
      <c r="D484" s="5" t="n"/>
      <c r="E484" s="23" t="n"/>
      <c r="F484" s="20" t="n"/>
      <c r="G484" s="20" t="n"/>
      <c r="H484" s="20" t="n"/>
      <c r="I484" s="21">
        <f>IF(OR(G484="",H484=""),"",H484-G484)</f>
        <v/>
      </c>
      <c r="J484" s="5" t="n"/>
    </row>
    <row r="485">
      <c r="A485" s="5" t="n"/>
      <c r="B485" s="5" t="n"/>
      <c r="C485" s="5" t="n"/>
      <c r="D485" s="5" t="n"/>
      <c r="E485" s="23" t="n"/>
      <c r="F485" s="20" t="n"/>
      <c r="G485" s="20" t="n"/>
      <c r="H485" s="20" t="n"/>
      <c r="I485" s="21">
        <f>IF(OR(G485="",H485=""),"",H485-G485)</f>
        <v/>
      </c>
      <c r="J485" s="5" t="n"/>
    </row>
    <row r="486">
      <c r="A486" s="5" t="n"/>
      <c r="B486" s="5" t="n"/>
      <c r="C486" s="5" t="n"/>
      <c r="D486" s="5" t="n"/>
      <c r="E486" s="23" t="n"/>
      <c r="F486" s="20" t="n"/>
      <c r="G486" s="20" t="n"/>
      <c r="H486" s="20" t="n"/>
      <c r="I486" s="21">
        <f>IF(OR(G486="",H486=""),"",H486-G486)</f>
        <v/>
      </c>
      <c r="J486" s="5" t="n"/>
    </row>
    <row r="487">
      <c r="A487" s="5" t="n"/>
      <c r="B487" s="5" t="n"/>
      <c r="C487" s="5" t="n"/>
      <c r="D487" s="5" t="n"/>
      <c r="E487" s="23" t="n"/>
      <c r="F487" s="20" t="n"/>
      <c r="G487" s="20" t="n"/>
      <c r="H487" s="20" t="n"/>
      <c r="I487" s="21">
        <f>IF(OR(G487="",H487=""),"",H487-G487)</f>
        <v/>
      </c>
      <c r="J487" s="5" t="n"/>
    </row>
    <row r="488">
      <c r="A488" s="5" t="n"/>
      <c r="B488" s="5" t="n"/>
      <c r="C488" s="5" t="n"/>
      <c r="D488" s="5" t="n"/>
      <c r="E488" s="23" t="n"/>
      <c r="F488" s="20" t="n"/>
      <c r="G488" s="20" t="n"/>
      <c r="H488" s="20" t="n"/>
      <c r="I488" s="21">
        <f>IF(OR(G488="",H488=""),"",H488-G488)</f>
        <v/>
      </c>
      <c r="J488" s="5" t="n"/>
    </row>
    <row r="489">
      <c r="A489" s="5" t="n"/>
      <c r="B489" s="5" t="n"/>
      <c r="C489" s="5" t="n"/>
      <c r="D489" s="5" t="n"/>
      <c r="E489" s="23" t="n"/>
      <c r="F489" s="20" t="n"/>
      <c r="G489" s="20" t="n"/>
      <c r="H489" s="20" t="n"/>
      <c r="I489" s="21">
        <f>IF(OR(G489="",H489=""),"",H489-G489)</f>
        <v/>
      </c>
      <c r="J489" s="5" t="n"/>
    </row>
    <row r="490">
      <c r="A490" s="5" t="n"/>
      <c r="B490" s="5" t="n"/>
      <c r="C490" s="5" t="n"/>
      <c r="D490" s="5" t="n"/>
      <c r="E490" s="23" t="n"/>
      <c r="F490" s="20" t="n"/>
      <c r="G490" s="20" t="n"/>
      <c r="H490" s="20" t="n"/>
      <c r="I490" s="21">
        <f>IF(OR(G490="",H490=""),"",H490-G490)</f>
        <v/>
      </c>
      <c r="J490" s="5" t="n"/>
    </row>
    <row r="491">
      <c r="A491" s="5" t="n"/>
      <c r="B491" s="5" t="n"/>
      <c r="C491" s="5" t="n"/>
      <c r="D491" s="5" t="n"/>
      <c r="E491" s="23" t="n"/>
      <c r="F491" s="20" t="n"/>
      <c r="G491" s="20" t="n"/>
      <c r="H491" s="20" t="n"/>
      <c r="I491" s="21">
        <f>IF(OR(G491="",H491=""),"",H491-G491)</f>
        <v/>
      </c>
      <c r="J491" s="5" t="n"/>
    </row>
    <row r="492">
      <c r="A492" s="5" t="n"/>
      <c r="B492" s="5" t="n"/>
      <c r="C492" s="5" t="n"/>
      <c r="D492" s="5" t="n"/>
      <c r="E492" s="23" t="n"/>
      <c r="F492" s="20" t="n"/>
      <c r="G492" s="20" t="n"/>
      <c r="H492" s="20" t="n"/>
      <c r="I492" s="21">
        <f>IF(OR(G492="",H492=""),"",H492-G492)</f>
        <v/>
      </c>
      <c r="J492" s="5" t="n"/>
    </row>
    <row r="493">
      <c r="A493" s="5" t="n"/>
      <c r="B493" s="5" t="n"/>
      <c r="C493" s="5" t="n"/>
      <c r="D493" s="5" t="n"/>
      <c r="E493" s="23" t="n"/>
      <c r="F493" s="20" t="n"/>
      <c r="G493" s="20" t="n"/>
      <c r="H493" s="20" t="n"/>
      <c r="I493" s="21">
        <f>IF(OR(G493="",H493=""),"",H493-G493)</f>
        <v/>
      </c>
      <c r="J493" s="5" t="n"/>
    </row>
    <row r="494">
      <c r="A494" s="5" t="n"/>
      <c r="B494" s="5" t="n"/>
      <c r="C494" s="5" t="n"/>
      <c r="D494" s="5" t="n"/>
      <c r="E494" s="23" t="n"/>
      <c r="F494" s="20" t="n"/>
      <c r="G494" s="20" t="n"/>
      <c r="H494" s="20" t="n"/>
      <c r="I494" s="21">
        <f>IF(OR(G494="",H494=""),"",H494-G494)</f>
        <v/>
      </c>
      <c r="J494" s="5" t="n"/>
    </row>
    <row r="495">
      <c r="A495" s="5" t="n"/>
      <c r="B495" s="5" t="n"/>
      <c r="C495" s="5" t="n"/>
      <c r="D495" s="5" t="n"/>
      <c r="E495" s="23" t="n"/>
      <c r="F495" s="20" t="n"/>
      <c r="G495" s="20" t="n"/>
      <c r="H495" s="20" t="n"/>
      <c r="I495" s="21">
        <f>IF(OR(G495="",H495=""),"",H495-G495)</f>
        <v/>
      </c>
      <c r="J495" s="5" t="n"/>
    </row>
    <row r="496">
      <c r="A496" s="5" t="n"/>
      <c r="B496" s="5" t="n"/>
      <c r="C496" s="5" t="n"/>
      <c r="D496" s="5" t="n"/>
      <c r="E496" s="23" t="n"/>
      <c r="F496" s="20" t="n"/>
      <c r="G496" s="20" t="n"/>
      <c r="H496" s="20" t="n"/>
      <c r="I496" s="21">
        <f>IF(OR(G496="",H496=""),"",H496-G496)</f>
        <v/>
      </c>
      <c r="J496" s="5" t="n"/>
    </row>
    <row r="497">
      <c r="A497" s="5" t="n"/>
      <c r="B497" s="5" t="n"/>
      <c r="C497" s="5" t="n"/>
      <c r="D497" s="5" t="n"/>
      <c r="E497" s="23" t="n"/>
      <c r="F497" s="20" t="n"/>
      <c r="G497" s="20" t="n"/>
      <c r="H497" s="20" t="n"/>
      <c r="I497" s="21">
        <f>IF(OR(G497="",H497=""),"",H497-G497)</f>
        <v/>
      </c>
      <c r="J497" s="5" t="n"/>
    </row>
    <row r="498">
      <c r="A498" s="5" t="n"/>
      <c r="B498" s="5" t="n"/>
      <c r="C498" s="5" t="n"/>
      <c r="D498" s="5" t="n"/>
      <c r="E498" s="23" t="n"/>
      <c r="F498" s="20" t="n"/>
      <c r="G498" s="20" t="n"/>
      <c r="H498" s="20" t="n"/>
      <c r="I498" s="21">
        <f>IF(OR(G498="",H498=""),"",H498-G498)</f>
        <v/>
      </c>
      <c r="J498" s="5" t="n"/>
    </row>
    <row r="499">
      <c r="A499" s="5" t="n"/>
      <c r="B499" s="5" t="n"/>
      <c r="C499" s="5" t="n"/>
      <c r="D499" s="5" t="n"/>
      <c r="E499" s="23" t="n"/>
      <c r="F499" s="20" t="n"/>
      <c r="G499" s="20" t="n"/>
      <c r="H499" s="20" t="n"/>
      <c r="I499" s="21">
        <f>IF(OR(G499="",H499=""),"",H499-G499)</f>
        <v/>
      </c>
      <c r="J499" s="5" t="n"/>
    </row>
    <row r="500">
      <c r="A500" s="5" t="n"/>
      <c r="B500" s="5" t="n"/>
      <c r="C500" s="5" t="n"/>
      <c r="D500" s="5" t="n"/>
      <c r="E500" s="23" t="n"/>
      <c r="F500" s="20" t="n"/>
      <c r="G500" s="20" t="n"/>
      <c r="H500" s="20" t="n"/>
      <c r="I500" s="21">
        <f>IF(OR(G500="",H500=""),"",H500-G500)</f>
        <v/>
      </c>
      <c r="J500" s="5" t="n"/>
    </row>
    <row r="501">
      <c r="A501" s="5" t="n"/>
      <c r="B501" s="5" t="n"/>
      <c r="C501" s="5" t="n"/>
      <c r="D501" s="5" t="n"/>
      <c r="E501" s="23" t="n"/>
      <c r="F501" s="20" t="n"/>
      <c r="G501" s="20" t="n"/>
      <c r="H501" s="20" t="n"/>
      <c r="I501" s="21">
        <f>IF(OR(G501="",H501=""),"",H501-G501)</f>
        <v/>
      </c>
      <c r="J501" s="5" t="n"/>
    </row>
    <row r="502">
      <c r="A502" s="5" t="n"/>
      <c r="B502" s="5" t="n"/>
      <c r="C502" s="5" t="n"/>
      <c r="D502" s="5" t="n"/>
      <c r="E502" s="23" t="n"/>
      <c r="F502" s="20" t="n"/>
      <c r="G502" s="20" t="n"/>
      <c r="H502" s="20" t="n"/>
      <c r="I502" s="21">
        <f>IF(OR(G502="",H502=""),"",H502-G502)</f>
        <v/>
      </c>
      <c r="J502" s="5" t="n"/>
    </row>
    <row r="503">
      <c r="A503" s="5" t="n"/>
      <c r="B503" s="5" t="n"/>
      <c r="C503" s="5" t="n"/>
      <c r="D503" s="5" t="n"/>
      <c r="E503" s="23" t="n"/>
      <c r="F503" s="20" t="n"/>
      <c r="G503" s="20" t="n"/>
      <c r="H503" s="20" t="n"/>
      <c r="I503" s="21">
        <f>IF(OR(G503="",H503=""),"",H503-G503)</f>
        <v/>
      </c>
      <c r="J503" s="5" t="n"/>
    </row>
    <row r="504">
      <c r="A504" s="5" t="n"/>
      <c r="B504" s="5" t="n"/>
      <c r="C504" s="5" t="n"/>
      <c r="D504" s="5" t="n"/>
      <c r="E504" s="23" t="n"/>
      <c r="F504" s="20" t="n"/>
      <c r="G504" s="20" t="n"/>
      <c r="H504" s="20" t="n"/>
      <c r="I504" s="21">
        <f>IF(OR(G504="",H504=""),"",H504-G504)</f>
        <v/>
      </c>
      <c r="J504" s="5" t="n"/>
    </row>
  </sheetData>
  <autoFilter ref="A4:J504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14" customWidth="1" min="3" max="3"/>
    <col width="20" customWidth="1" min="4" max="4"/>
    <col width="14" customWidth="1" min="5" max="5"/>
  </cols>
  <sheetData>
    <row r="1" ht="28" customHeight="1">
      <c r="A1" s="1" t="inlineStr">
        <is>
          <t>TEKLİF ÖNCESİ YAPILACAKLAR</t>
        </is>
      </c>
    </row>
    <row r="2" ht="30" customHeight="1">
      <c r="A2" s="2" t="inlineStr">
        <is>
          <t>Teklif verilmeden tamamlanacak işler.</t>
        </is>
      </c>
    </row>
    <row r="3">
      <c r="A3" s="15" t="inlineStr">
        <is>
          <t>TOPLAM</t>
        </is>
      </c>
      <c r="B3" s="16" t="n"/>
      <c r="C3" s="16" t="n"/>
      <c r="D3" s="16" t="n"/>
      <c r="E3" s="16" t="n"/>
    </row>
    <row r="4" ht="32" customHeight="1">
      <c r="A4" s="18" t="inlineStr">
        <is>
          <t>Sıra</t>
        </is>
      </c>
      <c r="B4" s="18" t="inlineStr">
        <is>
          <t>İş</t>
        </is>
      </c>
      <c r="C4" s="18" t="inlineStr">
        <is>
          <t>Son Tarih</t>
        </is>
      </c>
      <c r="D4" s="18" t="inlineStr">
        <is>
          <t>Sorumlu</t>
        </is>
      </c>
      <c r="E4" s="18" t="inlineStr">
        <is>
          <t>Durum</t>
        </is>
      </c>
    </row>
    <row r="5">
      <c r="A5" s="5" t="n"/>
      <c r="B5" s="5" t="n"/>
      <c r="C5" s="35" t="n"/>
      <c r="D5" s="5" t="n"/>
      <c r="E5" s="5" t="n"/>
    </row>
    <row r="6">
      <c r="A6" s="5" t="n"/>
      <c r="B6" s="5" t="n"/>
      <c r="C6" s="35" t="n"/>
      <c r="D6" s="5" t="n"/>
      <c r="E6" s="5" t="n"/>
    </row>
    <row r="7">
      <c r="A7" s="5" t="n"/>
      <c r="B7" s="5" t="n"/>
      <c r="C7" s="35" t="n"/>
      <c r="D7" s="5" t="n"/>
      <c r="E7" s="5" t="n"/>
    </row>
    <row r="8">
      <c r="A8" s="5" t="n"/>
      <c r="B8" s="5" t="n"/>
      <c r="C8" s="35" t="n"/>
      <c r="D8" s="5" t="n"/>
      <c r="E8" s="5" t="n"/>
    </row>
    <row r="9">
      <c r="A9" s="5" t="n"/>
      <c r="B9" s="5" t="n"/>
      <c r="C9" s="35" t="n"/>
      <c r="D9" s="5" t="n"/>
      <c r="E9" s="5" t="n"/>
    </row>
    <row r="10">
      <c r="A10" s="5" t="n"/>
      <c r="B10" s="5" t="n"/>
      <c r="C10" s="35" t="n"/>
      <c r="D10" s="5" t="n"/>
      <c r="E10" s="5" t="n"/>
    </row>
    <row r="11">
      <c r="A11" s="5" t="n"/>
      <c r="B11" s="5" t="n"/>
      <c r="C11" s="35" t="n"/>
      <c r="D11" s="5" t="n"/>
      <c r="E11" s="5" t="n"/>
    </row>
    <row r="12">
      <c r="A12" s="5" t="n"/>
      <c r="B12" s="5" t="n"/>
      <c r="C12" s="35" t="n"/>
      <c r="D12" s="5" t="n"/>
      <c r="E12" s="5" t="n"/>
    </row>
    <row r="13">
      <c r="A13" s="5" t="n"/>
      <c r="B13" s="5" t="n"/>
      <c r="C13" s="35" t="n"/>
      <c r="D13" s="5" t="n"/>
      <c r="E13" s="5" t="n"/>
    </row>
    <row r="14">
      <c r="A14" s="5" t="n"/>
      <c r="B14" s="5" t="n"/>
      <c r="C14" s="35" t="n"/>
      <c r="D14" s="5" t="n"/>
      <c r="E14" s="5" t="n"/>
    </row>
    <row r="15">
      <c r="A15" s="5" t="n"/>
      <c r="B15" s="5" t="n"/>
      <c r="C15" s="35" t="n"/>
      <c r="D15" s="5" t="n"/>
      <c r="E15" s="5" t="n"/>
    </row>
    <row r="16">
      <c r="A16" s="5" t="n"/>
      <c r="B16" s="5" t="n"/>
      <c r="C16" s="35" t="n"/>
      <c r="D16" s="5" t="n"/>
      <c r="E16" s="5" t="n"/>
    </row>
    <row r="17">
      <c r="A17" s="5" t="n"/>
      <c r="B17" s="5" t="n"/>
      <c r="C17" s="35" t="n"/>
      <c r="D17" s="5" t="n"/>
      <c r="E17" s="5" t="n"/>
    </row>
    <row r="18">
      <c r="A18" s="5" t="n"/>
      <c r="B18" s="5" t="n"/>
      <c r="C18" s="35" t="n"/>
      <c r="D18" s="5" t="n"/>
      <c r="E18" s="5" t="n"/>
    </row>
    <row r="19">
      <c r="A19" s="5" t="n"/>
      <c r="B19" s="5" t="n"/>
      <c r="C19" s="35" t="n"/>
      <c r="D19" s="5" t="n"/>
      <c r="E19" s="5" t="n"/>
    </row>
    <row r="20">
      <c r="A20" s="5" t="n"/>
      <c r="B20" s="5" t="n"/>
      <c r="C20" s="35" t="n"/>
      <c r="D20" s="5" t="n"/>
      <c r="E20" s="5" t="n"/>
    </row>
    <row r="21">
      <c r="A21" s="5" t="n"/>
      <c r="B21" s="5" t="n"/>
      <c r="C21" s="35" t="n"/>
      <c r="D21" s="5" t="n"/>
      <c r="E21" s="5" t="n"/>
    </row>
    <row r="22">
      <c r="A22" s="5" t="n"/>
      <c r="B22" s="5" t="n"/>
      <c r="C22" s="35" t="n"/>
      <c r="D22" s="5" t="n"/>
      <c r="E22" s="5" t="n"/>
    </row>
    <row r="23">
      <c r="A23" s="5" t="n"/>
      <c r="B23" s="5" t="n"/>
      <c r="C23" s="35" t="n"/>
      <c r="D23" s="5" t="n"/>
      <c r="E23" s="5" t="n"/>
    </row>
    <row r="24">
      <c r="A24" s="5" t="n"/>
      <c r="B24" s="5" t="n"/>
      <c r="C24" s="35" t="n"/>
      <c r="D24" s="5" t="n"/>
      <c r="E24" s="5" t="n"/>
    </row>
    <row r="25">
      <c r="A25" s="5" t="n"/>
      <c r="B25" s="5" t="n"/>
      <c r="C25" s="35" t="n"/>
      <c r="D25" s="5" t="n"/>
      <c r="E25" s="5" t="n"/>
    </row>
    <row r="26">
      <c r="A26" s="5" t="n"/>
      <c r="B26" s="5" t="n"/>
      <c r="C26" s="35" t="n"/>
      <c r="D26" s="5" t="n"/>
      <c r="E26" s="5" t="n"/>
    </row>
    <row r="27">
      <c r="A27" s="5" t="n"/>
      <c r="B27" s="5" t="n"/>
      <c r="C27" s="35" t="n"/>
      <c r="D27" s="5" t="n"/>
      <c r="E27" s="5" t="n"/>
    </row>
    <row r="28">
      <c r="A28" s="5" t="n"/>
      <c r="B28" s="5" t="n"/>
      <c r="C28" s="35" t="n"/>
      <c r="D28" s="5" t="n"/>
      <c r="E28" s="5" t="n"/>
    </row>
    <row r="29">
      <c r="A29" s="5" t="n"/>
      <c r="B29" s="5" t="n"/>
      <c r="C29" s="35" t="n"/>
      <c r="D29" s="5" t="n"/>
      <c r="E29" s="5" t="n"/>
    </row>
    <row r="30">
      <c r="A30" s="5" t="n"/>
      <c r="B30" s="5" t="n"/>
      <c r="C30" s="35" t="n"/>
      <c r="D30" s="5" t="n"/>
      <c r="E30" s="5" t="n"/>
    </row>
    <row r="31">
      <c r="A31" s="5" t="n"/>
      <c r="B31" s="5" t="n"/>
      <c r="C31" s="35" t="n"/>
      <c r="D31" s="5" t="n"/>
      <c r="E31" s="5" t="n"/>
    </row>
    <row r="32">
      <c r="A32" s="5" t="n"/>
      <c r="B32" s="5" t="n"/>
      <c r="C32" s="35" t="n"/>
      <c r="D32" s="5" t="n"/>
      <c r="E32" s="5" t="n"/>
    </row>
    <row r="33">
      <c r="A33" s="5" t="n"/>
      <c r="B33" s="5" t="n"/>
      <c r="C33" s="35" t="n"/>
      <c r="D33" s="5" t="n"/>
      <c r="E33" s="5" t="n"/>
    </row>
    <row r="34">
      <c r="A34" s="5" t="n"/>
      <c r="B34" s="5" t="n"/>
      <c r="C34" s="35" t="n"/>
      <c r="D34" s="5" t="n"/>
      <c r="E34" s="5" t="n"/>
    </row>
    <row r="35">
      <c r="A35" s="5" t="n"/>
      <c r="B35" s="5" t="n"/>
      <c r="C35" s="35" t="n"/>
      <c r="D35" s="5" t="n"/>
      <c r="E35" s="5" t="n"/>
    </row>
    <row r="36">
      <c r="A36" s="5" t="n"/>
      <c r="B36" s="5" t="n"/>
      <c r="C36" s="35" t="n"/>
      <c r="D36" s="5" t="n"/>
      <c r="E36" s="5" t="n"/>
    </row>
    <row r="37">
      <c r="A37" s="5" t="n"/>
      <c r="B37" s="5" t="n"/>
      <c r="C37" s="35" t="n"/>
      <c r="D37" s="5" t="n"/>
      <c r="E37" s="5" t="n"/>
    </row>
    <row r="38">
      <c r="A38" s="5" t="n"/>
      <c r="B38" s="5" t="n"/>
      <c r="C38" s="35" t="n"/>
      <c r="D38" s="5" t="n"/>
      <c r="E38" s="5" t="n"/>
    </row>
    <row r="39">
      <c r="A39" s="5" t="n"/>
      <c r="B39" s="5" t="n"/>
      <c r="C39" s="35" t="n"/>
      <c r="D39" s="5" t="n"/>
      <c r="E39" s="5" t="n"/>
    </row>
    <row r="40">
      <c r="A40" s="5" t="n"/>
      <c r="B40" s="5" t="n"/>
      <c r="C40" s="35" t="n"/>
      <c r="D40" s="5" t="n"/>
      <c r="E40" s="5" t="n"/>
    </row>
    <row r="41">
      <c r="A41" s="5" t="n"/>
      <c r="B41" s="5" t="n"/>
      <c r="C41" s="35" t="n"/>
      <c r="D41" s="5" t="n"/>
      <c r="E41" s="5" t="n"/>
    </row>
    <row r="42">
      <c r="A42" s="5" t="n"/>
      <c r="B42" s="5" t="n"/>
      <c r="C42" s="35" t="n"/>
      <c r="D42" s="5" t="n"/>
      <c r="E42" s="5" t="n"/>
    </row>
    <row r="43">
      <c r="A43" s="5" t="n"/>
      <c r="B43" s="5" t="n"/>
      <c r="C43" s="35" t="n"/>
      <c r="D43" s="5" t="n"/>
      <c r="E43" s="5" t="n"/>
    </row>
    <row r="44">
      <c r="A44" s="5" t="n"/>
      <c r="B44" s="5" t="n"/>
      <c r="C44" s="35" t="n"/>
      <c r="D44" s="5" t="n"/>
      <c r="E44" s="5" t="n"/>
    </row>
    <row r="45">
      <c r="A45" s="5" t="n"/>
      <c r="B45" s="5" t="n"/>
      <c r="C45" s="35" t="n"/>
      <c r="D45" s="5" t="n"/>
      <c r="E45" s="5" t="n"/>
    </row>
    <row r="46">
      <c r="A46" s="5" t="n"/>
      <c r="B46" s="5" t="n"/>
      <c r="C46" s="35" t="n"/>
      <c r="D46" s="5" t="n"/>
      <c r="E46" s="5" t="n"/>
    </row>
    <row r="47">
      <c r="A47" s="5" t="n"/>
      <c r="B47" s="5" t="n"/>
      <c r="C47" s="35" t="n"/>
      <c r="D47" s="5" t="n"/>
      <c r="E47" s="5" t="n"/>
    </row>
    <row r="48">
      <c r="A48" s="5" t="n"/>
      <c r="B48" s="5" t="n"/>
      <c r="C48" s="35" t="n"/>
      <c r="D48" s="5" t="n"/>
      <c r="E48" s="5" t="n"/>
    </row>
    <row r="49">
      <c r="A49" s="5" t="n"/>
      <c r="B49" s="5" t="n"/>
      <c r="C49" s="35" t="n"/>
      <c r="D49" s="5" t="n"/>
      <c r="E49" s="5" t="n"/>
    </row>
    <row r="50">
      <c r="A50" s="5" t="n"/>
      <c r="B50" s="5" t="n"/>
      <c r="C50" s="35" t="n"/>
      <c r="D50" s="5" t="n"/>
      <c r="E50" s="5" t="n"/>
    </row>
    <row r="51">
      <c r="A51" s="5" t="n"/>
      <c r="B51" s="5" t="n"/>
      <c r="C51" s="35" t="n"/>
      <c r="D51" s="5" t="n"/>
      <c r="E51" s="5" t="n"/>
    </row>
    <row r="52">
      <c r="A52" s="5" t="n"/>
      <c r="B52" s="5" t="n"/>
      <c r="C52" s="35" t="n"/>
      <c r="D52" s="5" t="n"/>
      <c r="E52" s="5" t="n"/>
    </row>
    <row r="53">
      <c r="A53" s="5" t="n"/>
      <c r="B53" s="5" t="n"/>
      <c r="C53" s="35" t="n"/>
      <c r="D53" s="5" t="n"/>
      <c r="E53" s="5" t="n"/>
    </row>
    <row r="54">
      <c r="A54" s="5" t="n"/>
      <c r="B54" s="5" t="n"/>
      <c r="C54" s="35" t="n"/>
      <c r="D54" s="5" t="n"/>
      <c r="E54" s="5" t="n"/>
    </row>
    <row r="55">
      <c r="A55" s="5" t="n"/>
      <c r="B55" s="5" t="n"/>
      <c r="C55" s="35" t="n"/>
      <c r="D55" s="5" t="n"/>
      <c r="E55" s="5" t="n"/>
    </row>
    <row r="56">
      <c r="A56" s="5" t="n"/>
      <c r="B56" s="5" t="n"/>
      <c r="C56" s="35" t="n"/>
      <c r="D56" s="5" t="n"/>
      <c r="E56" s="5" t="n"/>
    </row>
    <row r="57">
      <c r="A57" s="5" t="n"/>
      <c r="B57" s="5" t="n"/>
      <c r="C57" s="35" t="n"/>
      <c r="D57" s="5" t="n"/>
      <c r="E57" s="5" t="n"/>
    </row>
    <row r="58">
      <c r="A58" s="5" t="n"/>
      <c r="B58" s="5" t="n"/>
      <c r="C58" s="35" t="n"/>
      <c r="D58" s="5" t="n"/>
      <c r="E58" s="5" t="n"/>
    </row>
    <row r="59">
      <c r="A59" s="5" t="n"/>
      <c r="B59" s="5" t="n"/>
      <c r="C59" s="35" t="n"/>
      <c r="D59" s="5" t="n"/>
      <c r="E59" s="5" t="n"/>
    </row>
    <row r="60">
      <c r="A60" s="5" t="n"/>
      <c r="B60" s="5" t="n"/>
      <c r="C60" s="35" t="n"/>
      <c r="D60" s="5" t="n"/>
      <c r="E60" s="5" t="n"/>
    </row>
    <row r="61">
      <c r="A61" s="5" t="n"/>
      <c r="B61" s="5" t="n"/>
      <c r="C61" s="35" t="n"/>
      <c r="D61" s="5" t="n"/>
      <c r="E61" s="5" t="n"/>
    </row>
    <row r="62">
      <c r="A62" s="5" t="n"/>
      <c r="B62" s="5" t="n"/>
      <c r="C62" s="35" t="n"/>
      <c r="D62" s="5" t="n"/>
      <c r="E62" s="5" t="n"/>
    </row>
    <row r="63">
      <c r="A63" s="5" t="n"/>
      <c r="B63" s="5" t="n"/>
      <c r="C63" s="35" t="n"/>
      <c r="D63" s="5" t="n"/>
      <c r="E63" s="5" t="n"/>
    </row>
    <row r="64">
      <c r="A64" s="5" t="n"/>
      <c r="B64" s="5" t="n"/>
      <c r="C64" s="35" t="n"/>
      <c r="D64" s="5" t="n"/>
      <c r="E64" s="5" t="n"/>
    </row>
    <row r="65">
      <c r="A65" s="5" t="n"/>
      <c r="B65" s="5" t="n"/>
      <c r="C65" s="35" t="n"/>
      <c r="D65" s="5" t="n"/>
      <c r="E65" s="5" t="n"/>
    </row>
    <row r="66">
      <c r="A66" s="5" t="n"/>
      <c r="B66" s="5" t="n"/>
      <c r="C66" s="35" t="n"/>
      <c r="D66" s="5" t="n"/>
      <c r="E66" s="5" t="n"/>
    </row>
    <row r="67">
      <c r="A67" s="5" t="n"/>
      <c r="B67" s="5" t="n"/>
      <c r="C67" s="35" t="n"/>
      <c r="D67" s="5" t="n"/>
      <c r="E67" s="5" t="n"/>
    </row>
    <row r="68">
      <c r="A68" s="5" t="n"/>
      <c r="B68" s="5" t="n"/>
      <c r="C68" s="35" t="n"/>
      <c r="D68" s="5" t="n"/>
      <c r="E68" s="5" t="n"/>
    </row>
    <row r="69">
      <c r="A69" s="5" t="n"/>
      <c r="B69" s="5" t="n"/>
      <c r="C69" s="35" t="n"/>
      <c r="D69" s="5" t="n"/>
      <c r="E69" s="5" t="n"/>
    </row>
    <row r="70">
      <c r="A70" s="5" t="n"/>
      <c r="B70" s="5" t="n"/>
      <c r="C70" s="35" t="n"/>
      <c r="D70" s="5" t="n"/>
      <c r="E70" s="5" t="n"/>
    </row>
    <row r="71">
      <c r="A71" s="5" t="n"/>
      <c r="B71" s="5" t="n"/>
      <c r="C71" s="35" t="n"/>
      <c r="D71" s="5" t="n"/>
      <c r="E71" s="5" t="n"/>
    </row>
    <row r="72">
      <c r="A72" s="5" t="n"/>
      <c r="B72" s="5" t="n"/>
      <c r="C72" s="35" t="n"/>
      <c r="D72" s="5" t="n"/>
      <c r="E72" s="5" t="n"/>
    </row>
    <row r="73">
      <c r="A73" s="5" t="n"/>
      <c r="B73" s="5" t="n"/>
      <c r="C73" s="35" t="n"/>
      <c r="D73" s="5" t="n"/>
      <c r="E73" s="5" t="n"/>
    </row>
    <row r="74">
      <c r="A74" s="5" t="n"/>
      <c r="B74" s="5" t="n"/>
      <c r="C74" s="35" t="n"/>
      <c r="D74" s="5" t="n"/>
      <c r="E74" s="5" t="n"/>
    </row>
    <row r="75">
      <c r="A75" s="5" t="n"/>
      <c r="B75" s="5" t="n"/>
      <c r="C75" s="35" t="n"/>
      <c r="D75" s="5" t="n"/>
      <c r="E75" s="5" t="n"/>
    </row>
    <row r="76">
      <c r="A76" s="5" t="n"/>
      <c r="B76" s="5" t="n"/>
      <c r="C76" s="35" t="n"/>
      <c r="D76" s="5" t="n"/>
      <c r="E76" s="5" t="n"/>
    </row>
    <row r="77">
      <c r="A77" s="5" t="n"/>
      <c r="B77" s="5" t="n"/>
      <c r="C77" s="35" t="n"/>
      <c r="D77" s="5" t="n"/>
      <c r="E77" s="5" t="n"/>
    </row>
    <row r="78">
      <c r="A78" s="5" t="n"/>
      <c r="B78" s="5" t="n"/>
      <c r="C78" s="35" t="n"/>
      <c r="D78" s="5" t="n"/>
      <c r="E78" s="5" t="n"/>
    </row>
    <row r="79">
      <c r="A79" s="5" t="n"/>
      <c r="B79" s="5" t="n"/>
      <c r="C79" s="35" t="n"/>
      <c r="D79" s="5" t="n"/>
      <c r="E79" s="5" t="n"/>
    </row>
    <row r="80">
      <c r="A80" s="5" t="n"/>
      <c r="B80" s="5" t="n"/>
      <c r="C80" s="35" t="n"/>
      <c r="D80" s="5" t="n"/>
      <c r="E80" s="5" t="n"/>
    </row>
    <row r="81">
      <c r="A81" s="5" t="n"/>
      <c r="B81" s="5" t="n"/>
      <c r="C81" s="35" t="n"/>
      <c r="D81" s="5" t="n"/>
      <c r="E81" s="5" t="n"/>
    </row>
    <row r="82">
      <c r="A82" s="5" t="n"/>
      <c r="B82" s="5" t="n"/>
      <c r="C82" s="35" t="n"/>
      <c r="D82" s="5" t="n"/>
      <c r="E82" s="5" t="n"/>
    </row>
    <row r="83">
      <c r="A83" s="5" t="n"/>
      <c r="B83" s="5" t="n"/>
      <c r="C83" s="35" t="n"/>
      <c r="D83" s="5" t="n"/>
      <c r="E83" s="5" t="n"/>
    </row>
    <row r="84">
      <c r="A84" s="5" t="n"/>
      <c r="B84" s="5" t="n"/>
      <c r="C84" s="35" t="n"/>
      <c r="D84" s="5" t="n"/>
      <c r="E84" s="5" t="n"/>
    </row>
    <row r="85">
      <c r="A85" s="5" t="n"/>
      <c r="B85" s="5" t="n"/>
      <c r="C85" s="35" t="n"/>
      <c r="D85" s="5" t="n"/>
      <c r="E85" s="5" t="n"/>
    </row>
    <row r="86">
      <c r="A86" s="5" t="n"/>
      <c r="B86" s="5" t="n"/>
      <c r="C86" s="35" t="n"/>
      <c r="D86" s="5" t="n"/>
      <c r="E86" s="5" t="n"/>
    </row>
    <row r="87">
      <c r="A87" s="5" t="n"/>
      <c r="B87" s="5" t="n"/>
      <c r="C87" s="35" t="n"/>
      <c r="D87" s="5" t="n"/>
      <c r="E87" s="5" t="n"/>
    </row>
    <row r="88">
      <c r="A88" s="5" t="n"/>
      <c r="B88" s="5" t="n"/>
      <c r="C88" s="35" t="n"/>
      <c r="D88" s="5" t="n"/>
      <c r="E88" s="5" t="n"/>
    </row>
    <row r="89">
      <c r="A89" s="5" t="n"/>
      <c r="B89" s="5" t="n"/>
      <c r="C89" s="35" t="n"/>
      <c r="D89" s="5" t="n"/>
      <c r="E89" s="5" t="n"/>
    </row>
    <row r="90">
      <c r="A90" s="5" t="n"/>
      <c r="B90" s="5" t="n"/>
      <c r="C90" s="35" t="n"/>
      <c r="D90" s="5" t="n"/>
      <c r="E90" s="5" t="n"/>
    </row>
    <row r="91">
      <c r="A91" s="5" t="n"/>
      <c r="B91" s="5" t="n"/>
      <c r="C91" s="35" t="n"/>
      <c r="D91" s="5" t="n"/>
      <c r="E91" s="5" t="n"/>
    </row>
    <row r="92">
      <c r="A92" s="5" t="n"/>
      <c r="B92" s="5" t="n"/>
      <c r="C92" s="35" t="n"/>
      <c r="D92" s="5" t="n"/>
      <c r="E92" s="5" t="n"/>
    </row>
    <row r="93">
      <c r="A93" s="5" t="n"/>
      <c r="B93" s="5" t="n"/>
      <c r="C93" s="35" t="n"/>
      <c r="D93" s="5" t="n"/>
      <c r="E93" s="5" t="n"/>
    </row>
    <row r="94">
      <c r="A94" s="5" t="n"/>
      <c r="B94" s="5" t="n"/>
      <c r="C94" s="35" t="n"/>
      <c r="D94" s="5" t="n"/>
      <c r="E94" s="5" t="n"/>
    </row>
    <row r="95">
      <c r="A95" s="5" t="n"/>
      <c r="B95" s="5" t="n"/>
      <c r="C95" s="35" t="n"/>
      <c r="D95" s="5" t="n"/>
      <c r="E95" s="5" t="n"/>
    </row>
    <row r="96">
      <c r="A96" s="5" t="n"/>
      <c r="B96" s="5" t="n"/>
      <c r="C96" s="35" t="n"/>
      <c r="D96" s="5" t="n"/>
      <c r="E96" s="5" t="n"/>
    </row>
    <row r="97">
      <c r="A97" s="5" t="n"/>
      <c r="B97" s="5" t="n"/>
      <c r="C97" s="35" t="n"/>
      <c r="D97" s="5" t="n"/>
      <c r="E97" s="5" t="n"/>
    </row>
    <row r="98">
      <c r="A98" s="5" t="n"/>
      <c r="B98" s="5" t="n"/>
      <c r="C98" s="35" t="n"/>
      <c r="D98" s="5" t="n"/>
      <c r="E98" s="5" t="n"/>
    </row>
    <row r="99">
      <c r="A99" s="5" t="n"/>
      <c r="B99" s="5" t="n"/>
      <c r="C99" s="35" t="n"/>
      <c r="D99" s="5" t="n"/>
      <c r="E99" s="5" t="n"/>
    </row>
    <row r="100">
      <c r="A100" s="5" t="n"/>
      <c r="B100" s="5" t="n"/>
      <c r="C100" s="35" t="n"/>
      <c r="D100" s="5" t="n"/>
      <c r="E100" s="5" t="n"/>
    </row>
    <row r="101">
      <c r="A101" s="5" t="n"/>
      <c r="B101" s="5" t="n"/>
      <c r="C101" s="35" t="n"/>
      <c r="D101" s="5" t="n"/>
      <c r="E101" s="5" t="n"/>
    </row>
    <row r="102">
      <c r="A102" s="5" t="n"/>
      <c r="B102" s="5" t="n"/>
      <c r="C102" s="35" t="n"/>
      <c r="D102" s="5" t="n"/>
      <c r="E102" s="5" t="n"/>
    </row>
    <row r="103">
      <c r="A103" s="5" t="n"/>
      <c r="B103" s="5" t="n"/>
      <c r="C103" s="35" t="n"/>
      <c r="D103" s="5" t="n"/>
      <c r="E103" s="5" t="n"/>
    </row>
    <row r="104">
      <c r="A104" s="5" t="n"/>
      <c r="B104" s="5" t="n"/>
      <c r="C104" s="35" t="n"/>
      <c r="D104" s="5" t="n"/>
      <c r="E104" s="5" t="n"/>
    </row>
    <row r="105">
      <c r="A105" s="5" t="n"/>
      <c r="B105" s="5" t="n"/>
      <c r="C105" s="35" t="n"/>
      <c r="D105" s="5" t="n"/>
      <c r="E105" s="5" t="n"/>
    </row>
    <row r="106">
      <c r="A106" s="5" t="n"/>
      <c r="B106" s="5" t="n"/>
      <c r="C106" s="35" t="n"/>
      <c r="D106" s="5" t="n"/>
      <c r="E106" s="5" t="n"/>
    </row>
    <row r="107">
      <c r="A107" s="5" t="n"/>
      <c r="B107" s="5" t="n"/>
      <c r="C107" s="35" t="n"/>
      <c r="D107" s="5" t="n"/>
      <c r="E107" s="5" t="n"/>
    </row>
    <row r="108">
      <c r="A108" s="5" t="n"/>
      <c r="B108" s="5" t="n"/>
      <c r="C108" s="35" t="n"/>
      <c r="D108" s="5" t="n"/>
      <c r="E108" s="5" t="n"/>
    </row>
    <row r="109">
      <c r="A109" s="5" t="n"/>
      <c r="B109" s="5" t="n"/>
      <c r="C109" s="35" t="n"/>
      <c r="D109" s="5" t="n"/>
      <c r="E109" s="5" t="n"/>
    </row>
    <row r="110">
      <c r="A110" s="5" t="n"/>
      <c r="B110" s="5" t="n"/>
      <c r="C110" s="35" t="n"/>
      <c r="D110" s="5" t="n"/>
      <c r="E110" s="5" t="n"/>
    </row>
    <row r="111">
      <c r="A111" s="5" t="n"/>
      <c r="B111" s="5" t="n"/>
      <c r="C111" s="35" t="n"/>
      <c r="D111" s="5" t="n"/>
      <c r="E111" s="5" t="n"/>
    </row>
    <row r="112">
      <c r="A112" s="5" t="n"/>
      <c r="B112" s="5" t="n"/>
      <c r="C112" s="35" t="n"/>
      <c r="D112" s="5" t="n"/>
      <c r="E112" s="5" t="n"/>
    </row>
    <row r="113">
      <c r="A113" s="5" t="n"/>
      <c r="B113" s="5" t="n"/>
      <c r="C113" s="35" t="n"/>
      <c r="D113" s="5" t="n"/>
      <c r="E113" s="5" t="n"/>
    </row>
    <row r="114">
      <c r="A114" s="5" t="n"/>
      <c r="B114" s="5" t="n"/>
      <c r="C114" s="35" t="n"/>
      <c r="D114" s="5" t="n"/>
      <c r="E114" s="5" t="n"/>
    </row>
    <row r="115">
      <c r="A115" s="5" t="n"/>
      <c r="B115" s="5" t="n"/>
      <c r="C115" s="35" t="n"/>
      <c r="D115" s="5" t="n"/>
      <c r="E115" s="5" t="n"/>
    </row>
    <row r="116">
      <c r="A116" s="5" t="n"/>
      <c r="B116" s="5" t="n"/>
      <c r="C116" s="35" t="n"/>
      <c r="D116" s="5" t="n"/>
      <c r="E116" s="5" t="n"/>
    </row>
    <row r="117">
      <c r="A117" s="5" t="n"/>
      <c r="B117" s="5" t="n"/>
      <c r="C117" s="35" t="n"/>
      <c r="D117" s="5" t="n"/>
      <c r="E117" s="5" t="n"/>
    </row>
    <row r="118">
      <c r="A118" s="5" t="n"/>
      <c r="B118" s="5" t="n"/>
      <c r="C118" s="35" t="n"/>
      <c r="D118" s="5" t="n"/>
      <c r="E118" s="5" t="n"/>
    </row>
    <row r="119">
      <c r="A119" s="5" t="n"/>
      <c r="B119" s="5" t="n"/>
      <c r="C119" s="35" t="n"/>
      <c r="D119" s="5" t="n"/>
      <c r="E119" s="5" t="n"/>
    </row>
    <row r="120">
      <c r="A120" s="5" t="n"/>
      <c r="B120" s="5" t="n"/>
      <c r="C120" s="35" t="n"/>
      <c r="D120" s="5" t="n"/>
      <c r="E120" s="5" t="n"/>
    </row>
    <row r="121">
      <c r="A121" s="5" t="n"/>
      <c r="B121" s="5" t="n"/>
      <c r="C121" s="35" t="n"/>
      <c r="D121" s="5" t="n"/>
      <c r="E121" s="5" t="n"/>
    </row>
    <row r="122">
      <c r="A122" s="5" t="n"/>
      <c r="B122" s="5" t="n"/>
      <c r="C122" s="35" t="n"/>
      <c r="D122" s="5" t="n"/>
      <c r="E122" s="5" t="n"/>
    </row>
    <row r="123">
      <c r="A123" s="5" t="n"/>
      <c r="B123" s="5" t="n"/>
      <c r="C123" s="35" t="n"/>
      <c r="D123" s="5" t="n"/>
      <c r="E123" s="5" t="n"/>
    </row>
    <row r="124">
      <c r="A124" s="5" t="n"/>
      <c r="B124" s="5" t="n"/>
      <c r="C124" s="35" t="n"/>
      <c r="D124" s="5" t="n"/>
      <c r="E124" s="5" t="n"/>
    </row>
    <row r="125">
      <c r="A125" s="5" t="n"/>
      <c r="B125" s="5" t="n"/>
      <c r="C125" s="35" t="n"/>
      <c r="D125" s="5" t="n"/>
      <c r="E125" s="5" t="n"/>
    </row>
    <row r="126">
      <c r="A126" s="5" t="n"/>
      <c r="B126" s="5" t="n"/>
      <c r="C126" s="35" t="n"/>
      <c r="D126" s="5" t="n"/>
      <c r="E126" s="5" t="n"/>
    </row>
    <row r="127">
      <c r="A127" s="5" t="n"/>
      <c r="B127" s="5" t="n"/>
      <c r="C127" s="35" t="n"/>
      <c r="D127" s="5" t="n"/>
      <c r="E127" s="5" t="n"/>
    </row>
    <row r="128">
      <c r="A128" s="5" t="n"/>
      <c r="B128" s="5" t="n"/>
      <c r="C128" s="35" t="n"/>
      <c r="D128" s="5" t="n"/>
      <c r="E128" s="5" t="n"/>
    </row>
    <row r="129">
      <c r="A129" s="5" t="n"/>
      <c r="B129" s="5" t="n"/>
      <c r="C129" s="35" t="n"/>
      <c r="D129" s="5" t="n"/>
      <c r="E129" s="5" t="n"/>
    </row>
    <row r="130">
      <c r="A130" s="5" t="n"/>
      <c r="B130" s="5" t="n"/>
      <c r="C130" s="35" t="n"/>
      <c r="D130" s="5" t="n"/>
      <c r="E130" s="5" t="n"/>
    </row>
    <row r="131">
      <c r="A131" s="5" t="n"/>
      <c r="B131" s="5" t="n"/>
      <c r="C131" s="35" t="n"/>
      <c r="D131" s="5" t="n"/>
      <c r="E131" s="5" t="n"/>
    </row>
    <row r="132">
      <c r="A132" s="5" t="n"/>
      <c r="B132" s="5" t="n"/>
      <c r="C132" s="35" t="n"/>
      <c r="D132" s="5" t="n"/>
      <c r="E132" s="5" t="n"/>
    </row>
    <row r="133">
      <c r="A133" s="5" t="n"/>
      <c r="B133" s="5" t="n"/>
      <c r="C133" s="35" t="n"/>
      <c r="D133" s="5" t="n"/>
      <c r="E133" s="5" t="n"/>
    </row>
    <row r="134">
      <c r="A134" s="5" t="n"/>
      <c r="B134" s="5" t="n"/>
      <c r="C134" s="35" t="n"/>
      <c r="D134" s="5" t="n"/>
      <c r="E134" s="5" t="n"/>
    </row>
    <row r="135">
      <c r="A135" s="5" t="n"/>
      <c r="B135" s="5" t="n"/>
      <c r="C135" s="35" t="n"/>
      <c r="D135" s="5" t="n"/>
      <c r="E135" s="5" t="n"/>
    </row>
    <row r="136">
      <c r="A136" s="5" t="n"/>
      <c r="B136" s="5" t="n"/>
      <c r="C136" s="35" t="n"/>
      <c r="D136" s="5" t="n"/>
      <c r="E136" s="5" t="n"/>
    </row>
    <row r="137">
      <c r="A137" s="5" t="n"/>
      <c r="B137" s="5" t="n"/>
      <c r="C137" s="35" t="n"/>
      <c r="D137" s="5" t="n"/>
      <c r="E137" s="5" t="n"/>
    </row>
    <row r="138">
      <c r="A138" s="5" t="n"/>
      <c r="B138" s="5" t="n"/>
      <c r="C138" s="35" t="n"/>
      <c r="D138" s="5" t="n"/>
      <c r="E138" s="5" t="n"/>
    </row>
    <row r="139">
      <c r="A139" s="5" t="n"/>
      <c r="B139" s="5" t="n"/>
      <c r="C139" s="35" t="n"/>
      <c r="D139" s="5" t="n"/>
      <c r="E139" s="5" t="n"/>
    </row>
    <row r="140">
      <c r="A140" s="5" t="n"/>
      <c r="B140" s="5" t="n"/>
      <c r="C140" s="35" t="n"/>
      <c r="D140" s="5" t="n"/>
      <c r="E140" s="5" t="n"/>
    </row>
    <row r="141">
      <c r="A141" s="5" t="n"/>
      <c r="B141" s="5" t="n"/>
      <c r="C141" s="35" t="n"/>
      <c r="D141" s="5" t="n"/>
      <c r="E141" s="5" t="n"/>
    </row>
    <row r="142">
      <c r="A142" s="5" t="n"/>
      <c r="B142" s="5" t="n"/>
      <c r="C142" s="35" t="n"/>
      <c r="D142" s="5" t="n"/>
      <c r="E142" s="5" t="n"/>
    </row>
    <row r="143">
      <c r="A143" s="5" t="n"/>
      <c r="B143" s="5" t="n"/>
      <c r="C143" s="35" t="n"/>
      <c r="D143" s="5" t="n"/>
      <c r="E143" s="5" t="n"/>
    </row>
    <row r="144">
      <c r="A144" s="5" t="n"/>
      <c r="B144" s="5" t="n"/>
      <c r="C144" s="35" t="n"/>
      <c r="D144" s="5" t="n"/>
      <c r="E144" s="5" t="n"/>
    </row>
    <row r="145">
      <c r="A145" s="5" t="n"/>
      <c r="B145" s="5" t="n"/>
      <c r="C145" s="35" t="n"/>
      <c r="D145" s="5" t="n"/>
      <c r="E145" s="5" t="n"/>
    </row>
    <row r="146">
      <c r="A146" s="5" t="n"/>
      <c r="B146" s="5" t="n"/>
      <c r="C146" s="35" t="n"/>
      <c r="D146" s="5" t="n"/>
      <c r="E146" s="5" t="n"/>
    </row>
    <row r="147">
      <c r="A147" s="5" t="n"/>
      <c r="B147" s="5" t="n"/>
      <c r="C147" s="35" t="n"/>
      <c r="D147" s="5" t="n"/>
      <c r="E147" s="5" t="n"/>
    </row>
    <row r="148">
      <c r="A148" s="5" t="n"/>
      <c r="B148" s="5" t="n"/>
      <c r="C148" s="35" t="n"/>
      <c r="D148" s="5" t="n"/>
      <c r="E148" s="5" t="n"/>
    </row>
    <row r="149">
      <c r="A149" s="5" t="n"/>
      <c r="B149" s="5" t="n"/>
      <c r="C149" s="35" t="n"/>
      <c r="D149" s="5" t="n"/>
      <c r="E149" s="5" t="n"/>
    </row>
    <row r="150">
      <c r="A150" s="5" t="n"/>
      <c r="B150" s="5" t="n"/>
      <c r="C150" s="35" t="n"/>
      <c r="D150" s="5" t="n"/>
      <c r="E150" s="5" t="n"/>
    </row>
    <row r="151">
      <c r="A151" s="5" t="n"/>
      <c r="B151" s="5" t="n"/>
      <c r="C151" s="35" t="n"/>
      <c r="D151" s="5" t="n"/>
      <c r="E151" s="5" t="n"/>
    </row>
    <row r="152">
      <c r="A152" s="5" t="n"/>
      <c r="B152" s="5" t="n"/>
      <c r="C152" s="35" t="n"/>
      <c r="D152" s="5" t="n"/>
      <c r="E152" s="5" t="n"/>
    </row>
    <row r="153">
      <c r="A153" s="5" t="n"/>
      <c r="B153" s="5" t="n"/>
      <c r="C153" s="35" t="n"/>
      <c r="D153" s="5" t="n"/>
      <c r="E153" s="5" t="n"/>
    </row>
    <row r="154">
      <c r="A154" s="5" t="n"/>
      <c r="B154" s="5" t="n"/>
      <c r="C154" s="35" t="n"/>
      <c r="D154" s="5" t="n"/>
      <c r="E154" s="5" t="n"/>
    </row>
    <row r="155">
      <c r="A155" s="5" t="n"/>
      <c r="B155" s="5" t="n"/>
      <c r="C155" s="35" t="n"/>
      <c r="D155" s="5" t="n"/>
      <c r="E155" s="5" t="n"/>
    </row>
    <row r="156">
      <c r="A156" s="5" t="n"/>
      <c r="B156" s="5" t="n"/>
      <c r="C156" s="35" t="n"/>
      <c r="D156" s="5" t="n"/>
      <c r="E156" s="5" t="n"/>
    </row>
    <row r="157">
      <c r="A157" s="5" t="n"/>
      <c r="B157" s="5" t="n"/>
      <c r="C157" s="35" t="n"/>
      <c r="D157" s="5" t="n"/>
      <c r="E157" s="5" t="n"/>
    </row>
    <row r="158">
      <c r="A158" s="5" t="n"/>
      <c r="B158" s="5" t="n"/>
      <c r="C158" s="35" t="n"/>
      <c r="D158" s="5" t="n"/>
      <c r="E158" s="5" t="n"/>
    </row>
    <row r="159">
      <c r="A159" s="5" t="n"/>
      <c r="B159" s="5" t="n"/>
      <c r="C159" s="35" t="n"/>
      <c r="D159" s="5" t="n"/>
      <c r="E159" s="5" t="n"/>
    </row>
    <row r="160">
      <c r="A160" s="5" t="n"/>
      <c r="B160" s="5" t="n"/>
      <c r="C160" s="35" t="n"/>
      <c r="D160" s="5" t="n"/>
      <c r="E160" s="5" t="n"/>
    </row>
    <row r="161">
      <c r="A161" s="5" t="n"/>
      <c r="B161" s="5" t="n"/>
      <c r="C161" s="35" t="n"/>
      <c r="D161" s="5" t="n"/>
      <c r="E161" s="5" t="n"/>
    </row>
    <row r="162">
      <c r="A162" s="5" t="n"/>
      <c r="B162" s="5" t="n"/>
      <c r="C162" s="35" t="n"/>
      <c r="D162" s="5" t="n"/>
      <c r="E162" s="5" t="n"/>
    </row>
    <row r="163">
      <c r="A163" s="5" t="n"/>
      <c r="B163" s="5" t="n"/>
      <c r="C163" s="35" t="n"/>
      <c r="D163" s="5" t="n"/>
      <c r="E163" s="5" t="n"/>
    </row>
    <row r="164">
      <c r="A164" s="5" t="n"/>
      <c r="B164" s="5" t="n"/>
      <c r="C164" s="35" t="n"/>
      <c r="D164" s="5" t="n"/>
      <c r="E164" s="5" t="n"/>
    </row>
    <row r="165">
      <c r="A165" s="5" t="n"/>
      <c r="B165" s="5" t="n"/>
      <c r="C165" s="35" t="n"/>
      <c r="D165" s="5" t="n"/>
      <c r="E165" s="5" t="n"/>
    </row>
    <row r="166">
      <c r="A166" s="5" t="n"/>
      <c r="B166" s="5" t="n"/>
      <c r="C166" s="35" t="n"/>
      <c r="D166" s="5" t="n"/>
      <c r="E166" s="5" t="n"/>
    </row>
    <row r="167">
      <c r="A167" s="5" t="n"/>
      <c r="B167" s="5" t="n"/>
      <c r="C167" s="35" t="n"/>
      <c r="D167" s="5" t="n"/>
      <c r="E167" s="5" t="n"/>
    </row>
    <row r="168">
      <c r="A168" s="5" t="n"/>
      <c r="B168" s="5" t="n"/>
      <c r="C168" s="35" t="n"/>
      <c r="D168" s="5" t="n"/>
      <c r="E168" s="5" t="n"/>
    </row>
    <row r="169">
      <c r="A169" s="5" t="n"/>
      <c r="B169" s="5" t="n"/>
      <c r="C169" s="35" t="n"/>
      <c r="D169" s="5" t="n"/>
      <c r="E169" s="5" t="n"/>
    </row>
    <row r="170">
      <c r="A170" s="5" t="n"/>
      <c r="B170" s="5" t="n"/>
      <c r="C170" s="35" t="n"/>
      <c r="D170" s="5" t="n"/>
      <c r="E170" s="5" t="n"/>
    </row>
    <row r="171">
      <c r="A171" s="5" t="n"/>
      <c r="B171" s="5" t="n"/>
      <c r="C171" s="35" t="n"/>
      <c r="D171" s="5" t="n"/>
      <c r="E171" s="5" t="n"/>
    </row>
    <row r="172">
      <c r="A172" s="5" t="n"/>
      <c r="B172" s="5" t="n"/>
      <c r="C172" s="35" t="n"/>
      <c r="D172" s="5" t="n"/>
      <c r="E172" s="5" t="n"/>
    </row>
    <row r="173">
      <c r="A173" s="5" t="n"/>
      <c r="B173" s="5" t="n"/>
      <c r="C173" s="35" t="n"/>
      <c r="D173" s="5" t="n"/>
      <c r="E173" s="5" t="n"/>
    </row>
    <row r="174">
      <c r="A174" s="5" t="n"/>
      <c r="B174" s="5" t="n"/>
      <c r="C174" s="35" t="n"/>
      <c r="D174" s="5" t="n"/>
      <c r="E174" s="5" t="n"/>
    </row>
    <row r="175">
      <c r="A175" s="5" t="n"/>
      <c r="B175" s="5" t="n"/>
      <c r="C175" s="35" t="n"/>
      <c r="D175" s="5" t="n"/>
      <c r="E175" s="5" t="n"/>
    </row>
    <row r="176">
      <c r="A176" s="5" t="n"/>
      <c r="B176" s="5" t="n"/>
      <c r="C176" s="35" t="n"/>
      <c r="D176" s="5" t="n"/>
      <c r="E176" s="5" t="n"/>
    </row>
    <row r="177">
      <c r="A177" s="5" t="n"/>
      <c r="B177" s="5" t="n"/>
      <c r="C177" s="35" t="n"/>
      <c r="D177" s="5" t="n"/>
      <c r="E177" s="5" t="n"/>
    </row>
    <row r="178">
      <c r="A178" s="5" t="n"/>
      <c r="B178" s="5" t="n"/>
      <c r="C178" s="35" t="n"/>
      <c r="D178" s="5" t="n"/>
      <c r="E178" s="5" t="n"/>
    </row>
    <row r="179">
      <c r="A179" s="5" t="n"/>
      <c r="B179" s="5" t="n"/>
      <c r="C179" s="35" t="n"/>
      <c r="D179" s="5" t="n"/>
      <c r="E179" s="5" t="n"/>
    </row>
    <row r="180">
      <c r="A180" s="5" t="n"/>
      <c r="B180" s="5" t="n"/>
      <c r="C180" s="35" t="n"/>
      <c r="D180" s="5" t="n"/>
      <c r="E180" s="5" t="n"/>
    </row>
    <row r="181">
      <c r="A181" s="5" t="n"/>
      <c r="B181" s="5" t="n"/>
      <c r="C181" s="35" t="n"/>
      <c r="D181" s="5" t="n"/>
      <c r="E181" s="5" t="n"/>
    </row>
    <row r="182">
      <c r="A182" s="5" t="n"/>
      <c r="B182" s="5" t="n"/>
      <c r="C182" s="35" t="n"/>
      <c r="D182" s="5" t="n"/>
      <c r="E182" s="5" t="n"/>
    </row>
    <row r="183">
      <c r="A183" s="5" t="n"/>
      <c r="B183" s="5" t="n"/>
      <c r="C183" s="35" t="n"/>
      <c r="D183" s="5" t="n"/>
      <c r="E183" s="5" t="n"/>
    </row>
    <row r="184">
      <c r="A184" s="5" t="n"/>
      <c r="B184" s="5" t="n"/>
      <c r="C184" s="35" t="n"/>
      <c r="D184" s="5" t="n"/>
      <c r="E184" s="5" t="n"/>
    </row>
    <row r="185">
      <c r="A185" s="5" t="n"/>
      <c r="B185" s="5" t="n"/>
      <c r="C185" s="35" t="n"/>
      <c r="D185" s="5" t="n"/>
      <c r="E185" s="5" t="n"/>
    </row>
    <row r="186">
      <c r="A186" s="5" t="n"/>
      <c r="B186" s="5" t="n"/>
      <c r="C186" s="35" t="n"/>
      <c r="D186" s="5" t="n"/>
      <c r="E186" s="5" t="n"/>
    </row>
    <row r="187">
      <c r="A187" s="5" t="n"/>
      <c r="B187" s="5" t="n"/>
      <c r="C187" s="35" t="n"/>
      <c r="D187" s="5" t="n"/>
      <c r="E187" s="5" t="n"/>
    </row>
    <row r="188">
      <c r="A188" s="5" t="n"/>
      <c r="B188" s="5" t="n"/>
      <c r="C188" s="35" t="n"/>
      <c r="D188" s="5" t="n"/>
      <c r="E188" s="5" t="n"/>
    </row>
    <row r="189">
      <c r="A189" s="5" t="n"/>
      <c r="B189" s="5" t="n"/>
      <c r="C189" s="35" t="n"/>
      <c r="D189" s="5" t="n"/>
      <c r="E189" s="5" t="n"/>
    </row>
    <row r="190">
      <c r="A190" s="5" t="n"/>
      <c r="B190" s="5" t="n"/>
      <c r="C190" s="35" t="n"/>
      <c r="D190" s="5" t="n"/>
      <c r="E190" s="5" t="n"/>
    </row>
    <row r="191">
      <c r="A191" s="5" t="n"/>
      <c r="B191" s="5" t="n"/>
      <c r="C191" s="35" t="n"/>
      <c r="D191" s="5" t="n"/>
      <c r="E191" s="5" t="n"/>
    </row>
    <row r="192">
      <c r="A192" s="5" t="n"/>
      <c r="B192" s="5" t="n"/>
      <c r="C192" s="35" t="n"/>
      <c r="D192" s="5" t="n"/>
      <c r="E192" s="5" t="n"/>
    </row>
    <row r="193">
      <c r="A193" s="5" t="n"/>
      <c r="B193" s="5" t="n"/>
      <c r="C193" s="35" t="n"/>
      <c r="D193" s="5" t="n"/>
      <c r="E193" s="5" t="n"/>
    </row>
    <row r="194">
      <c r="A194" s="5" t="n"/>
      <c r="B194" s="5" t="n"/>
      <c r="C194" s="35" t="n"/>
      <c r="D194" s="5" t="n"/>
      <c r="E194" s="5" t="n"/>
    </row>
    <row r="195">
      <c r="A195" s="5" t="n"/>
      <c r="B195" s="5" t="n"/>
      <c r="C195" s="35" t="n"/>
      <c r="D195" s="5" t="n"/>
      <c r="E195" s="5" t="n"/>
    </row>
    <row r="196">
      <c r="A196" s="5" t="n"/>
      <c r="B196" s="5" t="n"/>
      <c r="C196" s="35" t="n"/>
      <c r="D196" s="5" t="n"/>
      <c r="E196" s="5" t="n"/>
    </row>
    <row r="197">
      <c r="A197" s="5" t="n"/>
      <c r="B197" s="5" t="n"/>
      <c r="C197" s="35" t="n"/>
      <c r="D197" s="5" t="n"/>
      <c r="E197" s="5" t="n"/>
    </row>
    <row r="198">
      <c r="A198" s="5" t="n"/>
      <c r="B198" s="5" t="n"/>
      <c r="C198" s="35" t="n"/>
      <c r="D198" s="5" t="n"/>
      <c r="E198" s="5" t="n"/>
    </row>
    <row r="199">
      <c r="A199" s="5" t="n"/>
      <c r="B199" s="5" t="n"/>
      <c r="C199" s="35" t="n"/>
      <c r="D199" s="5" t="n"/>
      <c r="E199" s="5" t="n"/>
    </row>
    <row r="200">
      <c r="A200" s="5" t="n"/>
      <c r="B200" s="5" t="n"/>
      <c r="C200" s="35" t="n"/>
      <c r="D200" s="5" t="n"/>
      <c r="E200" s="5" t="n"/>
    </row>
    <row r="201">
      <c r="A201" s="5" t="n"/>
      <c r="B201" s="5" t="n"/>
      <c r="C201" s="35" t="n"/>
      <c r="D201" s="5" t="n"/>
      <c r="E201" s="5" t="n"/>
    </row>
    <row r="202">
      <c r="A202" s="5" t="n"/>
      <c r="B202" s="5" t="n"/>
      <c r="C202" s="35" t="n"/>
      <c r="D202" s="5" t="n"/>
      <c r="E202" s="5" t="n"/>
    </row>
    <row r="203">
      <c r="A203" s="5" t="n"/>
      <c r="B203" s="5" t="n"/>
      <c r="C203" s="35" t="n"/>
      <c r="D203" s="5" t="n"/>
      <c r="E203" s="5" t="n"/>
    </row>
    <row r="204">
      <c r="A204" s="5" t="n"/>
      <c r="B204" s="5" t="n"/>
      <c r="C204" s="35" t="n"/>
      <c r="D204" s="5" t="n"/>
      <c r="E204" s="5" t="n"/>
    </row>
    <row r="205">
      <c r="A205" s="5" t="n"/>
      <c r="B205" s="5" t="n"/>
      <c r="C205" s="35" t="n"/>
      <c r="D205" s="5" t="n"/>
      <c r="E205" s="5" t="n"/>
    </row>
    <row r="206">
      <c r="A206" s="5" t="n"/>
      <c r="B206" s="5" t="n"/>
      <c r="C206" s="35" t="n"/>
      <c r="D206" s="5" t="n"/>
      <c r="E206" s="5" t="n"/>
    </row>
    <row r="207">
      <c r="A207" s="5" t="n"/>
      <c r="B207" s="5" t="n"/>
      <c r="C207" s="35" t="n"/>
      <c r="D207" s="5" t="n"/>
      <c r="E207" s="5" t="n"/>
    </row>
    <row r="208">
      <c r="A208" s="5" t="n"/>
      <c r="B208" s="5" t="n"/>
      <c r="C208" s="35" t="n"/>
      <c r="D208" s="5" t="n"/>
      <c r="E208" s="5" t="n"/>
    </row>
    <row r="209">
      <c r="A209" s="5" t="n"/>
      <c r="B209" s="5" t="n"/>
      <c r="C209" s="35" t="n"/>
      <c r="D209" s="5" t="n"/>
      <c r="E209" s="5" t="n"/>
    </row>
    <row r="210">
      <c r="A210" s="5" t="n"/>
      <c r="B210" s="5" t="n"/>
      <c r="C210" s="35" t="n"/>
      <c r="D210" s="5" t="n"/>
      <c r="E210" s="5" t="n"/>
    </row>
    <row r="211">
      <c r="A211" s="5" t="n"/>
      <c r="B211" s="5" t="n"/>
      <c r="C211" s="35" t="n"/>
      <c r="D211" s="5" t="n"/>
      <c r="E211" s="5" t="n"/>
    </row>
    <row r="212">
      <c r="A212" s="5" t="n"/>
      <c r="B212" s="5" t="n"/>
      <c r="C212" s="35" t="n"/>
      <c r="D212" s="5" t="n"/>
      <c r="E212" s="5" t="n"/>
    </row>
    <row r="213">
      <c r="A213" s="5" t="n"/>
      <c r="B213" s="5" t="n"/>
      <c r="C213" s="35" t="n"/>
      <c r="D213" s="5" t="n"/>
      <c r="E213" s="5" t="n"/>
    </row>
    <row r="214">
      <c r="A214" s="5" t="n"/>
      <c r="B214" s="5" t="n"/>
      <c r="C214" s="35" t="n"/>
      <c r="D214" s="5" t="n"/>
      <c r="E214" s="5" t="n"/>
    </row>
    <row r="215">
      <c r="A215" s="5" t="n"/>
      <c r="B215" s="5" t="n"/>
      <c r="C215" s="35" t="n"/>
      <c r="D215" s="5" t="n"/>
      <c r="E215" s="5" t="n"/>
    </row>
    <row r="216">
      <c r="A216" s="5" t="n"/>
      <c r="B216" s="5" t="n"/>
      <c r="C216" s="35" t="n"/>
      <c r="D216" s="5" t="n"/>
      <c r="E216" s="5" t="n"/>
    </row>
    <row r="217">
      <c r="A217" s="5" t="n"/>
      <c r="B217" s="5" t="n"/>
      <c r="C217" s="35" t="n"/>
      <c r="D217" s="5" t="n"/>
      <c r="E217" s="5" t="n"/>
    </row>
    <row r="218">
      <c r="A218" s="5" t="n"/>
      <c r="B218" s="5" t="n"/>
      <c r="C218" s="35" t="n"/>
      <c r="D218" s="5" t="n"/>
      <c r="E218" s="5" t="n"/>
    </row>
    <row r="219">
      <c r="A219" s="5" t="n"/>
      <c r="B219" s="5" t="n"/>
      <c r="C219" s="35" t="n"/>
      <c r="D219" s="5" t="n"/>
      <c r="E219" s="5" t="n"/>
    </row>
    <row r="220">
      <c r="A220" s="5" t="n"/>
      <c r="B220" s="5" t="n"/>
      <c r="C220" s="35" t="n"/>
      <c r="D220" s="5" t="n"/>
      <c r="E220" s="5" t="n"/>
    </row>
    <row r="221">
      <c r="A221" s="5" t="n"/>
      <c r="B221" s="5" t="n"/>
      <c r="C221" s="35" t="n"/>
      <c r="D221" s="5" t="n"/>
      <c r="E221" s="5" t="n"/>
    </row>
    <row r="222">
      <c r="A222" s="5" t="n"/>
      <c r="B222" s="5" t="n"/>
      <c r="C222" s="35" t="n"/>
      <c r="D222" s="5" t="n"/>
      <c r="E222" s="5" t="n"/>
    </row>
    <row r="223">
      <c r="A223" s="5" t="n"/>
      <c r="B223" s="5" t="n"/>
      <c r="C223" s="35" t="n"/>
      <c r="D223" s="5" t="n"/>
      <c r="E223" s="5" t="n"/>
    </row>
    <row r="224">
      <c r="A224" s="5" t="n"/>
      <c r="B224" s="5" t="n"/>
      <c r="C224" s="35" t="n"/>
      <c r="D224" s="5" t="n"/>
      <c r="E224" s="5" t="n"/>
    </row>
    <row r="225">
      <c r="A225" s="5" t="n"/>
      <c r="B225" s="5" t="n"/>
      <c r="C225" s="35" t="n"/>
      <c r="D225" s="5" t="n"/>
      <c r="E225" s="5" t="n"/>
    </row>
    <row r="226">
      <c r="A226" s="5" t="n"/>
      <c r="B226" s="5" t="n"/>
      <c r="C226" s="35" t="n"/>
      <c r="D226" s="5" t="n"/>
      <c r="E226" s="5" t="n"/>
    </row>
    <row r="227">
      <c r="A227" s="5" t="n"/>
      <c r="B227" s="5" t="n"/>
      <c r="C227" s="35" t="n"/>
      <c r="D227" s="5" t="n"/>
      <c r="E227" s="5" t="n"/>
    </row>
    <row r="228">
      <c r="A228" s="5" t="n"/>
      <c r="B228" s="5" t="n"/>
      <c r="C228" s="35" t="n"/>
      <c r="D228" s="5" t="n"/>
      <c r="E228" s="5" t="n"/>
    </row>
    <row r="229">
      <c r="A229" s="5" t="n"/>
      <c r="B229" s="5" t="n"/>
      <c r="C229" s="35" t="n"/>
      <c r="D229" s="5" t="n"/>
      <c r="E229" s="5" t="n"/>
    </row>
    <row r="230">
      <c r="A230" s="5" t="n"/>
      <c r="B230" s="5" t="n"/>
      <c r="C230" s="35" t="n"/>
      <c r="D230" s="5" t="n"/>
      <c r="E230" s="5" t="n"/>
    </row>
    <row r="231">
      <c r="A231" s="5" t="n"/>
      <c r="B231" s="5" t="n"/>
      <c r="C231" s="35" t="n"/>
      <c r="D231" s="5" t="n"/>
      <c r="E231" s="5" t="n"/>
    </row>
    <row r="232">
      <c r="A232" s="5" t="n"/>
      <c r="B232" s="5" t="n"/>
      <c r="C232" s="35" t="n"/>
      <c r="D232" s="5" t="n"/>
      <c r="E232" s="5" t="n"/>
    </row>
    <row r="233">
      <c r="A233" s="5" t="n"/>
      <c r="B233" s="5" t="n"/>
      <c r="C233" s="35" t="n"/>
      <c r="D233" s="5" t="n"/>
      <c r="E233" s="5" t="n"/>
    </row>
    <row r="234">
      <c r="A234" s="5" t="n"/>
      <c r="B234" s="5" t="n"/>
      <c r="C234" s="35" t="n"/>
      <c r="D234" s="5" t="n"/>
      <c r="E234" s="5" t="n"/>
    </row>
    <row r="235">
      <c r="A235" s="5" t="n"/>
      <c r="B235" s="5" t="n"/>
      <c r="C235" s="35" t="n"/>
      <c r="D235" s="5" t="n"/>
      <c r="E235" s="5" t="n"/>
    </row>
    <row r="236">
      <c r="A236" s="5" t="n"/>
      <c r="B236" s="5" t="n"/>
      <c r="C236" s="35" t="n"/>
      <c r="D236" s="5" t="n"/>
      <c r="E236" s="5" t="n"/>
    </row>
    <row r="237">
      <c r="A237" s="5" t="n"/>
      <c r="B237" s="5" t="n"/>
      <c r="C237" s="35" t="n"/>
      <c r="D237" s="5" t="n"/>
      <c r="E237" s="5" t="n"/>
    </row>
    <row r="238">
      <c r="A238" s="5" t="n"/>
      <c r="B238" s="5" t="n"/>
      <c r="C238" s="35" t="n"/>
      <c r="D238" s="5" t="n"/>
      <c r="E238" s="5" t="n"/>
    </row>
    <row r="239">
      <c r="A239" s="5" t="n"/>
      <c r="B239" s="5" t="n"/>
      <c r="C239" s="35" t="n"/>
      <c r="D239" s="5" t="n"/>
      <c r="E239" s="5" t="n"/>
    </row>
    <row r="240">
      <c r="A240" s="5" t="n"/>
      <c r="B240" s="5" t="n"/>
      <c r="C240" s="35" t="n"/>
      <c r="D240" s="5" t="n"/>
      <c r="E240" s="5" t="n"/>
    </row>
    <row r="241">
      <c r="A241" s="5" t="n"/>
      <c r="B241" s="5" t="n"/>
      <c r="C241" s="35" t="n"/>
      <c r="D241" s="5" t="n"/>
      <c r="E241" s="5" t="n"/>
    </row>
    <row r="242">
      <c r="A242" s="5" t="n"/>
      <c r="B242" s="5" t="n"/>
      <c r="C242" s="35" t="n"/>
      <c r="D242" s="5" t="n"/>
      <c r="E242" s="5" t="n"/>
    </row>
    <row r="243">
      <c r="A243" s="5" t="n"/>
      <c r="B243" s="5" t="n"/>
      <c r="C243" s="35" t="n"/>
      <c r="D243" s="5" t="n"/>
      <c r="E243" s="5" t="n"/>
    </row>
    <row r="244">
      <c r="A244" s="5" t="n"/>
      <c r="B244" s="5" t="n"/>
      <c r="C244" s="35" t="n"/>
      <c r="D244" s="5" t="n"/>
      <c r="E244" s="5" t="n"/>
    </row>
    <row r="245">
      <c r="A245" s="5" t="n"/>
      <c r="B245" s="5" t="n"/>
      <c r="C245" s="35" t="n"/>
      <c r="D245" s="5" t="n"/>
      <c r="E245" s="5" t="n"/>
    </row>
    <row r="246">
      <c r="A246" s="5" t="n"/>
      <c r="B246" s="5" t="n"/>
      <c r="C246" s="35" t="n"/>
      <c r="D246" s="5" t="n"/>
      <c r="E246" s="5" t="n"/>
    </row>
    <row r="247">
      <c r="A247" s="5" t="n"/>
      <c r="B247" s="5" t="n"/>
      <c r="C247" s="35" t="n"/>
      <c r="D247" s="5" t="n"/>
      <c r="E247" s="5" t="n"/>
    </row>
    <row r="248">
      <c r="A248" s="5" t="n"/>
      <c r="B248" s="5" t="n"/>
      <c r="C248" s="35" t="n"/>
      <c r="D248" s="5" t="n"/>
      <c r="E248" s="5" t="n"/>
    </row>
    <row r="249">
      <c r="A249" s="5" t="n"/>
      <c r="B249" s="5" t="n"/>
      <c r="C249" s="35" t="n"/>
      <c r="D249" s="5" t="n"/>
      <c r="E249" s="5" t="n"/>
    </row>
    <row r="250">
      <c r="A250" s="5" t="n"/>
      <c r="B250" s="5" t="n"/>
      <c r="C250" s="35" t="n"/>
      <c r="D250" s="5" t="n"/>
      <c r="E250" s="5" t="n"/>
    </row>
    <row r="251">
      <c r="A251" s="5" t="n"/>
      <c r="B251" s="5" t="n"/>
      <c r="C251" s="35" t="n"/>
      <c r="D251" s="5" t="n"/>
      <c r="E251" s="5" t="n"/>
    </row>
    <row r="252">
      <c r="A252" s="5" t="n"/>
      <c r="B252" s="5" t="n"/>
      <c r="C252" s="35" t="n"/>
      <c r="D252" s="5" t="n"/>
      <c r="E252" s="5" t="n"/>
    </row>
    <row r="253">
      <c r="A253" s="5" t="n"/>
      <c r="B253" s="5" t="n"/>
      <c r="C253" s="35" t="n"/>
      <c r="D253" s="5" t="n"/>
      <c r="E253" s="5" t="n"/>
    </row>
    <row r="254">
      <c r="A254" s="5" t="n"/>
      <c r="B254" s="5" t="n"/>
      <c r="C254" s="35" t="n"/>
      <c r="D254" s="5" t="n"/>
      <c r="E254" s="5" t="n"/>
    </row>
    <row r="255">
      <c r="A255" s="5" t="n"/>
      <c r="B255" s="5" t="n"/>
      <c r="C255" s="35" t="n"/>
      <c r="D255" s="5" t="n"/>
      <c r="E255" s="5" t="n"/>
    </row>
    <row r="256">
      <c r="A256" s="5" t="n"/>
      <c r="B256" s="5" t="n"/>
      <c r="C256" s="35" t="n"/>
      <c r="D256" s="5" t="n"/>
      <c r="E256" s="5" t="n"/>
    </row>
    <row r="257">
      <c r="A257" s="5" t="n"/>
      <c r="B257" s="5" t="n"/>
      <c r="C257" s="35" t="n"/>
      <c r="D257" s="5" t="n"/>
      <c r="E257" s="5" t="n"/>
    </row>
    <row r="258">
      <c r="A258" s="5" t="n"/>
      <c r="B258" s="5" t="n"/>
      <c r="C258" s="35" t="n"/>
      <c r="D258" s="5" t="n"/>
      <c r="E258" s="5" t="n"/>
    </row>
    <row r="259">
      <c r="A259" s="5" t="n"/>
      <c r="B259" s="5" t="n"/>
      <c r="C259" s="35" t="n"/>
      <c r="D259" s="5" t="n"/>
      <c r="E259" s="5" t="n"/>
    </row>
    <row r="260">
      <c r="A260" s="5" t="n"/>
      <c r="B260" s="5" t="n"/>
      <c r="C260" s="35" t="n"/>
      <c r="D260" s="5" t="n"/>
      <c r="E260" s="5" t="n"/>
    </row>
    <row r="261">
      <c r="A261" s="5" t="n"/>
      <c r="B261" s="5" t="n"/>
      <c r="C261" s="35" t="n"/>
      <c r="D261" s="5" t="n"/>
      <c r="E261" s="5" t="n"/>
    </row>
    <row r="262">
      <c r="A262" s="5" t="n"/>
      <c r="B262" s="5" t="n"/>
      <c r="C262" s="35" t="n"/>
      <c r="D262" s="5" t="n"/>
      <c r="E262" s="5" t="n"/>
    </row>
    <row r="263">
      <c r="A263" s="5" t="n"/>
      <c r="B263" s="5" t="n"/>
      <c r="C263" s="35" t="n"/>
      <c r="D263" s="5" t="n"/>
      <c r="E263" s="5" t="n"/>
    </row>
    <row r="264">
      <c r="A264" s="5" t="n"/>
      <c r="B264" s="5" t="n"/>
      <c r="C264" s="35" t="n"/>
      <c r="D264" s="5" t="n"/>
      <c r="E264" s="5" t="n"/>
    </row>
    <row r="265">
      <c r="A265" s="5" t="n"/>
      <c r="B265" s="5" t="n"/>
      <c r="C265" s="35" t="n"/>
      <c r="D265" s="5" t="n"/>
      <c r="E265" s="5" t="n"/>
    </row>
    <row r="266">
      <c r="A266" s="5" t="n"/>
      <c r="B266" s="5" t="n"/>
      <c r="C266" s="35" t="n"/>
      <c r="D266" s="5" t="n"/>
      <c r="E266" s="5" t="n"/>
    </row>
    <row r="267">
      <c r="A267" s="5" t="n"/>
      <c r="B267" s="5" t="n"/>
      <c r="C267" s="35" t="n"/>
      <c r="D267" s="5" t="n"/>
      <c r="E267" s="5" t="n"/>
    </row>
    <row r="268">
      <c r="A268" s="5" t="n"/>
      <c r="B268" s="5" t="n"/>
      <c r="C268" s="35" t="n"/>
      <c r="D268" s="5" t="n"/>
      <c r="E268" s="5" t="n"/>
    </row>
    <row r="269">
      <c r="A269" s="5" t="n"/>
      <c r="B269" s="5" t="n"/>
      <c r="C269" s="35" t="n"/>
      <c r="D269" s="5" t="n"/>
      <c r="E269" s="5" t="n"/>
    </row>
    <row r="270">
      <c r="A270" s="5" t="n"/>
      <c r="B270" s="5" t="n"/>
      <c r="C270" s="35" t="n"/>
      <c r="D270" s="5" t="n"/>
      <c r="E270" s="5" t="n"/>
    </row>
    <row r="271">
      <c r="A271" s="5" t="n"/>
      <c r="B271" s="5" t="n"/>
      <c r="C271" s="35" t="n"/>
      <c r="D271" s="5" t="n"/>
      <c r="E271" s="5" t="n"/>
    </row>
    <row r="272">
      <c r="A272" s="5" t="n"/>
      <c r="B272" s="5" t="n"/>
      <c r="C272" s="35" t="n"/>
      <c r="D272" s="5" t="n"/>
      <c r="E272" s="5" t="n"/>
    </row>
    <row r="273">
      <c r="A273" s="5" t="n"/>
      <c r="B273" s="5" t="n"/>
      <c r="C273" s="35" t="n"/>
      <c r="D273" s="5" t="n"/>
      <c r="E273" s="5" t="n"/>
    </row>
    <row r="274">
      <c r="A274" s="5" t="n"/>
      <c r="B274" s="5" t="n"/>
      <c r="C274" s="35" t="n"/>
      <c r="D274" s="5" t="n"/>
      <c r="E274" s="5" t="n"/>
    </row>
    <row r="275">
      <c r="A275" s="5" t="n"/>
      <c r="B275" s="5" t="n"/>
      <c r="C275" s="35" t="n"/>
      <c r="D275" s="5" t="n"/>
      <c r="E275" s="5" t="n"/>
    </row>
    <row r="276">
      <c r="A276" s="5" t="n"/>
      <c r="B276" s="5" t="n"/>
      <c r="C276" s="35" t="n"/>
      <c r="D276" s="5" t="n"/>
      <c r="E276" s="5" t="n"/>
    </row>
    <row r="277">
      <c r="A277" s="5" t="n"/>
      <c r="B277" s="5" t="n"/>
      <c r="C277" s="35" t="n"/>
      <c r="D277" s="5" t="n"/>
      <c r="E277" s="5" t="n"/>
    </row>
    <row r="278">
      <c r="A278" s="5" t="n"/>
      <c r="B278" s="5" t="n"/>
      <c r="C278" s="35" t="n"/>
      <c r="D278" s="5" t="n"/>
      <c r="E278" s="5" t="n"/>
    </row>
    <row r="279">
      <c r="A279" s="5" t="n"/>
      <c r="B279" s="5" t="n"/>
      <c r="C279" s="35" t="n"/>
      <c r="D279" s="5" t="n"/>
      <c r="E279" s="5" t="n"/>
    </row>
    <row r="280">
      <c r="A280" s="5" t="n"/>
      <c r="B280" s="5" t="n"/>
      <c r="C280" s="35" t="n"/>
      <c r="D280" s="5" t="n"/>
      <c r="E280" s="5" t="n"/>
    </row>
    <row r="281">
      <c r="A281" s="5" t="n"/>
      <c r="B281" s="5" t="n"/>
      <c r="C281" s="35" t="n"/>
      <c r="D281" s="5" t="n"/>
      <c r="E281" s="5" t="n"/>
    </row>
    <row r="282">
      <c r="A282" s="5" t="n"/>
      <c r="B282" s="5" t="n"/>
      <c r="C282" s="35" t="n"/>
      <c r="D282" s="5" t="n"/>
      <c r="E282" s="5" t="n"/>
    </row>
    <row r="283">
      <c r="A283" s="5" t="n"/>
      <c r="B283" s="5" t="n"/>
      <c r="C283" s="35" t="n"/>
      <c r="D283" s="5" t="n"/>
      <c r="E283" s="5" t="n"/>
    </row>
    <row r="284">
      <c r="A284" s="5" t="n"/>
      <c r="B284" s="5" t="n"/>
      <c r="C284" s="35" t="n"/>
      <c r="D284" s="5" t="n"/>
      <c r="E284" s="5" t="n"/>
    </row>
    <row r="285">
      <c r="A285" s="5" t="n"/>
      <c r="B285" s="5" t="n"/>
      <c r="C285" s="35" t="n"/>
      <c r="D285" s="5" t="n"/>
      <c r="E285" s="5" t="n"/>
    </row>
    <row r="286">
      <c r="A286" s="5" t="n"/>
      <c r="B286" s="5" t="n"/>
      <c r="C286" s="35" t="n"/>
      <c r="D286" s="5" t="n"/>
      <c r="E286" s="5" t="n"/>
    </row>
    <row r="287">
      <c r="A287" s="5" t="n"/>
      <c r="B287" s="5" t="n"/>
      <c r="C287" s="35" t="n"/>
      <c r="D287" s="5" t="n"/>
      <c r="E287" s="5" t="n"/>
    </row>
    <row r="288">
      <c r="A288" s="5" t="n"/>
      <c r="B288" s="5" t="n"/>
      <c r="C288" s="35" t="n"/>
      <c r="D288" s="5" t="n"/>
      <c r="E288" s="5" t="n"/>
    </row>
    <row r="289">
      <c r="A289" s="5" t="n"/>
      <c r="B289" s="5" t="n"/>
      <c r="C289" s="35" t="n"/>
      <c r="D289" s="5" t="n"/>
      <c r="E289" s="5" t="n"/>
    </row>
    <row r="290">
      <c r="A290" s="5" t="n"/>
      <c r="B290" s="5" t="n"/>
      <c r="C290" s="35" t="n"/>
      <c r="D290" s="5" t="n"/>
      <c r="E290" s="5" t="n"/>
    </row>
    <row r="291">
      <c r="A291" s="5" t="n"/>
      <c r="B291" s="5" t="n"/>
      <c r="C291" s="35" t="n"/>
      <c r="D291" s="5" t="n"/>
      <c r="E291" s="5" t="n"/>
    </row>
    <row r="292">
      <c r="A292" s="5" t="n"/>
      <c r="B292" s="5" t="n"/>
      <c r="C292" s="35" t="n"/>
      <c r="D292" s="5" t="n"/>
      <c r="E292" s="5" t="n"/>
    </row>
    <row r="293">
      <c r="A293" s="5" t="n"/>
      <c r="B293" s="5" t="n"/>
      <c r="C293" s="35" t="n"/>
      <c r="D293" s="5" t="n"/>
      <c r="E293" s="5" t="n"/>
    </row>
    <row r="294">
      <c r="A294" s="5" t="n"/>
      <c r="B294" s="5" t="n"/>
      <c r="C294" s="35" t="n"/>
      <c r="D294" s="5" t="n"/>
      <c r="E294" s="5" t="n"/>
    </row>
    <row r="295">
      <c r="A295" s="5" t="n"/>
      <c r="B295" s="5" t="n"/>
      <c r="C295" s="35" t="n"/>
      <c r="D295" s="5" t="n"/>
      <c r="E295" s="5" t="n"/>
    </row>
    <row r="296">
      <c r="A296" s="5" t="n"/>
      <c r="B296" s="5" t="n"/>
      <c r="C296" s="35" t="n"/>
      <c r="D296" s="5" t="n"/>
      <c r="E296" s="5" t="n"/>
    </row>
    <row r="297">
      <c r="A297" s="5" t="n"/>
      <c r="B297" s="5" t="n"/>
      <c r="C297" s="35" t="n"/>
      <c r="D297" s="5" t="n"/>
      <c r="E297" s="5" t="n"/>
    </row>
    <row r="298">
      <c r="A298" s="5" t="n"/>
      <c r="B298" s="5" t="n"/>
      <c r="C298" s="35" t="n"/>
      <c r="D298" s="5" t="n"/>
      <c r="E298" s="5" t="n"/>
    </row>
    <row r="299">
      <c r="A299" s="5" t="n"/>
      <c r="B299" s="5" t="n"/>
      <c r="C299" s="35" t="n"/>
      <c r="D299" s="5" t="n"/>
      <c r="E299" s="5" t="n"/>
    </row>
    <row r="300">
      <c r="A300" s="5" t="n"/>
      <c r="B300" s="5" t="n"/>
      <c r="C300" s="35" t="n"/>
      <c r="D300" s="5" t="n"/>
      <c r="E300" s="5" t="n"/>
    </row>
    <row r="301">
      <c r="A301" s="5" t="n"/>
      <c r="B301" s="5" t="n"/>
      <c r="C301" s="35" t="n"/>
      <c r="D301" s="5" t="n"/>
      <c r="E301" s="5" t="n"/>
    </row>
    <row r="302">
      <c r="A302" s="5" t="n"/>
      <c r="B302" s="5" t="n"/>
      <c r="C302" s="35" t="n"/>
      <c r="D302" s="5" t="n"/>
      <c r="E302" s="5" t="n"/>
    </row>
    <row r="303">
      <c r="A303" s="5" t="n"/>
      <c r="B303" s="5" t="n"/>
      <c r="C303" s="35" t="n"/>
      <c r="D303" s="5" t="n"/>
      <c r="E303" s="5" t="n"/>
    </row>
    <row r="304">
      <c r="A304" s="5" t="n"/>
      <c r="B304" s="5" t="n"/>
      <c r="C304" s="35" t="n"/>
      <c r="D304" s="5" t="n"/>
      <c r="E304" s="5" t="n"/>
    </row>
    <row r="305">
      <c r="A305" s="5" t="n"/>
      <c r="B305" s="5" t="n"/>
      <c r="C305" s="35" t="n"/>
      <c r="D305" s="5" t="n"/>
      <c r="E305" s="5" t="n"/>
    </row>
    <row r="306">
      <c r="A306" s="5" t="n"/>
      <c r="B306" s="5" t="n"/>
      <c r="C306" s="35" t="n"/>
      <c r="D306" s="5" t="n"/>
      <c r="E306" s="5" t="n"/>
    </row>
    <row r="307">
      <c r="A307" s="5" t="n"/>
      <c r="B307" s="5" t="n"/>
      <c r="C307" s="35" t="n"/>
      <c r="D307" s="5" t="n"/>
      <c r="E307" s="5" t="n"/>
    </row>
    <row r="308">
      <c r="A308" s="5" t="n"/>
      <c r="B308" s="5" t="n"/>
      <c r="C308" s="35" t="n"/>
      <c r="D308" s="5" t="n"/>
      <c r="E308" s="5" t="n"/>
    </row>
    <row r="309">
      <c r="A309" s="5" t="n"/>
      <c r="B309" s="5" t="n"/>
      <c r="C309" s="35" t="n"/>
      <c r="D309" s="5" t="n"/>
      <c r="E309" s="5" t="n"/>
    </row>
    <row r="310">
      <c r="A310" s="5" t="n"/>
      <c r="B310" s="5" t="n"/>
      <c r="C310" s="35" t="n"/>
      <c r="D310" s="5" t="n"/>
      <c r="E310" s="5" t="n"/>
    </row>
    <row r="311">
      <c r="A311" s="5" t="n"/>
      <c r="B311" s="5" t="n"/>
      <c r="C311" s="35" t="n"/>
      <c r="D311" s="5" t="n"/>
      <c r="E311" s="5" t="n"/>
    </row>
    <row r="312">
      <c r="A312" s="5" t="n"/>
      <c r="B312" s="5" t="n"/>
      <c r="C312" s="35" t="n"/>
      <c r="D312" s="5" t="n"/>
      <c r="E312" s="5" t="n"/>
    </row>
    <row r="313">
      <c r="A313" s="5" t="n"/>
      <c r="B313" s="5" t="n"/>
      <c r="C313" s="35" t="n"/>
      <c r="D313" s="5" t="n"/>
      <c r="E313" s="5" t="n"/>
    </row>
    <row r="314">
      <c r="A314" s="5" t="n"/>
      <c r="B314" s="5" t="n"/>
      <c r="C314" s="35" t="n"/>
      <c r="D314" s="5" t="n"/>
      <c r="E314" s="5" t="n"/>
    </row>
    <row r="315">
      <c r="A315" s="5" t="n"/>
      <c r="B315" s="5" t="n"/>
      <c r="C315" s="35" t="n"/>
      <c r="D315" s="5" t="n"/>
      <c r="E315" s="5" t="n"/>
    </row>
    <row r="316">
      <c r="A316" s="5" t="n"/>
      <c r="B316" s="5" t="n"/>
      <c r="C316" s="35" t="n"/>
      <c r="D316" s="5" t="n"/>
      <c r="E316" s="5" t="n"/>
    </row>
    <row r="317">
      <c r="A317" s="5" t="n"/>
      <c r="B317" s="5" t="n"/>
      <c r="C317" s="35" t="n"/>
      <c r="D317" s="5" t="n"/>
      <c r="E317" s="5" t="n"/>
    </row>
    <row r="318">
      <c r="A318" s="5" t="n"/>
      <c r="B318" s="5" t="n"/>
      <c r="C318" s="35" t="n"/>
      <c r="D318" s="5" t="n"/>
      <c r="E318" s="5" t="n"/>
    </row>
    <row r="319">
      <c r="A319" s="5" t="n"/>
      <c r="B319" s="5" t="n"/>
      <c r="C319" s="35" t="n"/>
      <c r="D319" s="5" t="n"/>
      <c r="E319" s="5" t="n"/>
    </row>
    <row r="320">
      <c r="A320" s="5" t="n"/>
      <c r="B320" s="5" t="n"/>
      <c r="C320" s="35" t="n"/>
      <c r="D320" s="5" t="n"/>
      <c r="E320" s="5" t="n"/>
    </row>
    <row r="321">
      <c r="A321" s="5" t="n"/>
      <c r="B321" s="5" t="n"/>
      <c r="C321" s="35" t="n"/>
      <c r="D321" s="5" t="n"/>
      <c r="E321" s="5" t="n"/>
    </row>
    <row r="322">
      <c r="A322" s="5" t="n"/>
      <c r="B322" s="5" t="n"/>
      <c r="C322" s="35" t="n"/>
      <c r="D322" s="5" t="n"/>
      <c r="E322" s="5" t="n"/>
    </row>
    <row r="323">
      <c r="A323" s="5" t="n"/>
      <c r="B323" s="5" t="n"/>
      <c r="C323" s="35" t="n"/>
      <c r="D323" s="5" t="n"/>
      <c r="E323" s="5" t="n"/>
    </row>
    <row r="324">
      <c r="A324" s="5" t="n"/>
      <c r="B324" s="5" t="n"/>
      <c r="C324" s="35" t="n"/>
      <c r="D324" s="5" t="n"/>
      <c r="E324" s="5" t="n"/>
    </row>
    <row r="325">
      <c r="A325" s="5" t="n"/>
      <c r="B325" s="5" t="n"/>
      <c r="C325" s="35" t="n"/>
      <c r="D325" s="5" t="n"/>
      <c r="E325" s="5" t="n"/>
    </row>
    <row r="326">
      <c r="A326" s="5" t="n"/>
      <c r="B326" s="5" t="n"/>
      <c r="C326" s="35" t="n"/>
      <c r="D326" s="5" t="n"/>
      <c r="E326" s="5" t="n"/>
    </row>
    <row r="327">
      <c r="A327" s="5" t="n"/>
      <c r="B327" s="5" t="n"/>
      <c r="C327" s="35" t="n"/>
      <c r="D327" s="5" t="n"/>
      <c r="E327" s="5" t="n"/>
    </row>
    <row r="328">
      <c r="A328" s="5" t="n"/>
      <c r="B328" s="5" t="n"/>
      <c r="C328" s="35" t="n"/>
      <c r="D328" s="5" t="n"/>
      <c r="E328" s="5" t="n"/>
    </row>
    <row r="329">
      <c r="A329" s="5" t="n"/>
      <c r="B329" s="5" t="n"/>
      <c r="C329" s="35" t="n"/>
      <c r="D329" s="5" t="n"/>
      <c r="E329" s="5" t="n"/>
    </row>
    <row r="330">
      <c r="A330" s="5" t="n"/>
      <c r="B330" s="5" t="n"/>
      <c r="C330" s="35" t="n"/>
      <c r="D330" s="5" t="n"/>
      <c r="E330" s="5" t="n"/>
    </row>
    <row r="331">
      <c r="A331" s="5" t="n"/>
      <c r="B331" s="5" t="n"/>
      <c r="C331" s="35" t="n"/>
      <c r="D331" s="5" t="n"/>
      <c r="E331" s="5" t="n"/>
    </row>
    <row r="332">
      <c r="A332" s="5" t="n"/>
      <c r="B332" s="5" t="n"/>
      <c r="C332" s="35" t="n"/>
      <c r="D332" s="5" t="n"/>
      <c r="E332" s="5" t="n"/>
    </row>
    <row r="333">
      <c r="A333" s="5" t="n"/>
      <c r="B333" s="5" t="n"/>
      <c r="C333" s="35" t="n"/>
      <c r="D333" s="5" t="n"/>
      <c r="E333" s="5" t="n"/>
    </row>
    <row r="334">
      <c r="A334" s="5" t="n"/>
      <c r="B334" s="5" t="n"/>
      <c r="C334" s="35" t="n"/>
      <c r="D334" s="5" t="n"/>
      <c r="E334" s="5" t="n"/>
    </row>
    <row r="335">
      <c r="A335" s="5" t="n"/>
      <c r="B335" s="5" t="n"/>
      <c r="C335" s="35" t="n"/>
      <c r="D335" s="5" t="n"/>
      <c r="E335" s="5" t="n"/>
    </row>
    <row r="336">
      <c r="A336" s="5" t="n"/>
      <c r="B336" s="5" t="n"/>
      <c r="C336" s="35" t="n"/>
      <c r="D336" s="5" t="n"/>
      <c r="E336" s="5" t="n"/>
    </row>
    <row r="337">
      <c r="A337" s="5" t="n"/>
      <c r="B337" s="5" t="n"/>
      <c r="C337" s="35" t="n"/>
      <c r="D337" s="5" t="n"/>
      <c r="E337" s="5" t="n"/>
    </row>
    <row r="338">
      <c r="A338" s="5" t="n"/>
      <c r="B338" s="5" t="n"/>
      <c r="C338" s="35" t="n"/>
      <c r="D338" s="5" t="n"/>
      <c r="E338" s="5" t="n"/>
    </row>
    <row r="339">
      <c r="A339" s="5" t="n"/>
      <c r="B339" s="5" t="n"/>
      <c r="C339" s="35" t="n"/>
      <c r="D339" s="5" t="n"/>
      <c r="E339" s="5" t="n"/>
    </row>
    <row r="340">
      <c r="A340" s="5" t="n"/>
      <c r="B340" s="5" t="n"/>
      <c r="C340" s="35" t="n"/>
      <c r="D340" s="5" t="n"/>
      <c r="E340" s="5" t="n"/>
    </row>
    <row r="341">
      <c r="A341" s="5" t="n"/>
      <c r="B341" s="5" t="n"/>
      <c r="C341" s="35" t="n"/>
      <c r="D341" s="5" t="n"/>
      <c r="E341" s="5" t="n"/>
    </row>
    <row r="342">
      <c r="A342" s="5" t="n"/>
      <c r="B342" s="5" t="n"/>
      <c r="C342" s="35" t="n"/>
      <c r="D342" s="5" t="n"/>
      <c r="E342" s="5" t="n"/>
    </row>
    <row r="343">
      <c r="A343" s="5" t="n"/>
      <c r="B343" s="5" t="n"/>
      <c r="C343" s="35" t="n"/>
      <c r="D343" s="5" t="n"/>
      <c r="E343" s="5" t="n"/>
    </row>
    <row r="344">
      <c r="A344" s="5" t="n"/>
      <c r="B344" s="5" t="n"/>
      <c r="C344" s="35" t="n"/>
      <c r="D344" s="5" t="n"/>
      <c r="E344" s="5" t="n"/>
    </row>
    <row r="345">
      <c r="A345" s="5" t="n"/>
      <c r="B345" s="5" t="n"/>
      <c r="C345" s="35" t="n"/>
      <c r="D345" s="5" t="n"/>
      <c r="E345" s="5" t="n"/>
    </row>
    <row r="346">
      <c r="A346" s="5" t="n"/>
      <c r="B346" s="5" t="n"/>
      <c r="C346" s="35" t="n"/>
      <c r="D346" s="5" t="n"/>
      <c r="E346" s="5" t="n"/>
    </row>
    <row r="347">
      <c r="A347" s="5" t="n"/>
      <c r="B347" s="5" t="n"/>
      <c r="C347" s="35" t="n"/>
      <c r="D347" s="5" t="n"/>
      <c r="E347" s="5" t="n"/>
    </row>
    <row r="348">
      <c r="A348" s="5" t="n"/>
      <c r="B348" s="5" t="n"/>
      <c r="C348" s="35" t="n"/>
      <c r="D348" s="5" t="n"/>
      <c r="E348" s="5" t="n"/>
    </row>
    <row r="349">
      <c r="A349" s="5" t="n"/>
      <c r="B349" s="5" t="n"/>
      <c r="C349" s="35" t="n"/>
      <c r="D349" s="5" t="n"/>
      <c r="E349" s="5" t="n"/>
    </row>
    <row r="350">
      <c r="A350" s="5" t="n"/>
      <c r="B350" s="5" t="n"/>
      <c r="C350" s="35" t="n"/>
      <c r="D350" s="5" t="n"/>
      <c r="E350" s="5" t="n"/>
    </row>
    <row r="351">
      <c r="A351" s="5" t="n"/>
      <c r="B351" s="5" t="n"/>
      <c r="C351" s="35" t="n"/>
      <c r="D351" s="5" t="n"/>
      <c r="E351" s="5" t="n"/>
    </row>
    <row r="352">
      <c r="A352" s="5" t="n"/>
      <c r="B352" s="5" t="n"/>
      <c r="C352" s="35" t="n"/>
      <c r="D352" s="5" t="n"/>
      <c r="E352" s="5" t="n"/>
    </row>
    <row r="353">
      <c r="A353" s="5" t="n"/>
      <c r="B353" s="5" t="n"/>
      <c r="C353" s="35" t="n"/>
      <c r="D353" s="5" t="n"/>
      <c r="E353" s="5" t="n"/>
    </row>
    <row r="354">
      <c r="A354" s="5" t="n"/>
      <c r="B354" s="5" t="n"/>
      <c r="C354" s="35" t="n"/>
      <c r="D354" s="5" t="n"/>
      <c r="E354" s="5" t="n"/>
    </row>
    <row r="355">
      <c r="A355" s="5" t="n"/>
      <c r="B355" s="5" t="n"/>
      <c r="C355" s="35" t="n"/>
      <c r="D355" s="5" t="n"/>
      <c r="E355" s="5" t="n"/>
    </row>
    <row r="356">
      <c r="A356" s="5" t="n"/>
      <c r="B356" s="5" t="n"/>
      <c r="C356" s="35" t="n"/>
      <c r="D356" s="5" t="n"/>
      <c r="E356" s="5" t="n"/>
    </row>
    <row r="357">
      <c r="A357" s="5" t="n"/>
      <c r="B357" s="5" t="n"/>
      <c r="C357" s="35" t="n"/>
      <c r="D357" s="5" t="n"/>
      <c r="E357" s="5" t="n"/>
    </row>
    <row r="358">
      <c r="A358" s="5" t="n"/>
      <c r="B358" s="5" t="n"/>
      <c r="C358" s="35" t="n"/>
      <c r="D358" s="5" t="n"/>
      <c r="E358" s="5" t="n"/>
    </row>
    <row r="359">
      <c r="A359" s="5" t="n"/>
      <c r="B359" s="5" t="n"/>
      <c r="C359" s="35" t="n"/>
      <c r="D359" s="5" t="n"/>
      <c r="E359" s="5" t="n"/>
    </row>
    <row r="360">
      <c r="A360" s="5" t="n"/>
      <c r="B360" s="5" t="n"/>
      <c r="C360" s="35" t="n"/>
      <c r="D360" s="5" t="n"/>
      <c r="E360" s="5" t="n"/>
    </row>
    <row r="361">
      <c r="A361" s="5" t="n"/>
      <c r="B361" s="5" t="n"/>
      <c r="C361" s="35" t="n"/>
      <c r="D361" s="5" t="n"/>
      <c r="E361" s="5" t="n"/>
    </row>
    <row r="362">
      <c r="A362" s="5" t="n"/>
      <c r="B362" s="5" t="n"/>
      <c r="C362" s="35" t="n"/>
      <c r="D362" s="5" t="n"/>
      <c r="E362" s="5" t="n"/>
    </row>
    <row r="363">
      <c r="A363" s="5" t="n"/>
      <c r="B363" s="5" t="n"/>
      <c r="C363" s="35" t="n"/>
      <c r="D363" s="5" t="n"/>
      <c r="E363" s="5" t="n"/>
    </row>
    <row r="364">
      <c r="A364" s="5" t="n"/>
      <c r="B364" s="5" t="n"/>
      <c r="C364" s="35" t="n"/>
      <c r="D364" s="5" t="n"/>
      <c r="E364" s="5" t="n"/>
    </row>
    <row r="365">
      <c r="A365" s="5" t="n"/>
      <c r="B365" s="5" t="n"/>
      <c r="C365" s="35" t="n"/>
      <c r="D365" s="5" t="n"/>
      <c r="E365" s="5" t="n"/>
    </row>
    <row r="366">
      <c r="A366" s="5" t="n"/>
      <c r="B366" s="5" t="n"/>
      <c r="C366" s="35" t="n"/>
      <c r="D366" s="5" t="n"/>
      <c r="E366" s="5" t="n"/>
    </row>
    <row r="367">
      <c r="A367" s="5" t="n"/>
      <c r="B367" s="5" t="n"/>
      <c r="C367" s="35" t="n"/>
      <c r="D367" s="5" t="n"/>
      <c r="E367" s="5" t="n"/>
    </row>
    <row r="368">
      <c r="A368" s="5" t="n"/>
      <c r="B368" s="5" t="n"/>
      <c r="C368" s="35" t="n"/>
      <c r="D368" s="5" t="n"/>
      <c r="E368" s="5" t="n"/>
    </row>
    <row r="369">
      <c r="A369" s="5" t="n"/>
      <c r="B369" s="5" t="n"/>
      <c r="C369" s="35" t="n"/>
      <c r="D369" s="5" t="n"/>
      <c r="E369" s="5" t="n"/>
    </row>
    <row r="370">
      <c r="A370" s="5" t="n"/>
      <c r="B370" s="5" t="n"/>
      <c r="C370" s="35" t="n"/>
      <c r="D370" s="5" t="n"/>
      <c r="E370" s="5" t="n"/>
    </row>
    <row r="371">
      <c r="A371" s="5" t="n"/>
      <c r="B371" s="5" t="n"/>
      <c r="C371" s="35" t="n"/>
      <c r="D371" s="5" t="n"/>
      <c r="E371" s="5" t="n"/>
    </row>
    <row r="372">
      <c r="A372" s="5" t="n"/>
      <c r="B372" s="5" t="n"/>
      <c r="C372" s="35" t="n"/>
      <c r="D372" s="5" t="n"/>
      <c r="E372" s="5" t="n"/>
    </row>
    <row r="373">
      <c r="A373" s="5" t="n"/>
      <c r="B373" s="5" t="n"/>
      <c r="C373" s="35" t="n"/>
      <c r="D373" s="5" t="n"/>
      <c r="E373" s="5" t="n"/>
    </row>
    <row r="374">
      <c r="A374" s="5" t="n"/>
      <c r="B374" s="5" t="n"/>
      <c r="C374" s="35" t="n"/>
      <c r="D374" s="5" t="n"/>
      <c r="E374" s="5" t="n"/>
    </row>
    <row r="375">
      <c r="A375" s="5" t="n"/>
      <c r="B375" s="5" t="n"/>
      <c r="C375" s="35" t="n"/>
      <c r="D375" s="5" t="n"/>
      <c r="E375" s="5" t="n"/>
    </row>
    <row r="376">
      <c r="A376" s="5" t="n"/>
      <c r="B376" s="5" t="n"/>
      <c r="C376" s="35" t="n"/>
      <c r="D376" s="5" t="n"/>
      <c r="E376" s="5" t="n"/>
    </row>
    <row r="377">
      <c r="A377" s="5" t="n"/>
      <c r="B377" s="5" t="n"/>
      <c r="C377" s="35" t="n"/>
      <c r="D377" s="5" t="n"/>
      <c r="E377" s="5" t="n"/>
    </row>
    <row r="378">
      <c r="A378" s="5" t="n"/>
      <c r="B378" s="5" t="n"/>
      <c r="C378" s="35" t="n"/>
      <c r="D378" s="5" t="n"/>
      <c r="E378" s="5" t="n"/>
    </row>
    <row r="379">
      <c r="A379" s="5" t="n"/>
      <c r="B379" s="5" t="n"/>
      <c r="C379" s="35" t="n"/>
      <c r="D379" s="5" t="n"/>
      <c r="E379" s="5" t="n"/>
    </row>
    <row r="380">
      <c r="A380" s="5" t="n"/>
      <c r="B380" s="5" t="n"/>
      <c r="C380" s="35" t="n"/>
      <c r="D380" s="5" t="n"/>
      <c r="E380" s="5" t="n"/>
    </row>
    <row r="381">
      <c r="A381" s="5" t="n"/>
      <c r="B381" s="5" t="n"/>
      <c r="C381" s="35" t="n"/>
      <c r="D381" s="5" t="n"/>
      <c r="E381" s="5" t="n"/>
    </row>
    <row r="382">
      <c r="A382" s="5" t="n"/>
      <c r="B382" s="5" t="n"/>
      <c r="C382" s="35" t="n"/>
      <c r="D382" s="5" t="n"/>
      <c r="E382" s="5" t="n"/>
    </row>
    <row r="383">
      <c r="A383" s="5" t="n"/>
      <c r="B383" s="5" t="n"/>
      <c r="C383" s="35" t="n"/>
      <c r="D383" s="5" t="n"/>
      <c r="E383" s="5" t="n"/>
    </row>
    <row r="384">
      <c r="A384" s="5" t="n"/>
      <c r="B384" s="5" t="n"/>
      <c r="C384" s="35" t="n"/>
      <c r="D384" s="5" t="n"/>
      <c r="E384" s="5" t="n"/>
    </row>
    <row r="385">
      <c r="A385" s="5" t="n"/>
      <c r="B385" s="5" t="n"/>
      <c r="C385" s="35" t="n"/>
      <c r="D385" s="5" t="n"/>
      <c r="E385" s="5" t="n"/>
    </row>
    <row r="386">
      <c r="A386" s="5" t="n"/>
      <c r="B386" s="5" t="n"/>
      <c r="C386" s="35" t="n"/>
      <c r="D386" s="5" t="n"/>
      <c r="E386" s="5" t="n"/>
    </row>
    <row r="387">
      <c r="A387" s="5" t="n"/>
      <c r="B387" s="5" t="n"/>
      <c r="C387" s="35" t="n"/>
      <c r="D387" s="5" t="n"/>
      <c r="E387" s="5" t="n"/>
    </row>
    <row r="388">
      <c r="A388" s="5" t="n"/>
      <c r="B388" s="5" t="n"/>
      <c r="C388" s="35" t="n"/>
      <c r="D388" s="5" t="n"/>
      <c r="E388" s="5" t="n"/>
    </row>
    <row r="389">
      <c r="A389" s="5" t="n"/>
      <c r="B389" s="5" t="n"/>
      <c r="C389" s="35" t="n"/>
      <c r="D389" s="5" t="n"/>
      <c r="E389" s="5" t="n"/>
    </row>
    <row r="390">
      <c r="A390" s="5" t="n"/>
      <c r="B390" s="5" t="n"/>
      <c r="C390" s="35" t="n"/>
      <c r="D390" s="5" t="n"/>
      <c r="E390" s="5" t="n"/>
    </row>
    <row r="391">
      <c r="A391" s="5" t="n"/>
      <c r="B391" s="5" t="n"/>
      <c r="C391" s="35" t="n"/>
      <c r="D391" s="5" t="n"/>
      <c r="E391" s="5" t="n"/>
    </row>
    <row r="392">
      <c r="A392" s="5" t="n"/>
      <c r="B392" s="5" t="n"/>
      <c r="C392" s="35" t="n"/>
      <c r="D392" s="5" t="n"/>
      <c r="E392" s="5" t="n"/>
    </row>
    <row r="393">
      <c r="A393" s="5" t="n"/>
      <c r="B393" s="5" t="n"/>
      <c r="C393" s="35" t="n"/>
      <c r="D393" s="5" t="n"/>
      <c r="E393" s="5" t="n"/>
    </row>
    <row r="394">
      <c r="A394" s="5" t="n"/>
      <c r="B394" s="5" t="n"/>
      <c r="C394" s="35" t="n"/>
      <c r="D394" s="5" t="n"/>
      <c r="E394" s="5" t="n"/>
    </row>
    <row r="395">
      <c r="A395" s="5" t="n"/>
      <c r="B395" s="5" t="n"/>
      <c r="C395" s="35" t="n"/>
      <c r="D395" s="5" t="n"/>
      <c r="E395" s="5" t="n"/>
    </row>
    <row r="396">
      <c r="A396" s="5" t="n"/>
      <c r="B396" s="5" t="n"/>
      <c r="C396" s="35" t="n"/>
      <c r="D396" s="5" t="n"/>
      <c r="E396" s="5" t="n"/>
    </row>
    <row r="397">
      <c r="A397" s="5" t="n"/>
      <c r="B397" s="5" t="n"/>
      <c r="C397" s="35" t="n"/>
      <c r="D397" s="5" t="n"/>
      <c r="E397" s="5" t="n"/>
    </row>
    <row r="398">
      <c r="A398" s="5" t="n"/>
      <c r="B398" s="5" t="n"/>
      <c r="C398" s="35" t="n"/>
      <c r="D398" s="5" t="n"/>
      <c r="E398" s="5" t="n"/>
    </row>
    <row r="399">
      <c r="A399" s="5" t="n"/>
      <c r="B399" s="5" t="n"/>
      <c r="C399" s="35" t="n"/>
      <c r="D399" s="5" t="n"/>
      <c r="E399" s="5" t="n"/>
    </row>
    <row r="400">
      <c r="A400" s="5" t="n"/>
      <c r="B400" s="5" t="n"/>
      <c r="C400" s="35" t="n"/>
      <c r="D400" s="5" t="n"/>
      <c r="E400" s="5" t="n"/>
    </row>
    <row r="401">
      <c r="A401" s="5" t="n"/>
      <c r="B401" s="5" t="n"/>
      <c r="C401" s="35" t="n"/>
      <c r="D401" s="5" t="n"/>
      <c r="E401" s="5" t="n"/>
    </row>
    <row r="402">
      <c r="A402" s="5" t="n"/>
      <c r="B402" s="5" t="n"/>
      <c r="C402" s="35" t="n"/>
      <c r="D402" s="5" t="n"/>
      <c r="E402" s="5" t="n"/>
    </row>
    <row r="403">
      <c r="A403" s="5" t="n"/>
      <c r="B403" s="5" t="n"/>
      <c r="C403" s="35" t="n"/>
      <c r="D403" s="5" t="n"/>
      <c r="E403" s="5" t="n"/>
    </row>
    <row r="404">
      <c r="A404" s="5" t="n"/>
      <c r="B404" s="5" t="n"/>
      <c r="C404" s="35" t="n"/>
      <c r="D404" s="5" t="n"/>
      <c r="E404" s="5" t="n"/>
    </row>
    <row r="405">
      <c r="A405" s="5" t="n"/>
      <c r="B405" s="5" t="n"/>
      <c r="C405" s="35" t="n"/>
      <c r="D405" s="5" t="n"/>
      <c r="E405" s="5" t="n"/>
    </row>
    <row r="406">
      <c r="A406" s="5" t="n"/>
      <c r="B406" s="5" t="n"/>
      <c r="C406" s="35" t="n"/>
      <c r="D406" s="5" t="n"/>
      <c r="E406" s="5" t="n"/>
    </row>
    <row r="407">
      <c r="A407" s="5" t="n"/>
      <c r="B407" s="5" t="n"/>
      <c r="C407" s="35" t="n"/>
      <c r="D407" s="5" t="n"/>
      <c r="E407" s="5" t="n"/>
    </row>
    <row r="408">
      <c r="A408" s="5" t="n"/>
      <c r="B408" s="5" t="n"/>
      <c r="C408" s="35" t="n"/>
      <c r="D408" s="5" t="n"/>
      <c r="E408" s="5" t="n"/>
    </row>
    <row r="409">
      <c r="A409" s="5" t="n"/>
      <c r="B409" s="5" t="n"/>
      <c r="C409" s="35" t="n"/>
      <c r="D409" s="5" t="n"/>
      <c r="E409" s="5" t="n"/>
    </row>
    <row r="410">
      <c r="A410" s="5" t="n"/>
      <c r="B410" s="5" t="n"/>
      <c r="C410" s="35" t="n"/>
      <c r="D410" s="5" t="n"/>
      <c r="E410" s="5" t="n"/>
    </row>
    <row r="411">
      <c r="A411" s="5" t="n"/>
      <c r="B411" s="5" t="n"/>
      <c r="C411" s="35" t="n"/>
      <c r="D411" s="5" t="n"/>
      <c r="E411" s="5" t="n"/>
    </row>
    <row r="412">
      <c r="A412" s="5" t="n"/>
      <c r="B412" s="5" t="n"/>
      <c r="C412" s="35" t="n"/>
      <c r="D412" s="5" t="n"/>
      <c r="E412" s="5" t="n"/>
    </row>
    <row r="413">
      <c r="A413" s="5" t="n"/>
      <c r="B413" s="5" t="n"/>
      <c r="C413" s="35" t="n"/>
      <c r="D413" s="5" t="n"/>
      <c r="E413" s="5" t="n"/>
    </row>
    <row r="414">
      <c r="A414" s="5" t="n"/>
      <c r="B414" s="5" t="n"/>
      <c r="C414" s="35" t="n"/>
      <c r="D414" s="5" t="n"/>
      <c r="E414" s="5" t="n"/>
    </row>
    <row r="415">
      <c r="A415" s="5" t="n"/>
      <c r="B415" s="5" t="n"/>
      <c r="C415" s="35" t="n"/>
      <c r="D415" s="5" t="n"/>
      <c r="E415" s="5" t="n"/>
    </row>
    <row r="416">
      <c r="A416" s="5" t="n"/>
      <c r="B416" s="5" t="n"/>
      <c r="C416" s="35" t="n"/>
      <c r="D416" s="5" t="n"/>
      <c r="E416" s="5" t="n"/>
    </row>
    <row r="417">
      <c r="A417" s="5" t="n"/>
      <c r="B417" s="5" t="n"/>
      <c r="C417" s="35" t="n"/>
      <c r="D417" s="5" t="n"/>
      <c r="E417" s="5" t="n"/>
    </row>
    <row r="418">
      <c r="A418" s="5" t="n"/>
      <c r="B418" s="5" t="n"/>
      <c r="C418" s="35" t="n"/>
      <c r="D418" s="5" t="n"/>
      <c r="E418" s="5" t="n"/>
    </row>
    <row r="419">
      <c r="A419" s="5" t="n"/>
      <c r="B419" s="5" t="n"/>
      <c r="C419" s="35" t="n"/>
      <c r="D419" s="5" t="n"/>
      <c r="E419" s="5" t="n"/>
    </row>
    <row r="420">
      <c r="A420" s="5" t="n"/>
      <c r="B420" s="5" t="n"/>
      <c r="C420" s="35" t="n"/>
      <c r="D420" s="5" t="n"/>
      <c r="E420" s="5" t="n"/>
    </row>
    <row r="421">
      <c r="A421" s="5" t="n"/>
      <c r="B421" s="5" t="n"/>
      <c r="C421" s="35" t="n"/>
      <c r="D421" s="5" t="n"/>
      <c r="E421" s="5" t="n"/>
    </row>
    <row r="422">
      <c r="A422" s="5" t="n"/>
      <c r="B422" s="5" t="n"/>
      <c r="C422" s="35" t="n"/>
      <c r="D422" s="5" t="n"/>
      <c r="E422" s="5" t="n"/>
    </row>
    <row r="423">
      <c r="A423" s="5" t="n"/>
      <c r="B423" s="5" t="n"/>
      <c r="C423" s="35" t="n"/>
      <c r="D423" s="5" t="n"/>
      <c r="E423" s="5" t="n"/>
    </row>
    <row r="424">
      <c r="A424" s="5" t="n"/>
      <c r="B424" s="5" t="n"/>
      <c r="C424" s="35" t="n"/>
      <c r="D424" s="5" t="n"/>
      <c r="E424" s="5" t="n"/>
    </row>
    <row r="425">
      <c r="A425" s="5" t="n"/>
      <c r="B425" s="5" t="n"/>
      <c r="C425" s="35" t="n"/>
      <c r="D425" s="5" t="n"/>
      <c r="E425" s="5" t="n"/>
    </row>
    <row r="426">
      <c r="A426" s="5" t="n"/>
      <c r="B426" s="5" t="n"/>
      <c r="C426" s="35" t="n"/>
      <c r="D426" s="5" t="n"/>
      <c r="E426" s="5" t="n"/>
    </row>
    <row r="427">
      <c r="A427" s="5" t="n"/>
      <c r="B427" s="5" t="n"/>
      <c r="C427" s="35" t="n"/>
      <c r="D427" s="5" t="n"/>
      <c r="E427" s="5" t="n"/>
    </row>
    <row r="428">
      <c r="A428" s="5" t="n"/>
      <c r="B428" s="5" t="n"/>
      <c r="C428" s="35" t="n"/>
      <c r="D428" s="5" t="n"/>
      <c r="E428" s="5" t="n"/>
    </row>
    <row r="429">
      <c r="A429" s="5" t="n"/>
      <c r="B429" s="5" t="n"/>
      <c r="C429" s="35" t="n"/>
      <c r="D429" s="5" t="n"/>
      <c r="E429" s="5" t="n"/>
    </row>
    <row r="430">
      <c r="A430" s="5" t="n"/>
      <c r="B430" s="5" t="n"/>
      <c r="C430" s="35" t="n"/>
      <c r="D430" s="5" t="n"/>
      <c r="E430" s="5" t="n"/>
    </row>
    <row r="431">
      <c r="A431" s="5" t="n"/>
      <c r="B431" s="5" t="n"/>
      <c r="C431" s="35" t="n"/>
      <c r="D431" s="5" t="n"/>
      <c r="E431" s="5" t="n"/>
    </row>
    <row r="432">
      <c r="A432" s="5" t="n"/>
      <c r="B432" s="5" t="n"/>
      <c r="C432" s="35" t="n"/>
      <c r="D432" s="5" t="n"/>
      <c r="E432" s="5" t="n"/>
    </row>
    <row r="433">
      <c r="A433" s="5" t="n"/>
      <c r="B433" s="5" t="n"/>
      <c r="C433" s="35" t="n"/>
      <c r="D433" s="5" t="n"/>
      <c r="E433" s="5" t="n"/>
    </row>
    <row r="434">
      <c r="A434" s="5" t="n"/>
      <c r="B434" s="5" t="n"/>
      <c r="C434" s="35" t="n"/>
      <c r="D434" s="5" t="n"/>
      <c r="E434" s="5" t="n"/>
    </row>
    <row r="435">
      <c r="A435" s="5" t="n"/>
      <c r="B435" s="5" t="n"/>
      <c r="C435" s="35" t="n"/>
      <c r="D435" s="5" t="n"/>
      <c r="E435" s="5" t="n"/>
    </row>
    <row r="436">
      <c r="A436" s="5" t="n"/>
      <c r="B436" s="5" t="n"/>
      <c r="C436" s="35" t="n"/>
      <c r="D436" s="5" t="n"/>
      <c r="E436" s="5" t="n"/>
    </row>
    <row r="437">
      <c r="A437" s="5" t="n"/>
      <c r="B437" s="5" t="n"/>
      <c r="C437" s="35" t="n"/>
      <c r="D437" s="5" t="n"/>
      <c r="E437" s="5" t="n"/>
    </row>
    <row r="438">
      <c r="A438" s="5" t="n"/>
      <c r="B438" s="5" t="n"/>
      <c r="C438" s="35" t="n"/>
      <c r="D438" s="5" t="n"/>
      <c r="E438" s="5" t="n"/>
    </row>
    <row r="439">
      <c r="A439" s="5" t="n"/>
      <c r="B439" s="5" t="n"/>
      <c r="C439" s="35" t="n"/>
      <c r="D439" s="5" t="n"/>
      <c r="E439" s="5" t="n"/>
    </row>
    <row r="440">
      <c r="A440" s="5" t="n"/>
      <c r="B440" s="5" t="n"/>
      <c r="C440" s="35" t="n"/>
      <c r="D440" s="5" t="n"/>
      <c r="E440" s="5" t="n"/>
    </row>
    <row r="441">
      <c r="A441" s="5" t="n"/>
      <c r="B441" s="5" t="n"/>
      <c r="C441" s="35" t="n"/>
      <c r="D441" s="5" t="n"/>
      <c r="E441" s="5" t="n"/>
    </row>
    <row r="442">
      <c r="A442" s="5" t="n"/>
      <c r="B442" s="5" t="n"/>
      <c r="C442" s="35" t="n"/>
      <c r="D442" s="5" t="n"/>
      <c r="E442" s="5" t="n"/>
    </row>
    <row r="443">
      <c r="A443" s="5" t="n"/>
      <c r="B443" s="5" t="n"/>
      <c r="C443" s="35" t="n"/>
      <c r="D443" s="5" t="n"/>
      <c r="E443" s="5" t="n"/>
    </row>
    <row r="444">
      <c r="A444" s="5" t="n"/>
      <c r="B444" s="5" t="n"/>
      <c r="C444" s="35" t="n"/>
      <c r="D444" s="5" t="n"/>
      <c r="E444" s="5" t="n"/>
    </row>
    <row r="445">
      <c r="A445" s="5" t="n"/>
      <c r="B445" s="5" t="n"/>
      <c r="C445" s="35" t="n"/>
      <c r="D445" s="5" t="n"/>
      <c r="E445" s="5" t="n"/>
    </row>
    <row r="446">
      <c r="A446" s="5" t="n"/>
      <c r="B446" s="5" t="n"/>
      <c r="C446" s="35" t="n"/>
      <c r="D446" s="5" t="n"/>
      <c r="E446" s="5" t="n"/>
    </row>
    <row r="447">
      <c r="A447" s="5" t="n"/>
      <c r="B447" s="5" t="n"/>
      <c r="C447" s="35" t="n"/>
      <c r="D447" s="5" t="n"/>
      <c r="E447" s="5" t="n"/>
    </row>
    <row r="448">
      <c r="A448" s="5" t="n"/>
      <c r="B448" s="5" t="n"/>
      <c r="C448" s="35" t="n"/>
      <c r="D448" s="5" t="n"/>
      <c r="E448" s="5" t="n"/>
    </row>
    <row r="449">
      <c r="A449" s="5" t="n"/>
      <c r="B449" s="5" t="n"/>
      <c r="C449" s="35" t="n"/>
      <c r="D449" s="5" t="n"/>
      <c r="E449" s="5" t="n"/>
    </row>
    <row r="450">
      <c r="A450" s="5" t="n"/>
      <c r="B450" s="5" t="n"/>
      <c r="C450" s="35" t="n"/>
      <c r="D450" s="5" t="n"/>
      <c r="E450" s="5" t="n"/>
    </row>
    <row r="451">
      <c r="A451" s="5" t="n"/>
      <c r="B451" s="5" t="n"/>
      <c r="C451" s="35" t="n"/>
      <c r="D451" s="5" t="n"/>
      <c r="E451" s="5" t="n"/>
    </row>
    <row r="452">
      <c r="A452" s="5" t="n"/>
      <c r="B452" s="5" t="n"/>
      <c r="C452" s="35" t="n"/>
      <c r="D452" s="5" t="n"/>
      <c r="E452" s="5" t="n"/>
    </row>
    <row r="453">
      <c r="A453" s="5" t="n"/>
      <c r="B453" s="5" t="n"/>
      <c r="C453" s="35" t="n"/>
      <c r="D453" s="5" t="n"/>
      <c r="E453" s="5" t="n"/>
    </row>
    <row r="454">
      <c r="A454" s="5" t="n"/>
      <c r="B454" s="5" t="n"/>
      <c r="C454" s="35" t="n"/>
      <c r="D454" s="5" t="n"/>
      <c r="E454" s="5" t="n"/>
    </row>
    <row r="455">
      <c r="A455" s="5" t="n"/>
      <c r="B455" s="5" t="n"/>
      <c r="C455" s="35" t="n"/>
      <c r="D455" s="5" t="n"/>
      <c r="E455" s="5" t="n"/>
    </row>
    <row r="456">
      <c r="A456" s="5" t="n"/>
      <c r="B456" s="5" t="n"/>
      <c r="C456" s="35" t="n"/>
      <c r="D456" s="5" t="n"/>
      <c r="E456" s="5" t="n"/>
    </row>
    <row r="457">
      <c r="A457" s="5" t="n"/>
      <c r="B457" s="5" t="n"/>
      <c r="C457" s="35" t="n"/>
      <c r="D457" s="5" t="n"/>
      <c r="E457" s="5" t="n"/>
    </row>
    <row r="458">
      <c r="A458" s="5" t="n"/>
      <c r="B458" s="5" t="n"/>
      <c r="C458" s="35" t="n"/>
      <c r="D458" s="5" t="n"/>
      <c r="E458" s="5" t="n"/>
    </row>
    <row r="459">
      <c r="A459" s="5" t="n"/>
      <c r="B459" s="5" t="n"/>
      <c r="C459" s="35" t="n"/>
      <c r="D459" s="5" t="n"/>
      <c r="E459" s="5" t="n"/>
    </row>
    <row r="460">
      <c r="A460" s="5" t="n"/>
      <c r="B460" s="5" t="n"/>
      <c r="C460" s="35" t="n"/>
      <c r="D460" s="5" t="n"/>
      <c r="E460" s="5" t="n"/>
    </row>
    <row r="461">
      <c r="A461" s="5" t="n"/>
      <c r="B461" s="5" t="n"/>
      <c r="C461" s="35" t="n"/>
      <c r="D461" s="5" t="n"/>
      <c r="E461" s="5" t="n"/>
    </row>
    <row r="462">
      <c r="A462" s="5" t="n"/>
      <c r="B462" s="5" t="n"/>
      <c r="C462" s="35" t="n"/>
      <c r="D462" s="5" t="n"/>
      <c r="E462" s="5" t="n"/>
    </row>
    <row r="463">
      <c r="A463" s="5" t="n"/>
      <c r="B463" s="5" t="n"/>
      <c r="C463" s="35" t="n"/>
      <c r="D463" s="5" t="n"/>
      <c r="E463" s="5" t="n"/>
    </row>
    <row r="464">
      <c r="A464" s="5" t="n"/>
      <c r="B464" s="5" t="n"/>
      <c r="C464" s="35" t="n"/>
      <c r="D464" s="5" t="n"/>
      <c r="E464" s="5" t="n"/>
    </row>
    <row r="465">
      <c r="A465" s="5" t="n"/>
      <c r="B465" s="5" t="n"/>
      <c r="C465" s="35" t="n"/>
      <c r="D465" s="5" t="n"/>
      <c r="E465" s="5" t="n"/>
    </row>
    <row r="466">
      <c r="A466" s="5" t="n"/>
      <c r="B466" s="5" t="n"/>
      <c r="C466" s="35" t="n"/>
      <c r="D466" s="5" t="n"/>
      <c r="E466" s="5" t="n"/>
    </row>
    <row r="467">
      <c r="A467" s="5" t="n"/>
      <c r="B467" s="5" t="n"/>
      <c r="C467" s="35" t="n"/>
      <c r="D467" s="5" t="n"/>
      <c r="E467" s="5" t="n"/>
    </row>
    <row r="468">
      <c r="A468" s="5" t="n"/>
      <c r="B468" s="5" t="n"/>
      <c r="C468" s="35" t="n"/>
      <c r="D468" s="5" t="n"/>
      <c r="E468" s="5" t="n"/>
    </row>
    <row r="469">
      <c r="A469" s="5" t="n"/>
      <c r="B469" s="5" t="n"/>
      <c r="C469" s="35" t="n"/>
      <c r="D469" s="5" t="n"/>
      <c r="E469" s="5" t="n"/>
    </row>
    <row r="470">
      <c r="A470" s="5" t="n"/>
      <c r="B470" s="5" t="n"/>
      <c r="C470" s="35" t="n"/>
      <c r="D470" s="5" t="n"/>
      <c r="E470" s="5" t="n"/>
    </row>
    <row r="471">
      <c r="A471" s="5" t="n"/>
      <c r="B471" s="5" t="n"/>
      <c r="C471" s="35" t="n"/>
      <c r="D471" s="5" t="n"/>
      <c r="E471" s="5" t="n"/>
    </row>
    <row r="472">
      <c r="A472" s="5" t="n"/>
      <c r="B472" s="5" t="n"/>
      <c r="C472" s="35" t="n"/>
      <c r="D472" s="5" t="n"/>
      <c r="E472" s="5" t="n"/>
    </row>
    <row r="473">
      <c r="A473" s="5" t="n"/>
      <c r="B473" s="5" t="n"/>
      <c r="C473" s="35" t="n"/>
      <c r="D473" s="5" t="n"/>
      <c r="E473" s="5" t="n"/>
    </row>
    <row r="474">
      <c r="A474" s="5" t="n"/>
      <c r="B474" s="5" t="n"/>
      <c r="C474" s="35" t="n"/>
      <c r="D474" s="5" t="n"/>
      <c r="E474" s="5" t="n"/>
    </row>
    <row r="475">
      <c r="A475" s="5" t="n"/>
      <c r="B475" s="5" t="n"/>
      <c r="C475" s="35" t="n"/>
      <c r="D475" s="5" t="n"/>
      <c r="E475" s="5" t="n"/>
    </row>
    <row r="476">
      <c r="A476" s="5" t="n"/>
      <c r="B476" s="5" t="n"/>
      <c r="C476" s="35" t="n"/>
      <c r="D476" s="5" t="n"/>
      <c r="E476" s="5" t="n"/>
    </row>
    <row r="477">
      <c r="A477" s="5" t="n"/>
      <c r="B477" s="5" t="n"/>
      <c r="C477" s="35" t="n"/>
      <c r="D477" s="5" t="n"/>
      <c r="E477" s="5" t="n"/>
    </row>
    <row r="478">
      <c r="A478" s="5" t="n"/>
      <c r="B478" s="5" t="n"/>
      <c r="C478" s="35" t="n"/>
      <c r="D478" s="5" t="n"/>
      <c r="E478" s="5" t="n"/>
    </row>
    <row r="479">
      <c r="A479" s="5" t="n"/>
      <c r="B479" s="5" t="n"/>
      <c r="C479" s="35" t="n"/>
      <c r="D479" s="5" t="n"/>
      <c r="E479" s="5" t="n"/>
    </row>
    <row r="480">
      <c r="A480" s="5" t="n"/>
      <c r="B480" s="5" t="n"/>
      <c r="C480" s="35" t="n"/>
      <c r="D480" s="5" t="n"/>
      <c r="E480" s="5" t="n"/>
    </row>
    <row r="481">
      <c r="A481" s="5" t="n"/>
      <c r="B481" s="5" t="n"/>
      <c r="C481" s="35" t="n"/>
      <c r="D481" s="5" t="n"/>
      <c r="E481" s="5" t="n"/>
    </row>
    <row r="482">
      <c r="A482" s="5" t="n"/>
      <c r="B482" s="5" t="n"/>
      <c r="C482" s="35" t="n"/>
      <c r="D482" s="5" t="n"/>
      <c r="E482" s="5" t="n"/>
    </row>
    <row r="483">
      <c r="A483" s="5" t="n"/>
      <c r="B483" s="5" t="n"/>
      <c r="C483" s="35" t="n"/>
      <c r="D483" s="5" t="n"/>
      <c r="E483" s="5" t="n"/>
    </row>
    <row r="484">
      <c r="A484" s="5" t="n"/>
      <c r="B484" s="5" t="n"/>
      <c r="C484" s="35" t="n"/>
      <c r="D484" s="5" t="n"/>
      <c r="E484" s="5" t="n"/>
    </row>
    <row r="485">
      <c r="A485" s="5" t="n"/>
      <c r="B485" s="5" t="n"/>
      <c r="C485" s="35" t="n"/>
      <c r="D485" s="5" t="n"/>
      <c r="E485" s="5" t="n"/>
    </row>
    <row r="486">
      <c r="A486" s="5" t="n"/>
      <c r="B486" s="5" t="n"/>
      <c r="C486" s="35" t="n"/>
      <c r="D486" s="5" t="n"/>
      <c r="E486" s="5" t="n"/>
    </row>
    <row r="487">
      <c r="A487" s="5" t="n"/>
      <c r="B487" s="5" t="n"/>
      <c r="C487" s="35" t="n"/>
      <c r="D487" s="5" t="n"/>
      <c r="E487" s="5" t="n"/>
    </row>
    <row r="488">
      <c r="A488" s="5" t="n"/>
      <c r="B488" s="5" t="n"/>
      <c r="C488" s="35" t="n"/>
      <c r="D488" s="5" t="n"/>
      <c r="E488" s="5" t="n"/>
    </row>
    <row r="489">
      <c r="A489" s="5" t="n"/>
      <c r="B489" s="5" t="n"/>
      <c r="C489" s="35" t="n"/>
      <c r="D489" s="5" t="n"/>
      <c r="E489" s="5" t="n"/>
    </row>
    <row r="490">
      <c r="A490" s="5" t="n"/>
      <c r="B490" s="5" t="n"/>
      <c r="C490" s="35" t="n"/>
      <c r="D490" s="5" t="n"/>
      <c r="E490" s="5" t="n"/>
    </row>
    <row r="491">
      <c r="A491" s="5" t="n"/>
      <c r="B491" s="5" t="n"/>
      <c r="C491" s="35" t="n"/>
      <c r="D491" s="5" t="n"/>
      <c r="E491" s="5" t="n"/>
    </row>
    <row r="492">
      <c r="A492" s="5" t="n"/>
      <c r="B492" s="5" t="n"/>
      <c r="C492" s="35" t="n"/>
      <c r="D492" s="5" t="n"/>
      <c r="E492" s="5" t="n"/>
    </row>
    <row r="493">
      <c r="A493" s="5" t="n"/>
      <c r="B493" s="5" t="n"/>
      <c r="C493" s="35" t="n"/>
      <c r="D493" s="5" t="n"/>
      <c r="E493" s="5" t="n"/>
    </row>
    <row r="494">
      <c r="A494" s="5" t="n"/>
      <c r="B494" s="5" t="n"/>
      <c r="C494" s="35" t="n"/>
      <c r="D494" s="5" t="n"/>
      <c r="E494" s="5" t="n"/>
    </row>
    <row r="495">
      <c r="A495" s="5" t="n"/>
      <c r="B495" s="5" t="n"/>
      <c r="C495" s="35" t="n"/>
      <c r="D495" s="5" t="n"/>
      <c r="E495" s="5" t="n"/>
    </row>
    <row r="496">
      <c r="A496" s="5" t="n"/>
      <c r="B496" s="5" t="n"/>
      <c r="C496" s="35" t="n"/>
      <c r="D496" s="5" t="n"/>
      <c r="E496" s="5" t="n"/>
    </row>
    <row r="497">
      <c r="A497" s="5" t="n"/>
      <c r="B497" s="5" t="n"/>
      <c r="C497" s="35" t="n"/>
      <c r="D497" s="5" t="n"/>
      <c r="E497" s="5" t="n"/>
    </row>
    <row r="498">
      <c r="A498" s="5" t="n"/>
      <c r="B498" s="5" t="n"/>
      <c r="C498" s="35" t="n"/>
      <c r="D498" s="5" t="n"/>
      <c r="E498" s="5" t="n"/>
    </row>
    <row r="499">
      <c r="A499" s="5" t="n"/>
      <c r="B499" s="5" t="n"/>
      <c r="C499" s="35" t="n"/>
      <c r="D499" s="5" t="n"/>
      <c r="E499" s="5" t="n"/>
    </row>
    <row r="500">
      <c r="A500" s="5" t="n"/>
      <c r="B500" s="5" t="n"/>
      <c r="C500" s="35" t="n"/>
      <c r="D500" s="5" t="n"/>
      <c r="E500" s="5" t="n"/>
    </row>
    <row r="501">
      <c r="A501" s="5" t="n"/>
      <c r="B501" s="5" t="n"/>
      <c r="C501" s="35" t="n"/>
      <c r="D501" s="5" t="n"/>
      <c r="E501" s="5" t="n"/>
    </row>
    <row r="502">
      <c r="A502" s="5" t="n"/>
      <c r="B502" s="5" t="n"/>
      <c r="C502" s="35" t="n"/>
      <c r="D502" s="5" t="n"/>
      <c r="E502" s="5" t="n"/>
    </row>
    <row r="503">
      <c r="A503" s="5" t="n"/>
      <c r="B503" s="5" t="n"/>
      <c r="C503" s="35" t="n"/>
      <c r="D503" s="5" t="n"/>
      <c r="E503" s="5" t="n"/>
    </row>
    <row r="504">
      <c r="A504" s="5" t="n"/>
      <c r="B504" s="5" t="n"/>
      <c r="C504" s="35" t="n"/>
      <c r="D504" s="5" t="n"/>
      <c r="E504" s="5" t="n"/>
    </row>
  </sheetData>
  <autoFilter ref="A4:E504"/>
  <mergeCells count="2">
    <mergeCell ref="A2:E2"/>
    <mergeCell ref="A1:E1"/>
  </mergeCells>
  <conditionalFormatting sqref="E5:E504">
    <cfRule type="expression" priority="1" dxfId="0">
      <formula>ISNUMBER(SEARCH("Tamam",E5))</formula>
    </cfRule>
    <cfRule type="expression" priority="2" dxfId="1">
      <formula>ISNUMBER(SEARCH("Devam",E5))</formula>
    </cfRule>
  </conditionalFormatting>
  <dataValidations count="1">
    <dataValidation sqref="E5:E504" showDropDown="0" showInputMessage="0" showErrorMessage="0" allowBlank="1" type="list">
      <formula1>"Bekliyor,Devam ediyor,Tamam"</formula1>
    </dataValidation>
  </dataValidation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sablon</t>
        </is>
      </c>
      <c r="B1" t="inlineStr">
        <is>
          <t>anahtar-teslim</t>
        </is>
      </c>
      <c r="C1" t="inlineStr">
        <is>
          <t>surum</t>
        </is>
      </c>
      <c r="D1" t="inlineStr">
        <is>
          <t>1.0</t>
        </is>
      </c>
    </row>
    <row r="2">
      <c r="A2" t="inlineStr">
        <is>
          <t>sayfa</t>
        </is>
      </c>
      <c r="B2" t="inlineStr">
        <is>
          <t>kaynak</t>
        </is>
      </c>
      <c r="C2" t="inlineStr">
        <is>
          <t>sütun başlığı</t>
        </is>
      </c>
      <c r="D2" t="inlineStr">
        <is>
          <t>alan</t>
        </is>
      </c>
    </row>
    <row r="3">
      <c r="A3" t="inlineStr">
        <is>
          <t>Özet</t>
        </is>
      </c>
      <c r="B3" t="inlineStr">
        <is>
          <t>alanlar:01-ozet.md</t>
        </is>
      </c>
      <c r="C3" t="inlineStr">
        <is>
          <t>İhale Kayıt No (İKN)</t>
        </is>
      </c>
      <c r="D3" t="inlineStr">
        <is>
          <t>İKN|İhale kayıt no|İhale kodu</t>
        </is>
      </c>
    </row>
    <row r="4">
      <c r="A4" t="inlineStr">
        <is>
          <t>Özet</t>
        </is>
      </c>
      <c r="B4" t="inlineStr">
        <is>
          <t>alanlar:01-ozet.md</t>
        </is>
      </c>
      <c r="C4" t="inlineStr">
        <is>
          <t>İdare</t>
        </is>
      </c>
      <c r="D4" t="inlineStr">
        <is>
          <t>İdare</t>
        </is>
      </c>
    </row>
    <row r="5">
      <c r="A5" t="inlineStr">
        <is>
          <t>Özet</t>
        </is>
      </c>
      <c r="B5" t="inlineStr">
        <is>
          <t>alanlar:01-ozet.md</t>
        </is>
      </c>
      <c r="C5" t="inlineStr">
        <is>
          <t>İşin Adı</t>
        </is>
      </c>
      <c r="D5" t="inlineStr">
        <is>
          <t>İşin adı|İşin adı / niteliği / miktarı|İş</t>
        </is>
      </c>
    </row>
    <row r="6">
      <c r="A6" t="inlineStr">
        <is>
          <t>Özet</t>
        </is>
      </c>
      <c r="B6" t="inlineStr">
        <is>
          <t>alanlar:01-ozet.md</t>
        </is>
      </c>
      <c r="C6" t="inlineStr">
        <is>
          <t>İhale Usulü</t>
        </is>
      </c>
      <c r="D6" t="inlineStr">
        <is>
          <t>İhale usulü</t>
        </is>
      </c>
    </row>
    <row r="7">
      <c r="A7" t="inlineStr">
        <is>
          <t>Özet</t>
        </is>
      </c>
      <c r="B7" t="inlineStr">
        <is>
          <t>alanlar:01-ozet.md</t>
        </is>
      </c>
      <c r="C7" t="inlineStr">
        <is>
          <t>Teklif Türü</t>
        </is>
      </c>
      <c r="D7" t="inlineStr">
        <is>
          <t>Teklif türü|Teklif türü (birim fiyat / götürü bedel)</t>
        </is>
      </c>
    </row>
    <row r="8">
      <c r="A8" t="inlineStr">
        <is>
          <t>Özet</t>
        </is>
      </c>
      <c r="B8" t="inlineStr">
        <is>
          <t>alanlar:01-ozet.md</t>
        </is>
      </c>
      <c r="C8" t="inlineStr">
        <is>
          <t>İhale Tarihi ve Saati</t>
        </is>
      </c>
      <c r="D8" t="inlineStr">
        <is>
          <t>İhale tarihi ve saati|İhale tarihi</t>
        </is>
      </c>
    </row>
    <row r="9">
      <c r="A9" t="inlineStr">
        <is>
          <t>Özet</t>
        </is>
      </c>
      <c r="B9" t="inlineStr">
        <is>
          <t>alanlar:01-ozet.md</t>
        </is>
      </c>
      <c r="C9" t="inlineStr">
        <is>
          <t>Yaklaşık Maliyet</t>
        </is>
      </c>
      <c r="D9" t="inlineStr">
        <is>
          <t>Yaklaşık maliyet|Yaklaşık maliyet (açıklanmışsa)</t>
        </is>
      </c>
    </row>
    <row r="10">
      <c r="A10" t="inlineStr">
        <is>
          <t>Özet</t>
        </is>
      </c>
      <c r="B10" t="inlineStr">
        <is>
          <t>alanlar:01-ozet.md</t>
        </is>
      </c>
      <c r="C10" t="inlineStr">
        <is>
          <t>Geçici Teminat Oranı</t>
        </is>
      </c>
      <c r="D10" t="inlineStr">
        <is>
          <t>Geçici teminat oranı</t>
        </is>
      </c>
    </row>
    <row r="11">
      <c r="A11" t="inlineStr">
        <is>
          <t>Özet</t>
        </is>
      </c>
      <c r="B11" t="inlineStr">
        <is>
          <t>alanlar:01-ozet.md</t>
        </is>
      </c>
      <c r="C11" t="inlineStr">
        <is>
          <t>İşin Süresi</t>
        </is>
      </c>
      <c r="D11" t="inlineStr">
        <is>
          <t>İşin süresi|İşin süresi / yeri</t>
        </is>
      </c>
    </row>
    <row r="12">
      <c r="A12" t="inlineStr">
        <is>
          <t>Özet</t>
        </is>
      </c>
      <c r="B12" t="inlineStr">
        <is>
          <t>alanlar:01-ozet.md</t>
        </is>
      </c>
      <c r="C12" t="inlineStr">
        <is>
          <t>İşin Yeri</t>
        </is>
      </c>
      <c r="D12" t="inlineStr">
        <is>
          <t>İşin yeri</t>
        </is>
      </c>
    </row>
    <row r="13">
      <c r="A13" t="inlineStr">
        <is>
          <t>Özet</t>
        </is>
      </c>
      <c r="B13" t="inlineStr">
        <is>
          <t>karar:rapor</t>
        </is>
      </c>
      <c r="C13" t="inlineStr">
        <is>
          <t>Karar</t>
        </is>
      </c>
      <c r="D13" t="inlineStr">
        <is>
          <t>karar</t>
        </is>
      </c>
    </row>
    <row r="14">
      <c r="A14" t="inlineStr">
        <is>
          <t>Özet</t>
        </is>
      </c>
      <c r="B14" t="inlineStr">
        <is>
          <t>karar:rapor</t>
        </is>
      </c>
      <c r="C14" t="inlineStr">
        <is>
          <t>Karar Gerekçesi</t>
        </is>
      </c>
      <c r="D14" t="inlineStr">
        <is>
          <t>gerekce</t>
        </is>
      </c>
    </row>
    <row r="15">
      <c r="A15" t="inlineStr">
        <is>
          <t>Özet</t>
        </is>
      </c>
      <c r="B15" t="inlineStr">
        <is>
          <t>karar:rapor</t>
        </is>
      </c>
      <c r="C15" t="inlineStr">
        <is>
          <t>Analiz Tarihi</t>
        </is>
      </c>
      <c r="D15" t="inlineStr">
        <is>
          <t>tarih</t>
        </is>
      </c>
    </row>
    <row r="16">
      <c r="A16" t="inlineStr">
        <is>
          <t>Yeterlilik</t>
        </is>
      </c>
      <c r="B16" t="inlineStr">
        <is>
          <t>tablo:02-idari.md</t>
        </is>
      </c>
      <c r="C16" t="inlineStr">
        <is>
          <t>Sıra</t>
        </is>
      </c>
      <c r="D16" t="inlineStr">
        <is>
          <t>#sira</t>
        </is>
      </c>
    </row>
    <row r="17">
      <c r="A17" t="inlineStr">
        <is>
          <t>Yeterlilik</t>
        </is>
      </c>
      <c r="B17" t="inlineStr">
        <is>
          <t>tablo:02-idari.md</t>
        </is>
      </c>
      <c r="C17" t="inlineStr">
        <is>
          <t>Koşul</t>
        </is>
      </c>
      <c r="D17" t="inlineStr">
        <is>
          <t>Koşul</t>
        </is>
      </c>
    </row>
    <row r="18">
      <c r="A18" t="inlineStr">
        <is>
          <t>Yeterlilik</t>
        </is>
      </c>
      <c r="B18" t="inlineStr">
        <is>
          <t>tablo:02-idari.md</t>
        </is>
      </c>
      <c r="C18" t="inlineStr">
        <is>
          <t>Şartname Maddesi</t>
        </is>
      </c>
      <c r="D18" t="inlineStr">
        <is>
          <t>Madde</t>
        </is>
      </c>
    </row>
    <row r="19">
      <c r="A19" t="inlineStr">
        <is>
          <t>Yeterlilik</t>
        </is>
      </c>
      <c r="B19" t="inlineStr">
        <is>
          <t>tablo:02-idari.md</t>
        </is>
      </c>
      <c r="C19" t="inlineStr">
        <is>
          <t>Firma Durumu</t>
        </is>
      </c>
      <c r="D19" t="inlineStr">
        <is>
          <t>Firma durumu|Firma durumu (Karşılıyor / Eksik / Belirsiz)|Durum</t>
        </is>
      </c>
    </row>
    <row r="20">
      <c r="A20" t="inlineStr">
        <is>
          <t>Yeterlilik</t>
        </is>
      </c>
      <c r="B20" t="inlineStr">
        <is>
          <t>tablo:02-idari.md</t>
        </is>
      </c>
      <c r="C20" t="inlineStr">
        <is>
          <t>Not</t>
        </is>
      </c>
      <c r="D20" t="inlineStr">
        <is>
          <t>Not</t>
        </is>
      </c>
    </row>
    <row r="21">
      <c r="A21" t="inlineStr">
        <is>
          <t>Teknik</t>
        </is>
      </c>
      <c r="B21" t="inlineStr">
        <is>
          <t>tablo:03-teknik.md</t>
        </is>
      </c>
      <c r="C21" t="inlineStr">
        <is>
          <t>Sıra</t>
        </is>
      </c>
      <c r="D21" t="inlineStr">
        <is>
          <t>#sira</t>
        </is>
      </c>
    </row>
    <row r="22">
      <c r="A22" t="inlineStr">
        <is>
          <t>Teknik</t>
        </is>
      </c>
      <c r="B22" t="inlineStr">
        <is>
          <t>tablo:03-teknik.md</t>
        </is>
      </c>
      <c r="C22" t="inlineStr">
        <is>
          <t>Gereksinim</t>
        </is>
      </c>
      <c r="D22" t="inlineStr">
        <is>
          <t>Gereksinim</t>
        </is>
      </c>
    </row>
    <row r="23">
      <c r="A23" t="inlineStr">
        <is>
          <t>Teknik</t>
        </is>
      </c>
      <c r="B23" t="inlineStr">
        <is>
          <t>tablo:03-teknik.md</t>
        </is>
      </c>
      <c r="C23" t="inlineStr">
        <is>
          <t>Şartname Maddesi</t>
        </is>
      </c>
      <c r="D23" t="inlineStr">
        <is>
          <t>Madde</t>
        </is>
      </c>
    </row>
    <row r="24">
      <c r="A24" t="inlineStr">
        <is>
          <t>Teknik</t>
        </is>
      </c>
      <c r="B24" t="inlineStr">
        <is>
          <t>tablo:03-teknik.md</t>
        </is>
      </c>
      <c r="C24" t="inlineStr">
        <is>
          <t>Durum</t>
        </is>
      </c>
      <c r="D24" t="inlineStr">
        <is>
          <t>Durum</t>
        </is>
      </c>
    </row>
    <row r="25">
      <c r="A25" t="inlineStr">
        <is>
          <t>Teknik</t>
        </is>
      </c>
      <c r="B25" t="inlineStr">
        <is>
          <t>tablo:03-teknik.md</t>
        </is>
      </c>
      <c r="C25" t="inlineStr">
        <is>
          <t>Not</t>
        </is>
      </c>
      <c r="D25" t="inlineStr">
        <is>
          <t>Not</t>
        </is>
      </c>
    </row>
    <row r="26">
      <c r="A26" t="inlineStr">
        <is>
          <t>Mali</t>
        </is>
      </c>
      <c r="B26" t="inlineStr">
        <is>
          <t>tablo:04-mali.md</t>
        </is>
      </c>
      <c r="C26" t="inlineStr">
        <is>
          <t>Sıra</t>
        </is>
      </c>
      <c r="D26" t="inlineStr">
        <is>
          <t>#sira</t>
        </is>
      </c>
    </row>
    <row r="27">
      <c r="A27" t="inlineStr">
        <is>
          <t>Mali</t>
        </is>
      </c>
      <c r="B27" t="inlineStr">
        <is>
          <t>tablo:04-mali.md</t>
        </is>
      </c>
      <c r="C27" t="inlineStr">
        <is>
          <t>Kalem</t>
        </is>
      </c>
      <c r="D27" t="inlineStr">
        <is>
          <t>Kalem</t>
        </is>
      </c>
    </row>
    <row r="28">
      <c r="A28" t="inlineStr">
        <is>
          <t>Mali</t>
        </is>
      </c>
      <c r="B28" t="inlineStr">
        <is>
          <t>tablo:04-mali.md</t>
        </is>
      </c>
      <c r="C28" t="inlineStr">
        <is>
          <t>Değer</t>
        </is>
      </c>
      <c r="D28" t="inlineStr">
        <is>
          <t>Değer</t>
        </is>
      </c>
    </row>
    <row r="29">
      <c r="A29" t="inlineStr">
        <is>
          <t>Mali</t>
        </is>
      </c>
      <c r="B29" t="inlineStr">
        <is>
          <t>tablo:04-mali.md</t>
        </is>
      </c>
      <c r="C29" t="inlineStr">
        <is>
          <t>Kaynak</t>
        </is>
      </c>
      <c r="D29" t="inlineStr">
        <is>
          <t>Kaynak|Madde</t>
        </is>
      </c>
    </row>
    <row r="30">
      <c r="A30" t="inlineStr">
        <is>
          <t>Mali</t>
        </is>
      </c>
      <c r="B30" t="inlineStr">
        <is>
          <t>tablo:04-mali.md</t>
        </is>
      </c>
      <c r="C30" t="inlineStr">
        <is>
          <t>Not</t>
        </is>
      </c>
      <c r="D30" t="inlineStr">
        <is>
          <t>Not</t>
        </is>
      </c>
    </row>
    <row r="31">
      <c r="A31" t="inlineStr">
        <is>
          <t>Riskler</t>
        </is>
      </c>
      <c r="B31" t="inlineStr">
        <is>
          <t>tablo:05-riskler.md</t>
        </is>
      </c>
      <c r="C31" t="inlineStr">
        <is>
          <t>Sıra</t>
        </is>
      </c>
      <c r="D31" t="inlineStr">
        <is>
          <t>#sira</t>
        </is>
      </c>
    </row>
    <row r="32">
      <c r="A32" t="inlineStr">
        <is>
          <t>Riskler</t>
        </is>
      </c>
      <c r="B32" t="inlineStr">
        <is>
          <t>tablo:05-riskler.md</t>
        </is>
      </c>
      <c r="C32" t="inlineStr">
        <is>
          <t>Risk</t>
        </is>
      </c>
      <c r="D32" t="inlineStr">
        <is>
          <t>Risk</t>
        </is>
      </c>
    </row>
    <row r="33">
      <c r="A33" t="inlineStr">
        <is>
          <t>Riskler</t>
        </is>
      </c>
      <c r="B33" t="inlineStr">
        <is>
          <t>tablo:05-riskler.md</t>
        </is>
      </c>
      <c r="C33" t="inlineStr">
        <is>
          <t>Kaynak</t>
        </is>
      </c>
      <c r="D33" t="inlineStr">
        <is>
          <t>Kaynak</t>
        </is>
      </c>
    </row>
    <row r="34">
      <c r="A34" t="inlineStr">
        <is>
          <t>Riskler</t>
        </is>
      </c>
      <c r="B34" t="inlineStr">
        <is>
          <t>tablo:05-riskler.md</t>
        </is>
      </c>
      <c r="C34" t="inlineStr">
        <is>
          <t>Seviye</t>
        </is>
      </c>
      <c r="D34" t="inlineStr">
        <is>
          <t>Seviye|Seviye (Düşük/Orta/Yüksek)</t>
        </is>
      </c>
    </row>
    <row r="35">
      <c r="A35" t="inlineStr">
        <is>
          <t>Riskler</t>
        </is>
      </c>
      <c r="B35" t="inlineStr">
        <is>
          <t>tablo:05-riskler.md</t>
        </is>
      </c>
      <c r="C35" t="inlineStr">
        <is>
          <t>Önlem</t>
        </is>
      </c>
      <c r="D35" t="inlineStr">
        <is>
          <t>Önlem</t>
        </is>
      </c>
    </row>
    <row r="36">
      <c r="A36" t="inlineStr">
        <is>
          <t>Kişisel Hesap</t>
        </is>
      </c>
      <c r="B36" t="inlineStr">
        <is>
          <t>csv:kisisel-hesap.csv</t>
        </is>
      </c>
      <c r="C36" t="inlineStr">
        <is>
          <t>Sıra</t>
        </is>
      </c>
      <c r="D36" t="inlineStr">
        <is>
          <t>#sira</t>
        </is>
      </c>
    </row>
    <row r="37">
      <c r="A37" t="inlineStr">
        <is>
          <t>Kişisel Hesap</t>
        </is>
      </c>
      <c r="B37" t="inlineStr">
        <is>
          <t>csv:kisisel-hesap.csv</t>
        </is>
      </c>
      <c r="C37" t="inlineStr">
        <is>
          <t>Poz No</t>
        </is>
      </c>
      <c r="D37" t="inlineStr">
        <is>
          <t>poz_no</t>
        </is>
      </c>
    </row>
    <row r="38">
      <c r="A38" t="inlineStr">
        <is>
          <t>Kişisel Hesap</t>
        </is>
      </c>
      <c r="B38" t="inlineStr">
        <is>
          <t>csv:kisisel-hesap.csv</t>
        </is>
      </c>
      <c r="C38" t="inlineStr">
        <is>
          <t>Tanım</t>
        </is>
      </c>
      <c r="D38" t="inlineStr">
        <is>
          <t>tanim</t>
        </is>
      </c>
    </row>
    <row r="39">
      <c r="A39" t="inlineStr">
        <is>
          <t>Kişisel Hesap</t>
        </is>
      </c>
      <c r="B39" t="inlineStr">
        <is>
          <t>csv:kisisel-hesap.csv</t>
        </is>
      </c>
      <c r="C39" t="inlineStr">
        <is>
          <t>Birim</t>
        </is>
      </c>
      <c r="D39" t="inlineStr">
        <is>
          <t>birim</t>
        </is>
      </c>
    </row>
    <row r="40">
      <c r="A40" t="inlineStr">
        <is>
          <t>Kişisel Hesap</t>
        </is>
      </c>
      <c r="B40" t="inlineStr">
        <is>
          <t>csv:kisisel-hesap.csv</t>
        </is>
      </c>
      <c r="C40" t="inlineStr">
        <is>
          <t>Miktar</t>
        </is>
      </c>
      <c r="D40" t="inlineStr">
        <is>
          <t>miktar</t>
        </is>
      </c>
    </row>
    <row r="41">
      <c r="A41" t="inlineStr">
        <is>
          <t>Kişisel Hesap</t>
        </is>
      </c>
      <c r="B41" t="inlineStr">
        <is>
          <t>csv:kisisel-hesap.csv</t>
        </is>
      </c>
      <c r="C41" t="inlineStr">
        <is>
          <t>Birim Fiyat</t>
        </is>
      </c>
      <c r="D41" t="inlineStr">
        <is>
          <t>birim_fiyat</t>
        </is>
      </c>
    </row>
    <row r="42">
      <c r="A42" t="inlineStr">
        <is>
          <t>Kişisel Hesap</t>
        </is>
      </c>
      <c r="B42" t="inlineStr">
        <is>
          <t>csv:kisisel-hesap.csv</t>
        </is>
      </c>
      <c r="C42" t="inlineStr">
        <is>
          <t>Sistem Tutarı</t>
        </is>
      </c>
      <c r="D42" t="inlineStr">
        <is>
          <t>sistem_tutar</t>
        </is>
      </c>
    </row>
    <row r="43">
      <c r="A43" t="inlineStr">
        <is>
          <t>Kişisel Hesap</t>
        </is>
      </c>
      <c r="B43" t="inlineStr">
        <is>
          <t>csv:kisisel-hesap.csv</t>
        </is>
      </c>
      <c r="C43" t="inlineStr">
        <is>
          <t>Kişisel Tutar</t>
        </is>
      </c>
      <c r="D43" t="inlineStr">
        <is>
          <t>kisisel_tutar</t>
        </is>
      </c>
    </row>
    <row r="44">
      <c r="A44" t="inlineStr">
        <is>
          <t>Kişisel Hesap</t>
        </is>
      </c>
      <c r="B44" t="inlineStr">
        <is>
          <t>csv:kisisel-hesap.csv</t>
        </is>
      </c>
      <c r="C44" t="inlineStr">
        <is>
          <t>Uygulanan Kurallar</t>
        </is>
      </c>
      <c r="D44" t="inlineStr">
        <is>
          <t>uygulanan_kurallar</t>
        </is>
      </c>
    </row>
    <row r="45">
      <c r="A45" t="inlineStr">
        <is>
          <t>Yapılacaklar</t>
        </is>
      </c>
      <c r="B45" t="inlineStr">
        <is>
          <t>csv:yapilacaklar.csv</t>
        </is>
      </c>
      <c r="C45" t="inlineStr">
        <is>
          <t>Sıra</t>
        </is>
      </c>
      <c r="D45" t="inlineStr">
        <is>
          <t>#sira</t>
        </is>
      </c>
    </row>
    <row r="46">
      <c r="A46" t="inlineStr">
        <is>
          <t>Yapılacaklar</t>
        </is>
      </c>
      <c r="B46" t="inlineStr">
        <is>
          <t>csv:yapilacaklar.csv</t>
        </is>
      </c>
      <c r="C46" t="inlineStr">
        <is>
          <t>İş</t>
        </is>
      </c>
      <c r="D46" t="inlineStr">
        <is>
          <t>is</t>
        </is>
      </c>
    </row>
    <row r="47">
      <c r="A47" t="inlineStr">
        <is>
          <t>Yapılacaklar</t>
        </is>
      </c>
      <c r="B47" t="inlineStr">
        <is>
          <t>csv:yapilacaklar.csv</t>
        </is>
      </c>
      <c r="C47" t="inlineStr">
        <is>
          <t>Son Tarih</t>
        </is>
      </c>
      <c r="D47" t="inlineStr">
        <is>
          <t>son_tarih</t>
        </is>
      </c>
    </row>
    <row r="48">
      <c r="A48" t="inlineStr">
        <is>
          <t>Yapılacaklar</t>
        </is>
      </c>
      <c r="B48" t="inlineStr">
        <is>
          <t>csv:yapilacaklar.csv</t>
        </is>
      </c>
      <c r="C48" t="inlineStr">
        <is>
          <t>Sorumlu</t>
        </is>
      </c>
      <c r="D48" t="inlineStr">
        <is>
          <t>sorumlu</t>
        </is>
      </c>
    </row>
    <row r="49">
      <c r="A49" t="inlineStr">
        <is>
          <t>Yapılacaklar</t>
        </is>
      </c>
      <c r="B49" t="inlineStr">
        <is>
          <t>csv:yapilacaklar.csv</t>
        </is>
      </c>
      <c r="C49" t="inlineStr">
        <is>
          <t>Durum</t>
        </is>
      </c>
      <c r="D49" t="inlineStr">
        <is>
          <t>durum</t>
        </is>
      </c>
    </row>
    <row r="50">
      <c r="A50" t="inlineStr">
        <is>
          <t>Fiyat Kaynakları</t>
        </is>
      </c>
      <c r="B50" t="inlineStr">
        <is>
          <t>csv:fiyat-kaynaklari.csv</t>
        </is>
      </c>
      <c r="C50" t="inlineStr">
        <is>
          <t>Sıra No</t>
        </is>
      </c>
      <c r="D50" t="inlineStr">
        <is>
          <t>#sira</t>
        </is>
      </c>
    </row>
    <row r="51">
      <c r="A51" t="inlineStr">
        <is>
          <t>Fiyat Kaynakları</t>
        </is>
      </c>
      <c r="B51" t="inlineStr">
        <is>
          <t>csv:fiyat-kaynaklari.csv</t>
        </is>
      </c>
      <c r="C51" t="inlineStr">
        <is>
          <t>Poz No</t>
        </is>
      </c>
      <c r="D51" t="inlineStr">
        <is>
          <t>poz_no</t>
        </is>
      </c>
    </row>
    <row r="52">
      <c r="A52" t="inlineStr">
        <is>
          <t>Fiyat Kaynakları</t>
        </is>
      </c>
      <c r="B52" t="inlineStr">
        <is>
          <t>csv:fiyat-kaynaklari.csv</t>
        </is>
      </c>
      <c r="C52" t="inlineStr">
        <is>
          <t>İmalatın Cinsi</t>
        </is>
      </c>
      <c r="D52" t="inlineStr">
        <is>
          <t>tanim</t>
        </is>
      </c>
    </row>
    <row r="53">
      <c r="A53" t="inlineStr">
        <is>
          <t>Fiyat Kaynakları</t>
        </is>
      </c>
      <c r="B53" t="inlineStr">
        <is>
          <t>csv:fiyat-kaynaklari.csv</t>
        </is>
      </c>
      <c r="C53" t="inlineStr">
        <is>
          <t>Birim</t>
        </is>
      </c>
      <c r="D53" t="inlineStr">
        <is>
          <t>birim</t>
        </is>
      </c>
    </row>
    <row r="54">
      <c r="A54" t="inlineStr">
        <is>
          <t>Fiyat Kaynakları</t>
        </is>
      </c>
      <c r="B54" t="inlineStr">
        <is>
          <t>csv:fiyat-kaynaklari.csv</t>
        </is>
      </c>
      <c r="C54" t="inlineStr">
        <is>
          <t>Birim Fiyat</t>
        </is>
      </c>
      <c r="D54" t="inlineStr">
        <is>
          <t>birim_fiyat</t>
        </is>
      </c>
    </row>
    <row r="55">
      <c r="A55" t="inlineStr">
        <is>
          <t>Fiyat Kaynakları</t>
        </is>
      </c>
      <c r="B55" t="inlineStr">
        <is>
          <t>csv:fiyat-kaynaklari.csv</t>
        </is>
      </c>
      <c r="C55" t="inlineStr">
        <is>
          <t>Kaynak Listesi</t>
        </is>
      </c>
      <c r="D55" t="inlineStr">
        <is>
          <t>kaynak</t>
        </is>
      </c>
    </row>
    <row r="56">
      <c r="A56" t="inlineStr">
        <is>
          <t>Fiyat Kaynakları</t>
        </is>
      </c>
      <c r="B56" t="inlineStr">
        <is>
          <t>csv:fiyat-kaynaklari.csv</t>
        </is>
      </c>
      <c r="C56" t="inlineStr">
        <is>
          <t>Dayanak / Sayfa</t>
        </is>
      </c>
      <c r="D56" t="inlineStr">
        <is>
          <t>dayanak</t>
        </is>
      </c>
    </row>
    <row r="57">
      <c r="A57" t="inlineStr">
        <is>
          <t>Fiyat Kaynakları</t>
        </is>
      </c>
      <c r="B57" t="inlineStr">
        <is>
          <t>csv:fiyat-kaynaklari.csv</t>
        </is>
      </c>
      <c r="C57" t="inlineStr">
        <is>
          <t>Dönem</t>
        </is>
      </c>
      <c r="D57" t="inlineStr">
        <is>
          <t>donem</t>
        </is>
      </c>
    </row>
    <row r="58">
      <c r="A58" t="inlineStr">
        <is>
          <t>Fiyat Kaynakları</t>
        </is>
      </c>
      <c r="B58" t="inlineStr">
        <is>
          <t>csv:fiyat-kaynaklari.csv</t>
        </is>
      </c>
      <c r="C58" t="inlineStr">
        <is>
          <t>Not</t>
        </is>
      </c>
      <c r="D58" t="inlineStr">
        <is>
          <t>not</t>
        </is>
      </c>
    </row>
    <row r="59">
      <c r="A59" t="inlineStr">
        <is>
          <t>Açık Sorular</t>
        </is>
      </c>
      <c r="B59" t="inlineStr">
        <is>
          <t>csv:acik-sorular.csv</t>
        </is>
      </c>
      <c r="C59" t="inlineStr">
        <is>
          <t>No</t>
        </is>
      </c>
      <c r="D59" t="inlineStr">
        <is>
          <t>#sira</t>
        </is>
      </c>
    </row>
    <row r="60">
      <c r="A60" t="inlineStr">
        <is>
          <t>Açık Sorular</t>
        </is>
      </c>
      <c r="B60" t="inlineStr">
        <is>
          <t>csv:acik-sorular.csv</t>
        </is>
      </c>
      <c r="C60" t="inlineStr">
        <is>
          <t>Satır / Poz</t>
        </is>
      </c>
      <c r="D60" t="inlineStr">
        <is>
          <t>satir</t>
        </is>
      </c>
    </row>
    <row r="61">
      <c r="A61" t="inlineStr">
        <is>
          <t>Açık Sorular</t>
        </is>
      </c>
      <c r="B61" t="inlineStr">
        <is>
          <t>csv:acik-sorular.csv</t>
        </is>
      </c>
      <c r="C61" t="inlineStr">
        <is>
          <t>Soru</t>
        </is>
      </c>
      <c r="D61" t="inlineStr">
        <is>
          <t>soru</t>
        </is>
      </c>
    </row>
    <row r="62">
      <c r="A62" t="inlineStr">
        <is>
          <t>Açık Sorular</t>
        </is>
      </c>
      <c r="B62" t="inlineStr">
        <is>
          <t>csv:acik-sorular.csv</t>
        </is>
      </c>
      <c r="C62" t="inlineStr">
        <is>
          <t>Etki (TL)</t>
        </is>
      </c>
      <c r="D62" t="inlineStr">
        <is>
          <t>etki</t>
        </is>
      </c>
    </row>
    <row r="63">
      <c r="A63" t="inlineStr">
        <is>
          <t>Açık Sorular</t>
        </is>
      </c>
      <c r="B63" t="inlineStr">
        <is>
          <t>csv:acik-sorular.csv</t>
        </is>
      </c>
      <c r="C63" t="inlineStr">
        <is>
          <t>Durum</t>
        </is>
      </c>
      <c r="D63" t="inlineStr">
        <is>
          <t>durum</t>
        </is>
      </c>
    </row>
    <row r="64">
      <c r="A64" t="inlineStr">
        <is>
          <t>Açık Sorular</t>
        </is>
      </c>
      <c r="B64" t="inlineStr">
        <is>
          <t>csv:acik-sorular.csv</t>
        </is>
      </c>
      <c r="C64" t="inlineStr">
        <is>
          <t>Cevap / Not</t>
        </is>
      </c>
      <c r="D64" t="inlineStr">
        <is>
          <t>cevap</t>
        </is>
      </c>
    </row>
    <row r="65">
      <c r="A65" t="inlineStr">
        <is>
          <t>BFTC</t>
        </is>
      </c>
      <c r="B65" t="inlineStr">
        <is>
          <t>csv:bftc.csv</t>
        </is>
      </c>
      <c r="C65" t="inlineStr">
        <is>
          <t>Sıra No</t>
        </is>
      </c>
      <c r="D65" t="inlineStr">
        <is>
          <t>#sira</t>
        </is>
      </c>
    </row>
    <row r="66">
      <c r="A66" t="inlineStr">
        <is>
          <t>BFTC</t>
        </is>
      </c>
      <c r="B66" t="inlineStr">
        <is>
          <t>csv:bftc.csv</t>
        </is>
      </c>
      <c r="C66" t="inlineStr">
        <is>
          <t>Poz No</t>
        </is>
      </c>
      <c r="D66" t="inlineStr">
        <is>
          <t>poz_no</t>
        </is>
      </c>
    </row>
    <row r="67">
      <c r="A67" t="inlineStr">
        <is>
          <t>BFTC</t>
        </is>
      </c>
      <c r="B67" t="inlineStr">
        <is>
          <t>csv:bftc.csv</t>
        </is>
      </c>
      <c r="C67" t="inlineStr">
        <is>
          <t>İmalatın Cinsi</t>
        </is>
      </c>
      <c r="D67" t="inlineStr">
        <is>
          <t>tanim</t>
        </is>
      </c>
    </row>
    <row r="68">
      <c r="A68" t="inlineStr">
        <is>
          <t>BFTC</t>
        </is>
      </c>
      <c r="B68" t="inlineStr">
        <is>
          <t>csv:bftc.csv</t>
        </is>
      </c>
      <c r="C68" t="inlineStr">
        <is>
          <t>Birim</t>
        </is>
      </c>
      <c r="D68" t="inlineStr">
        <is>
          <t>birim</t>
        </is>
      </c>
    </row>
    <row r="69">
      <c r="A69" t="inlineStr">
        <is>
          <t>BFTC</t>
        </is>
      </c>
      <c r="B69" t="inlineStr">
        <is>
          <t>csv:bftc.csv</t>
        </is>
      </c>
      <c r="C69" t="inlineStr">
        <is>
          <t>Birim Fiyat</t>
        </is>
      </c>
      <c r="D69" t="inlineStr">
        <is>
          <t>birim_fiyat</t>
        </is>
      </c>
    </row>
    <row r="70">
      <c r="A70" t="inlineStr">
        <is>
          <t>BFTC</t>
        </is>
      </c>
      <c r="B70" t="inlineStr">
        <is>
          <t>csv:bftc.csv</t>
        </is>
      </c>
      <c r="C70" t="inlineStr">
        <is>
          <t>Not</t>
        </is>
      </c>
      <c r="D70" t="inlineStr">
        <is>
          <t>not</t>
        </is>
      </c>
    </row>
    <row r="71">
      <c r="A71" t="inlineStr">
        <is>
          <t>Dönemsel BFTC</t>
        </is>
      </c>
      <c r="B71" t="inlineStr">
        <is>
          <t>csv:donemsel-fiyat.csv</t>
        </is>
      </c>
      <c r="C71" t="inlineStr">
        <is>
          <t>Sıra No</t>
        </is>
      </c>
      <c r="D71" t="inlineStr">
        <is>
          <t>#sira</t>
        </is>
      </c>
    </row>
    <row r="72">
      <c r="A72" t="inlineStr">
        <is>
          <t>Dönemsel BFTC</t>
        </is>
      </c>
      <c r="B72" t="inlineStr">
        <is>
          <t>csv:donemsel-fiyat.csv</t>
        </is>
      </c>
      <c r="C72" t="inlineStr">
        <is>
          <t>Poz No</t>
        </is>
      </c>
      <c r="D72" t="inlineStr">
        <is>
          <t>poz_no</t>
        </is>
      </c>
    </row>
    <row r="73">
      <c r="A73" t="inlineStr">
        <is>
          <t>Dönemsel BFTC</t>
        </is>
      </c>
      <c r="B73" t="inlineStr">
        <is>
          <t>csv:donemsel-fiyat.csv</t>
        </is>
      </c>
      <c r="C73" t="inlineStr">
        <is>
          <t>İmalatın Cinsi</t>
        </is>
      </c>
      <c r="D73" t="inlineStr">
        <is>
          <t>tanim</t>
        </is>
      </c>
    </row>
    <row r="74">
      <c r="A74" t="inlineStr">
        <is>
          <t>Dönemsel BFTC</t>
        </is>
      </c>
      <c r="B74" t="inlineStr">
        <is>
          <t>csv:donemsel-fiyat.csv</t>
        </is>
      </c>
      <c r="C74" t="inlineStr">
        <is>
          <t>Birim</t>
        </is>
      </c>
      <c r="D74" t="inlineStr">
        <is>
          <t>birim</t>
        </is>
      </c>
    </row>
    <row r="75">
      <c r="A75" t="inlineStr">
        <is>
          <t>Dönemsel BFTC</t>
        </is>
      </c>
      <c r="B75" t="inlineStr">
        <is>
          <t>csv:donemsel-fiyat.csv</t>
        </is>
      </c>
      <c r="C75" t="inlineStr">
        <is>
          <t>Ocak</t>
        </is>
      </c>
      <c r="D75" t="inlineStr">
        <is>
          <t>ocak</t>
        </is>
      </c>
    </row>
    <row r="76">
      <c r="A76" t="inlineStr">
        <is>
          <t>Dönemsel BFTC</t>
        </is>
      </c>
      <c r="B76" t="inlineStr">
        <is>
          <t>csv:donemsel-fiyat.csv</t>
        </is>
      </c>
      <c r="C76" t="inlineStr">
        <is>
          <t>Şubat</t>
        </is>
      </c>
      <c r="D76" t="inlineStr">
        <is>
          <t>şubat</t>
        </is>
      </c>
    </row>
    <row r="77">
      <c r="A77" t="inlineStr">
        <is>
          <t>Dönemsel BFTC</t>
        </is>
      </c>
      <c r="B77" t="inlineStr">
        <is>
          <t>csv:donemsel-fiyat.csv</t>
        </is>
      </c>
      <c r="C77" t="inlineStr">
        <is>
          <t>Mart</t>
        </is>
      </c>
      <c r="D77" t="inlineStr">
        <is>
          <t>mart</t>
        </is>
      </c>
    </row>
    <row r="78">
      <c r="A78" t="inlineStr">
        <is>
          <t>Dönemsel BFTC</t>
        </is>
      </c>
      <c r="B78" t="inlineStr">
        <is>
          <t>csv:donemsel-fiyat.csv</t>
        </is>
      </c>
      <c r="C78" t="inlineStr">
        <is>
          <t>Nisan</t>
        </is>
      </c>
      <c r="D78" t="inlineStr">
        <is>
          <t>nisan</t>
        </is>
      </c>
    </row>
    <row r="79">
      <c r="A79" t="inlineStr">
        <is>
          <t>Dönemsel BFTC</t>
        </is>
      </c>
      <c r="B79" t="inlineStr">
        <is>
          <t>csv:donemsel-fiyat.csv</t>
        </is>
      </c>
      <c r="C79" t="inlineStr">
        <is>
          <t>Mayıs</t>
        </is>
      </c>
      <c r="D79" t="inlineStr">
        <is>
          <t>mayıs</t>
        </is>
      </c>
    </row>
    <row r="80">
      <c r="A80" t="inlineStr">
        <is>
          <t>Dönemsel BFTC</t>
        </is>
      </c>
      <c r="B80" t="inlineStr">
        <is>
          <t>csv:donemsel-fiyat.csv</t>
        </is>
      </c>
      <c r="C80" t="inlineStr">
        <is>
          <t>Haziran</t>
        </is>
      </c>
      <c r="D80" t="inlineStr">
        <is>
          <t>haziran</t>
        </is>
      </c>
    </row>
    <row r="81">
      <c r="A81" t="inlineStr">
        <is>
          <t>Dönemsel BFTC</t>
        </is>
      </c>
      <c r="B81" t="inlineStr">
        <is>
          <t>csv:donemsel-fiyat.csv</t>
        </is>
      </c>
      <c r="C81" t="inlineStr">
        <is>
          <t>Temmuz</t>
        </is>
      </c>
      <c r="D81" t="inlineStr">
        <is>
          <t>temmuz</t>
        </is>
      </c>
    </row>
    <row r="82">
      <c r="A82" t="inlineStr">
        <is>
          <t>Dönemsel BFTC</t>
        </is>
      </c>
      <c r="B82" t="inlineStr">
        <is>
          <t>csv:donemsel-fiyat.csv</t>
        </is>
      </c>
      <c r="C82" t="inlineStr">
        <is>
          <t>Ağustos</t>
        </is>
      </c>
      <c r="D82" t="inlineStr">
        <is>
          <t>ağustos</t>
        </is>
      </c>
    </row>
    <row r="83">
      <c r="A83" t="inlineStr">
        <is>
          <t>Dönemsel BFTC</t>
        </is>
      </c>
      <c r="B83" t="inlineStr">
        <is>
          <t>csv:donemsel-fiyat.csv</t>
        </is>
      </c>
      <c r="C83" t="inlineStr">
        <is>
          <t>Eylül</t>
        </is>
      </c>
      <c r="D83" t="inlineStr">
        <is>
          <t>eylül</t>
        </is>
      </c>
    </row>
    <row r="84">
      <c r="A84" t="inlineStr">
        <is>
          <t>Dönemsel BFTC</t>
        </is>
      </c>
      <c r="B84" t="inlineStr">
        <is>
          <t>csv:donemsel-fiyat.csv</t>
        </is>
      </c>
      <c r="C84" t="inlineStr">
        <is>
          <t>Ekim</t>
        </is>
      </c>
      <c r="D84" t="inlineStr">
        <is>
          <t>ekim</t>
        </is>
      </c>
    </row>
    <row r="85">
      <c r="A85" t="inlineStr">
        <is>
          <t>Dönemsel BFTC</t>
        </is>
      </c>
      <c r="B85" t="inlineStr">
        <is>
          <t>csv:donemsel-fiyat.csv</t>
        </is>
      </c>
      <c r="C85" t="inlineStr">
        <is>
          <t>Kasım</t>
        </is>
      </c>
      <c r="D85" t="inlineStr">
        <is>
          <t>kasım</t>
        </is>
      </c>
    </row>
    <row r="86">
      <c r="A86" t="inlineStr">
        <is>
          <t>Dönemsel BFTC</t>
        </is>
      </c>
      <c r="B86" t="inlineStr">
        <is>
          <t>csv:donemsel-fiyat.csv</t>
        </is>
      </c>
      <c r="C86" t="inlineStr">
        <is>
          <t>Aralık</t>
        </is>
      </c>
      <c r="D86" t="inlineStr">
        <is>
          <t>aralık</t>
        </is>
      </c>
    </row>
    <row r="87">
      <c r="A87" t="inlineStr">
        <is>
          <t>Dönemsel BFTC</t>
        </is>
      </c>
      <c r="B87" t="inlineStr">
        <is>
          <t>csv:donemsel-fiyat.csv</t>
        </is>
      </c>
      <c r="C87" t="inlineStr">
        <is>
          <t>Yıllık Liste</t>
        </is>
      </c>
      <c r="D87" t="inlineStr">
        <is>
          <t>yillik_liste</t>
        </is>
      </c>
    </row>
    <row r="88">
      <c r="A88" t="inlineStr">
        <is>
          <t>Dönemsel BFTC</t>
        </is>
      </c>
      <c r="B88" t="inlineStr">
        <is>
          <t>csv:donemsel-fiyat.csv</t>
        </is>
      </c>
      <c r="C88" t="inlineStr">
        <is>
          <t>Yıllık Kitap</t>
        </is>
      </c>
      <c r="D88" t="inlineStr">
        <is>
          <t>yillik_kitap</t>
        </is>
      </c>
    </row>
    <row r="89">
      <c r="A89" t="inlineStr">
        <is>
          <t>Dönemsel BFTC</t>
        </is>
      </c>
      <c r="B89" t="inlineStr">
        <is>
          <t>csv:donemsel-fiyat.csv</t>
        </is>
      </c>
      <c r="C89" t="inlineStr">
        <is>
          <t>Kullanılan Dönem</t>
        </is>
      </c>
      <c r="D89" t="inlineStr">
        <is>
          <t>kullanilan_donem</t>
        </is>
      </c>
    </row>
    <row r="90">
      <c r="A90" t="inlineStr">
        <is>
          <t>Dönemsel BFTC</t>
        </is>
      </c>
      <c r="B90" t="inlineStr">
        <is>
          <t>csv:donemsel-fiyat.csv</t>
        </is>
      </c>
      <c r="C90" t="inlineStr">
        <is>
          <t>Not / Dönem Kaynağı</t>
        </is>
      </c>
      <c r="D90" t="inlineStr">
        <is>
          <t>not</t>
        </is>
      </c>
    </row>
    <row r="91">
      <c r="A91" t="inlineStr">
        <is>
          <t>Teknik Tarifler</t>
        </is>
      </c>
      <c r="B91" t="inlineStr">
        <is>
          <t>csv:teknik-tarifler.csv</t>
        </is>
      </c>
      <c r="C91" t="inlineStr">
        <is>
          <t>Sıra No</t>
        </is>
      </c>
      <c r="D91" t="inlineStr">
        <is>
          <t>#sira</t>
        </is>
      </c>
    </row>
    <row r="92">
      <c r="A92" t="inlineStr">
        <is>
          <t>Teknik Tarifler</t>
        </is>
      </c>
      <c r="B92" t="inlineStr">
        <is>
          <t>csv:teknik-tarifler.csv</t>
        </is>
      </c>
      <c r="C92" t="inlineStr">
        <is>
          <t>Poz No</t>
        </is>
      </c>
      <c r="D92" t="inlineStr">
        <is>
          <t>poz_no</t>
        </is>
      </c>
    </row>
    <row r="93">
      <c r="A93" t="inlineStr">
        <is>
          <t>Teknik Tarifler</t>
        </is>
      </c>
      <c r="B93" t="inlineStr">
        <is>
          <t>csv:teknik-tarifler.csv</t>
        </is>
      </c>
      <c r="C93" t="inlineStr">
        <is>
          <t>Teknik Tarifi</t>
        </is>
      </c>
      <c r="D93" t="inlineStr">
        <is>
          <t>tarif</t>
        </is>
      </c>
    </row>
    <row r="94">
      <c r="A94" t="inlineStr">
        <is>
          <t>Metraj Mahal Listesi</t>
        </is>
      </c>
      <c r="B94" t="inlineStr">
        <is>
          <t>csv:metraj.csv</t>
        </is>
      </c>
      <c r="C94" t="inlineStr">
        <is>
          <t>İş Grubu</t>
        </is>
      </c>
      <c r="D94" t="inlineStr">
        <is>
          <t>is_grubu</t>
        </is>
      </c>
    </row>
    <row r="95">
      <c r="A95" t="inlineStr">
        <is>
          <t>Metraj Mahal Listesi</t>
        </is>
      </c>
      <c r="B95" t="inlineStr">
        <is>
          <t>csv:metraj.csv</t>
        </is>
      </c>
      <c r="C95" t="inlineStr">
        <is>
          <t>Alt Başlık</t>
        </is>
      </c>
      <c r="D95" t="inlineStr">
        <is>
          <t>alt_baslik</t>
        </is>
      </c>
    </row>
    <row r="96">
      <c r="A96" t="inlineStr">
        <is>
          <t>Metraj Mahal Listesi</t>
        </is>
      </c>
      <c r="B96" t="inlineStr">
        <is>
          <t>csv:metraj.csv</t>
        </is>
      </c>
      <c r="C96" t="inlineStr">
        <is>
          <t>Poz No</t>
        </is>
      </c>
      <c r="D96" t="inlineStr">
        <is>
          <t>poz_no</t>
        </is>
      </c>
    </row>
    <row r="97">
      <c r="A97" t="inlineStr">
        <is>
          <t>Metraj Mahal Listesi</t>
        </is>
      </c>
      <c r="B97" t="inlineStr">
        <is>
          <t>csv:metraj.csv</t>
        </is>
      </c>
      <c r="C97" t="inlineStr">
        <is>
          <t>İmalatın Cinsi</t>
        </is>
      </c>
      <c r="D97" t="inlineStr">
        <is>
          <t>tanim</t>
        </is>
      </c>
    </row>
    <row r="98">
      <c r="A98" t="inlineStr">
        <is>
          <t>Metraj Mahal Listesi</t>
        </is>
      </c>
      <c r="B98" t="inlineStr">
        <is>
          <t>csv:metraj.csv</t>
        </is>
      </c>
      <c r="C98" t="inlineStr">
        <is>
          <t>Birim</t>
        </is>
      </c>
      <c r="D98" t="inlineStr">
        <is>
          <t>birim</t>
        </is>
      </c>
    </row>
    <row r="99">
      <c r="A99" t="inlineStr">
        <is>
          <t>Metraj Mahal Listesi</t>
        </is>
      </c>
      <c r="B99" t="inlineStr">
        <is>
          <t>csv:metraj.csv</t>
        </is>
      </c>
      <c r="C99" t="inlineStr">
        <is>
          <t>Miktar</t>
        </is>
      </c>
      <c r="D99" t="inlineStr">
        <is>
          <t>miktar</t>
        </is>
      </c>
    </row>
    <row r="100">
      <c r="A100" t="inlineStr">
        <is>
          <t>Metraj Mahal Listesi</t>
        </is>
      </c>
      <c r="B100" t="inlineStr">
        <is>
          <t>csv:metraj.csv</t>
        </is>
      </c>
      <c r="C100" t="inlineStr">
        <is>
          <t>Kaynak (çizim / katman / etiket)</t>
        </is>
      </c>
      <c r="D100" t="inlineStr">
        <is>
          <t>kaynak</t>
        </is>
      </c>
    </row>
    <row r="101">
      <c r="A101" t="inlineStr">
        <is>
          <t>Metraj Mahal Listesi</t>
        </is>
      </c>
      <c r="B101" t="inlineStr">
        <is>
          <t>csv:metraj.csv</t>
        </is>
      </c>
      <c r="C101" t="inlineStr">
        <is>
          <t>Hesap (ölçü kuralı)</t>
        </is>
      </c>
      <c r="D101" t="inlineStr">
        <is>
          <t>hesap</t>
        </is>
      </c>
    </row>
    <row r="102">
      <c r="A102" t="inlineStr">
        <is>
          <t>Metraj Mahal Listesi</t>
        </is>
      </c>
      <c r="B102" t="inlineStr">
        <is>
          <t>csv:metraj.csv</t>
        </is>
      </c>
      <c r="C102" t="inlineStr">
        <is>
          <t>Durum</t>
        </is>
      </c>
      <c r="D102" t="inlineStr">
        <is>
          <t>durum</t>
        </is>
      </c>
    </row>
    <row r="103">
      <c r="A103" t="inlineStr">
        <is>
          <t>Mevcut Mahal Listesi</t>
        </is>
      </c>
      <c r="B103" t="inlineStr">
        <is>
          <t>csv:mevcut-mahal.csv</t>
        </is>
      </c>
      <c r="C103" t="inlineStr">
        <is>
          <t>Sıra No</t>
        </is>
      </c>
      <c r="D103" t="inlineStr">
        <is>
          <t>#sira</t>
        </is>
      </c>
    </row>
    <row r="104">
      <c r="A104" t="inlineStr">
        <is>
          <t>Mevcut Mahal Listesi</t>
        </is>
      </c>
      <c r="B104" t="inlineStr">
        <is>
          <t>csv:mevcut-mahal.csv</t>
        </is>
      </c>
      <c r="C104" t="inlineStr">
        <is>
          <t>Grup</t>
        </is>
      </c>
      <c r="D104" t="inlineStr">
        <is>
          <t>grup</t>
        </is>
      </c>
    </row>
    <row r="105">
      <c r="A105" t="inlineStr">
        <is>
          <t>Mevcut Mahal Listesi</t>
        </is>
      </c>
      <c r="B105" t="inlineStr">
        <is>
          <t>csv:mevcut-mahal.csv</t>
        </is>
      </c>
      <c r="C105" t="inlineStr">
        <is>
          <t>İmalat / Mevcut Tesis</t>
        </is>
      </c>
      <c r="D105" t="inlineStr">
        <is>
          <t>imalat</t>
        </is>
      </c>
    </row>
    <row r="106">
      <c r="A106" t="inlineStr">
        <is>
          <t>Mevcut Mahal Listesi</t>
        </is>
      </c>
      <c r="B106" t="inlineStr">
        <is>
          <t>csv:mevcut-mahal.csv</t>
        </is>
      </c>
      <c r="C106" t="inlineStr">
        <is>
          <t>Birim</t>
        </is>
      </c>
      <c r="D106" t="inlineStr">
        <is>
          <t>birim</t>
        </is>
      </c>
    </row>
    <row r="107">
      <c r="A107" t="inlineStr">
        <is>
          <t>Mevcut Mahal Listesi</t>
        </is>
      </c>
      <c r="B107" t="inlineStr">
        <is>
          <t>csv:mevcut-mahal.csv</t>
        </is>
      </c>
      <c r="C107" t="inlineStr">
        <is>
          <t>Miktar</t>
        </is>
      </c>
      <c r="D107" t="inlineStr">
        <is>
          <t>miktar</t>
        </is>
      </c>
    </row>
    <row r="108">
      <c r="A108" t="inlineStr">
        <is>
          <t>Mevcut Mahal Listesi</t>
        </is>
      </c>
      <c r="B108" t="inlineStr">
        <is>
          <t>csv:mevcut-mahal.csv</t>
        </is>
      </c>
      <c r="C108" t="inlineStr">
        <is>
          <t>Ölçüm Kaynağı</t>
        </is>
      </c>
      <c r="D108" t="inlineStr">
        <is>
          <t>olcum_kaynagi</t>
        </is>
      </c>
    </row>
    <row r="109">
      <c r="A109" t="inlineStr">
        <is>
          <t>Mevcut Mahal Listesi</t>
        </is>
      </c>
      <c r="B109" t="inlineStr">
        <is>
          <t>csv:mevcut-mahal.csv</t>
        </is>
      </c>
      <c r="C109" t="inlineStr">
        <is>
          <t>Hesap / Ölçüm Esası</t>
        </is>
      </c>
      <c r="D109" t="inlineStr">
        <is>
          <t>hesap</t>
        </is>
      </c>
    </row>
    <row r="110">
      <c r="A110" t="inlineStr">
        <is>
          <t>Mevcut Mahal Listesi</t>
        </is>
      </c>
      <c r="B110" t="inlineStr">
        <is>
          <t>csv:mevcut-mahal.csv</t>
        </is>
      </c>
      <c r="C110" t="inlineStr">
        <is>
          <t>Durum</t>
        </is>
      </c>
      <c r="D110" t="inlineStr">
        <is>
          <t>durum</t>
        </is>
      </c>
    </row>
    <row r="111">
      <c r="A111" t="inlineStr">
        <is>
          <t>Pursantaj Keşif Analizi</t>
        </is>
      </c>
      <c r="B111" t="inlineStr">
        <is>
          <t>csv:pursantaj.csv</t>
        </is>
      </c>
      <c r="C111" t="inlineStr">
        <is>
          <t>İş Grubu (kurum)</t>
        </is>
      </c>
      <c r="D111" t="inlineStr">
        <is>
          <t>is_grubu</t>
        </is>
      </c>
    </row>
    <row r="112">
      <c r="A112" t="inlineStr">
        <is>
          <t>Pursantaj Keşif Analizi</t>
        </is>
      </c>
      <c r="B112" t="inlineStr">
        <is>
          <t>csv:pursantaj.csv</t>
        </is>
      </c>
      <c r="C112" t="inlineStr">
        <is>
          <t>Üst Grup</t>
        </is>
      </c>
      <c r="D112" t="inlineStr">
        <is>
          <t>ust_grup</t>
        </is>
      </c>
    </row>
    <row r="113">
      <c r="A113" t="inlineStr">
        <is>
          <t>Pursantaj Keşif Analizi</t>
        </is>
      </c>
      <c r="B113" t="inlineStr">
        <is>
          <t>csv:pursantaj.csv</t>
        </is>
      </c>
      <c r="C113" t="inlineStr">
        <is>
          <t>Oran (üst gruba göre, %)</t>
        </is>
      </c>
      <c r="D113" t="inlineStr">
        <is>
          <t>oran</t>
        </is>
      </c>
    </row>
    <row r="114">
      <c r="A114" t="inlineStr">
        <is>
          <t>Pursantaj Keşif Analizi</t>
        </is>
      </c>
      <c r="B114" t="inlineStr">
        <is>
          <t>csv:pursantaj.csv</t>
        </is>
      </c>
      <c r="C114" t="inlineStr">
        <is>
          <t>Kaynak</t>
        </is>
      </c>
      <c r="D114" t="inlineStr">
        <is>
          <t>kaynak</t>
        </is>
      </c>
    </row>
    <row r="115">
      <c r="A115" t="inlineStr">
        <is>
          <t>Pursantaj Keşif Analizi</t>
        </is>
      </c>
      <c r="B115" t="inlineStr">
        <is>
          <t>csv:pursantaj.csv</t>
        </is>
      </c>
      <c r="C115" t="inlineStr">
        <is>
          <t>Not</t>
        </is>
      </c>
      <c r="D115" t="inlineStr">
        <is>
          <t>not</t>
        </is>
      </c>
    </row>
    <row r="116">
      <c r="A116" t="inlineStr">
        <is>
          <t>Grup Eşleme</t>
        </is>
      </c>
      <c r="B116" t="inlineStr">
        <is>
          <t>csv:grup-esleme.csv</t>
        </is>
      </c>
      <c r="C116" t="inlineStr">
        <is>
          <t>Bizim Grup (iş grubu / alt başlık)</t>
        </is>
      </c>
      <c r="D116" t="inlineStr">
        <is>
          <t>bizim_grup</t>
        </is>
      </c>
    </row>
    <row r="117">
      <c r="A117" t="inlineStr">
        <is>
          <t>Grup Eşleme</t>
        </is>
      </c>
      <c r="B117" t="inlineStr">
        <is>
          <t>csv:grup-esleme.csv</t>
        </is>
      </c>
      <c r="C117" t="inlineStr">
        <is>
          <t>Kurum Grubu</t>
        </is>
      </c>
      <c r="D117" t="inlineStr">
        <is>
          <t>kurum_grubu</t>
        </is>
      </c>
    </row>
    <row r="118">
      <c r="A118" t="inlineStr">
        <is>
          <t>Grup Eşleme</t>
        </is>
      </c>
      <c r="B118" t="inlineStr">
        <is>
          <t>csv:grup-esleme.csv</t>
        </is>
      </c>
      <c r="C118" t="inlineStr">
        <is>
          <t>Not</t>
        </is>
      </c>
      <c r="D118" t="inlineStr">
        <is>
          <t>not</t>
        </is>
      </c>
    </row>
    <row r="119">
      <c r="A119" t="inlineStr">
        <is>
          <t>Kazı Derinlik Analizi</t>
        </is>
      </c>
      <c r="B119" t="inlineStr">
        <is>
          <t>csv:kazi-derinlik.csv</t>
        </is>
      </c>
      <c r="C119" t="inlineStr">
        <is>
          <t>Pafta</t>
        </is>
      </c>
      <c r="D119" t="inlineStr">
        <is>
          <t>pafta</t>
        </is>
      </c>
    </row>
    <row r="120">
      <c r="A120" t="inlineStr">
        <is>
          <t>Kazı Derinlik Analizi</t>
        </is>
      </c>
      <c r="B120" t="inlineStr">
        <is>
          <t>csv:kazi-derinlik.csv</t>
        </is>
      </c>
      <c r="C120" t="inlineStr">
        <is>
          <t>Baca (baş)</t>
        </is>
      </c>
      <c r="D120" t="inlineStr">
        <is>
          <t>baca_bas</t>
        </is>
      </c>
    </row>
    <row r="121">
      <c r="A121" t="inlineStr">
        <is>
          <t>Kazı Derinlik Analizi</t>
        </is>
      </c>
      <c r="B121" t="inlineStr">
        <is>
          <t>csv:kazi-derinlik.csv</t>
        </is>
      </c>
      <c r="C121" t="inlineStr">
        <is>
          <t>Baca (son)</t>
        </is>
      </c>
      <c r="D121" t="inlineStr">
        <is>
          <t>baca_son</t>
        </is>
      </c>
    </row>
    <row r="122">
      <c r="A122" t="inlineStr">
        <is>
          <t>Kazı Derinlik Analizi</t>
        </is>
      </c>
      <c r="B122" t="inlineStr">
        <is>
          <t>csv:kazi-derinlik.csv</t>
        </is>
      </c>
      <c r="C122" t="inlineStr">
        <is>
          <t>Zemin−Akar Baş (m)</t>
        </is>
      </c>
      <c r="D122" t="inlineStr">
        <is>
          <t>zemin_akar_bas</t>
        </is>
      </c>
    </row>
    <row r="123">
      <c r="A123" t="inlineStr">
        <is>
          <t>Kazı Derinlik Analizi</t>
        </is>
      </c>
      <c r="B123" t="inlineStr">
        <is>
          <t>csv:kazi-derinlik.csv</t>
        </is>
      </c>
      <c r="C123" t="inlineStr">
        <is>
          <t>Zemin−Akar Son (m)</t>
        </is>
      </c>
      <c r="D123" t="inlineStr">
        <is>
          <t>zemin_akar_son</t>
        </is>
      </c>
    </row>
    <row r="124">
      <c r="A124" t="inlineStr">
        <is>
          <t>Kazı Derinlik Analizi</t>
        </is>
      </c>
      <c r="B124" t="inlineStr">
        <is>
          <t>csv:kazi-derinlik.csv</t>
        </is>
      </c>
      <c r="C124" t="inlineStr">
        <is>
          <t>Uzunluk (m)</t>
        </is>
      </c>
      <c r="D124" t="inlineStr">
        <is>
          <t>uzunluk</t>
        </is>
      </c>
    </row>
    <row r="125">
      <c r="A125" t="inlineStr">
        <is>
          <t>Kazı Derinlik Analizi</t>
        </is>
      </c>
      <c r="B125" t="inlineStr">
        <is>
          <t>csv:kazi-derinlik.csv</t>
        </is>
      </c>
      <c r="C125" t="inlineStr">
        <is>
          <t>Not</t>
        </is>
      </c>
      <c r="D125" t="inlineStr">
        <is>
          <t>not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2026-10-06T13:06:18Z</dcterms:created>
  <dcterms:modified xmlns:dcterms="http://purl.org/dc/terms/" xmlns:xsi="http://www.w3.org/2001/XMLSchema-instance" xsi:type="dcterms:W3CDTF">2026-10-06T13:06:20Z</dcterms:modified>
</cp:coreProperties>
</file>