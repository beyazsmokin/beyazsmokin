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Mahal Listesi" sheetId="2" state="visible" r:id="rId2"/>
    <sheet xmlns:r="http://schemas.openxmlformats.org/officeDocument/2006/relationships" name="Keşif" sheetId="3" state="visible" r:id="rId3"/>
    <sheet xmlns:r="http://schemas.openxmlformats.org/officeDocument/2006/relationships" name="Pursantaj" sheetId="4" state="visible" r:id="rId4"/>
    <sheet xmlns:r="http://schemas.openxmlformats.org/officeDocument/2006/relationships" name="Yeterlilik" sheetId="5" state="visible" r:id="rId5"/>
    <sheet xmlns:r="http://schemas.openxmlformats.org/officeDocument/2006/relationships" name="Teknik" sheetId="6" state="visible" r:id="rId6"/>
    <sheet xmlns:r="http://schemas.openxmlformats.org/officeDocument/2006/relationships" name="Mali" sheetId="7" state="visible" r:id="rId7"/>
    <sheet xmlns:r="http://schemas.openxmlformats.org/officeDocument/2006/relationships" name="Riskler" sheetId="8" state="visible" r:id="rId8"/>
    <sheet xmlns:r="http://schemas.openxmlformats.org/officeDocument/2006/relationships" name="Kişisel Hesap" sheetId="9" state="visible" r:id="rId9"/>
    <sheet xmlns:r="http://schemas.openxmlformats.org/officeDocument/2006/relationships" name="Yapılacaklar" sheetId="10" state="visible" r:id="rId10"/>
    <sheet xmlns:r="http://schemas.openxmlformats.org/officeDocument/2006/relationships" name="_harita" sheetId="11" state="hidden" r:id="rId11"/>
  </sheets>
  <definedNames>
    <definedName name="PursantajTol">'Özet'!$B$17</definedName>
    <definedName name="YaklasikMaliyet">'Özet'!$B$10</definedName>
    <definedName name="_xlnm._FilterDatabase" localSheetId="1" hidden="1">'Mahal Listesi'!$A$4:$K$504</definedName>
    <definedName name="_xlnm.Print_Titles" localSheetId="1">'Mahal Listesi'!$4:$4</definedName>
    <definedName name="_xlnm._FilterDatabase" localSheetId="2" hidden="1">'Keşif'!$A$4:$J$504</definedName>
    <definedName name="_xlnm.Print_Titles" localSheetId="2">'Keşif'!$4:$4</definedName>
    <definedName name="_xlnm._FilterDatabase" localSheetId="3" hidden="1">'Pursantaj'!$A$4:$F$504</definedName>
    <definedName name="_xlnm.Print_Titles" localSheetId="3">'Pursantaj'!$4:$4</definedName>
    <definedName name="_xlnm._FilterDatabase" localSheetId="4" hidden="1">'Yeterlilik'!$A$4:$E$504</definedName>
    <definedName name="_xlnm.Print_Titles" localSheetId="4">'Yeterlilik'!$4:$4</definedName>
    <definedName name="_xlnm._FilterDatabase" localSheetId="5" hidden="1">'Teknik'!$A$4:$E$504</definedName>
    <definedName name="_xlnm.Print_Titles" localSheetId="5">'Teknik'!$4:$4</definedName>
    <definedName name="_xlnm._FilterDatabase" localSheetId="6" hidden="1">'Mali'!$A$4:$E$504</definedName>
    <definedName name="_xlnm.Print_Titles" localSheetId="6">'Mali'!$4:$4</definedName>
    <definedName name="_xlnm._FilterDatabase" localSheetId="7" hidden="1">'Riskler'!$A$4:$E$504</definedName>
    <definedName name="_xlnm.Print_Titles" localSheetId="7">'Riskler'!$4:$4</definedName>
    <definedName name="_xlnm._FilterDatabase" localSheetId="8" hidden="1">'Kişisel Hesap'!$A$4:$J$504</definedName>
    <definedName name="_xlnm.Print_Titles" localSheetId="8">'Kişisel Hesap'!$4:$4</definedName>
    <definedName name="_xlnm._FilterDatabase" localSheetId="9" hidden="1">'Yapılacaklar'!$A$4:$E$504</definedName>
    <definedName name="_xlnm.Print_Titles" localSheetId="9">'Yapılacaklar'!$4:$4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7085"/>
      <sz val="9"/>
    </font>
    <font>
      <b val="1"/>
      <color rgb="00163460"/>
      <sz val="11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460"/>
      </patternFill>
    </fill>
    <fill>
      <patternFill patternType="solid">
        <fgColor rgb="00EEF1F6"/>
      </patternFill>
    </fill>
    <fill>
      <patternFill patternType="solid">
        <fgColor rgb="002B4C7E"/>
      </patternFill>
    </fill>
    <fill>
      <patternFill patternType="solid">
        <fgColor rgb="00F3E9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5" borderId="1" pivotButton="0" quotePrefix="0" xfId="0"/>
    <xf numFmtId="0" fontId="0" fillId="5" borderId="1" pivotButton="0" quotePrefix="0" xfId="0"/>
    <xf numFmtId="4" fontId="4" fillId="5" borderId="1" pivotButton="0" quotePrefix="0" xfId="0"/>
    <xf numFmtId="0" fontId="6" fillId="4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4" fontId="4" fillId="5" borderId="1" pivotButton="0" quotePrefix="0" xfId="0"/>
    <xf numFmtId="164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FCD9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" customWidth="1" min="3" max="3"/>
    <col width="30" customWidth="1" min="4" max="4"/>
    <col width="22" customWidth="1" min="5" max="5"/>
  </cols>
  <sheetData>
    <row r="1" ht="28" customHeight="1">
      <c r="A1" s="1" t="inlineStr">
        <is>
          <t>İHALE ANALİZ RAPORU · ANAHTAR TESLİM / GÖTÜRÜ BEDEL</t>
        </is>
      </c>
    </row>
    <row r="2" ht="30" customHeight="1">
      <c r="A2" s="2" t="inlineStr">
        <is>
          <t>Beyaz hücreler analizden doldurulur, gri hücreler hesaplanır. Karar ve gerekçe raporun ilk satırıdır.</t>
        </is>
      </c>
    </row>
    <row r="3">
      <c r="A3" s="3" t="inlineStr">
        <is>
          <t>İHALE BİLGİLERİ</t>
        </is>
      </c>
      <c r="D3" s="3" t="inlineStr">
        <is>
          <t>SONUÇ ÖZETİ</t>
        </is>
      </c>
    </row>
    <row r="4">
      <c r="A4" s="4" t="inlineStr">
        <is>
          <t>İhale Kayıt No (İKN)</t>
        </is>
      </c>
      <c r="B4" s="5" t="n"/>
      <c r="D4" s="4" t="inlineStr">
        <is>
          <t>Keşif toplamı</t>
        </is>
      </c>
      <c r="E4" s="6">
        <f>'Keşif'!H3</f>
        <v/>
      </c>
    </row>
    <row r="5">
      <c r="A5" s="4" t="inlineStr">
        <is>
          <t>İdare</t>
        </is>
      </c>
      <c r="B5" s="5" t="n"/>
      <c r="D5" s="4" t="inlineStr">
        <is>
          <t>Keşif / yaklaşık maliyet</t>
        </is>
      </c>
      <c r="E5" s="7">
        <f>IF(OR(YaklasikMaliyet="",'Keşif'!H3=0),"",'Keşif'!H3/YaklasikMaliyet)</f>
        <v/>
      </c>
    </row>
    <row r="6">
      <c r="A6" s="4" t="inlineStr">
        <is>
          <t>İşin Adı</t>
        </is>
      </c>
      <c r="B6" s="5" t="n"/>
      <c r="D6" s="4" t="inlineStr">
        <is>
          <t>Mahal sayısı</t>
        </is>
      </c>
      <c r="E6" s="8">
        <f>COUNTA('Mahal Listesi'!C5:C504)</f>
        <v/>
      </c>
    </row>
    <row r="7">
      <c r="A7" s="4" t="inlineStr">
        <is>
          <t>İhale Usulü</t>
        </is>
      </c>
      <c r="B7" s="5" t="n"/>
      <c r="D7" s="4" t="inlineStr">
        <is>
          <t>Toplam taban alanı (m²)</t>
        </is>
      </c>
      <c r="E7" s="6">
        <f>'Mahal Listesi'!D3</f>
        <v/>
      </c>
    </row>
    <row r="8">
      <c r="A8" s="4" t="inlineStr">
        <is>
          <t>Teklif Türü</t>
        </is>
      </c>
      <c r="B8" s="5" t="n"/>
      <c r="D8" s="4" t="inlineStr">
        <is>
          <t>Pursantaj toplamı</t>
        </is>
      </c>
      <c r="E8" s="7">
        <f>Pursantaj!B3</f>
        <v/>
      </c>
    </row>
    <row r="9">
      <c r="A9" s="4" t="inlineStr">
        <is>
          <t>İhale Tarihi ve Saati</t>
        </is>
      </c>
      <c r="B9" s="5" t="n"/>
      <c r="D9" s="4" t="inlineStr">
        <is>
          <t>Finansman yükü olan iş grubu</t>
        </is>
      </c>
      <c r="E9" s="8">
        <f>COUNTIF(Pursantaj!F5:F504,"Finansman yükü*")</f>
        <v/>
      </c>
    </row>
    <row r="10">
      <c r="A10" s="4" t="inlineStr">
        <is>
          <t>Yaklaşık Maliyet</t>
        </is>
      </c>
      <c r="B10" s="9" t="n"/>
      <c r="D10" s="4" t="inlineStr">
        <is>
          <t>Yüksek risk</t>
        </is>
      </c>
      <c r="E10" s="8">
        <f>COUNTIF(Riskler!D5:D504,"Yüksek")</f>
        <v/>
      </c>
    </row>
    <row r="11">
      <c r="A11" s="4" t="inlineStr">
        <is>
          <t>Geçici Teminat Oranı</t>
        </is>
      </c>
      <c r="B11" s="10" t="n"/>
      <c r="D11" s="4" t="inlineStr">
        <is>
          <t>Eksik yeterlilik</t>
        </is>
      </c>
      <c r="E11" s="8">
        <f>COUNTIF(Yeterlilik!D5:D504,"Eksik")</f>
        <v/>
      </c>
    </row>
    <row r="12">
      <c r="A12" s="4" t="inlineStr">
        <is>
          <t>Geçici Teminat Tutarı</t>
        </is>
      </c>
      <c r="B12" s="11">
        <f>IF(OR(B10="",B11=""),"",B10*B11)</f>
        <v/>
      </c>
      <c r="D12" s="4" t="inlineStr">
        <is>
          <t>Sistem tahmini (kişisel hesap)</t>
        </is>
      </c>
      <c r="E12" s="6">
        <f>'Kişisel Hesap'!G3</f>
        <v/>
      </c>
    </row>
    <row r="13">
      <c r="A13" s="4" t="inlineStr">
        <is>
          <t>İşin Süresi</t>
        </is>
      </c>
      <c r="B13" s="5" t="n"/>
      <c r="D13" s="4" t="inlineStr">
        <is>
          <t>Sizin yönteminizle</t>
        </is>
      </c>
      <c r="E13" s="6">
        <f>'Kişisel Hesap'!H3</f>
        <v/>
      </c>
    </row>
    <row r="14">
      <c r="A14" s="4" t="inlineStr">
        <is>
          <t>İşin Yeri</t>
        </is>
      </c>
      <c r="B14" s="5" t="n"/>
    </row>
    <row r="15">
      <c r="A15" s="4" t="inlineStr">
        <is>
          <t>Karar</t>
        </is>
      </c>
      <c r="B15" s="12" t="n"/>
    </row>
    <row r="16">
      <c r="A16" s="4" t="inlineStr">
        <is>
          <t>Karar Gerekçesi</t>
        </is>
      </c>
      <c r="B16" s="5" t="n"/>
    </row>
    <row r="17">
      <c r="A17" s="4" t="inlineStr">
        <is>
          <t>Pursantaj Toleransı (puan)</t>
        </is>
      </c>
      <c r="B17" s="10" t="n">
        <v>0.02</v>
      </c>
    </row>
    <row r="18">
      <c r="A18" s="4" t="inlineStr">
        <is>
          <t>Analiz Tarihi</t>
        </is>
      </c>
      <c r="B18" s="13" t="n"/>
    </row>
  </sheetData>
  <mergeCells count="2">
    <mergeCell ref="A2:E2"/>
    <mergeCell ref="A1:E1"/>
  </mergeCells>
  <conditionalFormatting sqref="B15">
    <cfRule type="cellIs" priority="1" operator="equal" dxfId="0">
      <formula>"Katıl"</formula>
    </cfRule>
    <cfRule type="cellIs" priority="2" operator="equal" dxfId="1">
      <formula>"Şartlı katıl"</formula>
    </cfRule>
    <cfRule type="cellIs" priority="3" operator="equal" dxfId="2">
      <formula>"Katılma"</formula>
    </cfRule>
  </conditionalFormatting>
  <dataValidations count="1">
    <dataValidation sqref="B15" showDropDown="0" showInputMessage="0" showErrorMessage="0" allowBlank="1" type="list">
      <formula1>"Katıl,Şartlı katıl,Katılma"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22" customWidth="1" min="5" max="5"/>
    <col width="18" customWidth="1" min="6" max="6"/>
    <col width="22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 ht="28" customHeight="1">
      <c r="A1" s="1" t="inlineStr">
        <is>
          <t>MAHAL LİSTESİ</t>
        </is>
      </c>
    </row>
    <row r="2" ht="30" customHeight="1">
      <c r="A2" s="2" t="inlineStr">
        <is>
          <t>Her mahalde yapılacak imalatların cinsi. Miktarlar burada değil, Keşif sayfasındadır.</t>
        </is>
      </c>
    </row>
    <row r="3">
      <c r="A3" s="14" t="inlineStr">
        <is>
          <t>TOPLAM</t>
        </is>
      </c>
      <c r="B3" s="15" t="n"/>
      <c r="C3" s="15" t="n"/>
      <c r="D3" s="16">
        <f>SUM(D5:D504)</f>
        <v/>
      </c>
      <c r="E3" s="15" t="n"/>
      <c r="F3" s="15" t="n"/>
      <c r="G3" s="15" t="n"/>
      <c r="H3" s="15" t="n"/>
      <c r="I3" s="15" t="n"/>
      <c r="J3" s="15" t="n"/>
      <c r="K3" s="15" t="n"/>
    </row>
    <row r="4" ht="32" customHeight="1">
      <c r="A4" s="17" t="inlineStr">
        <is>
          <t>Kat</t>
        </is>
      </c>
      <c r="B4" s="17" t="inlineStr">
        <is>
          <t>Mahal No</t>
        </is>
      </c>
      <c r="C4" s="17" t="inlineStr">
        <is>
          <t>Mahal Adı</t>
        </is>
      </c>
      <c r="D4" s="17" t="inlineStr">
        <is>
          <t>Taban Alanı (m²)</t>
        </is>
      </c>
      <c r="E4" s="17" t="inlineStr">
        <is>
          <t>Döşeme</t>
        </is>
      </c>
      <c r="F4" s="17" t="inlineStr">
        <is>
          <t>Süpürgelik</t>
        </is>
      </c>
      <c r="G4" s="17" t="inlineStr">
        <is>
          <t>Duvar</t>
        </is>
      </c>
      <c r="H4" s="17" t="inlineStr">
        <is>
          <t>Tavan</t>
        </is>
      </c>
      <c r="I4" s="17" t="inlineStr">
        <is>
          <t>Kapı Tipi</t>
        </is>
      </c>
      <c r="J4" s="17" t="inlineStr">
        <is>
          <t>Pencere Tipi</t>
        </is>
      </c>
      <c r="K4" s="17" t="inlineStr">
        <is>
          <t>Not</t>
        </is>
      </c>
    </row>
    <row r="5">
      <c r="A5" s="5" t="n"/>
      <c r="B5" s="5" t="n"/>
      <c r="C5" s="5" t="n"/>
      <c r="D5" s="18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18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18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18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18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18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18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18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18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18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18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18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18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18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18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18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18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18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18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18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18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18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18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18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18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18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18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18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18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18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18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18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18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18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18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18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18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18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18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18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18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18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18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18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18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18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18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18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18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18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18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18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18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18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18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18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18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18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18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18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18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18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18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18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18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18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18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18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18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18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18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18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18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18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18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18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18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18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18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18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18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18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18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18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18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18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18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18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18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18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18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18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18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18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18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18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18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18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18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18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18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18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18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18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18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18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18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18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18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18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18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18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18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18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18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18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18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18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18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18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18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18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18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18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18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18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18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18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18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18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18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18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18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18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18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18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18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18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18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18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18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18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18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18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18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18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18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18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18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18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18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18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18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18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18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18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18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18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18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18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18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18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18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18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18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18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18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18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18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18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18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18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18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18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18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18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18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18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18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18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18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18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18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18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18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18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18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18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18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18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18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18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18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18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18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18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18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18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18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18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18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18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18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18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18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18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18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18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18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18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18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18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18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18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18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18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18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18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18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18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18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18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18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18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18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18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18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18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18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18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18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18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18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18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18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18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18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18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18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18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18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18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18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18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18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18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18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18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18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18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18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18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18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18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18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18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18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18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18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18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18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18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18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18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18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18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18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18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18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18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18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18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18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18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18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18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18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18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18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18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18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18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18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18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18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18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18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18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18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18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18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18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18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18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18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18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18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18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18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18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18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18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18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18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18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18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18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18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18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18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18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18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18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18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18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18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18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18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18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18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18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18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18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18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18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18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18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18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18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18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18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18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18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18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18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18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18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18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18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18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18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18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18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18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18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18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18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18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18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18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18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18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18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18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18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18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18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18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18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18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18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18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18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18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18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18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18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18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18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18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18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18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18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18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18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18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18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18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18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18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18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18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18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18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18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18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18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18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18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18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18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18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18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18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18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18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18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18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18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18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18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18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18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18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18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18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18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18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18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18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18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18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18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18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18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18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18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18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18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18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18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18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18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18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18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18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18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18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18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18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18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18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18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18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18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18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18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18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18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18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18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18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18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18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18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18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18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18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18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18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18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18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18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18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18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18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18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18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18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18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18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18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18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18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18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18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18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18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18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18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18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18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18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18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18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18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18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18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18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18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18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18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18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18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18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18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18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18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18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18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18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18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18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18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18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18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18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18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18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18" t="n"/>
      <c r="E504" s="5" t="n"/>
      <c r="F504" s="5" t="n"/>
      <c r="G504" s="5" t="n"/>
      <c r="H504" s="5" t="n"/>
      <c r="I504" s="5" t="n"/>
      <c r="J504" s="5" t="n"/>
      <c r="K504" s="5" t="n"/>
    </row>
  </sheetData>
  <autoFilter ref="A4:K504"/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44" customWidth="1" min="4" max="4"/>
    <col width="8" customWidth="1" min="5" max="5"/>
    <col width="13" customWidth="1" min="6" max="6"/>
    <col width="14" customWidth="1" min="7" max="7"/>
    <col width="17" customWidth="1" min="8" max="8"/>
    <col width="18" customWidth="1" min="9" max="9"/>
    <col width="30" customWidth="1" min="10" max="10"/>
  </cols>
  <sheetData>
    <row r="1" ht="28" customHeight="1">
      <c r="A1" s="1" t="inlineStr">
        <is>
          <t>KEŞİF</t>
        </is>
      </c>
    </row>
    <row r="2" ht="30" customHeight="1">
      <c r="A2" s="2" t="inlineStr">
        <is>
          <t>Mahal listesinden çıkarılan keşif kalemleri. İş grubu, Pursantaj sayfasındaki iş grubu adıyla birebir aynı yazılmalıdır; pursantaj uyumu buna göre hesaplanır.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  <c r="F3" s="15" t="n"/>
      <c r="G3" s="15" t="n"/>
      <c r="H3" s="16">
        <f>SUM(H5:H504)</f>
        <v/>
      </c>
      <c r="I3" s="15" t="n"/>
      <c r="J3" s="15" t="n"/>
    </row>
    <row r="4" ht="32" customHeight="1">
      <c r="A4" s="17" t="inlineStr">
        <is>
          <t>Sıra No</t>
        </is>
      </c>
      <c r="B4" s="17" t="inlineStr">
        <is>
          <t>İş Grubu</t>
        </is>
      </c>
      <c r="C4" s="17" t="inlineStr">
        <is>
          <t>Poz / Kalem No</t>
        </is>
      </c>
      <c r="D4" s="17" t="inlineStr">
        <is>
          <t>Tanım</t>
        </is>
      </c>
      <c r="E4" s="17" t="inlineStr">
        <is>
          <t>Birim</t>
        </is>
      </c>
      <c r="F4" s="17" t="inlineStr">
        <is>
          <t>Miktar</t>
        </is>
      </c>
      <c r="G4" s="17" t="inlineStr">
        <is>
          <t>Birim Fiyat</t>
        </is>
      </c>
      <c r="H4" s="17" t="inlineStr">
        <is>
          <t>Tutar</t>
        </is>
      </c>
      <c r="I4" s="17" t="inlineStr">
        <is>
          <t>Mahal</t>
        </is>
      </c>
      <c r="J4" s="17" t="inlineStr">
        <is>
          <t>Not</t>
        </is>
      </c>
    </row>
    <row r="5">
      <c r="A5" s="5" t="n"/>
      <c r="B5" s="5" t="n"/>
      <c r="C5" s="5" t="n"/>
      <c r="D5" s="5" t="n"/>
      <c r="E5" s="5" t="n"/>
      <c r="F5" s="19" t="n"/>
      <c r="G5" s="18" t="n"/>
      <c r="H5" s="20">
        <f>IF(OR(F5="",G5=""),"",F5*G5)</f>
        <v/>
      </c>
      <c r="I5" s="5" t="n"/>
      <c r="J5" s="5" t="n"/>
    </row>
    <row r="6">
      <c r="A6" s="5" t="n"/>
      <c r="B6" s="5" t="n"/>
      <c r="C6" s="5" t="n"/>
      <c r="D6" s="5" t="n"/>
      <c r="E6" s="5" t="n"/>
      <c r="F6" s="19" t="n"/>
      <c r="G6" s="18" t="n"/>
      <c r="H6" s="20">
        <f>IF(OR(F6="",G6=""),"",F6*G6)</f>
        <v/>
      </c>
      <c r="I6" s="5" t="n"/>
      <c r="J6" s="5" t="n"/>
    </row>
    <row r="7">
      <c r="A7" s="5" t="n"/>
      <c r="B7" s="5" t="n"/>
      <c r="C7" s="5" t="n"/>
      <c r="D7" s="5" t="n"/>
      <c r="E7" s="5" t="n"/>
      <c r="F7" s="19" t="n"/>
      <c r="G7" s="18" t="n"/>
      <c r="H7" s="20">
        <f>IF(OR(F7="",G7=""),"",F7*G7)</f>
        <v/>
      </c>
      <c r="I7" s="5" t="n"/>
      <c r="J7" s="5" t="n"/>
    </row>
    <row r="8">
      <c r="A8" s="5" t="n"/>
      <c r="B8" s="5" t="n"/>
      <c r="C8" s="5" t="n"/>
      <c r="D8" s="5" t="n"/>
      <c r="E8" s="5" t="n"/>
      <c r="F8" s="19" t="n"/>
      <c r="G8" s="18" t="n"/>
      <c r="H8" s="20">
        <f>IF(OR(F8="",G8=""),"",F8*G8)</f>
        <v/>
      </c>
      <c r="I8" s="5" t="n"/>
      <c r="J8" s="5" t="n"/>
    </row>
    <row r="9">
      <c r="A9" s="5" t="n"/>
      <c r="B9" s="5" t="n"/>
      <c r="C9" s="5" t="n"/>
      <c r="D9" s="5" t="n"/>
      <c r="E9" s="5" t="n"/>
      <c r="F9" s="19" t="n"/>
      <c r="G9" s="18" t="n"/>
      <c r="H9" s="20">
        <f>IF(OR(F9="",G9=""),"",F9*G9)</f>
        <v/>
      </c>
      <c r="I9" s="5" t="n"/>
      <c r="J9" s="5" t="n"/>
    </row>
    <row r="10">
      <c r="A10" s="5" t="n"/>
      <c r="B10" s="5" t="n"/>
      <c r="C10" s="5" t="n"/>
      <c r="D10" s="5" t="n"/>
      <c r="E10" s="5" t="n"/>
      <c r="F10" s="19" t="n"/>
      <c r="G10" s="18" t="n"/>
      <c r="H10" s="20">
        <f>IF(OR(F10="",G10=""),"",F10*G10)</f>
        <v/>
      </c>
      <c r="I10" s="5" t="n"/>
      <c r="J10" s="5" t="n"/>
    </row>
    <row r="11">
      <c r="A11" s="5" t="n"/>
      <c r="B11" s="5" t="n"/>
      <c r="C11" s="5" t="n"/>
      <c r="D11" s="5" t="n"/>
      <c r="E11" s="5" t="n"/>
      <c r="F11" s="19" t="n"/>
      <c r="G11" s="18" t="n"/>
      <c r="H11" s="20">
        <f>IF(OR(F11="",G11=""),"",F11*G11)</f>
        <v/>
      </c>
      <c r="I11" s="5" t="n"/>
      <c r="J11" s="5" t="n"/>
    </row>
    <row r="12">
      <c r="A12" s="5" t="n"/>
      <c r="B12" s="5" t="n"/>
      <c r="C12" s="5" t="n"/>
      <c r="D12" s="5" t="n"/>
      <c r="E12" s="5" t="n"/>
      <c r="F12" s="19" t="n"/>
      <c r="G12" s="18" t="n"/>
      <c r="H12" s="20">
        <f>IF(OR(F12="",G12=""),"",F12*G12)</f>
        <v/>
      </c>
      <c r="I12" s="5" t="n"/>
      <c r="J12" s="5" t="n"/>
    </row>
    <row r="13">
      <c r="A13" s="5" t="n"/>
      <c r="B13" s="5" t="n"/>
      <c r="C13" s="5" t="n"/>
      <c r="D13" s="5" t="n"/>
      <c r="E13" s="5" t="n"/>
      <c r="F13" s="19" t="n"/>
      <c r="G13" s="18" t="n"/>
      <c r="H13" s="20">
        <f>IF(OR(F13="",G13=""),"",F13*G13)</f>
        <v/>
      </c>
      <c r="I13" s="5" t="n"/>
      <c r="J13" s="5" t="n"/>
    </row>
    <row r="14">
      <c r="A14" s="5" t="n"/>
      <c r="B14" s="5" t="n"/>
      <c r="C14" s="5" t="n"/>
      <c r="D14" s="5" t="n"/>
      <c r="E14" s="5" t="n"/>
      <c r="F14" s="19" t="n"/>
      <c r="G14" s="18" t="n"/>
      <c r="H14" s="20">
        <f>IF(OR(F14="",G14=""),"",F14*G14)</f>
        <v/>
      </c>
      <c r="I14" s="5" t="n"/>
      <c r="J14" s="5" t="n"/>
    </row>
    <row r="15">
      <c r="A15" s="5" t="n"/>
      <c r="B15" s="5" t="n"/>
      <c r="C15" s="5" t="n"/>
      <c r="D15" s="5" t="n"/>
      <c r="E15" s="5" t="n"/>
      <c r="F15" s="19" t="n"/>
      <c r="G15" s="18" t="n"/>
      <c r="H15" s="20">
        <f>IF(OR(F15="",G15=""),"",F15*G15)</f>
        <v/>
      </c>
      <c r="I15" s="5" t="n"/>
      <c r="J15" s="5" t="n"/>
    </row>
    <row r="16">
      <c r="A16" s="5" t="n"/>
      <c r="B16" s="5" t="n"/>
      <c r="C16" s="5" t="n"/>
      <c r="D16" s="5" t="n"/>
      <c r="E16" s="5" t="n"/>
      <c r="F16" s="19" t="n"/>
      <c r="G16" s="18" t="n"/>
      <c r="H16" s="20">
        <f>IF(OR(F16="",G16=""),"",F16*G16)</f>
        <v/>
      </c>
      <c r="I16" s="5" t="n"/>
      <c r="J16" s="5" t="n"/>
    </row>
    <row r="17">
      <c r="A17" s="5" t="n"/>
      <c r="B17" s="5" t="n"/>
      <c r="C17" s="5" t="n"/>
      <c r="D17" s="5" t="n"/>
      <c r="E17" s="5" t="n"/>
      <c r="F17" s="19" t="n"/>
      <c r="G17" s="18" t="n"/>
      <c r="H17" s="20">
        <f>IF(OR(F17="",G17=""),"",F17*G17)</f>
        <v/>
      </c>
      <c r="I17" s="5" t="n"/>
      <c r="J17" s="5" t="n"/>
    </row>
    <row r="18">
      <c r="A18" s="5" t="n"/>
      <c r="B18" s="5" t="n"/>
      <c r="C18" s="5" t="n"/>
      <c r="D18" s="5" t="n"/>
      <c r="E18" s="5" t="n"/>
      <c r="F18" s="19" t="n"/>
      <c r="G18" s="18" t="n"/>
      <c r="H18" s="20">
        <f>IF(OR(F18="",G18=""),"",F18*G18)</f>
        <v/>
      </c>
      <c r="I18" s="5" t="n"/>
      <c r="J18" s="5" t="n"/>
    </row>
    <row r="19">
      <c r="A19" s="5" t="n"/>
      <c r="B19" s="5" t="n"/>
      <c r="C19" s="5" t="n"/>
      <c r="D19" s="5" t="n"/>
      <c r="E19" s="5" t="n"/>
      <c r="F19" s="19" t="n"/>
      <c r="G19" s="18" t="n"/>
      <c r="H19" s="20">
        <f>IF(OR(F19="",G19=""),"",F19*G19)</f>
        <v/>
      </c>
      <c r="I19" s="5" t="n"/>
      <c r="J19" s="5" t="n"/>
    </row>
    <row r="20">
      <c r="A20" s="5" t="n"/>
      <c r="B20" s="5" t="n"/>
      <c r="C20" s="5" t="n"/>
      <c r="D20" s="5" t="n"/>
      <c r="E20" s="5" t="n"/>
      <c r="F20" s="19" t="n"/>
      <c r="G20" s="18" t="n"/>
      <c r="H20" s="20">
        <f>IF(OR(F20="",G20=""),"",F20*G20)</f>
        <v/>
      </c>
      <c r="I20" s="5" t="n"/>
      <c r="J20" s="5" t="n"/>
    </row>
    <row r="21">
      <c r="A21" s="5" t="n"/>
      <c r="B21" s="5" t="n"/>
      <c r="C21" s="5" t="n"/>
      <c r="D21" s="5" t="n"/>
      <c r="E21" s="5" t="n"/>
      <c r="F21" s="19" t="n"/>
      <c r="G21" s="18" t="n"/>
      <c r="H21" s="20">
        <f>IF(OR(F21="",G21=""),"",F21*G21)</f>
        <v/>
      </c>
      <c r="I21" s="5" t="n"/>
      <c r="J21" s="5" t="n"/>
    </row>
    <row r="22">
      <c r="A22" s="5" t="n"/>
      <c r="B22" s="5" t="n"/>
      <c r="C22" s="5" t="n"/>
      <c r="D22" s="5" t="n"/>
      <c r="E22" s="5" t="n"/>
      <c r="F22" s="19" t="n"/>
      <c r="G22" s="18" t="n"/>
      <c r="H22" s="20">
        <f>IF(OR(F22="",G22=""),"",F22*G22)</f>
        <v/>
      </c>
      <c r="I22" s="5" t="n"/>
      <c r="J22" s="5" t="n"/>
    </row>
    <row r="23">
      <c r="A23" s="5" t="n"/>
      <c r="B23" s="5" t="n"/>
      <c r="C23" s="5" t="n"/>
      <c r="D23" s="5" t="n"/>
      <c r="E23" s="5" t="n"/>
      <c r="F23" s="19" t="n"/>
      <c r="G23" s="18" t="n"/>
      <c r="H23" s="20">
        <f>IF(OR(F23="",G23=""),"",F23*G23)</f>
        <v/>
      </c>
      <c r="I23" s="5" t="n"/>
      <c r="J23" s="5" t="n"/>
    </row>
    <row r="24">
      <c r="A24" s="5" t="n"/>
      <c r="B24" s="5" t="n"/>
      <c r="C24" s="5" t="n"/>
      <c r="D24" s="5" t="n"/>
      <c r="E24" s="5" t="n"/>
      <c r="F24" s="19" t="n"/>
      <c r="G24" s="18" t="n"/>
      <c r="H24" s="20">
        <f>IF(OR(F24="",G24=""),"",F24*G24)</f>
        <v/>
      </c>
      <c r="I24" s="5" t="n"/>
      <c r="J24" s="5" t="n"/>
    </row>
    <row r="25">
      <c r="A25" s="5" t="n"/>
      <c r="B25" s="5" t="n"/>
      <c r="C25" s="5" t="n"/>
      <c r="D25" s="5" t="n"/>
      <c r="E25" s="5" t="n"/>
      <c r="F25" s="19" t="n"/>
      <c r="G25" s="18" t="n"/>
      <c r="H25" s="20">
        <f>IF(OR(F25="",G25=""),"",F25*G25)</f>
        <v/>
      </c>
      <c r="I25" s="5" t="n"/>
      <c r="J25" s="5" t="n"/>
    </row>
    <row r="26">
      <c r="A26" s="5" t="n"/>
      <c r="B26" s="5" t="n"/>
      <c r="C26" s="5" t="n"/>
      <c r="D26" s="5" t="n"/>
      <c r="E26" s="5" t="n"/>
      <c r="F26" s="19" t="n"/>
      <c r="G26" s="18" t="n"/>
      <c r="H26" s="20">
        <f>IF(OR(F26="",G26=""),"",F26*G26)</f>
        <v/>
      </c>
      <c r="I26" s="5" t="n"/>
      <c r="J26" s="5" t="n"/>
    </row>
    <row r="27">
      <c r="A27" s="5" t="n"/>
      <c r="B27" s="5" t="n"/>
      <c r="C27" s="5" t="n"/>
      <c r="D27" s="5" t="n"/>
      <c r="E27" s="5" t="n"/>
      <c r="F27" s="19" t="n"/>
      <c r="G27" s="18" t="n"/>
      <c r="H27" s="20">
        <f>IF(OR(F27="",G27=""),"",F27*G27)</f>
        <v/>
      </c>
      <c r="I27" s="5" t="n"/>
      <c r="J27" s="5" t="n"/>
    </row>
    <row r="28">
      <c r="A28" s="5" t="n"/>
      <c r="B28" s="5" t="n"/>
      <c r="C28" s="5" t="n"/>
      <c r="D28" s="5" t="n"/>
      <c r="E28" s="5" t="n"/>
      <c r="F28" s="19" t="n"/>
      <c r="G28" s="18" t="n"/>
      <c r="H28" s="20">
        <f>IF(OR(F28="",G28=""),"",F28*G28)</f>
        <v/>
      </c>
      <c r="I28" s="5" t="n"/>
      <c r="J28" s="5" t="n"/>
    </row>
    <row r="29">
      <c r="A29" s="5" t="n"/>
      <c r="B29" s="5" t="n"/>
      <c r="C29" s="5" t="n"/>
      <c r="D29" s="5" t="n"/>
      <c r="E29" s="5" t="n"/>
      <c r="F29" s="19" t="n"/>
      <c r="G29" s="18" t="n"/>
      <c r="H29" s="20">
        <f>IF(OR(F29="",G29=""),"",F29*G29)</f>
        <v/>
      </c>
      <c r="I29" s="5" t="n"/>
      <c r="J29" s="5" t="n"/>
    </row>
    <row r="30">
      <c r="A30" s="5" t="n"/>
      <c r="B30" s="5" t="n"/>
      <c r="C30" s="5" t="n"/>
      <c r="D30" s="5" t="n"/>
      <c r="E30" s="5" t="n"/>
      <c r="F30" s="19" t="n"/>
      <c r="G30" s="18" t="n"/>
      <c r="H30" s="20">
        <f>IF(OR(F30="",G30=""),"",F30*G30)</f>
        <v/>
      </c>
      <c r="I30" s="5" t="n"/>
      <c r="J30" s="5" t="n"/>
    </row>
    <row r="31">
      <c r="A31" s="5" t="n"/>
      <c r="B31" s="5" t="n"/>
      <c r="C31" s="5" t="n"/>
      <c r="D31" s="5" t="n"/>
      <c r="E31" s="5" t="n"/>
      <c r="F31" s="19" t="n"/>
      <c r="G31" s="18" t="n"/>
      <c r="H31" s="20">
        <f>IF(OR(F31="",G31=""),"",F31*G31)</f>
        <v/>
      </c>
      <c r="I31" s="5" t="n"/>
      <c r="J31" s="5" t="n"/>
    </row>
    <row r="32">
      <c r="A32" s="5" t="n"/>
      <c r="B32" s="5" t="n"/>
      <c r="C32" s="5" t="n"/>
      <c r="D32" s="5" t="n"/>
      <c r="E32" s="5" t="n"/>
      <c r="F32" s="19" t="n"/>
      <c r="G32" s="18" t="n"/>
      <c r="H32" s="20">
        <f>IF(OR(F32="",G32=""),"",F32*G32)</f>
        <v/>
      </c>
      <c r="I32" s="5" t="n"/>
      <c r="J32" s="5" t="n"/>
    </row>
    <row r="33">
      <c r="A33" s="5" t="n"/>
      <c r="B33" s="5" t="n"/>
      <c r="C33" s="5" t="n"/>
      <c r="D33" s="5" t="n"/>
      <c r="E33" s="5" t="n"/>
      <c r="F33" s="19" t="n"/>
      <c r="G33" s="18" t="n"/>
      <c r="H33" s="20">
        <f>IF(OR(F33="",G33=""),"",F33*G33)</f>
        <v/>
      </c>
      <c r="I33" s="5" t="n"/>
      <c r="J33" s="5" t="n"/>
    </row>
    <row r="34">
      <c r="A34" s="5" t="n"/>
      <c r="B34" s="5" t="n"/>
      <c r="C34" s="5" t="n"/>
      <c r="D34" s="5" t="n"/>
      <c r="E34" s="5" t="n"/>
      <c r="F34" s="19" t="n"/>
      <c r="G34" s="18" t="n"/>
      <c r="H34" s="20">
        <f>IF(OR(F34="",G34=""),"",F34*G34)</f>
        <v/>
      </c>
      <c r="I34" s="5" t="n"/>
      <c r="J34" s="5" t="n"/>
    </row>
    <row r="35">
      <c r="A35" s="5" t="n"/>
      <c r="B35" s="5" t="n"/>
      <c r="C35" s="5" t="n"/>
      <c r="D35" s="5" t="n"/>
      <c r="E35" s="5" t="n"/>
      <c r="F35" s="19" t="n"/>
      <c r="G35" s="18" t="n"/>
      <c r="H35" s="20">
        <f>IF(OR(F35="",G35=""),"",F35*G35)</f>
        <v/>
      </c>
      <c r="I35" s="5" t="n"/>
      <c r="J35" s="5" t="n"/>
    </row>
    <row r="36">
      <c r="A36" s="5" t="n"/>
      <c r="B36" s="5" t="n"/>
      <c r="C36" s="5" t="n"/>
      <c r="D36" s="5" t="n"/>
      <c r="E36" s="5" t="n"/>
      <c r="F36" s="19" t="n"/>
      <c r="G36" s="18" t="n"/>
      <c r="H36" s="20">
        <f>IF(OR(F36="",G36=""),"",F36*G36)</f>
        <v/>
      </c>
      <c r="I36" s="5" t="n"/>
      <c r="J36" s="5" t="n"/>
    </row>
    <row r="37">
      <c r="A37" s="5" t="n"/>
      <c r="B37" s="5" t="n"/>
      <c r="C37" s="5" t="n"/>
      <c r="D37" s="5" t="n"/>
      <c r="E37" s="5" t="n"/>
      <c r="F37" s="19" t="n"/>
      <c r="G37" s="18" t="n"/>
      <c r="H37" s="20">
        <f>IF(OR(F37="",G37=""),"",F37*G37)</f>
        <v/>
      </c>
      <c r="I37" s="5" t="n"/>
      <c r="J37" s="5" t="n"/>
    </row>
    <row r="38">
      <c r="A38" s="5" t="n"/>
      <c r="B38" s="5" t="n"/>
      <c r="C38" s="5" t="n"/>
      <c r="D38" s="5" t="n"/>
      <c r="E38" s="5" t="n"/>
      <c r="F38" s="19" t="n"/>
      <c r="G38" s="18" t="n"/>
      <c r="H38" s="20">
        <f>IF(OR(F38="",G38=""),"",F38*G38)</f>
        <v/>
      </c>
      <c r="I38" s="5" t="n"/>
      <c r="J38" s="5" t="n"/>
    </row>
    <row r="39">
      <c r="A39" s="5" t="n"/>
      <c r="B39" s="5" t="n"/>
      <c r="C39" s="5" t="n"/>
      <c r="D39" s="5" t="n"/>
      <c r="E39" s="5" t="n"/>
      <c r="F39" s="19" t="n"/>
      <c r="G39" s="18" t="n"/>
      <c r="H39" s="20">
        <f>IF(OR(F39="",G39=""),"",F39*G39)</f>
        <v/>
      </c>
      <c r="I39" s="5" t="n"/>
      <c r="J39" s="5" t="n"/>
    </row>
    <row r="40">
      <c r="A40" s="5" t="n"/>
      <c r="B40" s="5" t="n"/>
      <c r="C40" s="5" t="n"/>
      <c r="D40" s="5" t="n"/>
      <c r="E40" s="5" t="n"/>
      <c r="F40" s="19" t="n"/>
      <c r="G40" s="18" t="n"/>
      <c r="H40" s="20">
        <f>IF(OR(F40="",G40=""),"",F40*G40)</f>
        <v/>
      </c>
      <c r="I40" s="5" t="n"/>
      <c r="J40" s="5" t="n"/>
    </row>
    <row r="41">
      <c r="A41" s="5" t="n"/>
      <c r="B41" s="5" t="n"/>
      <c r="C41" s="5" t="n"/>
      <c r="D41" s="5" t="n"/>
      <c r="E41" s="5" t="n"/>
      <c r="F41" s="19" t="n"/>
      <c r="G41" s="18" t="n"/>
      <c r="H41" s="20">
        <f>IF(OR(F41="",G41=""),"",F41*G41)</f>
        <v/>
      </c>
      <c r="I41" s="5" t="n"/>
      <c r="J41" s="5" t="n"/>
    </row>
    <row r="42">
      <c r="A42" s="5" t="n"/>
      <c r="B42" s="5" t="n"/>
      <c r="C42" s="5" t="n"/>
      <c r="D42" s="5" t="n"/>
      <c r="E42" s="5" t="n"/>
      <c r="F42" s="19" t="n"/>
      <c r="G42" s="18" t="n"/>
      <c r="H42" s="20">
        <f>IF(OR(F42="",G42=""),"",F42*G42)</f>
        <v/>
      </c>
      <c r="I42" s="5" t="n"/>
      <c r="J42" s="5" t="n"/>
    </row>
    <row r="43">
      <c r="A43" s="5" t="n"/>
      <c r="B43" s="5" t="n"/>
      <c r="C43" s="5" t="n"/>
      <c r="D43" s="5" t="n"/>
      <c r="E43" s="5" t="n"/>
      <c r="F43" s="19" t="n"/>
      <c r="G43" s="18" t="n"/>
      <c r="H43" s="20">
        <f>IF(OR(F43="",G43=""),"",F43*G43)</f>
        <v/>
      </c>
      <c r="I43" s="5" t="n"/>
      <c r="J43" s="5" t="n"/>
    </row>
    <row r="44">
      <c r="A44" s="5" t="n"/>
      <c r="B44" s="5" t="n"/>
      <c r="C44" s="5" t="n"/>
      <c r="D44" s="5" t="n"/>
      <c r="E44" s="5" t="n"/>
      <c r="F44" s="19" t="n"/>
      <c r="G44" s="18" t="n"/>
      <c r="H44" s="20">
        <f>IF(OR(F44="",G44=""),"",F44*G44)</f>
        <v/>
      </c>
      <c r="I44" s="5" t="n"/>
      <c r="J44" s="5" t="n"/>
    </row>
    <row r="45">
      <c r="A45" s="5" t="n"/>
      <c r="B45" s="5" t="n"/>
      <c r="C45" s="5" t="n"/>
      <c r="D45" s="5" t="n"/>
      <c r="E45" s="5" t="n"/>
      <c r="F45" s="19" t="n"/>
      <c r="G45" s="18" t="n"/>
      <c r="H45" s="20">
        <f>IF(OR(F45="",G45=""),"",F45*G45)</f>
        <v/>
      </c>
      <c r="I45" s="5" t="n"/>
      <c r="J45" s="5" t="n"/>
    </row>
    <row r="46">
      <c r="A46" s="5" t="n"/>
      <c r="B46" s="5" t="n"/>
      <c r="C46" s="5" t="n"/>
      <c r="D46" s="5" t="n"/>
      <c r="E46" s="5" t="n"/>
      <c r="F46" s="19" t="n"/>
      <c r="G46" s="18" t="n"/>
      <c r="H46" s="20">
        <f>IF(OR(F46="",G46=""),"",F46*G46)</f>
        <v/>
      </c>
      <c r="I46" s="5" t="n"/>
      <c r="J46" s="5" t="n"/>
    </row>
    <row r="47">
      <c r="A47" s="5" t="n"/>
      <c r="B47" s="5" t="n"/>
      <c r="C47" s="5" t="n"/>
      <c r="D47" s="5" t="n"/>
      <c r="E47" s="5" t="n"/>
      <c r="F47" s="19" t="n"/>
      <c r="G47" s="18" t="n"/>
      <c r="H47" s="20">
        <f>IF(OR(F47="",G47=""),"",F47*G47)</f>
        <v/>
      </c>
      <c r="I47" s="5" t="n"/>
      <c r="J47" s="5" t="n"/>
    </row>
    <row r="48">
      <c r="A48" s="5" t="n"/>
      <c r="B48" s="5" t="n"/>
      <c r="C48" s="5" t="n"/>
      <c r="D48" s="5" t="n"/>
      <c r="E48" s="5" t="n"/>
      <c r="F48" s="19" t="n"/>
      <c r="G48" s="18" t="n"/>
      <c r="H48" s="20">
        <f>IF(OR(F48="",G48=""),"",F48*G48)</f>
        <v/>
      </c>
      <c r="I48" s="5" t="n"/>
      <c r="J48" s="5" t="n"/>
    </row>
    <row r="49">
      <c r="A49" s="5" t="n"/>
      <c r="B49" s="5" t="n"/>
      <c r="C49" s="5" t="n"/>
      <c r="D49" s="5" t="n"/>
      <c r="E49" s="5" t="n"/>
      <c r="F49" s="19" t="n"/>
      <c r="G49" s="18" t="n"/>
      <c r="H49" s="20">
        <f>IF(OR(F49="",G49=""),"",F49*G49)</f>
        <v/>
      </c>
      <c r="I49" s="5" t="n"/>
      <c r="J49" s="5" t="n"/>
    </row>
    <row r="50">
      <c r="A50" s="5" t="n"/>
      <c r="B50" s="5" t="n"/>
      <c r="C50" s="5" t="n"/>
      <c r="D50" s="5" t="n"/>
      <c r="E50" s="5" t="n"/>
      <c r="F50" s="19" t="n"/>
      <c r="G50" s="18" t="n"/>
      <c r="H50" s="20">
        <f>IF(OR(F50="",G50=""),"",F50*G50)</f>
        <v/>
      </c>
      <c r="I50" s="5" t="n"/>
      <c r="J50" s="5" t="n"/>
    </row>
    <row r="51">
      <c r="A51" s="5" t="n"/>
      <c r="B51" s="5" t="n"/>
      <c r="C51" s="5" t="n"/>
      <c r="D51" s="5" t="n"/>
      <c r="E51" s="5" t="n"/>
      <c r="F51" s="19" t="n"/>
      <c r="G51" s="18" t="n"/>
      <c r="H51" s="20">
        <f>IF(OR(F51="",G51=""),"",F51*G51)</f>
        <v/>
      </c>
      <c r="I51" s="5" t="n"/>
      <c r="J51" s="5" t="n"/>
    </row>
    <row r="52">
      <c r="A52" s="5" t="n"/>
      <c r="B52" s="5" t="n"/>
      <c r="C52" s="5" t="n"/>
      <c r="D52" s="5" t="n"/>
      <c r="E52" s="5" t="n"/>
      <c r="F52" s="19" t="n"/>
      <c r="G52" s="18" t="n"/>
      <c r="H52" s="20">
        <f>IF(OR(F52="",G52=""),"",F52*G52)</f>
        <v/>
      </c>
      <c r="I52" s="5" t="n"/>
      <c r="J52" s="5" t="n"/>
    </row>
    <row r="53">
      <c r="A53" s="5" t="n"/>
      <c r="B53" s="5" t="n"/>
      <c r="C53" s="5" t="n"/>
      <c r="D53" s="5" t="n"/>
      <c r="E53" s="5" t="n"/>
      <c r="F53" s="19" t="n"/>
      <c r="G53" s="18" t="n"/>
      <c r="H53" s="20">
        <f>IF(OR(F53="",G53=""),"",F53*G53)</f>
        <v/>
      </c>
      <c r="I53" s="5" t="n"/>
      <c r="J53" s="5" t="n"/>
    </row>
    <row r="54">
      <c r="A54" s="5" t="n"/>
      <c r="B54" s="5" t="n"/>
      <c r="C54" s="5" t="n"/>
      <c r="D54" s="5" t="n"/>
      <c r="E54" s="5" t="n"/>
      <c r="F54" s="19" t="n"/>
      <c r="G54" s="18" t="n"/>
      <c r="H54" s="20">
        <f>IF(OR(F54="",G54=""),"",F54*G54)</f>
        <v/>
      </c>
      <c r="I54" s="5" t="n"/>
      <c r="J54" s="5" t="n"/>
    </row>
    <row r="55">
      <c r="A55" s="5" t="n"/>
      <c r="B55" s="5" t="n"/>
      <c r="C55" s="5" t="n"/>
      <c r="D55" s="5" t="n"/>
      <c r="E55" s="5" t="n"/>
      <c r="F55" s="19" t="n"/>
      <c r="G55" s="18" t="n"/>
      <c r="H55" s="20">
        <f>IF(OR(F55="",G55=""),"",F55*G55)</f>
        <v/>
      </c>
      <c r="I55" s="5" t="n"/>
      <c r="J55" s="5" t="n"/>
    </row>
    <row r="56">
      <c r="A56" s="5" t="n"/>
      <c r="B56" s="5" t="n"/>
      <c r="C56" s="5" t="n"/>
      <c r="D56" s="5" t="n"/>
      <c r="E56" s="5" t="n"/>
      <c r="F56" s="19" t="n"/>
      <c r="G56" s="18" t="n"/>
      <c r="H56" s="20">
        <f>IF(OR(F56="",G56=""),"",F56*G56)</f>
        <v/>
      </c>
      <c r="I56" s="5" t="n"/>
      <c r="J56" s="5" t="n"/>
    </row>
    <row r="57">
      <c r="A57" s="5" t="n"/>
      <c r="B57" s="5" t="n"/>
      <c r="C57" s="5" t="n"/>
      <c r="D57" s="5" t="n"/>
      <c r="E57" s="5" t="n"/>
      <c r="F57" s="19" t="n"/>
      <c r="G57" s="18" t="n"/>
      <c r="H57" s="20">
        <f>IF(OR(F57="",G57=""),"",F57*G57)</f>
        <v/>
      </c>
      <c r="I57" s="5" t="n"/>
      <c r="J57" s="5" t="n"/>
    </row>
    <row r="58">
      <c r="A58" s="5" t="n"/>
      <c r="B58" s="5" t="n"/>
      <c r="C58" s="5" t="n"/>
      <c r="D58" s="5" t="n"/>
      <c r="E58" s="5" t="n"/>
      <c r="F58" s="19" t="n"/>
      <c r="G58" s="18" t="n"/>
      <c r="H58" s="20">
        <f>IF(OR(F58="",G58=""),"",F58*G58)</f>
        <v/>
      </c>
      <c r="I58" s="5" t="n"/>
      <c r="J58" s="5" t="n"/>
    </row>
    <row r="59">
      <c r="A59" s="5" t="n"/>
      <c r="B59" s="5" t="n"/>
      <c r="C59" s="5" t="n"/>
      <c r="D59" s="5" t="n"/>
      <c r="E59" s="5" t="n"/>
      <c r="F59" s="19" t="n"/>
      <c r="G59" s="18" t="n"/>
      <c r="H59" s="20">
        <f>IF(OR(F59="",G59=""),"",F59*G59)</f>
        <v/>
      </c>
      <c r="I59" s="5" t="n"/>
      <c r="J59" s="5" t="n"/>
    </row>
    <row r="60">
      <c r="A60" s="5" t="n"/>
      <c r="B60" s="5" t="n"/>
      <c r="C60" s="5" t="n"/>
      <c r="D60" s="5" t="n"/>
      <c r="E60" s="5" t="n"/>
      <c r="F60" s="19" t="n"/>
      <c r="G60" s="18" t="n"/>
      <c r="H60" s="20">
        <f>IF(OR(F60="",G60=""),"",F60*G60)</f>
        <v/>
      </c>
      <c r="I60" s="5" t="n"/>
      <c r="J60" s="5" t="n"/>
    </row>
    <row r="61">
      <c r="A61" s="5" t="n"/>
      <c r="B61" s="5" t="n"/>
      <c r="C61" s="5" t="n"/>
      <c r="D61" s="5" t="n"/>
      <c r="E61" s="5" t="n"/>
      <c r="F61" s="19" t="n"/>
      <c r="G61" s="18" t="n"/>
      <c r="H61" s="20">
        <f>IF(OR(F61="",G61=""),"",F61*G61)</f>
        <v/>
      </c>
      <c r="I61" s="5" t="n"/>
      <c r="J61" s="5" t="n"/>
    </row>
    <row r="62">
      <c r="A62" s="5" t="n"/>
      <c r="B62" s="5" t="n"/>
      <c r="C62" s="5" t="n"/>
      <c r="D62" s="5" t="n"/>
      <c r="E62" s="5" t="n"/>
      <c r="F62" s="19" t="n"/>
      <c r="G62" s="18" t="n"/>
      <c r="H62" s="20">
        <f>IF(OR(F62="",G62=""),"",F62*G62)</f>
        <v/>
      </c>
      <c r="I62" s="5" t="n"/>
      <c r="J62" s="5" t="n"/>
    </row>
    <row r="63">
      <c r="A63" s="5" t="n"/>
      <c r="B63" s="5" t="n"/>
      <c r="C63" s="5" t="n"/>
      <c r="D63" s="5" t="n"/>
      <c r="E63" s="5" t="n"/>
      <c r="F63" s="19" t="n"/>
      <c r="G63" s="18" t="n"/>
      <c r="H63" s="20">
        <f>IF(OR(F63="",G63=""),"",F63*G63)</f>
        <v/>
      </c>
      <c r="I63" s="5" t="n"/>
      <c r="J63" s="5" t="n"/>
    </row>
    <row r="64">
      <c r="A64" s="5" t="n"/>
      <c r="B64" s="5" t="n"/>
      <c r="C64" s="5" t="n"/>
      <c r="D64" s="5" t="n"/>
      <c r="E64" s="5" t="n"/>
      <c r="F64" s="19" t="n"/>
      <c r="G64" s="18" t="n"/>
      <c r="H64" s="20">
        <f>IF(OR(F64="",G64=""),"",F64*G64)</f>
        <v/>
      </c>
      <c r="I64" s="5" t="n"/>
      <c r="J64" s="5" t="n"/>
    </row>
    <row r="65">
      <c r="A65" s="5" t="n"/>
      <c r="B65" s="5" t="n"/>
      <c r="C65" s="5" t="n"/>
      <c r="D65" s="5" t="n"/>
      <c r="E65" s="5" t="n"/>
      <c r="F65" s="19" t="n"/>
      <c r="G65" s="18" t="n"/>
      <c r="H65" s="20">
        <f>IF(OR(F65="",G65=""),"",F65*G65)</f>
        <v/>
      </c>
      <c r="I65" s="5" t="n"/>
      <c r="J65" s="5" t="n"/>
    </row>
    <row r="66">
      <c r="A66" s="5" t="n"/>
      <c r="B66" s="5" t="n"/>
      <c r="C66" s="5" t="n"/>
      <c r="D66" s="5" t="n"/>
      <c r="E66" s="5" t="n"/>
      <c r="F66" s="19" t="n"/>
      <c r="G66" s="18" t="n"/>
      <c r="H66" s="20">
        <f>IF(OR(F66="",G66=""),"",F66*G66)</f>
        <v/>
      </c>
      <c r="I66" s="5" t="n"/>
      <c r="J66" s="5" t="n"/>
    </row>
    <row r="67">
      <c r="A67" s="5" t="n"/>
      <c r="B67" s="5" t="n"/>
      <c r="C67" s="5" t="n"/>
      <c r="D67" s="5" t="n"/>
      <c r="E67" s="5" t="n"/>
      <c r="F67" s="19" t="n"/>
      <c r="G67" s="18" t="n"/>
      <c r="H67" s="20">
        <f>IF(OR(F67="",G67=""),"",F67*G67)</f>
        <v/>
      </c>
      <c r="I67" s="5" t="n"/>
      <c r="J67" s="5" t="n"/>
    </row>
    <row r="68">
      <c r="A68" s="5" t="n"/>
      <c r="B68" s="5" t="n"/>
      <c r="C68" s="5" t="n"/>
      <c r="D68" s="5" t="n"/>
      <c r="E68" s="5" t="n"/>
      <c r="F68" s="19" t="n"/>
      <c r="G68" s="18" t="n"/>
      <c r="H68" s="20">
        <f>IF(OR(F68="",G68=""),"",F68*G68)</f>
        <v/>
      </c>
      <c r="I68" s="5" t="n"/>
      <c r="J68" s="5" t="n"/>
    </row>
    <row r="69">
      <c r="A69" s="5" t="n"/>
      <c r="B69" s="5" t="n"/>
      <c r="C69" s="5" t="n"/>
      <c r="D69" s="5" t="n"/>
      <c r="E69" s="5" t="n"/>
      <c r="F69" s="19" t="n"/>
      <c r="G69" s="18" t="n"/>
      <c r="H69" s="20">
        <f>IF(OR(F69="",G69=""),"",F69*G69)</f>
        <v/>
      </c>
      <c r="I69" s="5" t="n"/>
      <c r="J69" s="5" t="n"/>
    </row>
    <row r="70">
      <c r="A70" s="5" t="n"/>
      <c r="B70" s="5" t="n"/>
      <c r="C70" s="5" t="n"/>
      <c r="D70" s="5" t="n"/>
      <c r="E70" s="5" t="n"/>
      <c r="F70" s="19" t="n"/>
      <c r="G70" s="18" t="n"/>
      <c r="H70" s="20">
        <f>IF(OR(F70="",G70=""),"",F70*G70)</f>
        <v/>
      </c>
      <c r="I70" s="5" t="n"/>
      <c r="J70" s="5" t="n"/>
    </row>
    <row r="71">
      <c r="A71" s="5" t="n"/>
      <c r="B71" s="5" t="n"/>
      <c r="C71" s="5" t="n"/>
      <c r="D71" s="5" t="n"/>
      <c r="E71" s="5" t="n"/>
      <c r="F71" s="19" t="n"/>
      <c r="G71" s="18" t="n"/>
      <c r="H71" s="20">
        <f>IF(OR(F71="",G71=""),"",F71*G71)</f>
        <v/>
      </c>
      <c r="I71" s="5" t="n"/>
      <c r="J71" s="5" t="n"/>
    </row>
    <row r="72">
      <c r="A72" s="5" t="n"/>
      <c r="B72" s="5" t="n"/>
      <c r="C72" s="5" t="n"/>
      <c r="D72" s="5" t="n"/>
      <c r="E72" s="5" t="n"/>
      <c r="F72" s="19" t="n"/>
      <c r="G72" s="18" t="n"/>
      <c r="H72" s="20">
        <f>IF(OR(F72="",G72=""),"",F72*G72)</f>
        <v/>
      </c>
      <c r="I72" s="5" t="n"/>
      <c r="J72" s="5" t="n"/>
    </row>
    <row r="73">
      <c r="A73" s="5" t="n"/>
      <c r="B73" s="5" t="n"/>
      <c r="C73" s="5" t="n"/>
      <c r="D73" s="5" t="n"/>
      <c r="E73" s="5" t="n"/>
      <c r="F73" s="19" t="n"/>
      <c r="G73" s="18" t="n"/>
      <c r="H73" s="20">
        <f>IF(OR(F73="",G73=""),"",F73*G73)</f>
        <v/>
      </c>
      <c r="I73" s="5" t="n"/>
      <c r="J73" s="5" t="n"/>
    </row>
    <row r="74">
      <c r="A74" s="5" t="n"/>
      <c r="B74" s="5" t="n"/>
      <c r="C74" s="5" t="n"/>
      <c r="D74" s="5" t="n"/>
      <c r="E74" s="5" t="n"/>
      <c r="F74" s="19" t="n"/>
      <c r="G74" s="18" t="n"/>
      <c r="H74" s="20">
        <f>IF(OR(F74="",G74=""),"",F74*G74)</f>
        <v/>
      </c>
      <c r="I74" s="5" t="n"/>
      <c r="J74" s="5" t="n"/>
    </row>
    <row r="75">
      <c r="A75" s="5" t="n"/>
      <c r="B75" s="5" t="n"/>
      <c r="C75" s="5" t="n"/>
      <c r="D75" s="5" t="n"/>
      <c r="E75" s="5" t="n"/>
      <c r="F75" s="19" t="n"/>
      <c r="G75" s="18" t="n"/>
      <c r="H75" s="20">
        <f>IF(OR(F75="",G75=""),"",F75*G75)</f>
        <v/>
      </c>
      <c r="I75" s="5" t="n"/>
      <c r="J75" s="5" t="n"/>
    </row>
    <row r="76">
      <c r="A76" s="5" t="n"/>
      <c r="B76" s="5" t="n"/>
      <c r="C76" s="5" t="n"/>
      <c r="D76" s="5" t="n"/>
      <c r="E76" s="5" t="n"/>
      <c r="F76" s="19" t="n"/>
      <c r="G76" s="18" t="n"/>
      <c r="H76" s="20">
        <f>IF(OR(F76="",G76=""),"",F76*G76)</f>
        <v/>
      </c>
      <c r="I76" s="5" t="n"/>
      <c r="J76" s="5" t="n"/>
    </row>
    <row r="77">
      <c r="A77" s="5" t="n"/>
      <c r="B77" s="5" t="n"/>
      <c r="C77" s="5" t="n"/>
      <c r="D77" s="5" t="n"/>
      <c r="E77" s="5" t="n"/>
      <c r="F77" s="19" t="n"/>
      <c r="G77" s="18" t="n"/>
      <c r="H77" s="20">
        <f>IF(OR(F77="",G77=""),"",F77*G77)</f>
        <v/>
      </c>
      <c r="I77" s="5" t="n"/>
      <c r="J77" s="5" t="n"/>
    </row>
    <row r="78">
      <c r="A78" s="5" t="n"/>
      <c r="B78" s="5" t="n"/>
      <c r="C78" s="5" t="n"/>
      <c r="D78" s="5" t="n"/>
      <c r="E78" s="5" t="n"/>
      <c r="F78" s="19" t="n"/>
      <c r="G78" s="18" t="n"/>
      <c r="H78" s="20">
        <f>IF(OR(F78="",G78=""),"",F78*G78)</f>
        <v/>
      </c>
      <c r="I78" s="5" t="n"/>
      <c r="J78" s="5" t="n"/>
    </row>
    <row r="79">
      <c r="A79" s="5" t="n"/>
      <c r="B79" s="5" t="n"/>
      <c r="C79" s="5" t="n"/>
      <c r="D79" s="5" t="n"/>
      <c r="E79" s="5" t="n"/>
      <c r="F79" s="19" t="n"/>
      <c r="G79" s="18" t="n"/>
      <c r="H79" s="20">
        <f>IF(OR(F79="",G79=""),"",F79*G79)</f>
        <v/>
      </c>
      <c r="I79" s="5" t="n"/>
      <c r="J79" s="5" t="n"/>
    </row>
    <row r="80">
      <c r="A80" s="5" t="n"/>
      <c r="B80" s="5" t="n"/>
      <c r="C80" s="5" t="n"/>
      <c r="D80" s="5" t="n"/>
      <c r="E80" s="5" t="n"/>
      <c r="F80" s="19" t="n"/>
      <c r="G80" s="18" t="n"/>
      <c r="H80" s="20">
        <f>IF(OR(F80="",G80=""),"",F80*G80)</f>
        <v/>
      </c>
      <c r="I80" s="5" t="n"/>
      <c r="J80" s="5" t="n"/>
    </row>
    <row r="81">
      <c r="A81" s="5" t="n"/>
      <c r="B81" s="5" t="n"/>
      <c r="C81" s="5" t="n"/>
      <c r="D81" s="5" t="n"/>
      <c r="E81" s="5" t="n"/>
      <c r="F81" s="19" t="n"/>
      <c r="G81" s="18" t="n"/>
      <c r="H81" s="20">
        <f>IF(OR(F81="",G81=""),"",F81*G81)</f>
        <v/>
      </c>
      <c r="I81" s="5" t="n"/>
      <c r="J81" s="5" t="n"/>
    </row>
    <row r="82">
      <c r="A82" s="5" t="n"/>
      <c r="B82" s="5" t="n"/>
      <c r="C82" s="5" t="n"/>
      <c r="D82" s="5" t="n"/>
      <c r="E82" s="5" t="n"/>
      <c r="F82" s="19" t="n"/>
      <c r="G82" s="18" t="n"/>
      <c r="H82" s="20">
        <f>IF(OR(F82="",G82=""),"",F82*G82)</f>
        <v/>
      </c>
      <c r="I82" s="5" t="n"/>
      <c r="J82" s="5" t="n"/>
    </row>
    <row r="83">
      <c r="A83" s="5" t="n"/>
      <c r="B83" s="5" t="n"/>
      <c r="C83" s="5" t="n"/>
      <c r="D83" s="5" t="n"/>
      <c r="E83" s="5" t="n"/>
      <c r="F83" s="19" t="n"/>
      <c r="G83" s="18" t="n"/>
      <c r="H83" s="20">
        <f>IF(OR(F83="",G83=""),"",F83*G83)</f>
        <v/>
      </c>
      <c r="I83" s="5" t="n"/>
      <c r="J83" s="5" t="n"/>
    </row>
    <row r="84">
      <c r="A84" s="5" t="n"/>
      <c r="B84" s="5" t="n"/>
      <c r="C84" s="5" t="n"/>
      <c r="D84" s="5" t="n"/>
      <c r="E84" s="5" t="n"/>
      <c r="F84" s="19" t="n"/>
      <c r="G84" s="18" t="n"/>
      <c r="H84" s="20">
        <f>IF(OR(F84="",G84=""),"",F84*G84)</f>
        <v/>
      </c>
      <c r="I84" s="5" t="n"/>
      <c r="J84" s="5" t="n"/>
    </row>
    <row r="85">
      <c r="A85" s="5" t="n"/>
      <c r="B85" s="5" t="n"/>
      <c r="C85" s="5" t="n"/>
      <c r="D85" s="5" t="n"/>
      <c r="E85" s="5" t="n"/>
      <c r="F85" s="19" t="n"/>
      <c r="G85" s="18" t="n"/>
      <c r="H85" s="20">
        <f>IF(OR(F85="",G85=""),"",F85*G85)</f>
        <v/>
      </c>
      <c r="I85" s="5" t="n"/>
      <c r="J85" s="5" t="n"/>
    </row>
    <row r="86">
      <c r="A86" s="5" t="n"/>
      <c r="B86" s="5" t="n"/>
      <c r="C86" s="5" t="n"/>
      <c r="D86" s="5" t="n"/>
      <c r="E86" s="5" t="n"/>
      <c r="F86" s="19" t="n"/>
      <c r="G86" s="18" t="n"/>
      <c r="H86" s="20">
        <f>IF(OR(F86="",G86=""),"",F86*G86)</f>
        <v/>
      </c>
      <c r="I86" s="5" t="n"/>
      <c r="J86" s="5" t="n"/>
    </row>
    <row r="87">
      <c r="A87" s="5" t="n"/>
      <c r="B87" s="5" t="n"/>
      <c r="C87" s="5" t="n"/>
      <c r="D87" s="5" t="n"/>
      <c r="E87" s="5" t="n"/>
      <c r="F87" s="19" t="n"/>
      <c r="G87" s="18" t="n"/>
      <c r="H87" s="20">
        <f>IF(OR(F87="",G87=""),"",F87*G87)</f>
        <v/>
      </c>
      <c r="I87" s="5" t="n"/>
      <c r="J87" s="5" t="n"/>
    </row>
    <row r="88">
      <c r="A88" s="5" t="n"/>
      <c r="B88" s="5" t="n"/>
      <c r="C88" s="5" t="n"/>
      <c r="D88" s="5" t="n"/>
      <c r="E88" s="5" t="n"/>
      <c r="F88" s="19" t="n"/>
      <c r="G88" s="18" t="n"/>
      <c r="H88" s="20">
        <f>IF(OR(F88="",G88=""),"",F88*G88)</f>
        <v/>
      </c>
      <c r="I88" s="5" t="n"/>
      <c r="J88" s="5" t="n"/>
    </row>
    <row r="89">
      <c r="A89" s="5" t="n"/>
      <c r="B89" s="5" t="n"/>
      <c r="C89" s="5" t="n"/>
      <c r="D89" s="5" t="n"/>
      <c r="E89" s="5" t="n"/>
      <c r="F89" s="19" t="n"/>
      <c r="G89" s="18" t="n"/>
      <c r="H89" s="20">
        <f>IF(OR(F89="",G89=""),"",F89*G89)</f>
        <v/>
      </c>
      <c r="I89" s="5" t="n"/>
      <c r="J89" s="5" t="n"/>
    </row>
    <row r="90">
      <c r="A90" s="5" t="n"/>
      <c r="B90" s="5" t="n"/>
      <c r="C90" s="5" t="n"/>
      <c r="D90" s="5" t="n"/>
      <c r="E90" s="5" t="n"/>
      <c r="F90" s="19" t="n"/>
      <c r="G90" s="18" t="n"/>
      <c r="H90" s="20">
        <f>IF(OR(F90="",G90=""),"",F90*G90)</f>
        <v/>
      </c>
      <c r="I90" s="5" t="n"/>
      <c r="J90" s="5" t="n"/>
    </row>
    <row r="91">
      <c r="A91" s="5" t="n"/>
      <c r="B91" s="5" t="n"/>
      <c r="C91" s="5" t="n"/>
      <c r="D91" s="5" t="n"/>
      <c r="E91" s="5" t="n"/>
      <c r="F91" s="19" t="n"/>
      <c r="G91" s="18" t="n"/>
      <c r="H91" s="20">
        <f>IF(OR(F91="",G91=""),"",F91*G91)</f>
        <v/>
      </c>
      <c r="I91" s="5" t="n"/>
      <c r="J91" s="5" t="n"/>
    </row>
    <row r="92">
      <c r="A92" s="5" t="n"/>
      <c r="B92" s="5" t="n"/>
      <c r="C92" s="5" t="n"/>
      <c r="D92" s="5" t="n"/>
      <c r="E92" s="5" t="n"/>
      <c r="F92" s="19" t="n"/>
      <c r="G92" s="18" t="n"/>
      <c r="H92" s="20">
        <f>IF(OR(F92="",G92=""),"",F92*G92)</f>
        <v/>
      </c>
      <c r="I92" s="5" t="n"/>
      <c r="J92" s="5" t="n"/>
    </row>
    <row r="93">
      <c r="A93" s="5" t="n"/>
      <c r="B93" s="5" t="n"/>
      <c r="C93" s="5" t="n"/>
      <c r="D93" s="5" t="n"/>
      <c r="E93" s="5" t="n"/>
      <c r="F93" s="19" t="n"/>
      <c r="G93" s="18" t="n"/>
      <c r="H93" s="20">
        <f>IF(OR(F93="",G93=""),"",F93*G93)</f>
        <v/>
      </c>
      <c r="I93" s="5" t="n"/>
      <c r="J93" s="5" t="n"/>
    </row>
    <row r="94">
      <c r="A94" s="5" t="n"/>
      <c r="B94" s="5" t="n"/>
      <c r="C94" s="5" t="n"/>
      <c r="D94" s="5" t="n"/>
      <c r="E94" s="5" t="n"/>
      <c r="F94" s="19" t="n"/>
      <c r="G94" s="18" t="n"/>
      <c r="H94" s="20">
        <f>IF(OR(F94="",G94=""),"",F94*G94)</f>
        <v/>
      </c>
      <c r="I94" s="5" t="n"/>
      <c r="J94" s="5" t="n"/>
    </row>
    <row r="95">
      <c r="A95" s="5" t="n"/>
      <c r="B95" s="5" t="n"/>
      <c r="C95" s="5" t="n"/>
      <c r="D95" s="5" t="n"/>
      <c r="E95" s="5" t="n"/>
      <c r="F95" s="19" t="n"/>
      <c r="G95" s="18" t="n"/>
      <c r="H95" s="20">
        <f>IF(OR(F95="",G95=""),"",F95*G95)</f>
        <v/>
      </c>
      <c r="I95" s="5" t="n"/>
      <c r="J95" s="5" t="n"/>
    </row>
    <row r="96">
      <c r="A96" s="5" t="n"/>
      <c r="B96" s="5" t="n"/>
      <c r="C96" s="5" t="n"/>
      <c r="D96" s="5" t="n"/>
      <c r="E96" s="5" t="n"/>
      <c r="F96" s="19" t="n"/>
      <c r="G96" s="18" t="n"/>
      <c r="H96" s="20">
        <f>IF(OR(F96="",G96=""),"",F96*G96)</f>
        <v/>
      </c>
      <c r="I96" s="5" t="n"/>
      <c r="J96" s="5" t="n"/>
    </row>
    <row r="97">
      <c r="A97" s="5" t="n"/>
      <c r="B97" s="5" t="n"/>
      <c r="C97" s="5" t="n"/>
      <c r="D97" s="5" t="n"/>
      <c r="E97" s="5" t="n"/>
      <c r="F97" s="19" t="n"/>
      <c r="G97" s="18" t="n"/>
      <c r="H97" s="20">
        <f>IF(OR(F97="",G97=""),"",F97*G97)</f>
        <v/>
      </c>
      <c r="I97" s="5" t="n"/>
      <c r="J97" s="5" t="n"/>
    </row>
    <row r="98">
      <c r="A98" s="5" t="n"/>
      <c r="B98" s="5" t="n"/>
      <c r="C98" s="5" t="n"/>
      <c r="D98" s="5" t="n"/>
      <c r="E98" s="5" t="n"/>
      <c r="F98" s="19" t="n"/>
      <c r="G98" s="18" t="n"/>
      <c r="H98" s="20">
        <f>IF(OR(F98="",G98=""),"",F98*G98)</f>
        <v/>
      </c>
      <c r="I98" s="5" t="n"/>
      <c r="J98" s="5" t="n"/>
    </row>
    <row r="99">
      <c r="A99" s="5" t="n"/>
      <c r="B99" s="5" t="n"/>
      <c r="C99" s="5" t="n"/>
      <c r="D99" s="5" t="n"/>
      <c r="E99" s="5" t="n"/>
      <c r="F99" s="19" t="n"/>
      <c r="G99" s="18" t="n"/>
      <c r="H99" s="20">
        <f>IF(OR(F99="",G99=""),"",F99*G99)</f>
        <v/>
      </c>
      <c r="I99" s="5" t="n"/>
      <c r="J99" s="5" t="n"/>
    </row>
    <row r="100">
      <c r="A100" s="5" t="n"/>
      <c r="B100" s="5" t="n"/>
      <c r="C100" s="5" t="n"/>
      <c r="D100" s="5" t="n"/>
      <c r="E100" s="5" t="n"/>
      <c r="F100" s="19" t="n"/>
      <c r="G100" s="18" t="n"/>
      <c r="H100" s="20">
        <f>IF(OR(F100="",G100=""),"",F100*G100)</f>
        <v/>
      </c>
      <c r="I100" s="5" t="n"/>
      <c r="J100" s="5" t="n"/>
    </row>
    <row r="101">
      <c r="A101" s="5" t="n"/>
      <c r="B101" s="5" t="n"/>
      <c r="C101" s="5" t="n"/>
      <c r="D101" s="5" t="n"/>
      <c r="E101" s="5" t="n"/>
      <c r="F101" s="19" t="n"/>
      <c r="G101" s="18" t="n"/>
      <c r="H101" s="20">
        <f>IF(OR(F101="",G101=""),"",F101*G101)</f>
        <v/>
      </c>
      <c r="I101" s="5" t="n"/>
      <c r="J101" s="5" t="n"/>
    </row>
    <row r="102">
      <c r="A102" s="5" t="n"/>
      <c r="B102" s="5" t="n"/>
      <c r="C102" s="5" t="n"/>
      <c r="D102" s="5" t="n"/>
      <c r="E102" s="5" t="n"/>
      <c r="F102" s="19" t="n"/>
      <c r="G102" s="18" t="n"/>
      <c r="H102" s="20">
        <f>IF(OR(F102="",G102=""),"",F102*G102)</f>
        <v/>
      </c>
      <c r="I102" s="5" t="n"/>
      <c r="J102" s="5" t="n"/>
    </row>
    <row r="103">
      <c r="A103" s="5" t="n"/>
      <c r="B103" s="5" t="n"/>
      <c r="C103" s="5" t="n"/>
      <c r="D103" s="5" t="n"/>
      <c r="E103" s="5" t="n"/>
      <c r="F103" s="19" t="n"/>
      <c r="G103" s="18" t="n"/>
      <c r="H103" s="20">
        <f>IF(OR(F103="",G103=""),"",F103*G103)</f>
        <v/>
      </c>
      <c r="I103" s="5" t="n"/>
      <c r="J103" s="5" t="n"/>
    </row>
    <row r="104">
      <c r="A104" s="5" t="n"/>
      <c r="B104" s="5" t="n"/>
      <c r="C104" s="5" t="n"/>
      <c r="D104" s="5" t="n"/>
      <c r="E104" s="5" t="n"/>
      <c r="F104" s="19" t="n"/>
      <c r="G104" s="18" t="n"/>
      <c r="H104" s="20">
        <f>IF(OR(F104="",G104=""),"",F104*G104)</f>
        <v/>
      </c>
      <c r="I104" s="5" t="n"/>
      <c r="J104" s="5" t="n"/>
    </row>
    <row r="105">
      <c r="A105" s="5" t="n"/>
      <c r="B105" s="5" t="n"/>
      <c r="C105" s="5" t="n"/>
      <c r="D105" s="5" t="n"/>
      <c r="E105" s="5" t="n"/>
      <c r="F105" s="19" t="n"/>
      <c r="G105" s="18" t="n"/>
      <c r="H105" s="20">
        <f>IF(OR(F105="",G105=""),"",F105*G105)</f>
        <v/>
      </c>
      <c r="I105" s="5" t="n"/>
      <c r="J105" s="5" t="n"/>
    </row>
    <row r="106">
      <c r="A106" s="5" t="n"/>
      <c r="B106" s="5" t="n"/>
      <c r="C106" s="5" t="n"/>
      <c r="D106" s="5" t="n"/>
      <c r="E106" s="5" t="n"/>
      <c r="F106" s="19" t="n"/>
      <c r="G106" s="18" t="n"/>
      <c r="H106" s="20">
        <f>IF(OR(F106="",G106=""),"",F106*G106)</f>
        <v/>
      </c>
      <c r="I106" s="5" t="n"/>
      <c r="J106" s="5" t="n"/>
    </row>
    <row r="107">
      <c r="A107" s="5" t="n"/>
      <c r="B107" s="5" t="n"/>
      <c r="C107" s="5" t="n"/>
      <c r="D107" s="5" t="n"/>
      <c r="E107" s="5" t="n"/>
      <c r="F107" s="19" t="n"/>
      <c r="G107" s="18" t="n"/>
      <c r="H107" s="20">
        <f>IF(OR(F107="",G107=""),"",F107*G107)</f>
        <v/>
      </c>
      <c r="I107" s="5" t="n"/>
      <c r="J107" s="5" t="n"/>
    </row>
    <row r="108">
      <c r="A108" s="5" t="n"/>
      <c r="B108" s="5" t="n"/>
      <c r="C108" s="5" t="n"/>
      <c r="D108" s="5" t="n"/>
      <c r="E108" s="5" t="n"/>
      <c r="F108" s="19" t="n"/>
      <c r="G108" s="18" t="n"/>
      <c r="H108" s="20">
        <f>IF(OR(F108="",G108=""),"",F108*G108)</f>
        <v/>
      </c>
      <c r="I108" s="5" t="n"/>
      <c r="J108" s="5" t="n"/>
    </row>
    <row r="109">
      <c r="A109" s="5" t="n"/>
      <c r="B109" s="5" t="n"/>
      <c r="C109" s="5" t="n"/>
      <c r="D109" s="5" t="n"/>
      <c r="E109" s="5" t="n"/>
      <c r="F109" s="19" t="n"/>
      <c r="G109" s="18" t="n"/>
      <c r="H109" s="20">
        <f>IF(OR(F109="",G109=""),"",F109*G109)</f>
        <v/>
      </c>
      <c r="I109" s="5" t="n"/>
      <c r="J109" s="5" t="n"/>
    </row>
    <row r="110">
      <c r="A110" s="5" t="n"/>
      <c r="B110" s="5" t="n"/>
      <c r="C110" s="5" t="n"/>
      <c r="D110" s="5" t="n"/>
      <c r="E110" s="5" t="n"/>
      <c r="F110" s="19" t="n"/>
      <c r="G110" s="18" t="n"/>
      <c r="H110" s="20">
        <f>IF(OR(F110="",G110=""),"",F110*G110)</f>
        <v/>
      </c>
      <c r="I110" s="5" t="n"/>
      <c r="J110" s="5" t="n"/>
    </row>
    <row r="111">
      <c r="A111" s="5" t="n"/>
      <c r="B111" s="5" t="n"/>
      <c r="C111" s="5" t="n"/>
      <c r="D111" s="5" t="n"/>
      <c r="E111" s="5" t="n"/>
      <c r="F111" s="19" t="n"/>
      <c r="G111" s="18" t="n"/>
      <c r="H111" s="20">
        <f>IF(OR(F111="",G111=""),"",F111*G111)</f>
        <v/>
      </c>
      <c r="I111" s="5" t="n"/>
      <c r="J111" s="5" t="n"/>
    </row>
    <row r="112">
      <c r="A112" s="5" t="n"/>
      <c r="B112" s="5" t="n"/>
      <c r="C112" s="5" t="n"/>
      <c r="D112" s="5" t="n"/>
      <c r="E112" s="5" t="n"/>
      <c r="F112" s="19" t="n"/>
      <c r="G112" s="18" t="n"/>
      <c r="H112" s="20">
        <f>IF(OR(F112="",G112=""),"",F112*G112)</f>
        <v/>
      </c>
      <c r="I112" s="5" t="n"/>
      <c r="J112" s="5" t="n"/>
    </row>
    <row r="113">
      <c r="A113" s="5" t="n"/>
      <c r="B113" s="5" t="n"/>
      <c r="C113" s="5" t="n"/>
      <c r="D113" s="5" t="n"/>
      <c r="E113" s="5" t="n"/>
      <c r="F113" s="19" t="n"/>
      <c r="G113" s="18" t="n"/>
      <c r="H113" s="20">
        <f>IF(OR(F113="",G113=""),"",F113*G113)</f>
        <v/>
      </c>
      <c r="I113" s="5" t="n"/>
      <c r="J113" s="5" t="n"/>
    </row>
    <row r="114">
      <c r="A114" s="5" t="n"/>
      <c r="B114" s="5" t="n"/>
      <c r="C114" s="5" t="n"/>
      <c r="D114" s="5" t="n"/>
      <c r="E114" s="5" t="n"/>
      <c r="F114" s="19" t="n"/>
      <c r="G114" s="18" t="n"/>
      <c r="H114" s="20">
        <f>IF(OR(F114="",G114=""),"",F114*G114)</f>
        <v/>
      </c>
      <c r="I114" s="5" t="n"/>
      <c r="J114" s="5" t="n"/>
    </row>
    <row r="115">
      <c r="A115" s="5" t="n"/>
      <c r="B115" s="5" t="n"/>
      <c r="C115" s="5" t="n"/>
      <c r="D115" s="5" t="n"/>
      <c r="E115" s="5" t="n"/>
      <c r="F115" s="19" t="n"/>
      <c r="G115" s="18" t="n"/>
      <c r="H115" s="20">
        <f>IF(OR(F115="",G115=""),"",F115*G115)</f>
        <v/>
      </c>
      <c r="I115" s="5" t="n"/>
      <c r="J115" s="5" t="n"/>
    </row>
    <row r="116">
      <c r="A116" s="5" t="n"/>
      <c r="B116" s="5" t="n"/>
      <c r="C116" s="5" t="n"/>
      <c r="D116" s="5" t="n"/>
      <c r="E116" s="5" t="n"/>
      <c r="F116" s="19" t="n"/>
      <c r="G116" s="18" t="n"/>
      <c r="H116" s="20">
        <f>IF(OR(F116="",G116=""),"",F116*G116)</f>
        <v/>
      </c>
      <c r="I116" s="5" t="n"/>
      <c r="J116" s="5" t="n"/>
    </row>
    <row r="117">
      <c r="A117" s="5" t="n"/>
      <c r="B117" s="5" t="n"/>
      <c r="C117" s="5" t="n"/>
      <c r="D117" s="5" t="n"/>
      <c r="E117" s="5" t="n"/>
      <c r="F117" s="19" t="n"/>
      <c r="G117" s="18" t="n"/>
      <c r="H117" s="20">
        <f>IF(OR(F117="",G117=""),"",F117*G117)</f>
        <v/>
      </c>
      <c r="I117" s="5" t="n"/>
      <c r="J117" s="5" t="n"/>
    </row>
    <row r="118">
      <c r="A118" s="5" t="n"/>
      <c r="B118" s="5" t="n"/>
      <c r="C118" s="5" t="n"/>
      <c r="D118" s="5" t="n"/>
      <c r="E118" s="5" t="n"/>
      <c r="F118" s="19" t="n"/>
      <c r="G118" s="18" t="n"/>
      <c r="H118" s="20">
        <f>IF(OR(F118="",G118=""),"",F118*G118)</f>
        <v/>
      </c>
      <c r="I118" s="5" t="n"/>
      <c r="J118" s="5" t="n"/>
    </row>
    <row r="119">
      <c r="A119" s="5" t="n"/>
      <c r="B119" s="5" t="n"/>
      <c r="C119" s="5" t="n"/>
      <c r="D119" s="5" t="n"/>
      <c r="E119" s="5" t="n"/>
      <c r="F119" s="19" t="n"/>
      <c r="G119" s="18" t="n"/>
      <c r="H119" s="20">
        <f>IF(OR(F119="",G119=""),"",F119*G119)</f>
        <v/>
      </c>
      <c r="I119" s="5" t="n"/>
      <c r="J119" s="5" t="n"/>
    </row>
    <row r="120">
      <c r="A120" s="5" t="n"/>
      <c r="B120" s="5" t="n"/>
      <c r="C120" s="5" t="n"/>
      <c r="D120" s="5" t="n"/>
      <c r="E120" s="5" t="n"/>
      <c r="F120" s="19" t="n"/>
      <c r="G120" s="18" t="n"/>
      <c r="H120" s="20">
        <f>IF(OR(F120="",G120=""),"",F120*G120)</f>
        <v/>
      </c>
      <c r="I120" s="5" t="n"/>
      <c r="J120" s="5" t="n"/>
    </row>
    <row r="121">
      <c r="A121" s="5" t="n"/>
      <c r="B121" s="5" t="n"/>
      <c r="C121" s="5" t="n"/>
      <c r="D121" s="5" t="n"/>
      <c r="E121" s="5" t="n"/>
      <c r="F121" s="19" t="n"/>
      <c r="G121" s="18" t="n"/>
      <c r="H121" s="20">
        <f>IF(OR(F121="",G121=""),"",F121*G121)</f>
        <v/>
      </c>
      <c r="I121" s="5" t="n"/>
      <c r="J121" s="5" t="n"/>
    </row>
    <row r="122">
      <c r="A122" s="5" t="n"/>
      <c r="B122" s="5" t="n"/>
      <c r="C122" s="5" t="n"/>
      <c r="D122" s="5" t="n"/>
      <c r="E122" s="5" t="n"/>
      <c r="F122" s="19" t="n"/>
      <c r="G122" s="18" t="n"/>
      <c r="H122" s="20">
        <f>IF(OR(F122="",G122=""),"",F122*G122)</f>
        <v/>
      </c>
      <c r="I122" s="5" t="n"/>
      <c r="J122" s="5" t="n"/>
    </row>
    <row r="123">
      <c r="A123" s="5" t="n"/>
      <c r="B123" s="5" t="n"/>
      <c r="C123" s="5" t="n"/>
      <c r="D123" s="5" t="n"/>
      <c r="E123" s="5" t="n"/>
      <c r="F123" s="19" t="n"/>
      <c r="G123" s="18" t="n"/>
      <c r="H123" s="20">
        <f>IF(OR(F123="",G123=""),"",F123*G123)</f>
        <v/>
      </c>
      <c r="I123" s="5" t="n"/>
      <c r="J123" s="5" t="n"/>
    </row>
    <row r="124">
      <c r="A124" s="5" t="n"/>
      <c r="B124" s="5" t="n"/>
      <c r="C124" s="5" t="n"/>
      <c r="D124" s="5" t="n"/>
      <c r="E124" s="5" t="n"/>
      <c r="F124" s="19" t="n"/>
      <c r="G124" s="18" t="n"/>
      <c r="H124" s="20">
        <f>IF(OR(F124="",G124=""),"",F124*G124)</f>
        <v/>
      </c>
      <c r="I124" s="5" t="n"/>
      <c r="J124" s="5" t="n"/>
    </row>
    <row r="125">
      <c r="A125" s="5" t="n"/>
      <c r="B125" s="5" t="n"/>
      <c r="C125" s="5" t="n"/>
      <c r="D125" s="5" t="n"/>
      <c r="E125" s="5" t="n"/>
      <c r="F125" s="19" t="n"/>
      <c r="G125" s="18" t="n"/>
      <c r="H125" s="20">
        <f>IF(OR(F125="",G125=""),"",F125*G125)</f>
        <v/>
      </c>
      <c r="I125" s="5" t="n"/>
      <c r="J125" s="5" t="n"/>
    </row>
    <row r="126">
      <c r="A126" s="5" t="n"/>
      <c r="B126" s="5" t="n"/>
      <c r="C126" s="5" t="n"/>
      <c r="D126" s="5" t="n"/>
      <c r="E126" s="5" t="n"/>
      <c r="F126" s="19" t="n"/>
      <c r="G126" s="18" t="n"/>
      <c r="H126" s="20">
        <f>IF(OR(F126="",G126=""),"",F126*G126)</f>
        <v/>
      </c>
      <c r="I126" s="5" t="n"/>
      <c r="J126" s="5" t="n"/>
    </row>
    <row r="127">
      <c r="A127" s="5" t="n"/>
      <c r="B127" s="5" t="n"/>
      <c r="C127" s="5" t="n"/>
      <c r="D127" s="5" t="n"/>
      <c r="E127" s="5" t="n"/>
      <c r="F127" s="19" t="n"/>
      <c r="G127" s="18" t="n"/>
      <c r="H127" s="20">
        <f>IF(OR(F127="",G127=""),"",F127*G127)</f>
        <v/>
      </c>
      <c r="I127" s="5" t="n"/>
      <c r="J127" s="5" t="n"/>
    </row>
    <row r="128">
      <c r="A128" s="5" t="n"/>
      <c r="B128" s="5" t="n"/>
      <c r="C128" s="5" t="n"/>
      <c r="D128" s="5" t="n"/>
      <c r="E128" s="5" t="n"/>
      <c r="F128" s="19" t="n"/>
      <c r="G128" s="18" t="n"/>
      <c r="H128" s="20">
        <f>IF(OR(F128="",G128=""),"",F128*G128)</f>
        <v/>
      </c>
      <c r="I128" s="5" t="n"/>
      <c r="J128" s="5" t="n"/>
    </row>
    <row r="129">
      <c r="A129" s="5" t="n"/>
      <c r="B129" s="5" t="n"/>
      <c r="C129" s="5" t="n"/>
      <c r="D129" s="5" t="n"/>
      <c r="E129" s="5" t="n"/>
      <c r="F129" s="19" t="n"/>
      <c r="G129" s="18" t="n"/>
      <c r="H129" s="20">
        <f>IF(OR(F129="",G129=""),"",F129*G129)</f>
        <v/>
      </c>
      <c r="I129" s="5" t="n"/>
      <c r="J129" s="5" t="n"/>
    </row>
    <row r="130">
      <c r="A130" s="5" t="n"/>
      <c r="B130" s="5" t="n"/>
      <c r="C130" s="5" t="n"/>
      <c r="D130" s="5" t="n"/>
      <c r="E130" s="5" t="n"/>
      <c r="F130" s="19" t="n"/>
      <c r="G130" s="18" t="n"/>
      <c r="H130" s="20">
        <f>IF(OR(F130="",G130=""),"",F130*G130)</f>
        <v/>
      </c>
      <c r="I130" s="5" t="n"/>
      <c r="J130" s="5" t="n"/>
    </row>
    <row r="131">
      <c r="A131" s="5" t="n"/>
      <c r="B131" s="5" t="n"/>
      <c r="C131" s="5" t="n"/>
      <c r="D131" s="5" t="n"/>
      <c r="E131" s="5" t="n"/>
      <c r="F131" s="19" t="n"/>
      <c r="G131" s="18" t="n"/>
      <c r="H131" s="20">
        <f>IF(OR(F131="",G131=""),"",F131*G131)</f>
        <v/>
      </c>
      <c r="I131" s="5" t="n"/>
      <c r="J131" s="5" t="n"/>
    </row>
    <row r="132">
      <c r="A132" s="5" t="n"/>
      <c r="B132" s="5" t="n"/>
      <c r="C132" s="5" t="n"/>
      <c r="D132" s="5" t="n"/>
      <c r="E132" s="5" t="n"/>
      <c r="F132" s="19" t="n"/>
      <c r="G132" s="18" t="n"/>
      <c r="H132" s="20">
        <f>IF(OR(F132="",G132=""),"",F132*G132)</f>
        <v/>
      </c>
      <c r="I132" s="5" t="n"/>
      <c r="J132" s="5" t="n"/>
    </row>
    <row r="133">
      <c r="A133" s="5" t="n"/>
      <c r="B133" s="5" t="n"/>
      <c r="C133" s="5" t="n"/>
      <c r="D133" s="5" t="n"/>
      <c r="E133" s="5" t="n"/>
      <c r="F133" s="19" t="n"/>
      <c r="G133" s="18" t="n"/>
      <c r="H133" s="20">
        <f>IF(OR(F133="",G133=""),"",F133*G133)</f>
        <v/>
      </c>
      <c r="I133" s="5" t="n"/>
      <c r="J133" s="5" t="n"/>
    </row>
    <row r="134">
      <c r="A134" s="5" t="n"/>
      <c r="B134" s="5" t="n"/>
      <c r="C134" s="5" t="n"/>
      <c r="D134" s="5" t="n"/>
      <c r="E134" s="5" t="n"/>
      <c r="F134" s="19" t="n"/>
      <c r="G134" s="18" t="n"/>
      <c r="H134" s="20">
        <f>IF(OR(F134="",G134=""),"",F134*G134)</f>
        <v/>
      </c>
      <c r="I134" s="5" t="n"/>
      <c r="J134" s="5" t="n"/>
    </row>
    <row r="135">
      <c r="A135" s="5" t="n"/>
      <c r="B135" s="5" t="n"/>
      <c r="C135" s="5" t="n"/>
      <c r="D135" s="5" t="n"/>
      <c r="E135" s="5" t="n"/>
      <c r="F135" s="19" t="n"/>
      <c r="G135" s="18" t="n"/>
      <c r="H135" s="20">
        <f>IF(OR(F135="",G135=""),"",F135*G135)</f>
        <v/>
      </c>
      <c r="I135" s="5" t="n"/>
      <c r="J135" s="5" t="n"/>
    </row>
    <row r="136">
      <c r="A136" s="5" t="n"/>
      <c r="B136" s="5" t="n"/>
      <c r="C136" s="5" t="n"/>
      <c r="D136" s="5" t="n"/>
      <c r="E136" s="5" t="n"/>
      <c r="F136" s="19" t="n"/>
      <c r="G136" s="18" t="n"/>
      <c r="H136" s="20">
        <f>IF(OR(F136="",G136=""),"",F136*G136)</f>
        <v/>
      </c>
      <c r="I136" s="5" t="n"/>
      <c r="J136" s="5" t="n"/>
    </row>
    <row r="137">
      <c r="A137" s="5" t="n"/>
      <c r="B137" s="5" t="n"/>
      <c r="C137" s="5" t="n"/>
      <c r="D137" s="5" t="n"/>
      <c r="E137" s="5" t="n"/>
      <c r="F137" s="19" t="n"/>
      <c r="G137" s="18" t="n"/>
      <c r="H137" s="20">
        <f>IF(OR(F137="",G137=""),"",F137*G137)</f>
        <v/>
      </c>
      <c r="I137" s="5" t="n"/>
      <c r="J137" s="5" t="n"/>
    </row>
    <row r="138">
      <c r="A138" s="5" t="n"/>
      <c r="B138" s="5" t="n"/>
      <c r="C138" s="5" t="n"/>
      <c r="D138" s="5" t="n"/>
      <c r="E138" s="5" t="n"/>
      <c r="F138" s="19" t="n"/>
      <c r="G138" s="18" t="n"/>
      <c r="H138" s="20">
        <f>IF(OR(F138="",G138=""),"",F138*G138)</f>
        <v/>
      </c>
      <c r="I138" s="5" t="n"/>
      <c r="J138" s="5" t="n"/>
    </row>
    <row r="139">
      <c r="A139" s="5" t="n"/>
      <c r="B139" s="5" t="n"/>
      <c r="C139" s="5" t="n"/>
      <c r="D139" s="5" t="n"/>
      <c r="E139" s="5" t="n"/>
      <c r="F139" s="19" t="n"/>
      <c r="G139" s="18" t="n"/>
      <c r="H139" s="20">
        <f>IF(OR(F139="",G139=""),"",F139*G139)</f>
        <v/>
      </c>
      <c r="I139" s="5" t="n"/>
      <c r="J139" s="5" t="n"/>
    </row>
    <row r="140">
      <c r="A140" s="5" t="n"/>
      <c r="B140" s="5" t="n"/>
      <c r="C140" s="5" t="n"/>
      <c r="D140" s="5" t="n"/>
      <c r="E140" s="5" t="n"/>
      <c r="F140" s="19" t="n"/>
      <c r="G140" s="18" t="n"/>
      <c r="H140" s="20">
        <f>IF(OR(F140="",G140=""),"",F140*G140)</f>
        <v/>
      </c>
      <c r="I140" s="5" t="n"/>
      <c r="J140" s="5" t="n"/>
    </row>
    <row r="141">
      <c r="A141" s="5" t="n"/>
      <c r="B141" s="5" t="n"/>
      <c r="C141" s="5" t="n"/>
      <c r="D141" s="5" t="n"/>
      <c r="E141" s="5" t="n"/>
      <c r="F141" s="19" t="n"/>
      <c r="G141" s="18" t="n"/>
      <c r="H141" s="20">
        <f>IF(OR(F141="",G141=""),"",F141*G141)</f>
        <v/>
      </c>
      <c r="I141" s="5" t="n"/>
      <c r="J141" s="5" t="n"/>
    </row>
    <row r="142">
      <c r="A142" s="5" t="n"/>
      <c r="B142" s="5" t="n"/>
      <c r="C142" s="5" t="n"/>
      <c r="D142" s="5" t="n"/>
      <c r="E142" s="5" t="n"/>
      <c r="F142" s="19" t="n"/>
      <c r="G142" s="18" t="n"/>
      <c r="H142" s="20">
        <f>IF(OR(F142="",G142=""),"",F142*G142)</f>
        <v/>
      </c>
      <c r="I142" s="5" t="n"/>
      <c r="J142" s="5" t="n"/>
    </row>
    <row r="143">
      <c r="A143" s="5" t="n"/>
      <c r="B143" s="5" t="n"/>
      <c r="C143" s="5" t="n"/>
      <c r="D143" s="5" t="n"/>
      <c r="E143" s="5" t="n"/>
      <c r="F143" s="19" t="n"/>
      <c r="G143" s="18" t="n"/>
      <c r="H143" s="20">
        <f>IF(OR(F143="",G143=""),"",F143*G143)</f>
        <v/>
      </c>
      <c r="I143" s="5" t="n"/>
      <c r="J143" s="5" t="n"/>
    </row>
    <row r="144">
      <c r="A144" s="5" t="n"/>
      <c r="B144" s="5" t="n"/>
      <c r="C144" s="5" t="n"/>
      <c r="D144" s="5" t="n"/>
      <c r="E144" s="5" t="n"/>
      <c r="F144" s="19" t="n"/>
      <c r="G144" s="18" t="n"/>
      <c r="H144" s="20">
        <f>IF(OR(F144="",G144=""),"",F144*G144)</f>
        <v/>
      </c>
      <c r="I144" s="5" t="n"/>
      <c r="J144" s="5" t="n"/>
    </row>
    <row r="145">
      <c r="A145" s="5" t="n"/>
      <c r="B145" s="5" t="n"/>
      <c r="C145" s="5" t="n"/>
      <c r="D145" s="5" t="n"/>
      <c r="E145" s="5" t="n"/>
      <c r="F145" s="19" t="n"/>
      <c r="G145" s="18" t="n"/>
      <c r="H145" s="20">
        <f>IF(OR(F145="",G145=""),"",F145*G145)</f>
        <v/>
      </c>
      <c r="I145" s="5" t="n"/>
      <c r="J145" s="5" t="n"/>
    </row>
    <row r="146">
      <c r="A146" s="5" t="n"/>
      <c r="B146" s="5" t="n"/>
      <c r="C146" s="5" t="n"/>
      <c r="D146" s="5" t="n"/>
      <c r="E146" s="5" t="n"/>
      <c r="F146" s="19" t="n"/>
      <c r="G146" s="18" t="n"/>
      <c r="H146" s="20">
        <f>IF(OR(F146="",G146=""),"",F146*G146)</f>
        <v/>
      </c>
      <c r="I146" s="5" t="n"/>
      <c r="J146" s="5" t="n"/>
    </row>
    <row r="147">
      <c r="A147" s="5" t="n"/>
      <c r="B147" s="5" t="n"/>
      <c r="C147" s="5" t="n"/>
      <c r="D147" s="5" t="n"/>
      <c r="E147" s="5" t="n"/>
      <c r="F147" s="19" t="n"/>
      <c r="G147" s="18" t="n"/>
      <c r="H147" s="20">
        <f>IF(OR(F147="",G147=""),"",F147*G147)</f>
        <v/>
      </c>
      <c r="I147" s="5" t="n"/>
      <c r="J147" s="5" t="n"/>
    </row>
    <row r="148">
      <c r="A148" s="5" t="n"/>
      <c r="B148" s="5" t="n"/>
      <c r="C148" s="5" t="n"/>
      <c r="D148" s="5" t="n"/>
      <c r="E148" s="5" t="n"/>
      <c r="F148" s="19" t="n"/>
      <c r="G148" s="18" t="n"/>
      <c r="H148" s="20">
        <f>IF(OR(F148="",G148=""),"",F148*G148)</f>
        <v/>
      </c>
      <c r="I148" s="5" t="n"/>
      <c r="J148" s="5" t="n"/>
    </row>
    <row r="149">
      <c r="A149" s="5" t="n"/>
      <c r="B149" s="5" t="n"/>
      <c r="C149" s="5" t="n"/>
      <c r="D149" s="5" t="n"/>
      <c r="E149" s="5" t="n"/>
      <c r="F149" s="19" t="n"/>
      <c r="G149" s="18" t="n"/>
      <c r="H149" s="20">
        <f>IF(OR(F149="",G149=""),"",F149*G149)</f>
        <v/>
      </c>
      <c r="I149" s="5" t="n"/>
      <c r="J149" s="5" t="n"/>
    </row>
    <row r="150">
      <c r="A150" s="5" t="n"/>
      <c r="B150" s="5" t="n"/>
      <c r="C150" s="5" t="n"/>
      <c r="D150" s="5" t="n"/>
      <c r="E150" s="5" t="n"/>
      <c r="F150" s="19" t="n"/>
      <c r="G150" s="18" t="n"/>
      <c r="H150" s="20">
        <f>IF(OR(F150="",G150=""),"",F150*G150)</f>
        <v/>
      </c>
      <c r="I150" s="5" t="n"/>
      <c r="J150" s="5" t="n"/>
    </row>
    <row r="151">
      <c r="A151" s="5" t="n"/>
      <c r="B151" s="5" t="n"/>
      <c r="C151" s="5" t="n"/>
      <c r="D151" s="5" t="n"/>
      <c r="E151" s="5" t="n"/>
      <c r="F151" s="19" t="n"/>
      <c r="G151" s="18" t="n"/>
      <c r="H151" s="20">
        <f>IF(OR(F151="",G151=""),"",F151*G151)</f>
        <v/>
      </c>
      <c r="I151" s="5" t="n"/>
      <c r="J151" s="5" t="n"/>
    </row>
    <row r="152">
      <c r="A152" s="5" t="n"/>
      <c r="B152" s="5" t="n"/>
      <c r="C152" s="5" t="n"/>
      <c r="D152" s="5" t="n"/>
      <c r="E152" s="5" t="n"/>
      <c r="F152" s="19" t="n"/>
      <c r="G152" s="18" t="n"/>
      <c r="H152" s="20">
        <f>IF(OR(F152="",G152=""),"",F152*G152)</f>
        <v/>
      </c>
      <c r="I152" s="5" t="n"/>
      <c r="J152" s="5" t="n"/>
    </row>
    <row r="153">
      <c r="A153" s="5" t="n"/>
      <c r="B153" s="5" t="n"/>
      <c r="C153" s="5" t="n"/>
      <c r="D153" s="5" t="n"/>
      <c r="E153" s="5" t="n"/>
      <c r="F153" s="19" t="n"/>
      <c r="G153" s="18" t="n"/>
      <c r="H153" s="20">
        <f>IF(OR(F153="",G153=""),"",F153*G153)</f>
        <v/>
      </c>
      <c r="I153" s="5" t="n"/>
      <c r="J153" s="5" t="n"/>
    </row>
    <row r="154">
      <c r="A154" s="5" t="n"/>
      <c r="B154" s="5" t="n"/>
      <c r="C154" s="5" t="n"/>
      <c r="D154" s="5" t="n"/>
      <c r="E154" s="5" t="n"/>
      <c r="F154" s="19" t="n"/>
      <c r="G154" s="18" t="n"/>
      <c r="H154" s="20">
        <f>IF(OR(F154="",G154=""),"",F154*G154)</f>
        <v/>
      </c>
      <c r="I154" s="5" t="n"/>
      <c r="J154" s="5" t="n"/>
    </row>
    <row r="155">
      <c r="A155" s="5" t="n"/>
      <c r="B155" s="5" t="n"/>
      <c r="C155" s="5" t="n"/>
      <c r="D155" s="5" t="n"/>
      <c r="E155" s="5" t="n"/>
      <c r="F155" s="19" t="n"/>
      <c r="G155" s="18" t="n"/>
      <c r="H155" s="20">
        <f>IF(OR(F155="",G155=""),"",F155*G155)</f>
        <v/>
      </c>
      <c r="I155" s="5" t="n"/>
      <c r="J155" s="5" t="n"/>
    </row>
    <row r="156">
      <c r="A156" s="5" t="n"/>
      <c r="B156" s="5" t="n"/>
      <c r="C156" s="5" t="n"/>
      <c r="D156" s="5" t="n"/>
      <c r="E156" s="5" t="n"/>
      <c r="F156" s="19" t="n"/>
      <c r="G156" s="18" t="n"/>
      <c r="H156" s="20">
        <f>IF(OR(F156="",G156=""),"",F156*G156)</f>
        <v/>
      </c>
      <c r="I156" s="5" t="n"/>
      <c r="J156" s="5" t="n"/>
    </row>
    <row r="157">
      <c r="A157" s="5" t="n"/>
      <c r="B157" s="5" t="n"/>
      <c r="C157" s="5" t="n"/>
      <c r="D157" s="5" t="n"/>
      <c r="E157" s="5" t="n"/>
      <c r="F157" s="19" t="n"/>
      <c r="G157" s="18" t="n"/>
      <c r="H157" s="20">
        <f>IF(OR(F157="",G157=""),"",F157*G157)</f>
        <v/>
      </c>
      <c r="I157" s="5" t="n"/>
      <c r="J157" s="5" t="n"/>
    </row>
    <row r="158">
      <c r="A158" s="5" t="n"/>
      <c r="B158" s="5" t="n"/>
      <c r="C158" s="5" t="n"/>
      <c r="D158" s="5" t="n"/>
      <c r="E158" s="5" t="n"/>
      <c r="F158" s="19" t="n"/>
      <c r="G158" s="18" t="n"/>
      <c r="H158" s="20">
        <f>IF(OR(F158="",G158=""),"",F158*G158)</f>
        <v/>
      </c>
      <c r="I158" s="5" t="n"/>
      <c r="J158" s="5" t="n"/>
    </row>
    <row r="159">
      <c r="A159" s="5" t="n"/>
      <c r="B159" s="5" t="n"/>
      <c r="C159" s="5" t="n"/>
      <c r="D159" s="5" t="n"/>
      <c r="E159" s="5" t="n"/>
      <c r="F159" s="19" t="n"/>
      <c r="G159" s="18" t="n"/>
      <c r="H159" s="20">
        <f>IF(OR(F159="",G159=""),"",F159*G159)</f>
        <v/>
      </c>
      <c r="I159" s="5" t="n"/>
      <c r="J159" s="5" t="n"/>
    </row>
    <row r="160">
      <c r="A160" s="5" t="n"/>
      <c r="B160" s="5" t="n"/>
      <c r="C160" s="5" t="n"/>
      <c r="D160" s="5" t="n"/>
      <c r="E160" s="5" t="n"/>
      <c r="F160" s="19" t="n"/>
      <c r="G160" s="18" t="n"/>
      <c r="H160" s="20">
        <f>IF(OR(F160="",G160=""),"",F160*G160)</f>
        <v/>
      </c>
      <c r="I160" s="5" t="n"/>
      <c r="J160" s="5" t="n"/>
    </row>
    <row r="161">
      <c r="A161" s="5" t="n"/>
      <c r="B161" s="5" t="n"/>
      <c r="C161" s="5" t="n"/>
      <c r="D161" s="5" t="n"/>
      <c r="E161" s="5" t="n"/>
      <c r="F161" s="19" t="n"/>
      <c r="G161" s="18" t="n"/>
      <c r="H161" s="20">
        <f>IF(OR(F161="",G161=""),"",F161*G161)</f>
        <v/>
      </c>
      <c r="I161" s="5" t="n"/>
      <c r="J161" s="5" t="n"/>
    </row>
    <row r="162">
      <c r="A162" s="5" t="n"/>
      <c r="B162" s="5" t="n"/>
      <c r="C162" s="5" t="n"/>
      <c r="D162" s="5" t="n"/>
      <c r="E162" s="5" t="n"/>
      <c r="F162" s="19" t="n"/>
      <c r="G162" s="18" t="n"/>
      <c r="H162" s="20">
        <f>IF(OR(F162="",G162=""),"",F162*G162)</f>
        <v/>
      </c>
      <c r="I162" s="5" t="n"/>
      <c r="J162" s="5" t="n"/>
    </row>
    <row r="163">
      <c r="A163" s="5" t="n"/>
      <c r="B163" s="5" t="n"/>
      <c r="C163" s="5" t="n"/>
      <c r="D163" s="5" t="n"/>
      <c r="E163" s="5" t="n"/>
      <c r="F163" s="19" t="n"/>
      <c r="G163" s="18" t="n"/>
      <c r="H163" s="20">
        <f>IF(OR(F163="",G163=""),"",F163*G163)</f>
        <v/>
      </c>
      <c r="I163" s="5" t="n"/>
      <c r="J163" s="5" t="n"/>
    </row>
    <row r="164">
      <c r="A164" s="5" t="n"/>
      <c r="B164" s="5" t="n"/>
      <c r="C164" s="5" t="n"/>
      <c r="D164" s="5" t="n"/>
      <c r="E164" s="5" t="n"/>
      <c r="F164" s="19" t="n"/>
      <c r="G164" s="18" t="n"/>
      <c r="H164" s="20">
        <f>IF(OR(F164="",G164=""),"",F164*G164)</f>
        <v/>
      </c>
      <c r="I164" s="5" t="n"/>
      <c r="J164" s="5" t="n"/>
    </row>
    <row r="165">
      <c r="A165" s="5" t="n"/>
      <c r="B165" s="5" t="n"/>
      <c r="C165" s="5" t="n"/>
      <c r="D165" s="5" t="n"/>
      <c r="E165" s="5" t="n"/>
      <c r="F165" s="19" t="n"/>
      <c r="G165" s="18" t="n"/>
      <c r="H165" s="20">
        <f>IF(OR(F165="",G165=""),"",F165*G165)</f>
        <v/>
      </c>
      <c r="I165" s="5" t="n"/>
      <c r="J165" s="5" t="n"/>
    </row>
    <row r="166">
      <c r="A166" s="5" t="n"/>
      <c r="B166" s="5" t="n"/>
      <c r="C166" s="5" t="n"/>
      <c r="D166" s="5" t="n"/>
      <c r="E166" s="5" t="n"/>
      <c r="F166" s="19" t="n"/>
      <c r="G166" s="18" t="n"/>
      <c r="H166" s="20">
        <f>IF(OR(F166="",G166=""),"",F166*G166)</f>
        <v/>
      </c>
      <c r="I166" s="5" t="n"/>
      <c r="J166" s="5" t="n"/>
    </row>
    <row r="167">
      <c r="A167" s="5" t="n"/>
      <c r="B167" s="5" t="n"/>
      <c r="C167" s="5" t="n"/>
      <c r="D167" s="5" t="n"/>
      <c r="E167" s="5" t="n"/>
      <c r="F167" s="19" t="n"/>
      <c r="G167" s="18" t="n"/>
      <c r="H167" s="20">
        <f>IF(OR(F167="",G167=""),"",F167*G167)</f>
        <v/>
      </c>
      <c r="I167" s="5" t="n"/>
      <c r="J167" s="5" t="n"/>
    </row>
    <row r="168">
      <c r="A168" s="5" t="n"/>
      <c r="B168" s="5" t="n"/>
      <c r="C168" s="5" t="n"/>
      <c r="D168" s="5" t="n"/>
      <c r="E168" s="5" t="n"/>
      <c r="F168" s="19" t="n"/>
      <c r="G168" s="18" t="n"/>
      <c r="H168" s="20">
        <f>IF(OR(F168="",G168=""),"",F168*G168)</f>
        <v/>
      </c>
      <c r="I168" s="5" t="n"/>
      <c r="J168" s="5" t="n"/>
    </row>
    <row r="169">
      <c r="A169" s="5" t="n"/>
      <c r="B169" s="5" t="n"/>
      <c r="C169" s="5" t="n"/>
      <c r="D169" s="5" t="n"/>
      <c r="E169" s="5" t="n"/>
      <c r="F169" s="19" t="n"/>
      <c r="G169" s="18" t="n"/>
      <c r="H169" s="20">
        <f>IF(OR(F169="",G169=""),"",F169*G169)</f>
        <v/>
      </c>
      <c r="I169" s="5" t="n"/>
      <c r="J169" s="5" t="n"/>
    </row>
    <row r="170">
      <c r="A170" s="5" t="n"/>
      <c r="B170" s="5" t="n"/>
      <c r="C170" s="5" t="n"/>
      <c r="D170" s="5" t="n"/>
      <c r="E170" s="5" t="n"/>
      <c r="F170" s="19" t="n"/>
      <c r="G170" s="18" t="n"/>
      <c r="H170" s="20">
        <f>IF(OR(F170="",G170=""),"",F170*G170)</f>
        <v/>
      </c>
      <c r="I170" s="5" t="n"/>
      <c r="J170" s="5" t="n"/>
    </row>
    <row r="171">
      <c r="A171" s="5" t="n"/>
      <c r="B171" s="5" t="n"/>
      <c r="C171" s="5" t="n"/>
      <c r="D171" s="5" t="n"/>
      <c r="E171" s="5" t="n"/>
      <c r="F171" s="19" t="n"/>
      <c r="G171" s="18" t="n"/>
      <c r="H171" s="20">
        <f>IF(OR(F171="",G171=""),"",F171*G171)</f>
        <v/>
      </c>
      <c r="I171" s="5" t="n"/>
      <c r="J171" s="5" t="n"/>
    </row>
    <row r="172">
      <c r="A172" s="5" t="n"/>
      <c r="B172" s="5" t="n"/>
      <c r="C172" s="5" t="n"/>
      <c r="D172" s="5" t="n"/>
      <c r="E172" s="5" t="n"/>
      <c r="F172" s="19" t="n"/>
      <c r="G172" s="18" t="n"/>
      <c r="H172" s="20">
        <f>IF(OR(F172="",G172=""),"",F172*G172)</f>
        <v/>
      </c>
      <c r="I172" s="5" t="n"/>
      <c r="J172" s="5" t="n"/>
    </row>
    <row r="173">
      <c r="A173" s="5" t="n"/>
      <c r="B173" s="5" t="n"/>
      <c r="C173" s="5" t="n"/>
      <c r="D173" s="5" t="n"/>
      <c r="E173" s="5" t="n"/>
      <c r="F173" s="19" t="n"/>
      <c r="G173" s="18" t="n"/>
      <c r="H173" s="20">
        <f>IF(OR(F173="",G173=""),"",F173*G173)</f>
        <v/>
      </c>
      <c r="I173" s="5" t="n"/>
      <c r="J173" s="5" t="n"/>
    </row>
    <row r="174">
      <c r="A174" s="5" t="n"/>
      <c r="B174" s="5" t="n"/>
      <c r="C174" s="5" t="n"/>
      <c r="D174" s="5" t="n"/>
      <c r="E174" s="5" t="n"/>
      <c r="F174" s="19" t="n"/>
      <c r="G174" s="18" t="n"/>
      <c r="H174" s="20">
        <f>IF(OR(F174="",G174=""),"",F174*G174)</f>
        <v/>
      </c>
      <c r="I174" s="5" t="n"/>
      <c r="J174" s="5" t="n"/>
    </row>
    <row r="175">
      <c r="A175" s="5" t="n"/>
      <c r="B175" s="5" t="n"/>
      <c r="C175" s="5" t="n"/>
      <c r="D175" s="5" t="n"/>
      <c r="E175" s="5" t="n"/>
      <c r="F175" s="19" t="n"/>
      <c r="G175" s="18" t="n"/>
      <c r="H175" s="20">
        <f>IF(OR(F175="",G175=""),"",F175*G175)</f>
        <v/>
      </c>
      <c r="I175" s="5" t="n"/>
      <c r="J175" s="5" t="n"/>
    </row>
    <row r="176">
      <c r="A176" s="5" t="n"/>
      <c r="B176" s="5" t="n"/>
      <c r="C176" s="5" t="n"/>
      <c r="D176" s="5" t="n"/>
      <c r="E176" s="5" t="n"/>
      <c r="F176" s="19" t="n"/>
      <c r="G176" s="18" t="n"/>
      <c r="H176" s="20">
        <f>IF(OR(F176="",G176=""),"",F176*G176)</f>
        <v/>
      </c>
      <c r="I176" s="5" t="n"/>
      <c r="J176" s="5" t="n"/>
    </row>
    <row r="177">
      <c r="A177" s="5" t="n"/>
      <c r="B177" s="5" t="n"/>
      <c r="C177" s="5" t="n"/>
      <c r="D177" s="5" t="n"/>
      <c r="E177" s="5" t="n"/>
      <c r="F177" s="19" t="n"/>
      <c r="G177" s="18" t="n"/>
      <c r="H177" s="20">
        <f>IF(OR(F177="",G177=""),"",F177*G177)</f>
        <v/>
      </c>
      <c r="I177" s="5" t="n"/>
      <c r="J177" s="5" t="n"/>
    </row>
    <row r="178">
      <c r="A178" s="5" t="n"/>
      <c r="B178" s="5" t="n"/>
      <c r="C178" s="5" t="n"/>
      <c r="D178" s="5" t="n"/>
      <c r="E178" s="5" t="n"/>
      <c r="F178" s="19" t="n"/>
      <c r="G178" s="18" t="n"/>
      <c r="H178" s="20">
        <f>IF(OR(F178="",G178=""),"",F178*G178)</f>
        <v/>
      </c>
      <c r="I178" s="5" t="n"/>
      <c r="J178" s="5" t="n"/>
    </row>
    <row r="179">
      <c r="A179" s="5" t="n"/>
      <c r="B179" s="5" t="n"/>
      <c r="C179" s="5" t="n"/>
      <c r="D179" s="5" t="n"/>
      <c r="E179" s="5" t="n"/>
      <c r="F179" s="19" t="n"/>
      <c r="G179" s="18" t="n"/>
      <c r="H179" s="20">
        <f>IF(OR(F179="",G179=""),"",F179*G179)</f>
        <v/>
      </c>
      <c r="I179" s="5" t="n"/>
      <c r="J179" s="5" t="n"/>
    </row>
    <row r="180">
      <c r="A180" s="5" t="n"/>
      <c r="B180" s="5" t="n"/>
      <c r="C180" s="5" t="n"/>
      <c r="D180" s="5" t="n"/>
      <c r="E180" s="5" t="n"/>
      <c r="F180" s="19" t="n"/>
      <c r="G180" s="18" t="n"/>
      <c r="H180" s="20">
        <f>IF(OR(F180="",G180=""),"",F180*G180)</f>
        <v/>
      </c>
      <c r="I180" s="5" t="n"/>
      <c r="J180" s="5" t="n"/>
    </row>
    <row r="181">
      <c r="A181" s="5" t="n"/>
      <c r="B181" s="5" t="n"/>
      <c r="C181" s="5" t="n"/>
      <c r="D181" s="5" t="n"/>
      <c r="E181" s="5" t="n"/>
      <c r="F181" s="19" t="n"/>
      <c r="G181" s="18" t="n"/>
      <c r="H181" s="20">
        <f>IF(OR(F181="",G181=""),"",F181*G181)</f>
        <v/>
      </c>
      <c r="I181" s="5" t="n"/>
      <c r="J181" s="5" t="n"/>
    </row>
    <row r="182">
      <c r="A182" s="5" t="n"/>
      <c r="B182" s="5" t="n"/>
      <c r="C182" s="5" t="n"/>
      <c r="D182" s="5" t="n"/>
      <c r="E182" s="5" t="n"/>
      <c r="F182" s="19" t="n"/>
      <c r="G182" s="18" t="n"/>
      <c r="H182" s="20">
        <f>IF(OR(F182="",G182=""),"",F182*G182)</f>
        <v/>
      </c>
      <c r="I182" s="5" t="n"/>
      <c r="J182" s="5" t="n"/>
    </row>
    <row r="183">
      <c r="A183" s="5" t="n"/>
      <c r="B183" s="5" t="n"/>
      <c r="C183" s="5" t="n"/>
      <c r="D183" s="5" t="n"/>
      <c r="E183" s="5" t="n"/>
      <c r="F183" s="19" t="n"/>
      <c r="G183" s="18" t="n"/>
      <c r="H183" s="20">
        <f>IF(OR(F183="",G183=""),"",F183*G183)</f>
        <v/>
      </c>
      <c r="I183" s="5" t="n"/>
      <c r="J183" s="5" t="n"/>
    </row>
    <row r="184">
      <c r="A184" s="5" t="n"/>
      <c r="B184" s="5" t="n"/>
      <c r="C184" s="5" t="n"/>
      <c r="D184" s="5" t="n"/>
      <c r="E184" s="5" t="n"/>
      <c r="F184" s="19" t="n"/>
      <c r="G184" s="18" t="n"/>
      <c r="H184" s="20">
        <f>IF(OR(F184="",G184=""),"",F184*G184)</f>
        <v/>
      </c>
      <c r="I184" s="5" t="n"/>
      <c r="J184" s="5" t="n"/>
    </row>
    <row r="185">
      <c r="A185" s="5" t="n"/>
      <c r="B185" s="5" t="n"/>
      <c r="C185" s="5" t="n"/>
      <c r="D185" s="5" t="n"/>
      <c r="E185" s="5" t="n"/>
      <c r="F185" s="19" t="n"/>
      <c r="G185" s="18" t="n"/>
      <c r="H185" s="20">
        <f>IF(OR(F185="",G185=""),"",F185*G185)</f>
        <v/>
      </c>
      <c r="I185" s="5" t="n"/>
      <c r="J185" s="5" t="n"/>
    </row>
    <row r="186">
      <c r="A186" s="5" t="n"/>
      <c r="B186" s="5" t="n"/>
      <c r="C186" s="5" t="n"/>
      <c r="D186" s="5" t="n"/>
      <c r="E186" s="5" t="n"/>
      <c r="F186" s="19" t="n"/>
      <c r="G186" s="18" t="n"/>
      <c r="H186" s="20">
        <f>IF(OR(F186="",G186=""),"",F186*G186)</f>
        <v/>
      </c>
      <c r="I186" s="5" t="n"/>
      <c r="J186" s="5" t="n"/>
    </row>
    <row r="187">
      <c r="A187" s="5" t="n"/>
      <c r="B187" s="5" t="n"/>
      <c r="C187" s="5" t="n"/>
      <c r="D187" s="5" t="n"/>
      <c r="E187" s="5" t="n"/>
      <c r="F187" s="19" t="n"/>
      <c r="G187" s="18" t="n"/>
      <c r="H187" s="20">
        <f>IF(OR(F187="",G187=""),"",F187*G187)</f>
        <v/>
      </c>
      <c r="I187" s="5" t="n"/>
      <c r="J187" s="5" t="n"/>
    </row>
    <row r="188">
      <c r="A188" s="5" t="n"/>
      <c r="B188" s="5" t="n"/>
      <c r="C188" s="5" t="n"/>
      <c r="D188" s="5" t="n"/>
      <c r="E188" s="5" t="n"/>
      <c r="F188" s="19" t="n"/>
      <c r="G188" s="18" t="n"/>
      <c r="H188" s="20">
        <f>IF(OR(F188="",G188=""),"",F188*G188)</f>
        <v/>
      </c>
      <c r="I188" s="5" t="n"/>
      <c r="J188" s="5" t="n"/>
    </row>
    <row r="189">
      <c r="A189" s="5" t="n"/>
      <c r="B189" s="5" t="n"/>
      <c r="C189" s="5" t="n"/>
      <c r="D189" s="5" t="n"/>
      <c r="E189" s="5" t="n"/>
      <c r="F189" s="19" t="n"/>
      <c r="G189" s="18" t="n"/>
      <c r="H189" s="20">
        <f>IF(OR(F189="",G189=""),"",F189*G189)</f>
        <v/>
      </c>
      <c r="I189" s="5" t="n"/>
      <c r="J189" s="5" t="n"/>
    </row>
    <row r="190">
      <c r="A190" s="5" t="n"/>
      <c r="B190" s="5" t="n"/>
      <c r="C190" s="5" t="n"/>
      <c r="D190" s="5" t="n"/>
      <c r="E190" s="5" t="n"/>
      <c r="F190" s="19" t="n"/>
      <c r="G190" s="18" t="n"/>
      <c r="H190" s="20">
        <f>IF(OR(F190="",G190=""),"",F190*G190)</f>
        <v/>
      </c>
      <c r="I190" s="5" t="n"/>
      <c r="J190" s="5" t="n"/>
    </row>
    <row r="191">
      <c r="A191" s="5" t="n"/>
      <c r="B191" s="5" t="n"/>
      <c r="C191" s="5" t="n"/>
      <c r="D191" s="5" t="n"/>
      <c r="E191" s="5" t="n"/>
      <c r="F191" s="19" t="n"/>
      <c r="G191" s="18" t="n"/>
      <c r="H191" s="20">
        <f>IF(OR(F191="",G191=""),"",F191*G191)</f>
        <v/>
      </c>
      <c r="I191" s="5" t="n"/>
      <c r="J191" s="5" t="n"/>
    </row>
    <row r="192">
      <c r="A192" s="5" t="n"/>
      <c r="B192" s="5" t="n"/>
      <c r="C192" s="5" t="n"/>
      <c r="D192" s="5" t="n"/>
      <c r="E192" s="5" t="n"/>
      <c r="F192" s="19" t="n"/>
      <c r="G192" s="18" t="n"/>
      <c r="H192" s="20">
        <f>IF(OR(F192="",G192=""),"",F192*G192)</f>
        <v/>
      </c>
      <c r="I192" s="5" t="n"/>
      <c r="J192" s="5" t="n"/>
    </row>
    <row r="193">
      <c r="A193" s="5" t="n"/>
      <c r="B193" s="5" t="n"/>
      <c r="C193" s="5" t="n"/>
      <c r="D193" s="5" t="n"/>
      <c r="E193" s="5" t="n"/>
      <c r="F193" s="19" t="n"/>
      <c r="G193" s="18" t="n"/>
      <c r="H193" s="20">
        <f>IF(OR(F193="",G193=""),"",F193*G193)</f>
        <v/>
      </c>
      <c r="I193" s="5" t="n"/>
      <c r="J193" s="5" t="n"/>
    </row>
    <row r="194">
      <c r="A194" s="5" t="n"/>
      <c r="B194" s="5" t="n"/>
      <c r="C194" s="5" t="n"/>
      <c r="D194" s="5" t="n"/>
      <c r="E194" s="5" t="n"/>
      <c r="F194" s="19" t="n"/>
      <c r="G194" s="18" t="n"/>
      <c r="H194" s="20">
        <f>IF(OR(F194="",G194=""),"",F194*G194)</f>
        <v/>
      </c>
      <c r="I194" s="5" t="n"/>
      <c r="J194" s="5" t="n"/>
    </row>
    <row r="195">
      <c r="A195" s="5" t="n"/>
      <c r="B195" s="5" t="n"/>
      <c r="C195" s="5" t="n"/>
      <c r="D195" s="5" t="n"/>
      <c r="E195" s="5" t="n"/>
      <c r="F195" s="19" t="n"/>
      <c r="G195" s="18" t="n"/>
      <c r="H195" s="20">
        <f>IF(OR(F195="",G195=""),"",F195*G195)</f>
        <v/>
      </c>
      <c r="I195" s="5" t="n"/>
      <c r="J195" s="5" t="n"/>
    </row>
    <row r="196">
      <c r="A196" s="5" t="n"/>
      <c r="B196" s="5" t="n"/>
      <c r="C196" s="5" t="n"/>
      <c r="D196" s="5" t="n"/>
      <c r="E196" s="5" t="n"/>
      <c r="F196" s="19" t="n"/>
      <c r="G196" s="18" t="n"/>
      <c r="H196" s="20">
        <f>IF(OR(F196="",G196=""),"",F196*G196)</f>
        <v/>
      </c>
      <c r="I196" s="5" t="n"/>
      <c r="J196" s="5" t="n"/>
    </row>
    <row r="197">
      <c r="A197" s="5" t="n"/>
      <c r="B197" s="5" t="n"/>
      <c r="C197" s="5" t="n"/>
      <c r="D197" s="5" t="n"/>
      <c r="E197" s="5" t="n"/>
      <c r="F197" s="19" t="n"/>
      <c r="G197" s="18" t="n"/>
      <c r="H197" s="20">
        <f>IF(OR(F197="",G197=""),"",F197*G197)</f>
        <v/>
      </c>
      <c r="I197" s="5" t="n"/>
      <c r="J197" s="5" t="n"/>
    </row>
    <row r="198">
      <c r="A198" s="5" t="n"/>
      <c r="B198" s="5" t="n"/>
      <c r="C198" s="5" t="n"/>
      <c r="D198" s="5" t="n"/>
      <c r="E198" s="5" t="n"/>
      <c r="F198" s="19" t="n"/>
      <c r="G198" s="18" t="n"/>
      <c r="H198" s="20">
        <f>IF(OR(F198="",G198=""),"",F198*G198)</f>
        <v/>
      </c>
      <c r="I198" s="5" t="n"/>
      <c r="J198" s="5" t="n"/>
    </row>
    <row r="199">
      <c r="A199" s="5" t="n"/>
      <c r="B199" s="5" t="n"/>
      <c r="C199" s="5" t="n"/>
      <c r="D199" s="5" t="n"/>
      <c r="E199" s="5" t="n"/>
      <c r="F199" s="19" t="n"/>
      <c r="G199" s="18" t="n"/>
      <c r="H199" s="20">
        <f>IF(OR(F199="",G199=""),"",F199*G199)</f>
        <v/>
      </c>
      <c r="I199" s="5" t="n"/>
      <c r="J199" s="5" t="n"/>
    </row>
    <row r="200">
      <c r="A200" s="5" t="n"/>
      <c r="B200" s="5" t="n"/>
      <c r="C200" s="5" t="n"/>
      <c r="D200" s="5" t="n"/>
      <c r="E200" s="5" t="n"/>
      <c r="F200" s="19" t="n"/>
      <c r="G200" s="18" t="n"/>
      <c r="H200" s="20">
        <f>IF(OR(F200="",G200=""),"",F200*G200)</f>
        <v/>
      </c>
      <c r="I200" s="5" t="n"/>
      <c r="J200" s="5" t="n"/>
    </row>
    <row r="201">
      <c r="A201" s="5" t="n"/>
      <c r="B201" s="5" t="n"/>
      <c r="C201" s="5" t="n"/>
      <c r="D201" s="5" t="n"/>
      <c r="E201" s="5" t="n"/>
      <c r="F201" s="19" t="n"/>
      <c r="G201" s="18" t="n"/>
      <c r="H201" s="20">
        <f>IF(OR(F201="",G201=""),"",F201*G201)</f>
        <v/>
      </c>
      <c r="I201" s="5" t="n"/>
      <c r="J201" s="5" t="n"/>
    </row>
    <row r="202">
      <c r="A202" s="5" t="n"/>
      <c r="B202" s="5" t="n"/>
      <c r="C202" s="5" t="n"/>
      <c r="D202" s="5" t="n"/>
      <c r="E202" s="5" t="n"/>
      <c r="F202" s="19" t="n"/>
      <c r="G202" s="18" t="n"/>
      <c r="H202" s="20">
        <f>IF(OR(F202="",G202=""),"",F202*G202)</f>
        <v/>
      </c>
      <c r="I202" s="5" t="n"/>
      <c r="J202" s="5" t="n"/>
    </row>
    <row r="203">
      <c r="A203" s="5" t="n"/>
      <c r="B203" s="5" t="n"/>
      <c r="C203" s="5" t="n"/>
      <c r="D203" s="5" t="n"/>
      <c r="E203" s="5" t="n"/>
      <c r="F203" s="19" t="n"/>
      <c r="G203" s="18" t="n"/>
      <c r="H203" s="20">
        <f>IF(OR(F203="",G203=""),"",F203*G203)</f>
        <v/>
      </c>
      <c r="I203" s="5" t="n"/>
      <c r="J203" s="5" t="n"/>
    </row>
    <row r="204">
      <c r="A204" s="5" t="n"/>
      <c r="B204" s="5" t="n"/>
      <c r="C204" s="5" t="n"/>
      <c r="D204" s="5" t="n"/>
      <c r="E204" s="5" t="n"/>
      <c r="F204" s="19" t="n"/>
      <c r="G204" s="18" t="n"/>
      <c r="H204" s="20">
        <f>IF(OR(F204="",G204=""),"",F204*G204)</f>
        <v/>
      </c>
      <c r="I204" s="5" t="n"/>
      <c r="J204" s="5" t="n"/>
    </row>
    <row r="205">
      <c r="A205" s="5" t="n"/>
      <c r="B205" s="5" t="n"/>
      <c r="C205" s="5" t="n"/>
      <c r="D205" s="5" t="n"/>
      <c r="E205" s="5" t="n"/>
      <c r="F205" s="19" t="n"/>
      <c r="G205" s="18" t="n"/>
      <c r="H205" s="20">
        <f>IF(OR(F205="",G205=""),"",F205*G205)</f>
        <v/>
      </c>
      <c r="I205" s="5" t="n"/>
      <c r="J205" s="5" t="n"/>
    </row>
    <row r="206">
      <c r="A206" s="5" t="n"/>
      <c r="B206" s="5" t="n"/>
      <c r="C206" s="5" t="n"/>
      <c r="D206" s="5" t="n"/>
      <c r="E206" s="5" t="n"/>
      <c r="F206" s="19" t="n"/>
      <c r="G206" s="18" t="n"/>
      <c r="H206" s="20">
        <f>IF(OR(F206="",G206=""),"",F206*G206)</f>
        <v/>
      </c>
      <c r="I206" s="5" t="n"/>
      <c r="J206" s="5" t="n"/>
    </row>
    <row r="207">
      <c r="A207" s="5" t="n"/>
      <c r="B207" s="5" t="n"/>
      <c r="C207" s="5" t="n"/>
      <c r="D207" s="5" t="n"/>
      <c r="E207" s="5" t="n"/>
      <c r="F207" s="19" t="n"/>
      <c r="G207" s="18" t="n"/>
      <c r="H207" s="20">
        <f>IF(OR(F207="",G207=""),"",F207*G207)</f>
        <v/>
      </c>
      <c r="I207" s="5" t="n"/>
      <c r="J207" s="5" t="n"/>
    </row>
    <row r="208">
      <c r="A208" s="5" t="n"/>
      <c r="B208" s="5" t="n"/>
      <c r="C208" s="5" t="n"/>
      <c r="D208" s="5" t="n"/>
      <c r="E208" s="5" t="n"/>
      <c r="F208" s="19" t="n"/>
      <c r="G208" s="18" t="n"/>
      <c r="H208" s="20">
        <f>IF(OR(F208="",G208=""),"",F208*G208)</f>
        <v/>
      </c>
      <c r="I208" s="5" t="n"/>
      <c r="J208" s="5" t="n"/>
    </row>
    <row r="209">
      <c r="A209" s="5" t="n"/>
      <c r="B209" s="5" t="n"/>
      <c r="C209" s="5" t="n"/>
      <c r="D209" s="5" t="n"/>
      <c r="E209" s="5" t="n"/>
      <c r="F209" s="19" t="n"/>
      <c r="G209" s="18" t="n"/>
      <c r="H209" s="20">
        <f>IF(OR(F209="",G209=""),"",F209*G209)</f>
        <v/>
      </c>
      <c r="I209" s="5" t="n"/>
      <c r="J209" s="5" t="n"/>
    </row>
    <row r="210">
      <c r="A210" s="5" t="n"/>
      <c r="B210" s="5" t="n"/>
      <c r="C210" s="5" t="n"/>
      <c r="D210" s="5" t="n"/>
      <c r="E210" s="5" t="n"/>
      <c r="F210" s="19" t="n"/>
      <c r="G210" s="18" t="n"/>
      <c r="H210" s="20">
        <f>IF(OR(F210="",G210=""),"",F210*G210)</f>
        <v/>
      </c>
      <c r="I210" s="5" t="n"/>
      <c r="J210" s="5" t="n"/>
    </row>
    <row r="211">
      <c r="A211" s="5" t="n"/>
      <c r="B211" s="5" t="n"/>
      <c r="C211" s="5" t="n"/>
      <c r="D211" s="5" t="n"/>
      <c r="E211" s="5" t="n"/>
      <c r="F211" s="19" t="n"/>
      <c r="G211" s="18" t="n"/>
      <c r="H211" s="20">
        <f>IF(OR(F211="",G211=""),"",F211*G211)</f>
        <v/>
      </c>
      <c r="I211" s="5" t="n"/>
      <c r="J211" s="5" t="n"/>
    </row>
    <row r="212">
      <c r="A212" s="5" t="n"/>
      <c r="B212" s="5" t="n"/>
      <c r="C212" s="5" t="n"/>
      <c r="D212" s="5" t="n"/>
      <c r="E212" s="5" t="n"/>
      <c r="F212" s="19" t="n"/>
      <c r="G212" s="18" t="n"/>
      <c r="H212" s="20">
        <f>IF(OR(F212="",G212=""),"",F212*G212)</f>
        <v/>
      </c>
      <c r="I212" s="5" t="n"/>
      <c r="J212" s="5" t="n"/>
    </row>
    <row r="213">
      <c r="A213" s="5" t="n"/>
      <c r="B213" s="5" t="n"/>
      <c r="C213" s="5" t="n"/>
      <c r="D213" s="5" t="n"/>
      <c r="E213" s="5" t="n"/>
      <c r="F213" s="19" t="n"/>
      <c r="G213" s="18" t="n"/>
      <c r="H213" s="20">
        <f>IF(OR(F213="",G213=""),"",F213*G213)</f>
        <v/>
      </c>
      <c r="I213" s="5" t="n"/>
      <c r="J213" s="5" t="n"/>
    </row>
    <row r="214">
      <c r="A214" s="5" t="n"/>
      <c r="B214" s="5" t="n"/>
      <c r="C214" s="5" t="n"/>
      <c r="D214" s="5" t="n"/>
      <c r="E214" s="5" t="n"/>
      <c r="F214" s="19" t="n"/>
      <c r="G214" s="18" t="n"/>
      <c r="H214" s="20">
        <f>IF(OR(F214="",G214=""),"",F214*G214)</f>
        <v/>
      </c>
      <c r="I214" s="5" t="n"/>
      <c r="J214" s="5" t="n"/>
    </row>
    <row r="215">
      <c r="A215" s="5" t="n"/>
      <c r="B215" s="5" t="n"/>
      <c r="C215" s="5" t="n"/>
      <c r="D215" s="5" t="n"/>
      <c r="E215" s="5" t="n"/>
      <c r="F215" s="19" t="n"/>
      <c r="G215" s="18" t="n"/>
      <c r="H215" s="20">
        <f>IF(OR(F215="",G215=""),"",F215*G215)</f>
        <v/>
      </c>
      <c r="I215" s="5" t="n"/>
      <c r="J215" s="5" t="n"/>
    </row>
    <row r="216">
      <c r="A216" s="5" t="n"/>
      <c r="B216" s="5" t="n"/>
      <c r="C216" s="5" t="n"/>
      <c r="D216" s="5" t="n"/>
      <c r="E216" s="5" t="n"/>
      <c r="F216" s="19" t="n"/>
      <c r="G216" s="18" t="n"/>
      <c r="H216" s="20">
        <f>IF(OR(F216="",G216=""),"",F216*G216)</f>
        <v/>
      </c>
      <c r="I216" s="5" t="n"/>
      <c r="J216" s="5" t="n"/>
    </row>
    <row r="217">
      <c r="A217" s="5" t="n"/>
      <c r="B217" s="5" t="n"/>
      <c r="C217" s="5" t="n"/>
      <c r="D217" s="5" t="n"/>
      <c r="E217" s="5" t="n"/>
      <c r="F217" s="19" t="n"/>
      <c r="G217" s="18" t="n"/>
      <c r="H217" s="20">
        <f>IF(OR(F217="",G217=""),"",F217*G217)</f>
        <v/>
      </c>
      <c r="I217" s="5" t="n"/>
      <c r="J217" s="5" t="n"/>
    </row>
    <row r="218">
      <c r="A218" s="5" t="n"/>
      <c r="B218" s="5" t="n"/>
      <c r="C218" s="5" t="n"/>
      <c r="D218" s="5" t="n"/>
      <c r="E218" s="5" t="n"/>
      <c r="F218" s="19" t="n"/>
      <c r="G218" s="18" t="n"/>
      <c r="H218" s="20">
        <f>IF(OR(F218="",G218=""),"",F218*G218)</f>
        <v/>
      </c>
      <c r="I218" s="5" t="n"/>
      <c r="J218" s="5" t="n"/>
    </row>
    <row r="219">
      <c r="A219" s="5" t="n"/>
      <c r="B219" s="5" t="n"/>
      <c r="C219" s="5" t="n"/>
      <c r="D219" s="5" t="n"/>
      <c r="E219" s="5" t="n"/>
      <c r="F219" s="19" t="n"/>
      <c r="G219" s="18" t="n"/>
      <c r="H219" s="20">
        <f>IF(OR(F219="",G219=""),"",F219*G219)</f>
        <v/>
      </c>
      <c r="I219" s="5" t="n"/>
      <c r="J219" s="5" t="n"/>
    </row>
    <row r="220">
      <c r="A220" s="5" t="n"/>
      <c r="B220" s="5" t="n"/>
      <c r="C220" s="5" t="n"/>
      <c r="D220" s="5" t="n"/>
      <c r="E220" s="5" t="n"/>
      <c r="F220" s="19" t="n"/>
      <c r="G220" s="18" t="n"/>
      <c r="H220" s="20">
        <f>IF(OR(F220="",G220=""),"",F220*G220)</f>
        <v/>
      </c>
      <c r="I220" s="5" t="n"/>
      <c r="J220" s="5" t="n"/>
    </row>
    <row r="221">
      <c r="A221" s="5" t="n"/>
      <c r="B221" s="5" t="n"/>
      <c r="C221" s="5" t="n"/>
      <c r="D221" s="5" t="n"/>
      <c r="E221" s="5" t="n"/>
      <c r="F221" s="19" t="n"/>
      <c r="G221" s="18" t="n"/>
      <c r="H221" s="20">
        <f>IF(OR(F221="",G221=""),"",F221*G221)</f>
        <v/>
      </c>
      <c r="I221" s="5" t="n"/>
      <c r="J221" s="5" t="n"/>
    </row>
    <row r="222">
      <c r="A222" s="5" t="n"/>
      <c r="B222" s="5" t="n"/>
      <c r="C222" s="5" t="n"/>
      <c r="D222" s="5" t="n"/>
      <c r="E222" s="5" t="n"/>
      <c r="F222" s="19" t="n"/>
      <c r="G222" s="18" t="n"/>
      <c r="H222" s="20">
        <f>IF(OR(F222="",G222=""),"",F222*G222)</f>
        <v/>
      </c>
      <c r="I222" s="5" t="n"/>
      <c r="J222" s="5" t="n"/>
    </row>
    <row r="223">
      <c r="A223" s="5" t="n"/>
      <c r="B223" s="5" t="n"/>
      <c r="C223" s="5" t="n"/>
      <c r="D223" s="5" t="n"/>
      <c r="E223" s="5" t="n"/>
      <c r="F223" s="19" t="n"/>
      <c r="G223" s="18" t="n"/>
      <c r="H223" s="20">
        <f>IF(OR(F223="",G223=""),"",F223*G223)</f>
        <v/>
      </c>
      <c r="I223" s="5" t="n"/>
      <c r="J223" s="5" t="n"/>
    </row>
    <row r="224">
      <c r="A224" s="5" t="n"/>
      <c r="B224" s="5" t="n"/>
      <c r="C224" s="5" t="n"/>
      <c r="D224" s="5" t="n"/>
      <c r="E224" s="5" t="n"/>
      <c r="F224" s="19" t="n"/>
      <c r="G224" s="18" t="n"/>
      <c r="H224" s="20">
        <f>IF(OR(F224="",G224=""),"",F224*G224)</f>
        <v/>
      </c>
      <c r="I224" s="5" t="n"/>
      <c r="J224" s="5" t="n"/>
    </row>
    <row r="225">
      <c r="A225" s="5" t="n"/>
      <c r="B225" s="5" t="n"/>
      <c r="C225" s="5" t="n"/>
      <c r="D225" s="5" t="n"/>
      <c r="E225" s="5" t="n"/>
      <c r="F225" s="19" t="n"/>
      <c r="G225" s="18" t="n"/>
      <c r="H225" s="20">
        <f>IF(OR(F225="",G225=""),"",F225*G225)</f>
        <v/>
      </c>
      <c r="I225" s="5" t="n"/>
      <c r="J225" s="5" t="n"/>
    </row>
    <row r="226">
      <c r="A226" s="5" t="n"/>
      <c r="B226" s="5" t="n"/>
      <c r="C226" s="5" t="n"/>
      <c r="D226" s="5" t="n"/>
      <c r="E226" s="5" t="n"/>
      <c r="F226" s="19" t="n"/>
      <c r="G226" s="18" t="n"/>
      <c r="H226" s="20">
        <f>IF(OR(F226="",G226=""),"",F226*G226)</f>
        <v/>
      </c>
      <c r="I226" s="5" t="n"/>
      <c r="J226" s="5" t="n"/>
    </row>
    <row r="227">
      <c r="A227" s="5" t="n"/>
      <c r="B227" s="5" t="n"/>
      <c r="C227" s="5" t="n"/>
      <c r="D227" s="5" t="n"/>
      <c r="E227" s="5" t="n"/>
      <c r="F227" s="19" t="n"/>
      <c r="G227" s="18" t="n"/>
      <c r="H227" s="20">
        <f>IF(OR(F227="",G227=""),"",F227*G227)</f>
        <v/>
      </c>
      <c r="I227" s="5" t="n"/>
      <c r="J227" s="5" t="n"/>
    </row>
    <row r="228">
      <c r="A228" s="5" t="n"/>
      <c r="B228" s="5" t="n"/>
      <c r="C228" s="5" t="n"/>
      <c r="D228" s="5" t="n"/>
      <c r="E228" s="5" t="n"/>
      <c r="F228" s="19" t="n"/>
      <c r="G228" s="18" t="n"/>
      <c r="H228" s="20">
        <f>IF(OR(F228="",G228=""),"",F228*G228)</f>
        <v/>
      </c>
      <c r="I228" s="5" t="n"/>
      <c r="J228" s="5" t="n"/>
    </row>
    <row r="229">
      <c r="A229" s="5" t="n"/>
      <c r="B229" s="5" t="n"/>
      <c r="C229" s="5" t="n"/>
      <c r="D229" s="5" t="n"/>
      <c r="E229" s="5" t="n"/>
      <c r="F229" s="19" t="n"/>
      <c r="G229" s="18" t="n"/>
      <c r="H229" s="20">
        <f>IF(OR(F229="",G229=""),"",F229*G229)</f>
        <v/>
      </c>
      <c r="I229" s="5" t="n"/>
      <c r="J229" s="5" t="n"/>
    </row>
    <row r="230">
      <c r="A230" s="5" t="n"/>
      <c r="B230" s="5" t="n"/>
      <c r="C230" s="5" t="n"/>
      <c r="D230" s="5" t="n"/>
      <c r="E230" s="5" t="n"/>
      <c r="F230" s="19" t="n"/>
      <c r="G230" s="18" t="n"/>
      <c r="H230" s="20">
        <f>IF(OR(F230="",G230=""),"",F230*G230)</f>
        <v/>
      </c>
      <c r="I230" s="5" t="n"/>
      <c r="J230" s="5" t="n"/>
    </row>
    <row r="231">
      <c r="A231" s="5" t="n"/>
      <c r="B231" s="5" t="n"/>
      <c r="C231" s="5" t="n"/>
      <c r="D231" s="5" t="n"/>
      <c r="E231" s="5" t="n"/>
      <c r="F231" s="19" t="n"/>
      <c r="G231" s="18" t="n"/>
      <c r="H231" s="20">
        <f>IF(OR(F231="",G231=""),"",F231*G231)</f>
        <v/>
      </c>
      <c r="I231" s="5" t="n"/>
      <c r="J231" s="5" t="n"/>
    </row>
    <row r="232">
      <c r="A232" s="5" t="n"/>
      <c r="B232" s="5" t="n"/>
      <c r="C232" s="5" t="n"/>
      <c r="D232" s="5" t="n"/>
      <c r="E232" s="5" t="n"/>
      <c r="F232" s="19" t="n"/>
      <c r="G232" s="18" t="n"/>
      <c r="H232" s="20">
        <f>IF(OR(F232="",G232=""),"",F232*G232)</f>
        <v/>
      </c>
      <c r="I232" s="5" t="n"/>
      <c r="J232" s="5" t="n"/>
    </row>
    <row r="233">
      <c r="A233" s="5" t="n"/>
      <c r="B233" s="5" t="n"/>
      <c r="C233" s="5" t="n"/>
      <c r="D233" s="5" t="n"/>
      <c r="E233" s="5" t="n"/>
      <c r="F233" s="19" t="n"/>
      <c r="G233" s="18" t="n"/>
      <c r="H233" s="20">
        <f>IF(OR(F233="",G233=""),"",F233*G233)</f>
        <v/>
      </c>
      <c r="I233" s="5" t="n"/>
      <c r="J233" s="5" t="n"/>
    </row>
    <row r="234">
      <c r="A234" s="5" t="n"/>
      <c r="B234" s="5" t="n"/>
      <c r="C234" s="5" t="n"/>
      <c r="D234" s="5" t="n"/>
      <c r="E234" s="5" t="n"/>
      <c r="F234" s="19" t="n"/>
      <c r="G234" s="18" t="n"/>
      <c r="H234" s="20">
        <f>IF(OR(F234="",G234=""),"",F234*G234)</f>
        <v/>
      </c>
      <c r="I234" s="5" t="n"/>
      <c r="J234" s="5" t="n"/>
    </row>
    <row r="235">
      <c r="A235" s="5" t="n"/>
      <c r="B235" s="5" t="n"/>
      <c r="C235" s="5" t="n"/>
      <c r="D235" s="5" t="n"/>
      <c r="E235" s="5" t="n"/>
      <c r="F235" s="19" t="n"/>
      <c r="G235" s="18" t="n"/>
      <c r="H235" s="20">
        <f>IF(OR(F235="",G235=""),"",F235*G235)</f>
        <v/>
      </c>
      <c r="I235" s="5" t="n"/>
      <c r="J235" s="5" t="n"/>
    </row>
    <row r="236">
      <c r="A236" s="5" t="n"/>
      <c r="B236" s="5" t="n"/>
      <c r="C236" s="5" t="n"/>
      <c r="D236" s="5" t="n"/>
      <c r="E236" s="5" t="n"/>
      <c r="F236" s="19" t="n"/>
      <c r="G236" s="18" t="n"/>
      <c r="H236" s="20">
        <f>IF(OR(F236="",G236=""),"",F236*G236)</f>
        <v/>
      </c>
      <c r="I236" s="5" t="n"/>
      <c r="J236" s="5" t="n"/>
    </row>
    <row r="237">
      <c r="A237" s="5" t="n"/>
      <c r="B237" s="5" t="n"/>
      <c r="C237" s="5" t="n"/>
      <c r="D237" s="5" t="n"/>
      <c r="E237" s="5" t="n"/>
      <c r="F237" s="19" t="n"/>
      <c r="G237" s="18" t="n"/>
      <c r="H237" s="20">
        <f>IF(OR(F237="",G237=""),"",F237*G237)</f>
        <v/>
      </c>
      <c r="I237" s="5" t="n"/>
      <c r="J237" s="5" t="n"/>
    </row>
    <row r="238">
      <c r="A238" s="5" t="n"/>
      <c r="B238" s="5" t="n"/>
      <c r="C238" s="5" t="n"/>
      <c r="D238" s="5" t="n"/>
      <c r="E238" s="5" t="n"/>
      <c r="F238" s="19" t="n"/>
      <c r="G238" s="18" t="n"/>
      <c r="H238" s="20">
        <f>IF(OR(F238="",G238=""),"",F238*G238)</f>
        <v/>
      </c>
      <c r="I238" s="5" t="n"/>
      <c r="J238" s="5" t="n"/>
    </row>
    <row r="239">
      <c r="A239" s="5" t="n"/>
      <c r="B239" s="5" t="n"/>
      <c r="C239" s="5" t="n"/>
      <c r="D239" s="5" t="n"/>
      <c r="E239" s="5" t="n"/>
      <c r="F239" s="19" t="n"/>
      <c r="G239" s="18" t="n"/>
      <c r="H239" s="20">
        <f>IF(OR(F239="",G239=""),"",F239*G239)</f>
        <v/>
      </c>
      <c r="I239" s="5" t="n"/>
      <c r="J239" s="5" t="n"/>
    </row>
    <row r="240">
      <c r="A240" s="5" t="n"/>
      <c r="B240" s="5" t="n"/>
      <c r="C240" s="5" t="n"/>
      <c r="D240" s="5" t="n"/>
      <c r="E240" s="5" t="n"/>
      <c r="F240" s="19" t="n"/>
      <c r="G240" s="18" t="n"/>
      <c r="H240" s="20">
        <f>IF(OR(F240="",G240=""),"",F240*G240)</f>
        <v/>
      </c>
      <c r="I240" s="5" t="n"/>
      <c r="J240" s="5" t="n"/>
    </row>
    <row r="241">
      <c r="A241" s="5" t="n"/>
      <c r="B241" s="5" t="n"/>
      <c r="C241" s="5" t="n"/>
      <c r="D241" s="5" t="n"/>
      <c r="E241" s="5" t="n"/>
      <c r="F241" s="19" t="n"/>
      <c r="G241" s="18" t="n"/>
      <c r="H241" s="20">
        <f>IF(OR(F241="",G241=""),"",F241*G241)</f>
        <v/>
      </c>
      <c r="I241" s="5" t="n"/>
      <c r="J241" s="5" t="n"/>
    </row>
    <row r="242">
      <c r="A242" s="5" t="n"/>
      <c r="B242" s="5" t="n"/>
      <c r="C242" s="5" t="n"/>
      <c r="D242" s="5" t="n"/>
      <c r="E242" s="5" t="n"/>
      <c r="F242" s="19" t="n"/>
      <c r="G242" s="18" t="n"/>
      <c r="H242" s="20">
        <f>IF(OR(F242="",G242=""),"",F242*G242)</f>
        <v/>
      </c>
      <c r="I242" s="5" t="n"/>
      <c r="J242" s="5" t="n"/>
    </row>
    <row r="243">
      <c r="A243" s="5" t="n"/>
      <c r="B243" s="5" t="n"/>
      <c r="C243" s="5" t="n"/>
      <c r="D243" s="5" t="n"/>
      <c r="E243" s="5" t="n"/>
      <c r="F243" s="19" t="n"/>
      <c r="G243" s="18" t="n"/>
      <c r="H243" s="20">
        <f>IF(OR(F243="",G243=""),"",F243*G243)</f>
        <v/>
      </c>
      <c r="I243" s="5" t="n"/>
      <c r="J243" s="5" t="n"/>
    </row>
    <row r="244">
      <c r="A244" s="5" t="n"/>
      <c r="B244" s="5" t="n"/>
      <c r="C244" s="5" t="n"/>
      <c r="D244" s="5" t="n"/>
      <c r="E244" s="5" t="n"/>
      <c r="F244" s="19" t="n"/>
      <c r="G244" s="18" t="n"/>
      <c r="H244" s="20">
        <f>IF(OR(F244="",G244=""),"",F244*G244)</f>
        <v/>
      </c>
      <c r="I244" s="5" t="n"/>
      <c r="J244" s="5" t="n"/>
    </row>
    <row r="245">
      <c r="A245" s="5" t="n"/>
      <c r="B245" s="5" t="n"/>
      <c r="C245" s="5" t="n"/>
      <c r="D245" s="5" t="n"/>
      <c r="E245" s="5" t="n"/>
      <c r="F245" s="19" t="n"/>
      <c r="G245" s="18" t="n"/>
      <c r="H245" s="20">
        <f>IF(OR(F245="",G245=""),"",F245*G245)</f>
        <v/>
      </c>
      <c r="I245" s="5" t="n"/>
      <c r="J245" s="5" t="n"/>
    </row>
    <row r="246">
      <c r="A246" s="5" t="n"/>
      <c r="B246" s="5" t="n"/>
      <c r="C246" s="5" t="n"/>
      <c r="D246" s="5" t="n"/>
      <c r="E246" s="5" t="n"/>
      <c r="F246" s="19" t="n"/>
      <c r="G246" s="18" t="n"/>
      <c r="H246" s="20">
        <f>IF(OR(F246="",G246=""),"",F246*G246)</f>
        <v/>
      </c>
      <c r="I246" s="5" t="n"/>
      <c r="J246" s="5" t="n"/>
    </row>
    <row r="247">
      <c r="A247" s="5" t="n"/>
      <c r="B247" s="5" t="n"/>
      <c r="C247" s="5" t="n"/>
      <c r="D247" s="5" t="n"/>
      <c r="E247" s="5" t="n"/>
      <c r="F247" s="19" t="n"/>
      <c r="G247" s="18" t="n"/>
      <c r="H247" s="20">
        <f>IF(OR(F247="",G247=""),"",F247*G247)</f>
        <v/>
      </c>
      <c r="I247" s="5" t="n"/>
      <c r="J247" s="5" t="n"/>
    </row>
    <row r="248">
      <c r="A248" s="5" t="n"/>
      <c r="B248" s="5" t="n"/>
      <c r="C248" s="5" t="n"/>
      <c r="D248" s="5" t="n"/>
      <c r="E248" s="5" t="n"/>
      <c r="F248" s="19" t="n"/>
      <c r="G248" s="18" t="n"/>
      <c r="H248" s="20">
        <f>IF(OR(F248="",G248=""),"",F248*G248)</f>
        <v/>
      </c>
      <c r="I248" s="5" t="n"/>
      <c r="J248" s="5" t="n"/>
    </row>
    <row r="249">
      <c r="A249" s="5" t="n"/>
      <c r="B249" s="5" t="n"/>
      <c r="C249" s="5" t="n"/>
      <c r="D249" s="5" t="n"/>
      <c r="E249" s="5" t="n"/>
      <c r="F249" s="19" t="n"/>
      <c r="G249" s="18" t="n"/>
      <c r="H249" s="20">
        <f>IF(OR(F249="",G249=""),"",F249*G249)</f>
        <v/>
      </c>
      <c r="I249" s="5" t="n"/>
      <c r="J249" s="5" t="n"/>
    </row>
    <row r="250">
      <c r="A250" s="5" t="n"/>
      <c r="B250" s="5" t="n"/>
      <c r="C250" s="5" t="n"/>
      <c r="D250" s="5" t="n"/>
      <c r="E250" s="5" t="n"/>
      <c r="F250" s="19" t="n"/>
      <c r="G250" s="18" t="n"/>
      <c r="H250" s="20">
        <f>IF(OR(F250="",G250=""),"",F250*G250)</f>
        <v/>
      </c>
      <c r="I250" s="5" t="n"/>
      <c r="J250" s="5" t="n"/>
    </row>
    <row r="251">
      <c r="A251" s="5" t="n"/>
      <c r="B251" s="5" t="n"/>
      <c r="C251" s="5" t="n"/>
      <c r="D251" s="5" t="n"/>
      <c r="E251" s="5" t="n"/>
      <c r="F251" s="19" t="n"/>
      <c r="G251" s="18" t="n"/>
      <c r="H251" s="20">
        <f>IF(OR(F251="",G251=""),"",F251*G251)</f>
        <v/>
      </c>
      <c r="I251" s="5" t="n"/>
      <c r="J251" s="5" t="n"/>
    </row>
    <row r="252">
      <c r="A252" s="5" t="n"/>
      <c r="B252" s="5" t="n"/>
      <c r="C252" s="5" t="n"/>
      <c r="D252" s="5" t="n"/>
      <c r="E252" s="5" t="n"/>
      <c r="F252" s="19" t="n"/>
      <c r="G252" s="18" t="n"/>
      <c r="H252" s="20">
        <f>IF(OR(F252="",G252=""),"",F252*G252)</f>
        <v/>
      </c>
      <c r="I252" s="5" t="n"/>
      <c r="J252" s="5" t="n"/>
    </row>
    <row r="253">
      <c r="A253" s="5" t="n"/>
      <c r="B253" s="5" t="n"/>
      <c r="C253" s="5" t="n"/>
      <c r="D253" s="5" t="n"/>
      <c r="E253" s="5" t="n"/>
      <c r="F253" s="19" t="n"/>
      <c r="G253" s="18" t="n"/>
      <c r="H253" s="20">
        <f>IF(OR(F253="",G253=""),"",F253*G253)</f>
        <v/>
      </c>
      <c r="I253" s="5" t="n"/>
      <c r="J253" s="5" t="n"/>
    </row>
    <row r="254">
      <c r="A254" s="5" t="n"/>
      <c r="B254" s="5" t="n"/>
      <c r="C254" s="5" t="n"/>
      <c r="D254" s="5" t="n"/>
      <c r="E254" s="5" t="n"/>
      <c r="F254" s="19" t="n"/>
      <c r="G254" s="18" t="n"/>
      <c r="H254" s="20">
        <f>IF(OR(F254="",G254=""),"",F254*G254)</f>
        <v/>
      </c>
      <c r="I254" s="5" t="n"/>
      <c r="J254" s="5" t="n"/>
    </row>
    <row r="255">
      <c r="A255" s="5" t="n"/>
      <c r="B255" s="5" t="n"/>
      <c r="C255" s="5" t="n"/>
      <c r="D255" s="5" t="n"/>
      <c r="E255" s="5" t="n"/>
      <c r="F255" s="19" t="n"/>
      <c r="G255" s="18" t="n"/>
      <c r="H255" s="20">
        <f>IF(OR(F255="",G255=""),"",F255*G255)</f>
        <v/>
      </c>
      <c r="I255" s="5" t="n"/>
      <c r="J255" s="5" t="n"/>
    </row>
    <row r="256">
      <c r="A256" s="5" t="n"/>
      <c r="B256" s="5" t="n"/>
      <c r="C256" s="5" t="n"/>
      <c r="D256" s="5" t="n"/>
      <c r="E256" s="5" t="n"/>
      <c r="F256" s="19" t="n"/>
      <c r="G256" s="18" t="n"/>
      <c r="H256" s="20">
        <f>IF(OR(F256="",G256=""),"",F256*G256)</f>
        <v/>
      </c>
      <c r="I256" s="5" t="n"/>
      <c r="J256" s="5" t="n"/>
    </row>
    <row r="257">
      <c r="A257" s="5" t="n"/>
      <c r="B257" s="5" t="n"/>
      <c r="C257" s="5" t="n"/>
      <c r="D257" s="5" t="n"/>
      <c r="E257" s="5" t="n"/>
      <c r="F257" s="19" t="n"/>
      <c r="G257" s="18" t="n"/>
      <c r="H257" s="20">
        <f>IF(OR(F257="",G257=""),"",F257*G257)</f>
        <v/>
      </c>
      <c r="I257" s="5" t="n"/>
      <c r="J257" s="5" t="n"/>
    </row>
    <row r="258">
      <c r="A258" s="5" t="n"/>
      <c r="B258" s="5" t="n"/>
      <c r="C258" s="5" t="n"/>
      <c r="D258" s="5" t="n"/>
      <c r="E258" s="5" t="n"/>
      <c r="F258" s="19" t="n"/>
      <c r="G258" s="18" t="n"/>
      <c r="H258" s="20">
        <f>IF(OR(F258="",G258=""),"",F258*G258)</f>
        <v/>
      </c>
      <c r="I258" s="5" t="n"/>
      <c r="J258" s="5" t="n"/>
    </row>
    <row r="259">
      <c r="A259" s="5" t="n"/>
      <c r="B259" s="5" t="n"/>
      <c r="C259" s="5" t="n"/>
      <c r="D259" s="5" t="n"/>
      <c r="E259" s="5" t="n"/>
      <c r="F259" s="19" t="n"/>
      <c r="G259" s="18" t="n"/>
      <c r="H259" s="20">
        <f>IF(OR(F259="",G259=""),"",F259*G259)</f>
        <v/>
      </c>
      <c r="I259" s="5" t="n"/>
      <c r="J259" s="5" t="n"/>
    </row>
    <row r="260">
      <c r="A260" s="5" t="n"/>
      <c r="B260" s="5" t="n"/>
      <c r="C260" s="5" t="n"/>
      <c r="D260" s="5" t="n"/>
      <c r="E260" s="5" t="n"/>
      <c r="F260" s="19" t="n"/>
      <c r="G260" s="18" t="n"/>
      <c r="H260" s="20">
        <f>IF(OR(F260="",G260=""),"",F260*G260)</f>
        <v/>
      </c>
      <c r="I260" s="5" t="n"/>
      <c r="J260" s="5" t="n"/>
    </row>
    <row r="261">
      <c r="A261" s="5" t="n"/>
      <c r="B261" s="5" t="n"/>
      <c r="C261" s="5" t="n"/>
      <c r="D261" s="5" t="n"/>
      <c r="E261" s="5" t="n"/>
      <c r="F261" s="19" t="n"/>
      <c r="G261" s="18" t="n"/>
      <c r="H261" s="20">
        <f>IF(OR(F261="",G261=""),"",F261*G261)</f>
        <v/>
      </c>
      <c r="I261" s="5" t="n"/>
      <c r="J261" s="5" t="n"/>
    </row>
    <row r="262">
      <c r="A262" s="5" t="n"/>
      <c r="B262" s="5" t="n"/>
      <c r="C262" s="5" t="n"/>
      <c r="D262" s="5" t="n"/>
      <c r="E262" s="5" t="n"/>
      <c r="F262" s="19" t="n"/>
      <c r="G262" s="18" t="n"/>
      <c r="H262" s="20">
        <f>IF(OR(F262="",G262=""),"",F262*G262)</f>
        <v/>
      </c>
      <c r="I262" s="5" t="n"/>
      <c r="J262" s="5" t="n"/>
    </row>
    <row r="263">
      <c r="A263" s="5" t="n"/>
      <c r="B263" s="5" t="n"/>
      <c r="C263" s="5" t="n"/>
      <c r="D263" s="5" t="n"/>
      <c r="E263" s="5" t="n"/>
      <c r="F263" s="19" t="n"/>
      <c r="G263" s="18" t="n"/>
      <c r="H263" s="20">
        <f>IF(OR(F263="",G263=""),"",F263*G263)</f>
        <v/>
      </c>
      <c r="I263" s="5" t="n"/>
      <c r="J263" s="5" t="n"/>
    </row>
    <row r="264">
      <c r="A264" s="5" t="n"/>
      <c r="B264" s="5" t="n"/>
      <c r="C264" s="5" t="n"/>
      <c r="D264" s="5" t="n"/>
      <c r="E264" s="5" t="n"/>
      <c r="F264" s="19" t="n"/>
      <c r="G264" s="18" t="n"/>
      <c r="H264" s="20">
        <f>IF(OR(F264="",G264=""),"",F264*G264)</f>
        <v/>
      </c>
      <c r="I264" s="5" t="n"/>
      <c r="J264" s="5" t="n"/>
    </row>
    <row r="265">
      <c r="A265" s="5" t="n"/>
      <c r="B265" s="5" t="n"/>
      <c r="C265" s="5" t="n"/>
      <c r="D265" s="5" t="n"/>
      <c r="E265" s="5" t="n"/>
      <c r="F265" s="19" t="n"/>
      <c r="G265" s="18" t="n"/>
      <c r="H265" s="20">
        <f>IF(OR(F265="",G265=""),"",F265*G265)</f>
        <v/>
      </c>
      <c r="I265" s="5" t="n"/>
      <c r="J265" s="5" t="n"/>
    </row>
    <row r="266">
      <c r="A266" s="5" t="n"/>
      <c r="B266" s="5" t="n"/>
      <c r="C266" s="5" t="n"/>
      <c r="D266" s="5" t="n"/>
      <c r="E266" s="5" t="n"/>
      <c r="F266" s="19" t="n"/>
      <c r="G266" s="18" t="n"/>
      <c r="H266" s="20">
        <f>IF(OR(F266="",G266=""),"",F266*G266)</f>
        <v/>
      </c>
      <c r="I266" s="5" t="n"/>
      <c r="J266" s="5" t="n"/>
    </row>
    <row r="267">
      <c r="A267" s="5" t="n"/>
      <c r="B267" s="5" t="n"/>
      <c r="C267" s="5" t="n"/>
      <c r="D267" s="5" t="n"/>
      <c r="E267" s="5" t="n"/>
      <c r="F267" s="19" t="n"/>
      <c r="G267" s="18" t="n"/>
      <c r="H267" s="20">
        <f>IF(OR(F267="",G267=""),"",F267*G267)</f>
        <v/>
      </c>
      <c r="I267" s="5" t="n"/>
      <c r="J267" s="5" t="n"/>
    </row>
    <row r="268">
      <c r="A268" s="5" t="n"/>
      <c r="B268" s="5" t="n"/>
      <c r="C268" s="5" t="n"/>
      <c r="D268" s="5" t="n"/>
      <c r="E268" s="5" t="n"/>
      <c r="F268" s="19" t="n"/>
      <c r="G268" s="18" t="n"/>
      <c r="H268" s="20">
        <f>IF(OR(F268="",G268=""),"",F268*G268)</f>
        <v/>
      </c>
      <c r="I268" s="5" t="n"/>
      <c r="J268" s="5" t="n"/>
    </row>
    <row r="269">
      <c r="A269" s="5" t="n"/>
      <c r="B269" s="5" t="n"/>
      <c r="C269" s="5" t="n"/>
      <c r="D269" s="5" t="n"/>
      <c r="E269" s="5" t="n"/>
      <c r="F269" s="19" t="n"/>
      <c r="G269" s="18" t="n"/>
      <c r="H269" s="20">
        <f>IF(OR(F269="",G269=""),"",F269*G269)</f>
        <v/>
      </c>
      <c r="I269" s="5" t="n"/>
      <c r="J269" s="5" t="n"/>
    </row>
    <row r="270">
      <c r="A270" s="5" t="n"/>
      <c r="B270" s="5" t="n"/>
      <c r="C270" s="5" t="n"/>
      <c r="D270" s="5" t="n"/>
      <c r="E270" s="5" t="n"/>
      <c r="F270" s="19" t="n"/>
      <c r="G270" s="18" t="n"/>
      <c r="H270" s="20">
        <f>IF(OR(F270="",G270=""),"",F270*G270)</f>
        <v/>
      </c>
      <c r="I270" s="5" t="n"/>
      <c r="J270" s="5" t="n"/>
    </row>
    <row r="271">
      <c r="A271" s="5" t="n"/>
      <c r="B271" s="5" t="n"/>
      <c r="C271" s="5" t="n"/>
      <c r="D271" s="5" t="n"/>
      <c r="E271" s="5" t="n"/>
      <c r="F271" s="19" t="n"/>
      <c r="G271" s="18" t="n"/>
      <c r="H271" s="20">
        <f>IF(OR(F271="",G271=""),"",F271*G271)</f>
        <v/>
      </c>
      <c r="I271" s="5" t="n"/>
      <c r="J271" s="5" t="n"/>
    </row>
    <row r="272">
      <c r="A272" s="5" t="n"/>
      <c r="B272" s="5" t="n"/>
      <c r="C272" s="5" t="n"/>
      <c r="D272" s="5" t="n"/>
      <c r="E272" s="5" t="n"/>
      <c r="F272" s="19" t="n"/>
      <c r="G272" s="18" t="n"/>
      <c r="H272" s="20">
        <f>IF(OR(F272="",G272=""),"",F272*G272)</f>
        <v/>
      </c>
      <c r="I272" s="5" t="n"/>
      <c r="J272" s="5" t="n"/>
    </row>
    <row r="273">
      <c r="A273" s="5" t="n"/>
      <c r="B273" s="5" t="n"/>
      <c r="C273" s="5" t="n"/>
      <c r="D273" s="5" t="n"/>
      <c r="E273" s="5" t="n"/>
      <c r="F273" s="19" t="n"/>
      <c r="G273" s="18" t="n"/>
      <c r="H273" s="20">
        <f>IF(OR(F273="",G273=""),"",F273*G273)</f>
        <v/>
      </c>
      <c r="I273" s="5" t="n"/>
      <c r="J273" s="5" t="n"/>
    </row>
    <row r="274">
      <c r="A274" s="5" t="n"/>
      <c r="B274" s="5" t="n"/>
      <c r="C274" s="5" t="n"/>
      <c r="D274" s="5" t="n"/>
      <c r="E274" s="5" t="n"/>
      <c r="F274" s="19" t="n"/>
      <c r="G274" s="18" t="n"/>
      <c r="H274" s="20">
        <f>IF(OR(F274="",G274=""),"",F274*G274)</f>
        <v/>
      </c>
      <c r="I274" s="5" t="n"/>
      <c r="J274" s="5" t="n"/>
    </row>
    <row r="275">
      <c r="A275" s="5" t="n"/>
      <c r="B275" s="5" t="n"/>
      <c r="C275" s="5" t="n"/>
      <c r="D275" s="5" t="n"/>
      <c r="E275" s="5" t="n"/>
      <c r="F275" s="19" t="n"/>
      <c r="G275" s="18" t="n"/>
      <c r="H275" s="20">
        <f>IF(OR(F275="",G275=""),"",F275*G275)</f>
        <v/>
      </c>
      <c r="I275" s="5" t="n"/>
      <c r="J275" s="5" t="n"/>
    </row>
    <row r="276">
      <c r="A276" s="5" t="n"/>
      <c r="B276" s="5" t="n"/>
      <c r="C276" s="5" t="n"/>
      <c r="D276" s="5" t="n"/>
      <c r="E276" s="5" t="n"/>
      <c r="F276" s="19" t="n"/>
      <c r="G276" s="18" t="n"/>
      <c r="H276" s="20">
        <f>IF(OR(F276="",G276=""),"",F276*G276)</f>
        <v/>
      </c>
      <c r="I276" s="5" t="n"/>
      <c r="J276" s="5" t="n"/>
    </row>
    <row r="277">
      <c r="A277" s="5" t="n"/>
      <c r="B277" s="5" t="n"/>
      <c r="C277" s="5" t="n"/>
      <c r="D277" s="5" t="n"/>
      <c r="E277" s="5" t="n"/>
      <c r="F277" s="19" t="n"/>
      <c r="G277" s="18" t="n"/>
      <c r="H277" s="20">
        <f>IF(OR(F277="",G277=""),"",F277*G277)</f>
        <v/>
      </c>
      <c r="I277" s="5" t="n"/>
      <c r="J277" s="5" t="n"/>
    </row>
    <row r="278">
      <c r="A278" s="5" t="n"/>
      <c r="B278" s="5" t="n"/>
      <c r="C278" s="5" t="n"/>
      <c r="D278" s="5" t="n"/>
      <c r="E278" s="5" t="n"/>
      <c r="F278" s="19" t="n"/>
      <c r="G278" s="18" t="n"/>
      <c r="H278" s="20">
        <f>IF(OR(F278="",G278=""),"",F278*G278)</f>
        <v/>
      </c>
      <c r="I278" s="5" t="n"/>
      <c r="J278" s="5" t="n"/>
    </row>
    <row r="279">
      <c r="A279" s="5" t="n"/>
      <c r="B279" s="5" t="n"/>
      <c r="C279" s="5" t="n"/>
      <c r="D279" s="5" t="n"/>
      <c r="E279" s="5" t="n"/>
      <c r="F279" s="19" t="n"/>
      <c r="G279" s="18" t="n"/>
      <c r="H279" s="20">
        <f>IF(OR(F279="",G279=""),"",F279*G279)</f>
        <v/>
      </c>
      <c r="I279" s="5" t="n"/>
      <c r="J279" s="5" t="n"/>
    </row>
    <row r="280">
      <c r="A280" s="5" t="n"/>
      <c r="B280" s="5" t="n"/>
      <c r="C280" s="5" t="n"/>
      <c r="D280" s="5" t="n"/>
      <c r="E280" s="5" t="n"/>
      <c r="F280" s="19" t="n"/>
      <c r="G280" s="18" t="n"/>
      <c r="H280" s="20">
        <f>IF(OR(F280="",G280=""),"",F280*G280)</f>
        <v/>
      </c>
      <c r="I280" s="5" t="n"/>
      <c r="J280" s="5" t="n"/>
    </row>
    <row r="281">
      <c r="A281" s="5" t="n"/>
      <c r="B281" s="5" t="n"/>
      <c r="C281" s="5" t="n"/>
      <c r="D281" s="5" t="n"/>
      <c r="E281" s="5" t="n"/>
      <c r="F281" s="19" t="n"/>
      <c r="G281" s="18" t="n"/>
      <c r="H281" s="20">
        <f>IF(OR(F281="",G281=""),"",F281*G281)</f>
        <v/>
      </c>
      <c r="I281" s="5" t="n"/>
      <c r="J281" s="5" t="n"/>
    </row>
    <row r="282">
      <c r="A282" s="5" t="n"/>
      <c r="B282" s="5" t="n"/>
      <c r="C282" s="5" t="n"/>
      <c r="D282" s="5" t="n"/>
      <c r="E282" s="5" t="n"/>
      <c r="F282" s="19" t="n"/>
      <c r="G282" s="18" t="n"/>
      <c r="H282" s="20">
        <f>IF(OR(F282="",G282=""),"",F282*G282)</f>
        <v/>
      </c>
      <c r="I282" s="5" t="n"/>
      <c r="J282" s="5" t="n"/>
    </row>
    <row r="283">
      <c r="A283" s="5" t="n"/>
      <c r="B283" s="5" t="n"/>
      <c r="C283" s="5" t="n"/>
      <c r="D283" s="5" t="n"/>
      <c r="E283" s="5" t="n"/>
      <c r="F283" s="19" t="n"/>
      <c r="G283" s="18" t="n"/>
      <c r="H283" s="20">
        <f>IF(OR(F283="",G283=""),"",F283*G283)</f>
        <v/>
      </c>
      <c r="I283" s="5" t="n"/>
      <c r="J283" s="5" t="n"/>
    </row>
    <row r="284">
      <c r="A284" s="5" t="n"/>
      <c r="B284" s="5" t="n"/>
      <c r="C284" s="5" t="n"/>
      <c r="D284" s="5" t="n"/>
      <c r="E284" s="5" t="n"/>
      <c r="F284" s="19" t="n"/>
      <c r="G284" s="18" t="n"/>
      <c r="H284" s="20">
        <f>IF(OR(F284="",G284=""),"",F284*G284)</f>
        <v/>
      </c>
      <c r="I284" s="5" t="n"/>
      <c r="J284" s="5" t="n"/>
    </row>
    <row r="285">
      <c r="A285" s="5" t="n"/>
      <c r="B285" s="5" t="n"/>
      <c r="C285" s="5" t="n"/>
      <c r="D285" s="5" t="n"/>
      <c r="E285" s="5" t="n"/>
      <c r="F285" s="19" t="n"/>
      <c r="G285" s="18" t="n"/>
      <c r="H285" s="20">
        <f>IF(OR(F285="",G285=""),"",F285*G285)</f>
        <v/>
      </c>
      <c r="I285" s="5" t="n"/>
      <c r="J285" s="5" t="n"/>
    </row>
    <row r="286">
      <c r="A286" s="5" t="n"/>
      <c r="B286" s="5" t="n"/>
      <c r="C286" s="5" t="n"/>
      <c r="D286" s="5" t="n"/>
      <c r="E286" s="5" t="n"/>
      <c r="F286" s="19" t="n"/>
      <c r="G286" s="18" t="n"/>
      <c r="H286" s="20">
        <f>IF(OR(F286="",G286=""),"",F286*G286)</f>
        <v/>
      </c>
      <c r="I286" s="5" t="n"/>
      <c r="J286" s="5" t="n"/>
    </row>
    <row r="287">
      <c r="A287" s="5" t="n"/>
      <c r="B287" s="5" t="n"/>
      <c r="C287" s="5" t="n"/>
      <c r="D287" s="5" t="n"/>
      <c r="E287" s="5" t="n"/>
      <c r="F287" s="19" t="n"/>
      <c r="G287" s="18" t="n"/>
      <c r="H287" s="20">
        <f>IF(OR(F287="",G287=""),"",F287*G287)</f>
        <v/>
      </c>
      <c r="I287" s="5" t="n"/>
      <c r="J287" s="5" t="n"/>
    </row>
    <row r="288">
      <c r="A288" s="5" t="n"/>
      <c r="B288" s="5" t="n"/>
      <c r="C288" s="5" t="n"/>
      <c r="D288" s="5" t="n"/>
      <c r="E288" s="5" t="n"/>
      <c r="F288" s="19" t="n"/>
      <c r="G288" s="18" t="n"/>
      <c r="H288" s="20">
        <f>IF(OR(F288="",G288=""),"",F288*G288)</f>
        <v/>
      </c>
      <c r="I288" s="5" t="n"/>
      <c r="J288" s="5" t="n"/>
    </row>
    <row r="289">
      <c r="A289" s="5" t="n"/>
      <c r="B289" s="5" t="n"/>
      <c r="C289" s="5" t="n"/>
      <c r="D289" s="5" t="n"/>
      <c r="E289" s="5" t="n"/>
      <c r="F289" s="19" t="n"/>
      <c r="G289" s="18" t="n"/>
      <c r="H289" s="20">
        <f>IF(OR(F289="",G289=""),"",F289*G289)</f>
        <v/>
      </c>
      <c r="I289" s="5" t="n"/>
      <c r="J289" s="5" t="n"/>
    </row>
    <row r="290">
      <c r="A290" s="5" t="n"/>
      <c r="B290" s="5" t="n"/>
      <c r="C290" s="5" t="n"/>
      <c r="D290" s="5" t="n"/>
      <c r="E290" s="5" t="n"/>
      <c r="F290" s="19" t="n"/>
      <c r="G290" s="18" t="n"/>
      <c r="H290" s="20">
        <f>IF(OR(F290="",G290=""),"",F290*G290)</f>
        <v/>
      </c>
      <c r="I290" s="5" t="n"/>
      <c r="J290" s="5" t="n"/>
    </row>
    <row r="291">
      <c r="A291" s="5" t="n"/>
      <c r="B291" s="5" t="n"/>
      <c r="C291" s="5" t="n"/>
      <c r="D291" s="5" t="n"/>
      <c r="E291" s="5" t="n"/>
      <c r="F291" s="19" t="n"/>
      <c r="G291" s="18" t="n"/>
      <c r="H291" s="20">
        <f>IF(OR(F291="",G291=""),"",F291*G291)</f>
        <v/>
      </c>
      <c r="I291" s="5" t="n"/>
      <c r="J291" s="5" t="n"/>
    </row>
    <row r="292">
      <c r="A292" s="5" t="n"/>
      <c r="B292" s="5" t="n"/>
      <c r="C292" s="5" t="n"/>
      <c r="D292" s="5" t="n"/>
      <c r="E292" s="5" t="n"/>
      <c r="F292" s="19" t="n"/>
      <c r="G292" s="18" t="n"/>
      <c r="H292" s="20">
        <f>IF(OR(F292="",G292=""),"",F292*G292)</f>
        <v/>
      </c>
      <c r="I292" s="5" t="n"/>
      <c r="J292" s="5" t="n"/>
    </row>
    <row r="293">
      <c r="A293" s="5" t="n"/>
      <c r="B293" s="5" t="n"/>
      <c r="C293" s="5" t="n"/>
      <c r="D293" s="5" t="n"/>
      <c r="E293" s="5" t="n"/>
      <c r="F293" s="19" t="n"/>
      <c r="G293" s="18" t="n"/>
      <c r="H293" s="20">
        <f>IF(OR(F293="",G293=""),"",F293*G293)</f>
        <v/>
      </c>
      <c r="I293" s="5" t="n"/>
      <c r="J293" s="5" t="n"/>
    </row>
    <row r="294">
      <c r="A294" s="5" t="n"/>
      <c r="B294" s="5" t="n"/>
      <c r="C294" s="5" t="n"/>
      <c r="D294" s="5" t="n"/>
      <c r="E294" s="5" t="n"/>
      <c r="F294" s="19" t="n"/>
      <c r="G294" s="18" t="n"/>
      <c r="H294" s="20">
        <f>IF(OR(F294="",G294=""),"",F294*G294)</f>
        <v/>
      </c>
      <c r="I294" s="5" t="n"/>
      <c r="J294" s="5" t="n"/>
    </row>
    <row r="295">
      <c r="A295" s="5" t="n"/>
      <c r="B295" s="5" t="n"/>
      <c r="C295" s="5" t="n"/>
      <c r="D295" s="5" t="n"/>
      <c r="E295" s="5" t="n"/>
      <c r="F295" s="19" t="n"/>
      <c r="G295" s="18" t="n"/>
      <c r="H295" s="20">
        <f>IF(OR(F295="",G295=""),"",F295*G295)</f>
        <v/>
      </c>
      <c r="I295" s="5" t="n"/>
      <c r="J295" s="5" t="n"/>
    </row>
    <row r="296">
      <c r="A296" s="5" t="n"/>
      <c r="B296" s="5" t="n"/>
      <c r="C296" s="5" t="n"/>
      <c r="D296" s="5" t="n"/>
      <c r="E296" s="5" t="n"/>
      <c r="F296" s="19" t="n"/>
      <c r="G296" s="18" t="n"/>
      <c r="H296" s="20">
        <f>IF(OR(F296="",G296=""),"",F296*G296)</f>
        <v/>
      </c>
      <c r="I296" s="5" t="n"/>
      <c r="J296" s="5" t="n"/>
    </row>
    <row r="297">
      <c r="A297" s="5" t="n"/>
      <c r="B297" s="5" t="n"/>
      <c r="C297" s="5" t="n"/>
      <c r="D297" s="5" t="n"/>
      <c r="E297" s="5" t="n"/>
      <c r="F297" s="19" t="n"/>
      <c r="G297" s="18" t="n"/>
      <c r="H297" s="20">
        <f>IF(OR(F297="",G297=""),"",F297*G297)</f>
        <v/>
      </c>
      <c r="I297" s="5" t="n"/>
      <c r="J297" s="5" t="n"/>
    </row>
    <row r="298">
      <c r="A298" s="5" t="n"/>
      <c r="B298" s="5" t="n"/>
      <c r="C298" s="5" t="n"/>
      <c r="D298" s="5" t="n"/>
      <c r="E298" s="5" t="n"/>
      <c r="F298" s="19" t="n"/>
      <c r="G298" s="18" t="n"/>
      <c r="H298" s="20">
        <f>IF(OR(F298="",G298=""),"",F298*G298)</f>
        <v/>
      </c>
      <c r="I298" s="5" t="n"/>
      <c r="J298" s="5" t="n"/>
    </row>
    <row r="299">
      <c r="A299" s="5" t="n"/>
      <c r="B299" s="5" t="n"/>
      <c r="C299" s="5" t="n"/>
      <c r="D299" s="5" t="n"/>
      <c r="E299" s="5" t="n"/>
      <c r="F299" s="19" t="n"/>
      <c r="G299" s="18" t="n"/>
      <c r="H299" s="20">
        <f>IF(OR(F299="",G299=""),"",F299*G299)</f>
        <v/>
      </c>
      <c r="I299" s="5" t="n"/>
      <c r="J299" s="5" t="n"/>
    </row>
    <row r="300">
      <c r="A300" s="5" t="n"/>
      <c r="B300" s="5" t="n"/>
      <c r="C300" s="5" t="n"/>
      <c r="D300" s="5" t="n"/>
      <c r="E300" s="5" t="n"/>
      <c r="F300" s="19" t="n"/>
      <c r="G300" s="18" t="n"/>
      <c r="H300" s="20">
        <f>IF(OR(F300="",G300=""),"",F300*G300)</f>
        <v/>
      </c>
      <c r="I300" s="5" t="n"/>
      <c r="J300" s="5" t="n"/>
    </row>
    <row r="301">
      <c r="A301" s="5" t="n"/>
      <c r="B301" s="5" t="n"/>
      <c r="C301" s="5" t="n"/>
      <c r="D301" s="5" t="n"/>
      <c r="E301" s="5" t="n"/>
      <c r="F301" s="19" t="n"/>
      <c r="G301" s="18" t="n"/>
      <c r="H301" s="20">
        <f>IF(OR(F301="",G301=""),"",F301*G301)</f>
        <v/>
      </c>
      <c r="I301" s="5" t="n"/>
      <c r="J301" s="5" t="n"/>
    </row>
    <row r="302">
      <c r="A302" s="5" t="n"/>
      <c r="B302" s="5" t="n"/>
      <c r="C302" s="5" t="n"/>
      <c r="D302" s="5" t="n"/>
      <c r="E302" s="5" t="n"/>
      <c r="F302" s="19" t="n"/>
      <c r="G302" s="18" t="n"/>
      <c r="H302" s="20">
        <f>IF(OR(F302="",G302=""),"",F302*G302)</f>
        <v/>
      </c>
      <c r="I302" s="5" t="n"/>
      <c r="J302" s="5" t="n"/>
    </row>
    <row r="303">
      <c r="A303" s="5" t="n"/>
      <c r="B303" s="5" t="n"/>
      <c r="C303" s="5" t="n"/>
      <c r="D303" s="5" t="n"/>
      <c r="E303" s="5" t="n"/>
      <c r="F303" s="19" t="n"/>
      <c r="G303" s="18" t="n"/>
      <c r="H303" s="20">
        <f>IF(OR(F303="",G303=""),"",F303*G303)</f>
        <v/>
      </c>
      <c r="I303" s="5" t="n"/>
      <c r="J303" s="5" t="n"/>
    </row>
    <row r="304">
      <c r="A304" s="5" t="n"/>
      <c r="B304" s="5" t="n"/>
      <c r="C304" s="5" t="n"/>
      <c r="D304" s="5" t="n"/>
      <c r="E304" s="5" t="n"/>
      <c r="F304" s="19" t="n"/>
      <c r="G304" s="18" t="n"/>
      <c r="H304" s="20">
        <f>IF(OR(F304="",G304=""),"",F304*G304)</f>
        <v/>
      </c>
      <c r="I304" s="5" t="n"/>
      <c r="J304" s="5" t="n"/>
    </row>
    <row r="305">
      <c r="A305" s="5" t="n"/>
      <c r="B305" s="5" t="n"/>
      <c r="C305" s="5" t="n"/>
      <c r="D305" s="5" t="n"/>
      <c r="E305" s="5" t="n"/>
      <c r="F305" s="19" t="n"/>
      <c r="G305" s="18" t="n"/>
      <c r="H305" s="20">
        <f>IF(OR(F305="",G305=""),"",F305*G305)</f>
        <v/>
      </c>
      <c r="I305" s="5" t="n"/>
      <c r="J305" s="5" t="n"/>
    </row>
    <row r="306">
      <c r="A306" s="5" t="n"/>
      <c r="B306" s="5" t="n"/>
      <c r="C306" s="5" t="n"/>
      <c r="D306" s="5" t="n"/>
      <c r="E306" s="5" t="n"/>
      <c r="F306" s="19" t="n"/>
      <c r="G306" s="18" t="n"/>
      <c r="H306" s="20">
        <f>IF(OR(F306="",G306=""),"",F306*G306)</f>
        <v/>
      </c>
      <c r="I306" s="5" t="n"/>
      <c r="J306" s="5" t="n"/>
    </row>
    <row r="307">
      <c r="A307" s="5" t="n"/>
      <c r="B307" s="5" t="n"/>
      <c r="C307" s="5" t="n"/>
      <c r="D307" s="5" t="n"/>
      <c r="E307" s="5" t="n"/>
      <c r="F307" s="19" t="n"/>
      <c r="G307" s="18" t="n"/>
      <c r="H307" s="20">
        <f>IF(OR(F307="",G307=""),"",F307*G307)</f>
        <v/>
      </c>
      <c r="I307" s="5" t="n"/>
      <c r="J307" s="5" t="n"/>
    </row>
    <row r="308">
      <c r="A308" s="5" t="n"/>
      <c r="B308" s="5" t="n"/>
      <c r="C308" s="5" t="n"/>
      <c r="D308" s="5" t="n"/>
      <c r="E308" s="5" t="n"/>
      <c r="F308" s="19" t="n"/>
      <c r="G308" s="18" t="n"/>
      <c r="H308" s="20">
        <f>IF(OR(F308="",G308=""),"",F308*G308)</f>
        <v/>
      </c>
      <c r="I308" s="5" t="n"/>
      <c r="J308" s="5" t="n"/>
    </row>
    <row r="309">
      <c r="A309" s="5" t="n"/>
      <c r="B309" s="5" t="n"/>
      <c r="C309" s="5" t="n"/>
      <c r="D309" s="5" t="n"/>
      <c r="E309" s="5" t="n"/>
      <c r="F309" s="19" t="n"/>
      <c r="G309" s="18" t="n"/>
      <c r="H309" s="20">
        <f>IF(OR(F309="",G309=""),"",F309*G309)</f>
        <v/>
      </c>
      <c r="I309" s="5" t="n"/>
      <c r="J309" s="5" t="n"/>
    </row>
    <row r="310">
      <c r="A310" s="5" t="n"/>
      <c r="B310" s="5" t="n"/>
      <c r="C310" s="5" t="n"/>
      <c r="D310" s="5" t="n"/>
      <c r="E310" s="5" t="n"/>
      <c r="F310" s="19" t="n"/>
      <c r="G310" s="18" t="n"/>
      <c r="H310" s="20">
        <f>IF(OR(F310="",G310=""),"",F310*G310)</f>
        <v/>
      </c>
      <c r="I310" s="5" t="n"/>
      <c r="J310" s="5" t="n"/>
    </row>
    <row r="311">
      <c r="A311" s="5" t="n"/>
      <c r="B311" s="5" t="n"/>
      <c r="C311" s="5" t="n"/>
      <c r="D311" s="5" t="n"/>
      <c r="E311" s="5" t="n"/>
      <c r="F311" s="19" t="n"/>
      <c r="G311" s="18" t="n"/>
      <c r="H311" s="20">
        <f>IF(OR(F311="",G311=""),"",F311*G311)</f>
        <v/>
      </c>
      <c r="I311" s="5" t="n"/>
      <c r="J311" s="5" t="n"/>
    </row>
    <row r="312">
      <c r="A312" s="5" t="n"/>
      <c r="B312" s="5" t="n"/>
      <c r="C312" s="5" t="n"/>
      <c r="D312" s="5" t="n"/>
      <c r="E312" s="5" t="n"/>
      <c r="F312" s="19" t="n"/>
      <c r="G312" s="18" t="n"/>
      <c r="H312" s="20">
        <f>IF(OR(F312="",G312=""),"",F312*G312)</f>
        <v/>
      </c>
      <c r="I312" s="5" t="n"/>
      <c r="J312" s="5" t="n"/>
    </row>
    <row r="313">
      <c r="A313" s="5" t="n"/>
      <c r="B313" s="5" t="n"/>
      <c r="C313" s="5" t="n"/>
      <c r="D313" s="5" t="n"/>
      <c r="E313" s="5" t="n"/>
      <c r="F313" s="19" t="n"/>
      <c r="G313" s="18" t="n"/>
      <c r="H313" s="20">
        <f>IF(OR(F313="",G313=""),"",F313*G313)</f>
        <v/>
      </c>
      <c r="I313" s="5" t="n"/>
      <c r="J313" s="5" t="n"/>
    </row>
    <row r="314">
      <c r="A314" s="5" t="n"/>
      <c r="B314" s="5" t="n"/>
      <c r="C314" s="5" t="n"/>
      <c r="D314" s="5" t="n"/>
      <c r="E314" s="5" t="n"/>
      <c r="F314" s="19" t="n"/>
      <c r="G314" s="18" t="n"/>
      <c r="H314" s="20">
        <f>IF(OR(F314="",G314=""),"",F314*G314)</f>
        <v/>
      </c>
      <c r="I314" s="5" t="n"/>
      <c r="J314" s="5" t="n"/>
    </row>
    <row r="315">
      <c r="A315" s="5" t="n"/>
      <c r="B315" s="5" t="n"/>
      <c r="C315" s="5" t="n"/>
      <c r="D315" s="5" t="n"/>
      <c r="E315" s="5" t="n"/>
      <c r="F315" s="19" t="n"/>
      <c r="G315" s="18" t="n"/>
      <c r="H315" s="20">
        <f>IF(OR(F315="",G315=""),"",F315*G315)</f>
        <v/>
      </c>
      <c r="I315" s="5" t="n"/>
      <c r="J315" s="5" t="n"/>
    </row>
    <row r="316">
      <c r="A316" s="5" t="n"/>
      <c r="B316" s="5" t="n"/>
      <c r="C316" s="5" t="n"/>
      <c r="D316" s="5" t="n"/>
      <c r="E316" s="5" t="n"/>
      <c r="F316" s="19" t="n"/>
      <c r="G316" s="18" t="n"/>
      <c r="H316" s="20">
        <f>IF(OR(F316="",G316=""),"",F316*G316)</f>
        <v/>
      </c>
      <c r="I316" s="5" t="n"/>
      <c r="J316" s="5" t="n"/>
    </row>
    <row r="317">
      <c r="A317" s="5" t="n"/>
      <c r="B317" s="5" t="n"/>
      <c r="C317" s="5" t="n"/>
      <c r="D317" s="5" t="n"/>
      <c r="E317" s="5" t="n"/>
      <c r="F317" s="19" t="n"/>
      <c r="G317" s="18" t="n"/>
      <c r="H317" s="20">
        <f>IF(OR(F317="",G317=""),"",F317*G317)</f>
        <v/>
      </c>
      <c r="I317" s="5" t="n"/>
      <c r="J317" s="5" t="n"/>
    </row>
    <row r="318">
      <c r="A318" s="5" t="n"/>
      <c r="B318" s="5" t="n"/>
      <c r="C318" s="5" t="n"/>
      <c r="D318" s="5" t="n"/>
      <c r="E318" s="5" t="n"/>
      <c r="F318" s="19" t="n"/>
      <c r="G318" s="18" t="n"/>
      <c r="H318" s="20">
        <f>IF(OR(F318="",G318=""),"",F318*G318)</f>
        <v/>
      </c>
      <c r="I318" s="5" t="n"/>
      <c r="J318" s="5" t="n"/>
    </row>
    <row r="319">
      <c r="A319" s="5" t="n"/>
      <c r="B319" s="5" t="n"/>
      <c r="C319" s="5" t="n"/>
      <c r="D319" s="5" t="n"/>
      <c r="E319" s="5" t="n"/>
      <c r="F319" s="19" t="n"/>
      <c r="G319" s="18" t="n"/>
      <c r="H319" s="20">
        <f>IF(OR(F319="",G319=""),"",F319*G319)</f>
        <v/>
      </c>
      <c r="I319" s="5" t="n"/>
      <c r="J319" s="5" t="n"/>
    </row>
    <row r="320">
      <c r="A320" s="5" t="n"/>
      <c r="B320" s="5" t="n"/>
      <c r="C320" s="5" t="n"/>
      <c r="D320" s="5" t="n"/>
      <c r="E320" s="5" t="n"/>
      <c r="F320" s="19" t="n"/>
      <c r="G320" s="18" t="n"/>
      <c r="H320" s="20">
        <f>IF(OR(F320="",G320=""),"",F320*G320)</f>
        <v/>
      </c>
      <c r="I320" s="5" t="n"/>
      <c r="J320" s="5" t="n"/>
    </row>
    <row r="321">
      <c r="A321" s="5" t="n"/>
      <c r="B321" s="5" t="n"/>
      <c r="C321" s="5" t="n"/>
      <c r="D321" s="5" t="n"/>
      <c r="E321" s="5" t="n"/>
      <c r="F321" s="19" t="n"/>
      <c r="G321" s="18" t="n"/>
      <c r="H321" s="20">
        <f>IF(OR(F321="",G321=""),"",F321*G321)</f>
        <v/>
      </c>
      <c r="I321" s="5" t="n"/>
      <c r="J321" s="5" t="n"/>
    </row>
    <row r="322">
      <c r="A322" s="5" t="n"/>
      <c r="B322" s="5" t="n"/>
      <c r="C322" s="5" t="n"/>
      <c r="D322" s="5" t="n"/>
      <c r="E322" s="5" t="n"/>
      <c r="F322" s="19" t="n"/>
      <c r="G322" s="18" t="n"/>
      <c r="H322" s="20">
        <f>IF(OR(F322="",G322=""),"",F322*G322)</f>
        <v/>
      </c>
      <c r="I322" s="5" t="n"/>
      <c r="J322" s="5" t="n"/>
    </row>
    <row r="323">
      <c r="A323" s="5" t="n"/>
      <c r="B323" s="5" t="n"/>
      <c r="C323" s="5" t="n"/>
      <c r="D323" s="5" t="n"/>
      <c r="E323" s="5" t="n"/>
      <c r="F323" s="19" t="n"/>
      <c r="G323" s="18" t="n"/>
      <c r="H323" s="20">
        <f>IF(OR(F323="",G323=""),"",F323*G323)</f>
        <v/>
      </c>
      <c r="I323" s="5" t="n"/>
      <c r="J323" s="5" t="n"/>
    </row>
    <row r="324">
      <c r="A324" s="5" t="n"/>
      <c r="B324" s="5" t="n"/>
      <c r="C324" s="5" t="n"/>
      <c r="D324" s="5" t="n"/>
      <c r="E324" s="5" t="n"/>
      <c r="F324" s="19" t="n"/>
      <c r="G324" s="18" t="n"/>
      <c r="H324" s="20">
        <f>IF(OR(F324="",G324=""),"",F324*G324)</f>
        <v/>
      </c>
      <c r="I324" s="5" t="n"/>
      <c r="J324" s="5" t="n"/>
    </row>
    <row r="325">
      <c r="A325" s="5" t="n"/>
      <c r="B325" s="5" t="n"/>
      <c r="C325" s="5" t="n"/>
      <c r="D325" s="5" t="n"/>
      <c r="E325" s="5" t="n"/>
      <c r="F325" s="19" t="n"/>
      <c r="G325" s="18" t="n"/>
      <c r="H325" s="20">
        <f>IF(OR(F325="",G325=""),"",F325*G325)</f>
        <v/>
      </c>
      <c r="I325" s="5" t="n"/>
      <c r="J325" s="5" t="n"/>
    </row>
    <row r="326">
      <c r="A326" s="5" t="n"/>
      <c r="B326" s="5" t="n"/>
      <c r="C326" s="5" t="n"/>
      <c r="D326" s="5" t="n"/>
      <c r="E326" s="5" t="n"/>
      <c r="F326" s="19" t="n"/>
      <c r="G326" s="18" t="n"/>
      <c r="H326" s="20">
        <f>IF(OR(F326="",G326=""),"",F326*G326)</f>
        <v/>
      </c>
      <c r="I326" s="5" t="n"/>
      <c r="J326" s="5" t="n"/>
    </row>
    <row r="327">
      <c r="A327" s="5" t="n"/>
      <c r="B327" s="5" t="n"/>
      <c r="C327" s="5" t="n"/>
      <c r="D327" s="5" t="n"/>
      <c r="E327" s="5" t="n"/>
      <c r="F327" s="19" t="n"/>
      <c r="G327" s="18" t="n"/>
      <c r="H327" s="20">
        <f>IF(OR(F327="",G327=""),"",F327*G327)</f>
        <v/>
      </c>
      <c r="I327" s="5" t="n"/>
      <c r="J327" s="5" t="n"/>
    </row>
    <row r="328">
      <c r="A328" s="5" t="n"/>
      <c r="B328" s="5" t="n"/>
      <c r="C328" s="5" t="n"/>
      <c r="D328" s="5" t="n"/>
      <c r="E328" s="5" t="n"/>
      <c r="F328" s="19" t="n"/>
      <c r="G328" s="18" t="n"/>
      <c r="H328" s="20">
        <f>IF(OR(F328="",G328=""),"",F328*G328)</f>
        <v/>
      </c>
      <c r="I328" s="5" t="n"/>
      <c r="J328" s="5" t="n"/>
    </row>
    <row r="329">
      <c r="A329" s="5" t="n"/>
      <c r="B329" s="5" t="n"/>
      <c r="C329" s="5" t="n"/>
      <c r="D329" s="5" t="n"/>
      <c r="E329" s="5" t="n"/>
      <c r="F329" s="19" t="n"/>
      <c r="G329" s="18" t="n"/>
      <c r="H329" s="20">
        <f>IF(OR(F329="",G329=""),"",F329*G329)</f>
        <v/>
      </c>
      <c r="I329" s="5" t="n"/>
      <c r="J329" s="5" t="n"/>
    </row>
    <row r="330">
      <c r="A330" s="5" t="n"/>
      <c r="B330" s="5" t="n"/>
      <c r="C330" s="5" t="n"/>
      <c r="D330" s="5" t="n"/>
      <c r="E330" s="5" t="n"/>
      <c r="F330" s="19" t="n"/>
      <c r="G330" s="18" t="n"/>
      <c r="H330" s="20">
        <f>IF(OR(F330="",G330=""),"",F330*G330)</f>
        <v/>
      </c>
      <c r="I330" s="5" t="n"/>
      <c r="J330" s="5" t="n"/>
    </row>
    <row r="331">
      <c r="A331" s="5" t="n"/>
      <c r="B331" s="5" t="n"/>
      <c r="C331" s="5" t="n"/>
      <c r="D331" s="5" t="n"/>
      <c r="E331" s="5" t="n"/>
      <c r="F331" s="19" t="n"/>
      <c r="G331" s="18" t="n"/>
      <c r="H331" s="20">
        <f>IF(OR(F331="",G331=""),"",F331*G331)</f>
        <v/>
      </c>
      <c r="I331" s="5" t="n"/>
      <c r="J331" s="5" t="n"/>
    </row>
    <row r="332">
      <c r="A332" s="5" t="n"/>
      <c r="B332" s="5" t="n"/>
      <c r="C332" s="5" t="n"/>
      <c r="D332" s="5" t="n"/>
      <c r="E332" s="5" t="n"/>
      <c r="F332" s="19" t="n"/>
      <c r="G332" s="18" t="n"/>
      <c r="H332" s="20">
        <f>IF(OR(F332="",G332=""),"",F332*G332)</f>
        <v/>
      </c>
      <c r="I332" s="5" t="n"/>
      <c r="J332" s="5" t="n"/>
    </row>
    <row r="333">
      <c r="A333" s="5" t="n"/>
      <c r="B333" s="5" t="n"/>
      <c r="C333" s="5" t="n"/>
      <c r="D333" s="5" t="n"/>
      <c r="E333" s="5" t="n"/>
      <c r="F333" s="19" t="n"/>
      <c r="G333" s="18" t="n"/>
      <c r="H333" s="20">
        <f>IF(OR(F333="",G333=""),"",F333*G333)</f>
        <v/>
      </c>
      <c r="I333" s="5" t="n"/>
      <c r="J333" s="5" t="n"/>
    </row>
    <row r="334">
      <c r="A334" s="5" t="n"/>
      <c r="B334" s="5" t="n"/>
      <c r="C334" s="5" t="n"/>
      <c r="D334" s="5" t="n"/>
      <c r="E334" s="5" t="n"/>
      <c r="F334" s="19" t="n"/>
      <c r="G334" s="18" t="n"/>
      <c r="H334" s="20">
        <f>IF(OR(F334="",G334=""),"",F334*G334)</f>
        <v/>
      </c>
      <c r="I334" s="5" t="n"/>
      <c r="J334" s="5" t="n"/>
    </row>
    <row r="335">
      <c r="A335" s="5" t="n"/>
      <c r="B335" s="5" t="n"/>
      <c r="C335" s="5" t="n"/>
      <c r="D335" s="5" t="n"/>
      <c r="E335" s="5" t="n"/>
      <c r="F335" s="19" t="n"/>
      <c r="G335" s="18" t="n"/>
      <c r="H335" s="20">
        <f>IF(OR(F335="",G335=""),"",F335*G335)</f>
        <v/>
      </c>
      <c r="I335" s="5" t="n"/>
      <c r="J335" s="5" t="n"/>
    </row>
    <row r="336">
      <c r="A336" s="5" t="n"/>
      <c r="B336" s="5" t="n"/>
      <c r="C336" s="5" t="n"/>
      <c r="D336" s="5" t="n"/>
      <c r="E336" s="5" t="n"/>
      <c r="F336" s="19" t="n"/>
      <c r="G336" s="18" t="n"/>
      <c r="H336" s="20">
        <f>IF(OR(F336="",G336=""),"",F336*G336)</f>
        <v/>
      </c>
      <c r="I336" s="5" t="n"/>
      <c r="J336" s="5" t="n"/>
    </row>
    <row r="337">
      <c r="A337" s="5" t="n"/>
      <c r="B337" s="5" t="n"/>
      <c r="C337" s="5" t="n"/>
      <c r="D337" s="5" t="n"/>
      <c r="E337" s="5" t="n"/>
      <c r="F337" s="19" t="n"/>
      <c r="G337" s="18" t="n"/>
      <c r="H337" s="20">
        <f>IF(OR(F337="",G337=""),"",F337*G337)</f>
        <v/>
      </c>
      <c r="I337" s="5" t="n"/>
      <c r="J337" s="5" t="n"/>
    </row>
    <row r="338">
      <c r="A338" s="5" t="n"/>
      <c r="B338" s="5" t="n"/>
      <c r="C338" s="5" t="n"/>
      <c r="D338" s="5" t="n"/>
      <c r="E338" s="5" t="n"/>
      <c r="F338" s="19" t="n"/>
      <c r="G338" s="18" t="n"/>
      <c r="H338" s="20">
        <f>IF(OR(F338="",G338=""),"",F338*G338)</f>
        <v/>
      </c>
      <c r="I338" s="5" t="n"/>
      <c r="J338" s="5" t="n"/>
    </row>
    <row r="339">
      <c r="A339" s="5" t="n"/>
      <c r="B339" s="5" t="n"/>
      <c r="C339" s="5" t="n"/>
      <c r="D339" s="5" t="n"/>
      <c r="E339" s="5" t="n"/>
      <c r="F339" s="19" t="n"/>
      <c r="G339" s="18" t="n"/>
      <c r="H339" s="20">
        <f>IF(OR(F339="",G339=""),"",F339*G339)</f>
        <v/>
      </c>
      <c r="I339" s="5" t="n"/>
      <c r="J339" s="5" t="n"/>
    </row>
    <row r="340">
      <c r="A340" s="5" t="n"/>
      <c r="B340" s="5" t="n"/>
      <c r="C340" s="5" t="n"/>
      <c r="D340" s="5" t="n"/>
      <c r="E340" s="5" t="n"/>
      <c r="F340" s="19" t="n"/>
      <c r="G340" s="18" t="n"/>
      <c r="H340" s="20">
        <f>IF(OR(F340="",G340=""),"",F340*G340)</f>
        <v/>
      </c>
      <c r="I340" s="5" t="n"/>
      <c r="J340" s="5" t="n"/>
    </row>
    <row r="341">
      <c r="A341" s="5" t="n"/>
      <c r="B341" s="5" t="n"/>
      <c r="C341" s="5" t="n"/>
      <c r="D341" s="5" t="n"/>
      <c r="E341" s="5" t="n"/>
      <c r="F341" s="19" t="n"/>
      <c r="G341" s="18" t="n"/>
      <c r="H341" s="20">
        <f>IF(OR(F341="",G341=""),"",F341*G341)</f>
        <v/>
      </c>
      <c r="I341" s="5" t="n"/>
      <c r="J341" s="5" t="n"/>
    </row>
    <row r="342">
      <c r="A342" s="5" t="n"/>
      <c r="B342" s="5" t="n"/>
      <c r="C342" s="5" t="n"/>
      <c r="D342" s="5" t="n"/>
      <c r="E342" s="5" t="n"/>
      <c r="F342" s="19" t="n"/>
      <c r="G342" s="18" t="n"/>
      <c r="H342" s="20">
        <f>IF(OR(F342="",G342=""),"",F342*G342)</f>
        <v/>
      </c>
      <c r="I342" s="5" t="n"/>
      <c r="J342" s="5" t="n"/>
    </row>
    <row r="343">
      <c r="A343" s="5" t="n"/>
      <c r="B343" s="5" t="n"/>
      <c r="C343" s="5" t="n"/>
      <c r="D343" s="5" t="n"/>
      <c r="E343" s="5" t="n"/>
      <c r="F343" s="19" t="n"/>
      <c r="G343" s="18" t="n"/>
      <c r="H343" s="20">
        <f>IF(OR(F343="",G343=""),"",F343*G343)</f>
        <v/>
      </c>
      <c r="I343" s="5" t="n"/>
      <c r="J343" s="5" t="n"/>
    </row>
    <row r="344">
      <c r="A344" s="5" t="n"/>
      <c r="B344" s="5" t="n"/>
      <c r="C344" s="5" t="n"/>
      <c r="D344" s="5" t="n"/>
      <c r="E344" s="5" t="n"/>
      <c r="F344" s="19" t="n"/>
      <c r="G344" s="18" t="n"/>
      <c r="H344" s="20">
        <f>IF(OR(F344="",G344=""),"",F344*G344)</f>
        <v/>
      </c>
      <c r="I344" s="5" t="n"/>
      <c r="J344" s="5" t="n"/>
    </row>
    <row r="345">
      <c r="A345" s="5" t="n"/>
      <c r="B345" s="5" t="n"/>
      <c r="C345" s="5" t="n"/>
      <c r="D345" s="5" t="n"/>
      <c r="E345" s="5" t="n"/>
      <c r="F345" s="19" t="n"/>
      <c r="G345" s="18" t="n"/>
      <c r="H345" s="20">
        <f>IF(OR(F345="",G345=""),"",F345*G345)</f>
        <v/>
      </c>
      <c r="I345" s="5" t="n"/>
      <c r="J345" s="5" t="n"/>
    </row>
    <row r="346">
      <c r="A346" s="5" t="n"/>
      <c r="B346" s="5" t="n"/>
      <c r="C346" s="5" t="n"/>
      <c r="D346" s="5" t="n"/>
      <c r="E346" s="5" t="n"/>
      <c r="F346" s="19" t="n"/>
      <c r="G346" s="18" t="n"/>
      <c r="H346" s="20">
        <f>IF(OR(F346="",G346=""),"",F346*G346)</f>
        <v/>
      </c>
      <c r="I346" s="5" t="n"/>
      <c r="J346" s="5" t="n"/>
    </row>
    <row r="347">
      <c r="A347" s="5" t="n"/>
      <c r="B347" s="5" t="n"/>
      <c r="C347" s="5" t="n"/>
      <c r="D347" s="5" t="n"/>
      <c r="E347" s="5" t="n"/>
      <c r="F347" s="19" t="n"/>
      <c r="G347" s="18" t="n"/>
      <c r="H347" s="20">
        <f>IF(OR(F347="",G347=""),"",F347*G347)</f>
        <v/>
      </c>
      <c r="I347" s="5" t="n"/>
      <c r="J347" s="5" t="n"/>
    </row>
    <row r="348">
      <c r="A348" s="5" t="n"/>
      <c r="B348" s="5" t="n"/>
      <c r="C348" s="5" t="n"/>
      <c r="D348" s="5" t="n"/>
      <c r="E348" s="5" t="n"/>
      <c r="F348" s="19" t="n"/>
      <c r="G348" s="18" t="n"/>
      <c r="H348" s="20">
        <f>IF(OR(F348="",G348=""),"",F348*G348)</f>
        <v/>
      </c>
      <c r="I348" s="5" t="n"/>
      <c r="J348" s="5" t="n"/>
    </row>
    <row r="349">
      <c r="A349" s="5" t="n"/>
      <c r="B349" s="5" t="n"/>
      <c r="C349" s="5" t="n"/>
      <c r="D349" s="5" t="n"/>
      <c r="E349" s="5" t="n"/>
      <c r="F349" s="19" t="n"/>
      <c r="G349" s="18" t="n"/>
      <c r="H349" s="20">
        <f>IF(OR(F349="",G349=""),"",F349*G349)</f>
        <v/>
      </c>
      <c r="I349" s="5" t="n"/>
      <c r="J349" s="5" t="n"/>
    </row>
    <row r="350">
      <c r="A350" s="5" t="n"/>
      <c r="B350" s="5" t="n"/>
      <c r="C350" s="5" t="n"/>
      <c r="D350" s="5" t="n"/>
      <c r="E350" s="5" t="n"/>
      <c r="F350" s="19" t="n"/>
      <c r="G350" s="18" t="n"/>
      <c r="H350" s="20">
        <f>IF(OR(F350="",G350=""),"",F350*G350)</f>
        <v/>
      </c>
      <c r="I350" s="5" t="n"/>
      <c r="J350" s="5" t="n"/>
    </row>
    <row r="351">
      <c r="A351" s="5" t="n"/>
      <c r="B351" s="5" t="n"/>
      <c r="C351" s="5" t="n"/>
      <c r="D351" s="5" t="n"/>
      <c r="E351" s="5" t="n"/>
      <c r="F351" s="19" t="n"/>
      <c r="G351" s="18" t="n"/>
      <c r="H351" s="20">
        <f>IF(OR(F351="",G351=""),"",F351*G351)</f>
        <v/>
      </c>
      <c r="I351" s="5" t="n"/>
      <c r="J351" s="5" t="n"/>
    </row>
    <row r="352">
      <c r="A352" s="5" t="n"/>
      <c r="B352" s="5" t="n"/>
      <c r="C352" s="5" t="n"/>
      <c r="D352" s="5" t="n"/>
      <c r="E352" s="5" t="n"/>
      <c r="F352" s="19" t="n"/>
      <c r="G352" s="18" t="n"/>
      <c r="H352" s="20">
        <f>IF(OR(F352="",G352=""),"",F352*G352)</f>
        <v/>
      </c>
      <c r="I352" s="5" t="n"/>
      <c r="J352" s="5" t="n"/>
    </row>
    <row r="353">
      <c r="A353" s="5" t="n"/>
      <c r="B353" s="5" t="n"/>
      <c r="C353" s="5" t="n"/>
      <c r="D353" s="5" t="n"/>
      <c r="E353" s="5" t="n"/>
      <c r="F353" s="19" t="n"/>
      <c r="G353" s="18" t="n"/>
      <c r="H353" s="20">
        <f>IF(OR(F353="",G353=""),"",F353*G353)</f>
        <v/>
      </c>
      <c r="I353" s="5" t="n"/>
      <c r="J353" s="5" t="n"/>
    </row>
    <row r="354">
      <c r="A354" s="5" t="n"/>
      <c r="B354" s="5" t="n"/>
      <c r="C354" s="5" t="n"/>
      <c r="D354" s="5" t="n"/>
      <c r="E354" s="5" t="n"/>
      <c r="F354" s="19" t="n"/>
      <c r="G354" s="18" t="n"/>
      <c r="H354" s="20">
        <f>IF(OR(F354="",G354=""),"",F354*G354)</f>
        <v/>
      </c>
      <c r="I354" s="5" t="n"/>
      <c r="J354" s="5" t="n"/>
    </row>
    <row r="355">
      <c r="A355" s="5" t="n"/>
      <c r="B355" s="5" t="n"/>
      <c r="C355" s="5" t="n"/>
      <c r="D355" s="5" t="n"/>
      <c r="E355" s="5" t="n"/>
      <c r="F355" s="19" t="n"/>
      <c r="G355" s="18" t="n"/>
      <c r="H355" s="20">
        <f>IF(OR(F355="",G355=""),"",F355*G355)</f>
        <v/>
      </c>
      <c r="I355" s="5" t="n"/>
      <c r="J355" s="5" t="n"/>
    </row>
    <row r="356">
      <c r="A356" s="5" t="n"/>
      <c r="B356" s="5" t="n"/>
      <c r="C356" s="5" t="n"/>
      <c r="D356" s="5" t="n"/>
      <c r="E356" s="5" t="n"/>
      <c r="F356" s="19" t="n"/>
      <c r="G356" s="18" t="n"/>
      <c r="H356" s="20">
        <f>IF(OR(F356="",G356=""),"",F356*G356)</f>
        <v/>
      </c>
      <c r="I356" s="5" t="n"/>
      <c r="J356" s="5" t="n"/>
    </row>
    <row r="357">
      <c r="A357" s="5" t="n"/>
      <c r="B357" s="5" t="n"/>
      <c r="C357" s="5" t="n"/>
      <c r="D357" s="5" t="n"/>
      <c r="E357" s="5" t="n"/>
      <c r="F357" s="19" t="n"/>
      <c r="G357" s="18" t="n"/>
      <c r="H357" s="20">
        <f>IF(OR(F357="",G357=""),"",F357*G357)</f>
        <v/>
      </c>
      <c r="I357" s="5" t="n"/>
      <c r="J357" s="5" t="n"/>
    </row>
    <row r="358">
      <c r="A358" s="5" t="n"/>
      <c r="B358" s="5" t="n"/>
      <c r="C358" s="5" t="n"/>
      <c r="D358" s="5" t="n"/>
      <c r="E358" s="5" t="n"/>
      <c r="F358" s="19" t="n"/>
      <c r="G358" s="18" t="n"/>
      <c r="H358" s="20">
        <f>IF(OR(F358="",G358=""),"",F358*G358)</f>
        <v/>
      </c>
      <c r="I358" s="5" t="n"/>
      <c r="J358" s="5" t="n"/>
    </row>
    <row r="359">
      <c r="A359" s="5" t="n"/>
      <c r="B359" s="5" t="n"/>
      <c r="C359" s="5" t="n"/>
      <c r="D359" s="5" t="n"/>
      <c r="E359" s="5" t="n"/>
      <c r="F359" s="19" t="n"/>
      <c r="G359" s="18" t="n"/>
      <c r="H359" s="20">
        <f>IF(OR(F359="",G359=""),"",F359*G359)</f>
        <v/>
      </c>
      <c r="I359" s="5" t="n"/>
      <c r="J359" s="5" t="n"/>
    </row>
    <row r="360">
      <c r="A360" s="5" t="n"/>
      <c r="B360" s="5" t="n"/>
      <c r="C360" s="5" t="n"/>
      <c r="D360" s="5" t="n"/>
      <c r="E360" s="5" t="n"/>
      <c r="F360" s="19" t="n"/>
      <c r="G360" s="18" t="n"/>
      <c r="H360" s="20">
        <f>IF(OR(F360="",G360=""),"",F360*G360)</f>
        <v/>
      </c>
      <c r="I360" s="5" t="n"/>
      <c r="J360" s="5" t="n"/>
    </row>
    <row r="361">
      <c r="A361" s="5" t="n"/>
      <c r="B361" s="5" t="n"/>
      <c r="C361" s="5" t="n"/>
      <c r="D361" s="5" t="n"/>
      <c r="E361" s="5" t="n"/>
      <c r="F361" s="19" t="n"/>
      <c r="G361" s="18" t="n"/>
      <c r="H361" s="20">
        <f>IF(OR(F361="",G361=""),"",F361*G361)</f>
        <v/>
      </c>
      <c r="I361" s="5" t="n"/>
      <c r="J361" s="5" t="n"/>
    </row>
    <row r="362">
      <c r="A362" s="5" t="n"/>
      <c r="B362" s="5" t="n"/>
      <c r="C362" s="5" t="n"/>
      <c r="D362" s="5" t="n"/>
      <c r="E362" s="5" t="n"/>
      <c r="F362" s="19" t="n"/>
      <c r="G362" s="18" t="n"/>
      <c r="H362" s="20">
        <f>IF(OR(F362="",G362=""),"",F362*G362)</f>
        <v/>
      </c>
      <c r="I362" s="5" t="n"/>
      <c r="J362" s="5" t="n"/>
    </row>
    <row r="363">
      <c r="A363" s="5" t="n"/>
      <c r="B363" s="5" t="n"/>
      <c r="C363" s="5" t="n"/>
      <c r="D363" s="5" t="n"/>
      <c r="E363" s="5" t="n"/>
      <c r="F363" s="19" t="n"/>
      <c r="G363" s="18" t="n"/>
      <c r="H363" s="20">
        <f>IF(OR(F363="",G363=""),"",F363*G363)</f>
        <v/>
      </c>
      <c r="I363" s="5" t="n"/>
      <c r="J363" s="5" t="n"/>
    </row>
    <row r="364">
      <c r="A364" s="5" t="n"/>
      <c r="B364" s="5" t="n"/>
      <c r="C364" s="5" t="n"/>
      <c r="D364" s="5" t="n"/>
      <c r="E364" s="5" t="n"/>
      <c r="F364" s="19" t="n"/>
      <c r="G364" s="18" t="n"/>
      <c r="H364" s="20">
        <f>IF(OR(F364="",G364=""),"",F364*G364)</f>
        <v/>
      </c>
      <c r="I364" s="5" t="n"/>
      <c r="J364" s="5" t="n"/>
    </row>
    <row r="365">
      <c r="A365" s="5" t="n"/>
      <c r="B365" s="5" t="n"/>
      <c r="C365" s="5" t="n"/>
      <c r="D365" s="5" t="n"/>
      <c r="E365" s="5" t="n"/>
      <c r="F365" s="19" t="n"/>
      <c r="G365" s="18" t="n"/>
      <c r="H365" s="20">
        <f>IF(OR(F365="",G365=""),"",F365*G365)</f>
        <v/>
      </c>
      <c r="I365" s="5" t="n"/>
      <c r="J365" s="5" t="n"/>
    </row>
    <row r="366">
      <c r="A366" s="5" t="n"/>
      <c r="B366" s="5" t="n"/>
      <c r="C366" s="5" t="n"/>
      <c r="D366" s="5" t="n"/>
      <c r="E366" s="5" t="n"/>
      <c r="F366" s="19" t="n"/>
      <c r="G366" s="18" t="n"/>
      <c r="H366" s="20">
        <f>IF(OR(F366="",G366=""),"",F366*G366)</f>
        <v/>
      </c>
      <c r="I366" s="5" t="n"/>
      <c r="J366" s="5" t="n"/>
    </row>
    <row r="367">
      <c r="A367" s="5" t="n"/>
      <c r="B367" s="5" t="n"/>
      <c r="C367" s="5" t="n"/>
      <c r="D367" s="5" t="n"/>
      <c r="E367" s="5" t="n"/>
      <c r="F367" s="19" t="n"/>
      <c r="G367" s="18" t="n"/>
      <c r="H367" s="20">
        <f>IF(OR(F367="",G367=""),"",F367*G367)</f>
        <v/>
      </c>
      <c r="I367" s="5" t="n"/>
      <c r="J367" s="5" t="n"/>
    </row>
    <row r="368">
      <c r="A368" s="5" t="n"/>
      <c r="B368" s="5" t="n"/>
      <c r="C368" s="5" t="n"/>
      <c r="D368" s="5" t="n"/>
      <c r="E368" s="5" t="n"/>
      <c r="F368" s="19" t="n"/>
      <c r="G368" s="18" t="n"/>
      <c r="H368" s="20">
        <f>IF(OR(F368="",G368=""),"",F368*G368)</f>
        <v/>
      </c>
      <c r="I368" s="5" t="n"/>
      <c r="J368" s="5" t="n"/>
    </row>
    <row r="369">
      <c r="A369" s="5" t="n"/>
      <c r="B369" s="5" t="n"/>
      <c r="C369" s="5" t="n"/>
      <c r="D369" s="5" t="n"/>
      <c r="E369" s="5" t="n"/>
      <c r="F369" s="19" t="n"/>
      <c r="G369" s="18" t="n"/>
      <c r="H369" s="20">
        <f>IF(OR(F369="",G369=""),"",F369*G369)</f>
        <v/>
      </c>
      <c r="I369" s="5" t="n"/>
      <c r="J369" s="5" t="n"/>
    </row>
    <row r="370">
      <c r="A370" s="5" t="n"/>
      <c r="B370" s="5" t="n"/>
      <c r="C370" s="5" t="n"/>
      <c r="D370" s="5" t="n"/>
      <c r="E370" s="5" t="n"/>
      <c r="F370" s="19" t="n"/>
      <c r="G370" s="18" t="n"/>
      <c r="H370" s="20">
        <f>IF(OR(F370="",G370=""),"",F370*G370)</f>
        <v/>
      </c>
      <c r="I370" s="5" t="n"/>
      <c r="J370" s="5" t="n"/>
    </row>
    <row r="371">
      <c r="A371" s="5" t="n"/>
      <c r="B371" s="5" t="n"/>
      <c r="C371" s="5" t="n"/>
      <c r="D371" s="5" t="n"/>
      <c r="E371" s="5" t="n"/>
      <c r="F371" s="19" t="n"/>
      <c r="G371" s="18" t="n"/>
      <c r="H371" s="20">
        <f>IF(OR(F371="",G371=""),"",F371*G371)</f>
        <v/>
      </c>
      <c r="I371" s="5" t="n"/>
      <c r="J371" s="5" t="n"/>
    </row>
    <row r="372">
      <c r="A372" s="5" t="n"/>
      <c r="B372" s="5" t="n"/>
      <c r="C372" s="5" t="n"/>
      <c r="D372" s="5" t="n"/>
      <c r="E372" s="5" t="n"/>
      <c r="F372" s="19" t="n"/>
      <c r="G372" s="18" t="n"/>
      <c r="H372" s="20">
        <f>IF(OR(F372="",G372=""),"",F372*G372)</f>
        <v/>
      </c>
      <c r="I372" s="5" t="n"/>
      <c r="J372" s="5" t="n"/>
    </row>
    <row r="373">
      <c r="A373" s="5" t="n"/>
      <c r="B373" s="5" t="n"/>
      <c r="C373" s="5" t="n"/>
      <c r="D373" s="5" t="n"/>
      <c r="E373" s="5" t="n"/>
      <c r="F373" s="19" t="n"/>
      <c r="G373" s="18" t="n"/>
      <c r="H373" s="20">
        <f>IF(OR(F373="",G373=""),"",F373*G373)</f>
        <v/>
      </c>
      <c r="I373" s="5" t="n"/>
      <c r="J373" s="5" t="n"/>
    </row>
    <row r="374">
      <c r="A374" s="5" t="n"/>
      <c r="B374" s="5" t="n"/>
      <c r="C374" s="5" t="n"/>
      <c r="D374" s="5" t="n"/>
      <c r="E374" s="5" t="n"/>
      <c r="F374" s="19" t="n"/>
      <c r="G374" s="18" t="n"/>
      <c r="H374" s="20">
        <f>IF(OR(F374="",G374=""),"",F374*G374)</f>
        <v/>
      </c>
      <c r="I374" s="5" t="n"/>
      <c r="J374" s="5" t="n"/>
    </row>
    <row r="375">
      <c r="A375" s="5" t="n"/>
      <c r="B375" s="5" t="n"/>
      <c r="C375" s="5" t="n"/>
      <c r="D375" s="5" t="n"/>
      <c r="E375" s="5" t="n"/>
      <c r="F375" s="19" t="n"/>
      <c r="G375" s="18" t="n"/>
      <c r="H375" s="20">
        <f>IF(OR(F375="",G375=""),"",F375*G375)</f>
        <v/>
      </c>
      <c r="I375" s="5" t="n"/>
      <c r="J375" s="5" t="n"/>
    </row>
    <row r="376">
      <c r="A376" s="5" t="n"/>
      <c r="B376" s="5" t="n"/>
      <c r="C376" s="5" t="n"/>
      <c r="D376" s="5" t="n"/>
      <c r="E376" s="5" t="n"/>
      <c r="F376" s="19" t="n"/>
      <c r="G376" s="18" t="n"/>
      <c r="H376" s="20">
        <f>IF(OR(F376="",G376=""),"",F376*G376)</f>
        <v/>
      </c>
      <c r="I376" s="5" t="n"/>
      <c r="J376" s="5" t="n"/>
    </row>
    <row r="377">
      <c r="A377" s="5" t="n"/>
      <c r="B377" s="5" t="n"/>
      <c r="C377" s="5" t="n"/>
      <c r="D377" s="5" t="n"/>
      <c r="E377" s="5" t="n"/>
      <c r="F377" s="19" t="n"/>
      <c r="G377" s="18" t="n"/>
      <c r="H377" s="20">
        <f>IF(OR(F377="",G377=""),"",F377*G377)</f>
        <v/>
      </c>
      <c r="I377" s="5" t="n"/>
      <c r="J377" s="5" t="n"/>
    </row>
    <row r="378">
      <c r="A378" s="5" t="n"/>
      <c r="B378" s="5" t="n"/>
      <c r="C378" s="5" t="n"/>
      <c r="D378" s="5" t="n"/>
      <c r="E378" s="5" t="n"/>
      <c r="F378" s="19" t="n"/>
      <c r="G378" s="18" t="n"/>
      <c r="H378" s="20">
        <f>IF(OR(F378="",G378=""),"",F378*G378)</f>
        <v/>
      </c>
      <c r="I378" s="5" t="n"/>
      <c r="J378" s="5" t="n"/>
    </row>
    <row r="379">
      <c r="A379" s="5" t="n"/>
      <c r="B379" s="5" t="n"/>
      <c r="C379" s="5" t="n"/>
      <c r="D379" s="5" t="n"/>
      <c r="E379" s="5" t="n"/>
      <c r="F379" s="19" t="n"/>
      <c r="G379" s="18" t="n"/>
      <c r="H379" s="20">
        <f>IF(OR(F379="",G379=""),"",F379*G379)</f>
        <v/>
      </c>
      <c r="I379" s="5" t="n"/>
      <c r="J379" s="5" t="n"/>
    </row>
    <row r="380">
      <c r="A380" s="5" t="n"/>
      <c r="B380" s="5" t="n"/>
      <c r="C380" s="5" t="n"/>
      <c r="D380" s="5" t="n"/>
      <c r="E380" s="5" t="n"/>
      <c r="F380" s="19" t="n"/>
      <c r="G380" s="18" t="n"/>
      <c r="H380" s="20">
        <f>IF(OR(F380="",G380=""),"",F380*G380)</f>
        <v/>
      </c>
      <c r="I380" s="5" t="n"/>
      <c r="J380" s="5" t="n"/>
    </row>
    <row r="381">
      <c r="A381" s="5" t="n"/>
      <c r="B381" s="5" t="n"/>
      <c r="C381" s="5" t="n"/>
      <c r="D381" s="5" t="n"/>
      <c r="E381" s="5" t="n"/>
      <c r="F381" s="19" t="n"/>
      <c r="G381" s="18" t="n"/>
      <c r="H381" s="20">
        <f>IF(OR(F381="",G381=""),"",F381*G381)</f>
        <v/>
      </c>
      <c r="I381" s="5" t="n"/>
      <c r="J381" s="5" t="n"/>
    </row>
    <row r="382">
      <c r="A382" s="5" t="n"/>
      <c r="B382" s="5" t="n"/>
      <c r="C382" s="5" t="n"/>
      <c r="D382" s="5" t="n"/>
      <c r="E382" s="5" t="n"/>
      <c r="F382" s="19" t="n"/>
      <c r="G382" s="18" t="n"/>
      <c r="H382" s="20">
        <f>IF(OR(F382="",G382=""),"",F382*G382)</f>
        <v/>
      </c>
      <c r="I382" s="5" t="n"/>
      <c r="J382" s="5" t="n"/>
    </row>
    <row r="383">
      <c r="A383" s="5" t="n"/>
      <c r="B383" s="5" t="n"/>
      <c r="C383" s="5" t="n"/>
      <c r="D383" s="5" t="n"/>
      <c r="E383" s="5" t="n"/>
      <c r="F383" s="19" t="n"/>
      <c r="G383" s="18" t="n"/>
      <c r="H383" s="20">
        <f>IF(OR(F383="",G383=""),"",F383*G383)</f>
        <v/>
      </c>
      <c r="I383" s="5" t="n"/>
      <c r="J383" s="5" t="n"/>
    </row>
    <row r="384">
      <c r="A384" s="5" t="n"/>
      <c r="B384" s="5" t="n"/>
      <c r="C384" s="5" t="n"/>
      <c r="D384" s="5" t="n"/>
      <c r="E384" s="5" t="n"/>
      <c r="F384" s="19" t="n"/>
      <c r="G384" s="18" t="n"/>
      <c r="H384" s="20">
        <f>IF(OR(F384="",G384=""),"",F384*G384)</f>
        <v/>
      </c>
      <c r="I384" s="5" t="n"/>
      <c r="J384" s="5" t="n"/>
    </row>
    <row r="385">
      <c r="A385" s="5" t="n"/>
      <c r="B385" s="5" t="n"/>
      <c r="C385" s="5" t="n"/>
      <c r="D385" s="5" t="n"/>
      <c r="E385" s="5" t="n"/>
      <c r="F385" s="19" t="n"/>
      <c r="G385" s="18" t="n"/>
      <c r="H385" s="20">
        <f>IF(OR(F385="",G385=""),"",F385*G385)</f>
        <v/>
      </c>
      <c r="I385" s="5" t="n"/>
      <c r="J385" s="5" t="n"/>
    </row>
    <row r="386">
      <c r="A386" s="5" t="n"/>
      <c r="B386" s="5" t="n"/>
      <c r="C386" s="5" t="n"/>
      <c r="D386" s="5" t="n"/>
      <c r="E386" s="5" t="n"/>
      <c r="F386" s="19" t="n"/>
      <c r="G386" s="18" t="n"/>
      <c r="H386" s="20">
        <f>IF(OR(F386="",G386=""),"",F386*G386)</f>
        <v/>
      </c>
      <c r="I386" s="5" t="n"/>
      <c r="J386" s="5" t="n"/>
    </row>
    <row r="387">
      <c r="A387" s="5" t="n"/>
      <c r="B387" s="5" t="n"/>
      <c r="C387" s="5" t="n"/>
      <c r="D387" s="5" t="n"/>
      <c r="E387" s="5" t="n"/>
      <c r="F387" s="19" t="n"/>
      <c r="G387" s="18" t="n"/>
      <c r="H387" s="20">
        <f>IF(OR(F387="",G387=""),"",F387*G387)</f>
        <v/>
      </c>
      <c r="I387" s="5" t="n"/>
      <c r="J387" s="5" t="n"/>
    </row>
    <row r="388">
      <c r="A388" s="5" t="n"/>
      <c r="B388" s="5" t="n"/>
      <c r="C388" s="5" t="n"/>
      <c r="D388" s="5" t="n"/>
      <c r="E388" s="5" t="n"/>
      <c r="F388" s="19" t="n"/>
      <c r="G388" s="18" t="n"/>
      <c r="H388" s="20">
        <f>IF(OR(F388="",G388=""),"",F388*G388)</f>
        <v/>
      </c>
      <c r="I388" s="5" t="n"/>
      <c r="J388" s="5" t="n"/>
    </row>
    <row r="389">
      <c r="A389" s="5" t="n"/>
      <c r="B389" s="5" t="n"/>
      <c r="C389" s="5" t="n"/>
      <c r="D389" s="5" t="n"/>
      <c r="E389" s="5" t="n"/>
      <c r="F389" s="19" t="n"/>
      <c r="G389" s="18" t="n"/>
      <c r="H389" s="20">
        <f>IF(OR(F389="",G389=""),"",F389*G389)</f>
        <v/>
      </c>
      <c r="I389" s="5" t="n"/>
      <c r="J389" s="5" t="n"/>
    </row>
    <row r="390">
      <c r="A390" s="5" t="n"/>
      <c r="B390" s="5" t="n"/>
      <c r="C390" s="5" t="n"/>
      <c r="D390" s="5" t="n"/>
      <c r="E390" s="5" t="n"/>
      <c r="F390" s="19" t="n"/>
      <c r="G390" s="18" t="n"/>
      <c r="H390" s="20">
        <f>IF(OR(F390="",G390=""),"",F390*G390)</f>
        <v/>
      </c>
      <c r="I390" s="5" t="n"/>
      <c r="J390" s="5" t="n"/>
    </row>
    <row r="391">
      <c r="A391" s="5" t="n"/>
      <c r="B391" s="5" t="n"/>
      <c r="C391" s="5" t="n"/>
      <c r="D391" s="5" t="n"/>
      <c r="E391" s="5" t="n"/>
      <c r="F391" s="19" t="n"/>
      <c r="G391" s="18" t="n"/>
      <c r="H391" s="20">
        <f>IF(OR(F391="",G391=""),"",F391*G391)</f>
        <v/>
      </c>
      <c r="I391" s="5" t="n"/>
      <c r="J391" s="5" t="n"/>
    </row>
    <row r="392">
      <c r="A392" s="5" t="n"/>
      <c r="B392" s="5" t="n"/>
      <c r="C392" s="5" t="n"/>
      <c r="D392" s="5" t="n"/>
      <c r="E392" s="5" t="n"/>
      <c r="F392" s="19" t="n"/>
      <c r="G392" s="18" t="n"/>
      <c r="H392" s="20">
        <f>IF(OR(F392="",G392=""),"",F392*G392)</f>
        <v/>
      </c>
      <c r="I392" s="5" t="n"/>
      <c r="J392" s="5" t="n"/>
    </row>
    <row r="393">
      <c r="A393" s="5" t="n"/>
      <c r="B393" s="5" t="n"/>
      <c r="C393" s="5" t="n"/>
      <c r="D393" s="5" t="n"/>
      <c r="E393" s="5" t="n"/>
      <c r="F393" s="19" t="n"/>
      <c r="G393" s="18" t="n"/>
      <c r="H393" s="20">
        <f>IF(OR(F393="",G393=""),"",F393*G393)</f>
        <v/>
      </c>
      <c r="I393" s="5" t="n"/>
      <c r="J393" s="5" t="n"/>
    </row>
    <row r="394">
      <c r="A394" s="5" t="n"/>
      <c r="B394" s="5" t="n"/>
      <c r="C394" s="5" t="n"/>
      <c r="D394" s="5" t="n"/>
      <c r="E394" s="5" t="n"/>
      <c r="F394" s="19" t="n"/>
      <c r="G394" s="18" t="n"/>
      <c r="H394" s="20">
        <f>IF(OR(F394="",G394=""),"",F394*G394)</f>
        <v/>
      </c>
      <c r="I394" s="5" t="n"/>
      <c r="J394" s="5" t="n"/>
    </row>
    <row r="395">
      <c r="A395" s="5" t="n"/>
      <c r="B395" s="5" t="n"/>
      <c r="C395" s="5" t="n"/>
      <c r="D395" s="5" t="n"/>
      <c r="E395" s="5" t="n"/>
      <c r="F395" s="19" t="n"/>
      <c r="G395" s="18" t="n"/>
      <c r="H395" s="20">
        <f>IF(OR(F395="",G395=""),"",F395*G395)</f>
        <v/>
      </c>
      <c r="I395" s="5" t="n"/>
      <c r="J395" s="5" t="n"/>
    </row>
    <row r="396">
      <c r="A396" s="5" t="n"/>
      <c r="B396" s="5" t="n"/>
      <c r="C396" s="5" t="n"/>
      <c r="D396" s="5" t="n"/>
      <c r="E396" s="5" t="n"/>
      <c r="F396" s="19" t="n"/>
      <c r="G396" s="18" t="n"/>
      <c r="H396" s="20">
        <f>IF(OR(F396="",G396=""),"",F396*G396)</f>
        <v/>
      </c>
      <c r="I396" s="5" t="n"/>
      <c r="J396" s="5" t="n"/>
    </row>
    <row r="397">
      <c r="A397" s="5" t="n"/>
      <c r="B397" s="5" t="n"/>
      <c r="C397" s="5" t="n"/>
      <c r="D397" s="5" t="n"/>
      <c r="E397" s="5" t="n"/>
      <c r="F397" s="19" t="n"/>
      <c r="G397" s="18" t="n"/>
      <c r="H397" s="20">
        <f>IF(OR(F397="",G397=""),"",F397*G397)</f>
        <v/>
      </c>
      <c r="I397" s="5" t="n"/>
      <c r="J397" s="5" t="n"/>
    </row>
    <row r="398">
      <c r="A398" s="5" t="n"/>
      <c r="B398" s="5" t="n"/>
      <c r="C398" s="5" t="n"/>
      <c r="D398" s="5" t="n"/>
      <c r="E398" s="5" t="n"/>
      <c r="F398" s="19" t="n"/>
      <c r="G398" s="18" t="n"/>
      <c r="H398" s="20">
        <f>IF(OR(F398="",G398=""),"",F398*G398)</f>
        <v/>
      </c>
      <c r="I398" s="5" t="n"/>
      <c r="J398" s="5" t="n"/>
    </row>
    <row r="399">
      <c r="A399" s="5" t="n"/>
      <c r="B399" s="5" t="n"/>
      <c r="C399" s="5" t="n"/>
      <c r="D399" s="5" t="n"/>
      <c r="E399" s="5" t="n"/>
      <c r="F399" s="19" t="n"/>
      <c r="G399" s="18" t="n"/>
      <c r="H399" s="20">
        <f>IF(OR(F399="",G399=""),"",F399*G399)</f>
        <v/>
      </c>
      <c r="I399" s="5" t="n"/>
      <c r="J399" s="5" t="n"/>
    </row>
    <row r="400">
      <c r="A400" s="5" t="n"/>
      <c r="B400" s="5" t="n"/>
      <c r="C400" s="5" t="n"/>
      <c r="D400" s="5" t="n"/>
      <c r="E400" s="5" t="n"/>
      <c r="F400" s="19" t="n"/>
      <c r="G400" s="18" t="n"/>
      <c r="H400" s="20">
        <f>IF(OR(F400="",G400=""),"",F400*G400)</f>
        <v/>
      </c>
      <c r="I400" s="5" t="n"/>
      <c r="J400" s="5" t="n"/>
    </row>
    <row r="401">
      <c r="A401" s="5" t="n"/>
      <c r="B401" s="5" t="n"/>
      <c r="C401" s="5" t="n"/>
      <c r="D401" s="5" t="n"/>
      <c r="E401" s="5" t="n"/>
      <c r="F401" s="19" t="n"/>
      <c r="G401" s="18" t="n"/>
      <c r="H401" s="20">
        <f>IF(OR(F401="",G401=""),"",F401*G401)</f>
        <v/>
      </c>
      <c r="I401" s="5" t="n"/>
      <c r="J401" s="5" t="n"/>
    </row>
    <row r="402">
      <c r="A402" s="5" t="n"/>
      <c r="B402" s="5" t="n"/>
      <c r="C402" s="5" t="n"/>
      <c r="D402" s="5" t="n"/>
      <c r="E402" s="5" t="n"/>
      <c r="F402" s="19" t="n"/>
      <c r="G402" s="18" t="n"/>
      <c r="H402" s="20">
        <f>IF(OR(F402="",G402=""),"",F402*G402)</f>
        <v/>
      </c>
      <c r="I402" s="5" t="n"/>
      <c r="J402" s="5" t="n"/>
    </row>
    <row r="403">
      <c r="A403" s="5" t="n"/>
      <c r="B403" s="5" t="n"/>
      <c r="C403" s="5" t="n"/>
      <c r="D403" s="5" t="n"/>
      <c r="E403" s="5" t="n"/>
      <c r="F403" s="19" t="n"/>
      <c r="G403" s="18" t="n"/>
      <c r="H403" s="20">
        <f>IF(OR(F403="",G403=""),"",F403*G403)</f>
        <v/>
      </c>
      <c r="I403" s="5" t="n"/>
      <c r="J403" s="5" t="n"/>
    </row>
    <row r="404">
      <c r="A404" s="5" t="n"/>
      <c r="B404" s="5" t="n"/>
      <c r="C404" s="5" t="n"/>
      <c r="D404" s="5" t="n"/>
      <c r="E404" s="5" t="n"/>
      <c r="F404" s="19" t="n"/>
      <c r="G404" s="18" t="n"/>
      <c r="H404" s="20">
        <f>IF(OR(F404="",G404=""),"",F404*G404)</f>
        <v/>
      </c>
      <c r="I404" s="5" t="n"/>
      <c r="J404" s="5" t="n"/>
    </row>
    <row r="405">
      <c r="A405" s="5" t="n"/>
      <c r="B405" s="5" t="n"/>
      <c r="C405" s="5" t="n"/>
      <c r="D405" s="5" t="n"/>
      <c r="E405" s="5" t="n"/>
      <c r="F405" s="19" t="n"/>
      <c r="G405" s="18" t="n"/>
      <c r="H405" s="20">
        <f>IF(OR(F405="",G405=""),"",F405*G405)</f>
        <v/>
      </c>
      <c r="I405" s="5" t="n"/>
      <c r="J405" s="5" t="n"/>
    </row>
    <row r="406">
      <c r="A406" s="5" t="n"/>
      <c r="B406" s="5" t="n"/>
      <c r="C406" s="5" t="n"/>
      <c r="D406" s="5" t="n"/>
      <c r="E406" s="5" t="n"/>
      <c r="F406" s="19" t="n"/>
      <c r="G406" s="18" t="n"/>
      <c r="H406" s="20">
        <f>IF(OR(F406="",G406=""),"",F406*G406)</f>
        <v/>
      </c>
      <c r="I406" s="5" t="n"/>
      <c r="J406" s="5" t="n"/>
    </row>
    <row r="407">
      <c r="A407" s="5" t="n"/>
      <c r="B407" s="5" t="n"/>
      <c r="C407" s="5" t="n"/>
      <c r="D407" s="5" t="n"/>
      <c r="E407" s="5" t="n"/>
      <c r="F407" s="19" t="n"/>
      <c r="G407" s="18" t="n"/>
      <c r="H407" s="20">
        <f>IF(OR(F407="",G407=""),"",F407*G407)</f>
        <v/>
      </c>
      <c r="I407" s="5" t="n"/>
      <c r="J407" s="5" t="n"/>
    </row>
    <row r="408">
      <c r="A408" s="5" t="n"/>
      <c r="B408" s="5" t="n"/>
      <c r="C408" s="5" t="n"/>
      <c r="D408" s="5" t="n"/>
      <c r="E408" s="5" t="n"/>
      <c r="F408" s="19" t="n"/>
      <c r="G408" s="18" t="n"/>
      <c r="H408" s="20">
        <f>IF(OR(F408="",G408=""),"",F408*G408)</f>
        <v/>
      </c>
      <c r="I408" s="5" t="n"/>
      <c r="J408" s="5" t="n"/>
    </row>
    <row r="409">
      <c r="A409" s="5" t="n"/>
      <c r="B409" s="5" t="n"/>
      <c r="C409" s="5" t="n"/>
      <c r="D409" s="5" t="n"/>
      <c r="E409" s="5" t="n"/>
      <c r="F409" s="19" t="n"/>
      <c r="G409" s="18" t="n"/>
      <c r="H409" s="20">
        <f>IF(OR(F409="",G409=""),"",F409*G409)</f>
        <v/>
      </c>
      <c r="I409" s="5" t="n"/>
      <c r="J409" s="5" t="n"/>
    </row>
    <row r="410">
      <c r="A410" s="5" t="n"/>
      <c r="B410" s="5" t="n"/>
      <c r="C410" s="5" t="n"/>
      <c r="D410" s="5" t="n"/>
      <c r="E410" s="5" t="n"/>
      <c r="F410" s="19" t="n"/>
      <c r="G410" s="18" t="n"/>
      <c r="H410" s="20">
        <f>IF(OR(F410="",G410=""),"",F410*G410)</f>
        <v/>
      </c>
      <c r="I410" s="5" t="n"/>
      <c r="J410" s="5" t="n"/>
    </row>
    <row r="411">
      <c r="A411" s="5" t="n"/>
      <c r="B411" s="5" t="n"/>
      <c r="C411" s="5" t="n"/>
      <c r="D411" s="5" t="n"/>
      <c r="E411" s="5" t="n"/>
      <c r="F411" s="19" t="n"/>
      <c r="G411" s="18" t="n"/>
      <c r="H411" s="20">
        <f>IF(OR(F411="",G411=""),"",F411*G411)</f>
        <v/>
      </c>
      <c r="I411" s="5" t="n"/>
      <c r="J411" s="5" t="n"/>
    </row>
    <row r="412">
      <c r="A412" s="5" t="n"/>
      <c r="B412" s="5" t="n"/>
      <c r="C412" s="5" t="n"/>
      <c r="D412" s="5" t="n"/>
      <c r="E412" s="5" t="n"/>
      <c r="F412" s="19" t="n"/>
      <c r="G412" s="18" t="n"/>
      <c r="H412" s="20">
        <f>IF(OR(F412="",G412=""),"",F412*G412)</f>
        <v/>
      </c>
      <c r="I412" s="5" t="n"/>
      <c r="J412" s="5" t="n"/>
    </row>
    <row r="413">
      <c r="A413" s="5" t="n"/>
      <c r="B413" s="5" t="n"/>
      <c r="C413" s="5" t="n"/>
      <c r="D413" s="5" t="n"/>
      <c r="E413" s="5" t="n"/>
      <c r="F413" s="19" t="n"/>
      <c r="G413" s="18" t="n"/>
      <c r="H413" s="20">
        <f>IF(OR(F413="",G413=""),"",F413*G413)</f>
        <v/>
      </c>
      <c r="I413" s="5" t="n"/>
      <c r="J413" s="5" t="n"/>
    </row>
    <row r="414">
      <c r="A414" s="5" t="n"/>
      <c r="B414" s="5" t="n"/>
      <c r="C414" s="5" t="n"/>
      <c r="D414" s="5" t="n"/>
      <c r="E414" s="5" t="n"/>
      <c r="F414" s="19" t="n"/>
      <c r="G414" s="18" t="n"/>
      <c r="H414" s="20">
        <f>IF(OR(F414="",G414=""),"",F414*G414)</f>
        <v/>
      </c>
      <c r="I414" s="5" t="n"/>
      <c r="J414" s="5" t="n"/>
    </row>
    <row r="415">
      <c r="A415" s="5" t="n"/>
      <c r="B415" s="5" t="n"/>
      <c r="C415" s="5" t="n"/>
      <c r="D415" s="5" t="n"/>
      <c r="E415" s="5" t="n"/>
      <c r="F415" s="19" t="n"/>
      <c r="G415" s="18" t="n"/>
      <c r="H415" s="20">
        <f>IF(OR(F415="",G415=""),"",F415*G415)</f>
        <v/>
      </c>
      <c r="I415" s="5" t="n"/>
      <c r="J415" s="5" t="n"/>
    </row>
    <row r="416">
      <c r="A416" s="5" t="n"/>
      <c r="B416" s="5" t="n"/>
      <c r="C416" s="5" t="n"/>
      <c r="D416" s="5" t="n"/>
      <c r="E416" s="5" t="n"/>
      <c r="F416" s="19" t="n"/>
      <c r="G416" s="18" t="n"/>
      <c r="H416" s="20">
        <f>IF(OR(F416="",G416=""),"",F416*G416)</f>
        <v/>
      </c>
      <c r="I416" s="5" t="n"/>
      <c r="J416" s="5" t="n"/>
    </row>
    <row r="417">
      <c r="A417" s="5" t="n"/>
      <c r="B417" s="5" t="n"/>
      <c r="C417" s="5" t="n"/>
      <c r="D417" s="5" t="n"/>
      <c r="E417" s="5" t="n"/>
      <c r="F417" s="19" t="n"/>
      <c r="G417" s="18" t="n"/>
      <c r="H417" s="20">
        <f>IF(OR(F417="",G417=""),"",F417*G417)</f>
        <v/>
      </c>
      <c r="I417" s="5" t="n"/>
      <c r="J417" s="5" t="n"/>
    </row>
    <row r="418">
      <c r="A418" s="5" t="n"/>
      <c r="B418" s="5" t="n"/>
      <c r="C418" s="5" t="n"/>
      <c r="D418" s="5" t="n"/>
      <c r="E418" s="5" t="n"/>
      <c r="F418" s="19" t="n"/>
      <c r="G418" s="18" t="n"/>
      <c r="H418" s="20">
        <f>IF(OR(F418="",G418=""),"",F418*G418)</f>
        <v/>
      </c>
      <c r="I418" s="5" t="n"/>
      <c r="J418" s="5" t="n"/>
    </row>
    <row r="419">
      <c r="A419" s="5" t="n"/>
      <c r="B419" s="5" t="n"/>
      <c r="C419" s="5" t="n"/>
      <c r="D419" s="5" t="n"/>
      <c r="E419" s="5" t="n"/>
      <c r="F419" s="19" t="n"/>
      <c r="G419" s="18" t="n"/>
      <c r="H419" s="20">
        <f>IF(OR(F419="",G419=""),"",F419*G419)</f>
        <v/>
      </c>
      <c r="I419" s="5" t="n"/>
      <c r="J419" s="5" t="n"/>
    </row>
    <row r="420">
      <c r="A420" s="5" t="n"/>
      <c r="B420" s="5" t="n"/>
      <c r="C420" s="5" t="n"/>
      <c r="D420" s="5" t="n"/>
      <c r="E420" s="5" t="n"/>
      <c r="F420" s="19" t="n"/>
      <c r="G420" s="18" t="n"/>
      <c r="H420" s="20">
        <f>IF(OR(F420="",G420=""),"",F420*G420)</f>
        <v/>
      </c>
      <c r="I420" s="5" t="n"/>
      <c r="J420" s="5" t="n"/>
    </row>
    <row r="421">
      <c r="A421" s="5" t="n"/>
      <c r="B421" s="5" t="n"/>
      <c r="C421" s="5" t="n"/>
      <c r="D421" s="5" t="n"/>
      <c r="E421" s="5" t="n"/>
      <c r="F421" s="19" t="n"/>
      <c r="G421" s="18" t="n"/>
      <c r="H421" s="20">
        <f>IF(OR(F421="",G421=""),"",F421*G421)</f>
        <v/>
      </c>
      <c r="I421" s="5" t="n"/>
      <c r="J421" s="5" t="n"/>
    </row>
    <row r="422">
      <c r="A422" s="5" t="n"/>
      <c r="B422" s="5" t="n"/>
      <c r="C422" s="5" t="n"/>
      <c r="D422" s="5" t="n"/>
      <c r="E422" s="5" t="n"/>
      <c r="F422" s="19" t="n"/>
      <c r="G422" s="18" t="n"/>
      <c r="H422" s="20">
        <f>IF(OR(F422="",G422=""),"",F422*G422)</f>
        <v/>
      </c>
      <c r="I422" s="5" t="n"/>
      <c r="J422" s="5" t="n"/>
    </row>
    <row r="423">
      <c r="A423" s="5" t="n"/>
      <c r="B423" s="5" t="n"/>
      <c r="C423" s="5" t="n"/>
      <c r="D423" s="5" t="n"/>
      <c r="E423" s="5" t="n"/>
      <c r="F423" s="19" t="n"/>
      <c r="G423" s="18" t="n"/>
      <c r="H423" s="20">
        <f>IF(OR(F423="",G423=""),"",F423*G423)</f>
        <v/>
      </c>
      <c r="I423" s="5" t="n"/>
      <c r="J423" s="5" t="n"/>
    </row>
    <row r="424">
      <c r="A424" s="5" t="n"/>
      <c r="B424" s="5" t="n"/>
      <c r="C424" s="5" t="n"/>
      <c r="D424" s="5" t="n"/>
      <c r="E424" s="5" t="n"/>
      <c r="F424" s="19" t="n"/>
      <c r="G424" s="18" t="n"/>
      <c r="H424" s="20">
        <f>IF(OR(F424="",G424=""),"",F424*G424)</f>
        <v/>
      </c>
      <c r="I424" s="5" t="n"/>
      <c r="J424" s="5" t="n"/>
    </row>
    <row r="425">
      <c r="A425" s="5" t="n"/>
      <c r="B425" s="5" t="n"/>
      <c r="C425" s="5" t="n"/>
      <c r="D425" s="5" t="n"/>
      <c r="E425" s="5" t="n"/>
      <c r="F425" s="19" t="n"/>
      <c r="G425" s="18" t="n"/>
      <c r="H425" s="20">
        <f>IF(OR(F425="",G425=""),"",F425*G425)</f>
        <v/>
      </c>
      <c r="I425" s="5" t="n"/>
      <c r="J425" s="5" t="n"/>
    </row>
    <row r="426">
      <c r="A426" s="5" t="n"/>
      <c r="B426" s="5" t="n"/>
      <c r="C426" s="5" t="n"/>
      <c r="D426" s="5" t="n"/>
      <c r="E426" s="5" t="n"/>
      <c r="F426" s="19" t="n"/>
      <c r="G426" s="18" t="n"/>
      <c r="H426" s="20">
        <f>IF(OR(F426="",G426=""),"",F426*G426)</f>
        <v/>
      </c>
      <c r="I426" s="5" t="n"/>
      <c r="J426" s="5" t="n"/>
    </row>
    <row r="427">
      <c r="A427" s="5" t="n"/>
      <c r="B427" s="5" t="n"/>
      <c r="C427" s="5" t="n"/>
      <c r="D427" s="5" t="n"/>
      <c r="E427" s="5" t="n"/>
      <c r="F427" s="19" t="n"/>
      <c r="G427" s="18" t="n"/>
      <c r="H427" s="20">
        <f>IF(OR(F427="",G427=""),"",F427*G427)</f>
        <v/>
      </c>
      <c r="I427" s="5" t="n"/>
      <c r="J427" s="5" t="n"/>
    </row>
    <row r="428">
      <c r="A428" s="5" t="n"/>
      <c r="B428" s="5" t="n"/>
      <c r="C428" s="5" t="n"/>
      <c r="D428" s="5" t="n"/>
      <c r="E428" s="5" t="n"/>
      <c r="F428" s="19" t="n"/>
      <c r="G428" s="18" t="n"/>
      <c r="H428" s="20">
        <f>IF(OR(F428="",G428=""),"",F428*G428)</f>
        <v/>
      </c>
      <c r="I428" s="5" t="n"/>
      <c r="J428" s="5" t="n"/>
    </row>
    <row r="429">
      <c r="A429" s="5" t="n"/>
      <c r="B429" s="5" t="n"/>
      <c r="C429" s="5" t="n"/>
      <c r="D429" s="5" t="n"/>
      <c r="E429" s="5" t="n"/>
      <c r="F429" s="19" t="n"/>
      <c r="G429" s="18" t="n"/>
      <c r="H429" s="20">
        <f>IF(OR(F429="",G429=""),"",F429*G429)</f>
        <v/>
      </c>
      <c r="I429" s="5" t="n"/>
      <c r="J429" s="5" t="n"/>
    </row>
    <row r="430">
      <c r="A430" s="5" t="n"/>
      <c r="B430" s="5" t="n"/>
      <c r="C430" s="5" t="n"/>
      <c r="D430" s="5" t="n"/>
      <c r="E430" s="5" t="n"/>
      <c r="F430" s="19" t="n"/>
      <c r="G430" s="18" t="n"/>
      <c r="H430" s="20">
        <f>IF(OR(F430="",G430=""),"",F430*G430)</f>
        <v/>
      </c>
      <c r="I430" s="5" t="n"/>
      <c r="J430" s="5" t="n"/>
    </row>
    <row r="431">
      <c r="A431" s="5" t="n"/>
      <c r="B431" s="5" t="n"/>
      <c r="C431" s="5" t="n"/>
      <c r="D431" s="5" t="n"/>
      <c r="E431" s="5" t="n"/>
      <c r="F431" s="19" t="n"/>
      <c r="G431" s="18" t="n"/>
      <c r="H431" s="20">
        <f>IF(OR(F431="",G431=""),"",F431*G431)</f>
        <v/>
      </c>
      <c r="I431" s="5" t="n"/>
      <c r="J431" s="5" t="n"/>
    </row>
    <row r="432">
      <c r="A432" s="5" t="n"/>
      <c r="B432" s="5" t="n"/>
      <c r="C432" s="5" t="n"/>
      <c r="D432" s="5" t="n"/>
      <c r="E432" s="5" t="n"/>
      <c r="F432" s="19" t="n"/>
      <c r="G432" s="18" t="n"/>
      <c r="H432" s="20">
        <f>IF(OR(F432="",G432=""),"",F432*G432)</f>
        <v/>
      </c>
      <c r="I432" s="5" t="n"/>
      <c r="J432" s="5" t="n"/>
    </row>
    <row r="433">
      <c r="A433" s="5" t="n"/>
      <c r="B433" s="5" t="n"/>
      <c r="C433" s="5" t="n"/>
      <c r="D433" s="5" t="n"/>
      <c r="E433" s="5" t="n"/>
      <c r="F433" s="19" t="n"/>
      <c r="G433" s="18" t="n"/>
      <c r="H433" s="20">
        <f>IF(OR(F433="",G433=""),"",F433*G433)</f>
        <v/>
      </c>
      <c r="I433" s="5" t="n"/>
      <c r="J433" s="5" t="n"/>
    </row>
    <row r="434">
      <c r="A434" s="5" t="n"/>
      <c r="B434" s="5" t="n"/>
      <c r="C434" s="5" t="n"/>
      <c r="D434" s="5" t="n"/>
      <c r="E434" s="5" t="n"/>
      <c r="F434" s="19" t="n"/>
      <c r="G434" s="18" t="n"/>
      <c r="H434" s="20">
        <f>IF(OR(F434="",G434=""),"",F434*G434)</f>
        <v/>
      </c>
      <c r="I434" s="5" t="n"/>
      <c r="J434" s="5" t="n"/>
    </row>
    <row r="435">
      <c r="A435" s="5" t="n"/>
      <c r="B435" s="5" t="n"/>
      <c r="C435" s="5" t="n"/>
      <c r="D435" s="5" t="n"/>
      <c r="E435" s="5" t="n"/>
      <c r="F435" s="19" t="n"/>
      <c r="G435" s="18" t="n"/>
      <c r="H435" s="20">
        <f>IF(OR(F435="",G435=""),"",F435*G435)</f>
        <v/>
      </c>
      <c r="I435" s="5" t="n"/>
      <c r="J435" s="5" t="n"/>
    </row>
    <row r="436">
      <c r="A436" s="5" t="n"/>
      <c r="B436" s="5" t="n"/>
      <c r="C436" s="5" t="n"/>
      <c r="D436" s="5" t="n"/>
      <c r="E436" s="5" t="n"/>
      <c r="F436" s="19" t="n"/>
      <c r="G436" s="18" t="n"/>
      <c r="H436" s="20">
        <f>IF(OR(F436="",G436=""),"",F436*G436)</f>
        <v/>
      </c>
      <c r="I436" s="5" t="n"/>
      <c r="J436" s="5" t="n"/>
    </row>
    <row r="437">
      <c r="A437" s="5" t="n"/>
      <c r="B437" s="5" t="n"/>
      <c r="C437" s="5" t="n"/>
      <c r="D437" s="5" t="n"/>
      <c r="E437" s="5" t="n"/>
      <c r="F437" s="19" t="n"/>
      <c r="G437" s="18" t="n"/>
      <c r="H437" s="20">
        <f>IF(OR(F437="",G437=""),"",F437*G437)</f>
        <v/>
      </c>
      <c r="I437" s="5" t="n"/>
      <c r="J437" s="5" t="n"/>
    </row>
    <row r="438">
      <c r="A438" s="5" t="n"/>
      <c r="B438" s="5" t="n"/>
      <c r="C438" s="5" t="n"/>
      <c r="D438" s="5" t="n"/>
      <c r="E438" s="5" t="n"/>
      <c r="F438" s="19" t="n"/>
      <c r="G438" s="18" t="n"/>
      <c r="H438" s="20">
        <f>IF(OR(F438="",G438=""),"",F438*G438)</f>
        <v/>
      </c>
      <c r="I438" s="5" t="n"/>
      <c r="J438" s="5" t="n"/>
    </row>
    <row r="439">
      <c r="A439" s="5" t="n"/>
      <c r="B439" s="5" t="n"/>
      <c r="C439" s="5" t="n"/>
      <c r="D439" s="5" t="n"/>
      <c r="E439" s="5" t="n"/>
      <c r="F439" s="19" t="n"/>
      <c r="G439" s="18" t="n"/>
      <c r="H439" s="20">
        <f>IF(OR(F439="",G439=""),"",F439*G439)</f>
        <v/>
      </c>
      <c r="I439" s="5" t="n"/>
      <c r="J439" s="5" t="n"/>
    </row>
    <row r="440">
      <c r="A440" s="5" t="n"/>
      <c r="B440" s="5" t="n"/>
      <c r="C440" s="5" t="n"/>
      <c r="D440" s="5" t="n"/>
      <c r="E440" s="5" t="n"/>
      <c r="F440" s="19" t="n"/>
      <c r="G440" s="18" t="n"/>
      <c r="H440" s="20">
        <f>IF(OR(F440="",G440=""),"",F440*G440)</f>
        <v/>
      </c>
      <c r="I440" s="5" t="n"/>
      <c r="J440" s="5" t="n"/>
    </row>
    <row r="441">
      <c r="A441" s="5" t="n"/>
      <c r="B441" s="5" t="n"/>
      <c r="C441" s="5" t="n"/>
      <c r="D441" s="5" t="n"/>
      <c r="E441" s="5" t="n"/>
      <c r="F441" s="19" t="n"/>
      <c r="G441" s="18" t="n"/>
      <c r="H441" s="20">
        <f>IF(OR(F441="",G441=""),"",F441*G441)</f>
        <v/>
      </c>
      <c r="I441" s="5" t="n"/>
      <c r="J441" s="5" t="n"/>
    </row>
    <row r="442">
      <c r="A442" s="5" t="n"/>
      <c r="B442" s="5" t="n"/>
      <c r="C442" s="5" t="n"/>
      <c r="D442" s="5" t="n"/>
      <c r="E442" s="5" t="n"/>
      <c r="F442" s="19" t="n"/>
      <c r="G442" s="18" t="n"/>
      <c r="H442" s="20">
        <f>IF(OR(F442="",G442=""),"",F442*G442)</f>
        <v/>
      </c>
      <c r="I442" s="5" t="n"/>
      <c r="J442" s="5" t="n"/>
    </row>
    <row r="443">
      <c r="A443" s="5" t="n"/>
      <c r="B443" s="5" t="n"/>
      <c r="C443" s="5" t="n"/>
      <c r="D443" s="5" t="n"/>
      <c r="E443" s="5" t="n"/>
      <c r="F443" s="19" t="n"/>
      <c r="G443" s="18" t="n"/>
      <c r="H443" s="20">
        <f>IF(OR(F443="",G443=""),"",F443*G443)</f>
        <v/>
      </c>
      <c r="I443" s="5" t="n"/>
      <c r="J443" s="5" t="n"/>
    </row>
    <row r="444">
      <c r="A444" s="5" t="n"/>
      <c r="B444" s="5" t="n"/>
      <c r="C444" s="5" t="n"/>
      <c r="D444" s="5" t="n"/>
      <c r="E444" s="5" t="n"/>
      <c r="F444" s="19" t="n"/>
      <c r="G444" s="18" t="n"/>
      <c r="H444" s="20">
        <f>IF(OR(F444="",G444=""),"",F444*G444)</f>
        <v/>
      </c>
      <c r="I444" s="5" t="n"/>
      <c r="J444" s="5" t="n"/>
    </row>
    <row r="445">
      <c r="A445" s="5" t="n"/>
      <c r="B445" s="5" t="n"/>
      <c r="C445" s="5" t="n"/>
      <c r="D445" s="5" t="n"/>
      <c r="E445" s="5" t="n"/>
      <c r="F445" s="19" t="n"/>
      <c r="G445" s="18" t="n"/>
      <c r="H445" s="20">
        <f>IF(OR(F445="",G445=""),"",F445*G445)</f>
        <v/>
      </c>
      <c r="I445" s="5" t="n"/>
      <c r="J445" s="5" t="n"/>
    </row>
    <row r="446">
      <c r="A446" s="5" t="n"/>
      <c r="B446" s="5" t="n"/>
      <c r="C446" s="5" t="n"/>
      <c r="D446" s="5" t="n"/>
      <c r="E446" s="5" t="n"/>
      <c r="F446" s="19" t="n"/>
      <c r="G446" s="18" t="n"/>
      <c r="H446" s="20">
        <f>IF(OR(F446="",G446=""),"",F446*G446)</f>
        <v/>
      </c>
      <c r="I446" s="5" t="n"/>
      <c r="J446" s="5" t="n"/>
    </row>
    <row r="447">
      <c r="A447" s="5" t="n"/>
      <c r="B447" s="5" t="n"/>
      <c r="C447" s="5" t="n"/>
      <c r="D447" s="5" t="n"/>
      <c r="E447" s="5" t="n"/>
      <c r="F447" s="19" t="n"/>
      <c r="G447" s="18" t="n"/>
      <c r="H447" s="20">
        <f>IF(OR(F447="",G447=""),"",F447*G447)</f>
        <v/>
      </c>
      <c r="I447" s="5" t="n"/>
      <c r="J447" s="5" t="n"/>
    </row>
    <row r="448">
      <c r="A448" s="5" t="n"/>
      <c r="B448" s="5" t="n"/>
      <c r="C448" s="5" t="n"/>
      <c r="D448" s="5" t="n"/>
      <c r="E448" s="5" t="n"/>
      <c r="F448" s="19" t="n"/>
      <c r="G448" s="18" t="n"/>
      <c r="H448" s="20">
        <f>IF(OR(F448="",G448=""),"",F448*G448)</f>
        <v/>
      </c>
      <c r="I448" s="5" t="n"/>
      <c r="J448" s="5" t="n"/>
    </row>
    <row r="449">
      <c r="A449" s="5" t="n"/>
      <c r="B449" s="5" t="n"/>
      <c r="C449" s="5" t="n"/>
      <c r="D449" s="5" t="n"/>
      <c r="E449" s="5" t="n"/>
      <c r="F449" s="19" t="n"/>
      <c r="G449" s="18" t="n"/>
      <c r="H449" s="20">
        <f>IF(OR(F449="",G449=""),"",F449*G449)</f>
        <v/>
      </c>
      <c r="I449" s="5" t="n"/>
      <c r="J449" s="5" t="n"/>
    </row>
    <row r="450">
      <c r="A450" s="5" t="n"/>
      <c r="B450" s="5" t="n"/>
      <c r="C450" s="5" t="n"/>
      <c r="D450" s="5" t="n"/>
      <c r="E450" s="5" t="n"/>
      <c r="F450" s="19" t="n"/>
      <c r="G450" s="18" t="n"/>
      <c r="H450" s="20">
        <f>IF(OR(F450="",G450=""),"",F450*G450)</f>
        <v/>
      </c>
      <c r="I450" s="5" t="n"/>
      <c r="J450" s="5" t="n"/>
    </row>
    <row r="451">
      <c r="A451" s="5" t="n"/>
      <c r="B451" s="5" t="n"/>
      <c r="C451" s="5" t="n"/>
      <c r="D451" s="5" t="n"/>
      <c r="E451" s="5" t="n"/>
      <c r="F451" s="19" t="n"/>
      <c r="G451" s="18" t="n"/>
      <c r="H451" s="20">
        <f>IF(OR(F451="",G451=""),"",F451*G451)</f>
        <v/>
      </c>
      <c r="I451" s="5" t="n"/>
      <c r="J451" s="5" t="n"/>
    </row>
    <row r="452">
      <c r="A452" s="5" t="n"/>
      <c r="B452" s="5" t="n"/>
      <c r="C452" s="5" t="n"/>
      <c r="D452" s="5" t="n"/>
      <c r="E452" s="5" t="n"/>
      <c r="F452" s="19" t="n"/>
      <c r="G452" s="18" t="n"/>
      <c r="H452" s="20">
        <f>IF(OR(F452="",G452=""),"",F452*G452)</f>
        <v/>
      </c>
      <c r="I452" s="5" t="n"/>
      <c r="J452" s="5" t="n"/>
    </row>
    <row r="453">
      <c r="A453" s="5" t="n"/>
      <c r="B453" s="5" t="n"/>
      <c r="C453" s="5" t="n"/>
      <c r="D453" s="5" t="n"/>
      <c r="E453" s="5" t="n"/>
      <c r="F453" s="19" t="n"/>
      <c r="G453" s="18" t="n"/>
      <c r="H453" s="20">
        <f>IF(OR(F453="",G453=""),"",F453*G453)</f>
        <v/>
      </c>
      <c r="I453" s="5" t="n"/>
      <c r="J453" s="5" t="n"/>
    </row>
    <row r="454">
      <c r="A454" s="5" t="n"/>
      <c r="B454" s="5" t="n"/>
      <c r="C454" s="5" t="n"/>
      <c r="D454" s="5" t="n"/>
      <c r="E454" s="5" t="n"/>
      <c r="F454" s="19" t="n"/>
      <c r="G454" s="18" t="n"/>
      <c r="H454" s="20">
        <f>IF(OR(F454="",G454=""),"",F454*G454)</f>
        <v/>
      </c>
      <c r="I454" s="5" t="n"/>
      <c r="J454" s="5" t="n"/>
    </row>
    <row r="455">
      <c r="A455" s="5" t="n"/>
      <c r="B455" s="5" t="n"/>
      <c r="C455" s="5" t="n"/>
      <c r="D455" s="5" t="n"/>
      <c r="E455" s="5" t="n"/>
      <c r="F455" s="19" t="n"/>
      <c r="G455" s="18" t="n"/>
      <c r="H455" s="20">
        <f>IF(OR(F455="",G455=""),"",F455*G455)</f>
        <v/>
      </c>
      <c r="I455" s="5" t="n"/>
      <c r="J455" s="5" t="n"/>
    </row>
    <row r="456">
      <c r="A456" s="5" t="n"/>
      <c r="B456" s="5" t="n"/>
      <c r="C456" s="5" t="n"/>
      <c r="D456" s="5" t="n"/>
      <c r="E456" s="5" t="n"/>
      <c r="F456" s="19" t="n"/>
      <c r="G456" s="18" t="n"/>
      <c r="H456" s="20">
        <f>IF(OR(F456="",G456=""),"",F456*G456)</f>
        <v/>
      </c>
      <c r="I456" s="5" t="n"/>
      <c r="J456" s="5" t="n"/>
    </row>
    <row r="457">
      <c r="A457" s="5" t="n"/>
      <c r="B457" s="5" t="n"/>
      <c r="C457" s="5" t="n"/>
      <c r="D457" s="5" t="n"/>
      <c r="E457" s="5" t="n"/>
      <c r="F457" s="19" t="n"/>
      <c r="G457" s="18" t="n"/>
      <c r="H457" s="20">
        <f>IF(OR(F457="",G457=""),"",F457*G457)</f>
        <v/>
      </c>
      <c r="I457" s="5" t="n"/>
      <c r="J457" s="5" t="n"/>
    </row>
    <row r="458">
      <c r="A458" s="5" t="n"/>
      <c r="B458" s="5" t="n"/>
      <c r="C458" s="5" t="n"/>
      <c r="D458" s="5" t="n"/>
      <c r="E458" s="5" t="n"/>
      <c r="F458" s="19" t="n"/>
      <c r="G458" s="18" t="n"/>
      <c r="H458" s="20">
        <f>IF(OR(F458="",G458=""),"",F458*G458)</f>
        <v/>
      </c>
      <c r="I458" s="5" t="n"/>
      <c r="J458" s="5" t="n"/>
    </row>
    <row r="459">
      <c r="A459" s="5" t="n"/>
      <c r="B459" s="5" t="n"/>
      <c r="C459" s="5" t="n"/>
      <c r="D459" s="5" t="n"/>
      <c r="E459" s="5" t="n"/>
      <c r="F459" s="19" t="n"/>
      <c r="G459" s="18" t="n"/>
      <c r="H459" s="20">
        <f>IF(OR(F459="",G459=""),"",F459*G459)</f>
        <v/>
      </c>
      <c r="I459" s="5" t="n"/>
      <c r="J459" s="5" t="n"/>
    </row>
    <row r="460">
      <c r="A460" s="5" t="n"/>
      <c r="B460" s="5" t="n"/>
      <c r="C460" s="5" t="n"/>
      <c r="D460" s="5" t="n"/>
      <c r="E460" s="5" t="n"/>
      <c r="F460" s="19" t="n"/>
      <c r="G460" s="18" t="n"/>
      <c r="H460" s="20">
        <f>IF(OR(F460="",G460=""),"",F460*G460)</f>
        <v/>
      </c>
      <c r="I460" s="5" t="n"/>
      <c r="J460" s="5" t="n"/>
    </row>
    <row r="461">
      <c r="A461" s="5" t="n"/>
      <c r="B461" s="5" t="n"/>
      <c r="C461" s="5" t="n"/>
      <c r="D461" s="5" t="n"/>
      <c r="E461" s="5" t="n"/>
      <c r="F461" s="19" t="n"/>
      <c r="G461" s="18" t="n"/>
      <c r="H461" s="20">
        <f>IF(OR(F461="",G461=""),"",F461*G461)</f>
        <v/>
      </c>
      <c r="I461" s="5" t="n"/>
      <c r="J461" s="5" t="n"/>
    </row>
    <row r="462">
      <c r="A462" s="5" t="n"/>
      <c r="B462" s="5" t="n"/>
      <c r="C462" s="5" t="n"/>
      <c r="D462" s="5" t="n"/>
      <c r="E462" s="5" t="n"/>
      <c r="F462" s="19" t="n"/>
      <c r="G462" s="18" t="n"/>
      <c r="H462" s="20">
        <f>IF(OR(F462="",G462=""),"",F462*G462)</f>
        <v/>
      </c>
      <c r="I462" s="5" t="n"/>
      <c r="J462" s="5" t="n"/>
    </row>
    <row r="463">
      <c r="A463" s="5" t="n"/>
      <c r="B463" s="5" t="n"/>
      <c r="C463" s="5" t="n"/>
      <c r="D463" s="5" t="n"/>
      <c r="E463" s="5" t="n"/>
      <c r="F463" s="19" t="n"/>
      <c r="G463" s="18" t="n"/>
      <c r="H463" s="20">
        <f>IF(OR(F463="",G463=""),"",F463*G463)</f>
        <v/>
      </c>
      <c r="I463" s="5" t="n"/>
      <c r="J463" s="5" t="n"/>
    </row>
    <row r="464">
      <c r="A464" s="5" t="n"/>
      <c r="B464" s="5" t="n"/>
      <c r="C464" s="5" t="n"/>
      <c r="D464" s="5" t="n"/>
      <c r="E464" s="5" t="n"/>
      <c r="F464" s="19" t="n"/>
      <c r="G464" s="18" t="n"/>
      <c r="H464" s="20">
        <f>IF(OR(F464="",G464=""),"",F464*G464)</f>
        <v/>
      </c>
      <c r="I464" s="5" t="n"/>
      <c r="J464" s="5" t="n"/>
    </row>
    <row r="465">
      <c r="A465" s="5" t="n"/>
      <c r="B465" s="5" t="n"/>
      <c r="C465" s="5" t="n"/>
      <c r="D465" s="5" t="n"/>
      <c r="E465" s="5" t="n"/>
      <c r="F465" s="19" t="n"/>
      <c r="G465" s="18" t="n"/>
      <c r="H465" s="20">
        <f>IF(OR(F465="",G465=""),"",F465*G465)</f>
        <v/>
      </c>
      <c r="I465" s="5" t="n"/>
      <c r="J465" s="5" t="n"/>
    </row>
    <row r="466">
      <c r="A466" s="5" t="n"/>
      <c r="B466" s="5" t="n"/>
      <c r="C466" s="5" t="n"/>
      <c r="D466" s="5" t="n"/>
      <c r="E466" s="5" t="n"/>
      <c r="F466" s="19" t="n"/>
      <c r="G466" s="18" t="n"/>
      <c r="H466" s="20">
        <f>IF(OR(F466="",G466=""),"",F466*G466)</f>
        <v/>
      </c>
      <c r="I466" s="5" t="n"/>
      <c r="J466" s="5" t="n"/>
    </row>
    <row r="467">
      <c r="A467" s="5" t="n"/>
      <c r="B467" s="5" t="n"/>
      <c r="C467" s="5" t="n"/>
      <c r="D467" s="5" t="n"/>
      <c r="E467" s="5" t="n"/>
      <c r="F467" s="19" t="n"/>
      <c r="G467" s="18" t="n"/>
      <c r="H467" s="20">
        <f>IF(OR(F467="",G467=""),"",F467*G467)</f>
        <v/>
      </c>
      <c r="I467" s="5" t="n"/>
      <c r="J467" s="5" t="n"/>
    </row>
    <row r="468">
      <c r="A468" s="5" t="n"/>
      <c r="B468" s="5" t="n"/>
      <c r="C468" s="5" t="n"/>
      <c r="D468" s="5" t="n"/>
      <c r="E468" s="5" t="n"/>
      <c r="F468" s="19" t="n"/>
      <c r="G468" s="18" t="n"/>
      <c r="H468" s="20">
        <f>IF(OR(F468="",G468=""),"",F468*G468)</f>
        <v/>
      </c>
      <c r="I468" s="5" t="n"/>
      <c r="J468" s="5" t="n"/>
    </row>
    <row r="469">
      <c r="A469" s="5" t="n"/>
      <c r="B469" s="5" t="n"/>
      <c r="C469" s="5" t="n"/>
      <c r="D469" s="5" t="n"/>
      <c r="E469" s="5" t="n"/>
      <c r="F469" s="19" t="n"/>
      <c r="G469" s="18" t="n"/>
      <c r="H469" s="20">
        <f>IF(OR(F469="",G469=""),"",F469*G469)</f>
        <v/>
      </c>
      <c r="I469" s="5" t="n"/>
      <c r="J469" s="5" t="n"/>
    </row>
    <row r="470">
      <c r="A470" s="5" t="n"/>
      <c r="B470" s="5" t="n"/>
      <c r="C470" s="5" t="n"/>
      <c r="D470" s="5" t="n"/>
      <c r="E470" s="5" t="n"/>
      <c r="F470" s="19" t="n"/>
      <c r="G470" s="18" t="n"/>
      <c r="H470" s="20">
        <f>IF(OR(F470="",G470=""),"",F470*G470)</f>
        <v/>
      </c>
      <c r="I470" s="5" t="n"/>
      <c r="J470" s="5" t="n"/>
    </row>
    <row r="471">
      <c r="A471" s="5" t="n"/>
      <c r="B471" s="5" t="n"/>
      <c r="C471" s="5" t="n"/>
      <c r="D471" s="5" t="n"/>
      <c r="E471" s="5" t="n"/>
      <c r="F471" s="19" t="n"/>
      <c r="G471" s="18" t="n"/>
      <c r="H471" s="20">
        <f>IF(OR(F471="",G471=""),"",F471*G471)</f>
        <v/>
      </c>
      <c r="I471" s="5" t="n"/>
      <c r="J471" s="5" t="n"/>
    </row>
    <row r="472">
      <c r="A472" s="5" t="n"/>
      <c r="B472" s="5" t="n"/>
      <c r="C472" s="5" t="n"/>
      <c r="D472" s="5" t="n"/>
      <c r="E472" s="5" t="n"/>
      <c r="F472" s="19" t="n"/>
      <c r="G472" s="18" t="n"/>
      <c r="H472" s="20">
        <f>IF(OR(F472="",G472=""),"",F472*G472)</f>
        <v/>
      </c>
      <c r="I472" s="5" t="n"/>
      <c r="J472" s="5" t="n"/>
    </row>
    <row r="473">
      <c r="A473" s="5" t="n"/>
      <c r="B473" s="5" t="n"/>
      <c r="C473" s="5" t="n"/>
      <c r="D473" s="5" t="n"/>
      <c r="E473" s="5" t="n"/>
      <c r="F473" s="19" t="n"/>
      <c r="G473" s="18" t="n"/>
      <c r="H473" s="20">
        <f>IF(OR(F473="",G473=""),"",F473*G473)</f>
        <v/>
      </c>
      <c r="I473" s="5" t="n"/>
      <c r="J473" s="5" t="n"/>
    </row>
    <row r="474">
      <c r="A474" s="5" t="n"/>
      <c r="B474" s="5" t="n"/>
      <c r="C474" s="5" t="n"/>
      <c r="D474" s="5" t="n"/>
      <c r="E474" s="5" t="n"/>
      <c r="F474" s="19" t="n"/>
      <c r="G474" s="18" t="n"/>
      <c r="H474" s="20">
        <f>IF(OR(F474="",G474=""),"",F474*G474)</f>
        <v/>
      </c>
      <c r="I474" s="5" t="n"/>
      <c r="J474" s="5" t="n"/>
    </row>
    <row r="475">
      <c r="A475" s="5" t="n"/>
      <c r="B475" s="5" t="n"/>
      <c r="C475" s="5" t="n"/>
      <c r="D475" s="5" t="n"/>
      <c r="E475" s="5" t="n"/>
      <c r="F475" s="19" t="n"/>
      <c r="G475" s="18" t="n"/>
      <c r="H475" s="20">
        <f>IF(OR(F475="",G475=""),"",F475*G475)</f>
        <v/>
      </c>
      <c r="I475" s="5" t="n"/>
      <c r="J475" s="5" t="n"/>
    </row>
    <row r="476">
      <c r="A476" s="5" t="n"/>
      <c r="B476" s="5" t="n"/>
      <c r="C476" s="5" t="n"/>
      <c r="D476" s="5" t="n"/>
      <c r="E476" s="5" t="n"/>
      <c r="F476" s="19" t="n"/>
      <c r="G476" s="18" t="n"/>
      <c r="H476" s="20">
        <f>IF(OR(F476="",G476=""),"",F476*G476)</f>
        <v/>
      </c>
      <c r="I476" s="5" t="n"/>
      <c r="J476" s="5" t="n"/>
    </row>
    <row r="477">
      <c r="A477" s="5" t="n"/>
      <c r="B477" s="5" t="n"/>
      <c r="C477" s="5" t="n"/>
      <c r="D477" s="5" t="n"/>
      <c r="E477" s="5" t="n"/>
      <c r="F477" s="19" t="n"/>
      <c r="G477" s="18" t="n"/>
      <c r="H477" s="20">
        <f>IF(OR(F477="",G477=""),"",F477*G477)</f>
        <v/>
      </c>
      <c r="I477" s="5" t="n"/>
      <c r="J477" s="5" t="n"/>
    </row>
    <row r="478">
      <c r="A478" s="5" t="n"/>
      <c r="B478" s="5" t="n"/>
      <c r="C478" s="5" t="n"/>
      <c r="D478" s="5" t="n"/>
      <c r="E478" s="5" t="n"/>
      <c r="F478" s="19" t="n"/>
      <c r="G478" s="18" t="n"/>
      <c r="H478" s="20">
        <f>IF(OR(F478="",G478=""),"",F478*G478)</f>
        <v/>
      </c>
      <c r="I478" s="5" t="n"/>
      <c r="J478" s="5" t="n"/>
    </row>
    <row r="479">
      <c r="A479" s="5" t="n"/>
      <c r="B479" s="5" t="n"/>
      <c r="C479" s="5" t="n"/>
      <c r="D479" s="5" t="n"/>
      <c r="E479" s="5" t="n"/>
      <c r="F479" s="19" t="n"/>
      <c r="G479" s="18" t="n"/>
      <c r="H479" s="20">
        <f>IF(OR(F479="",G479=""),"",F479*G479)</f>
        <v/>
      </c>
      <c r="I479" s="5" t="n"/>
      <c r="J479" s="5" t="n"/>
    </row>
    <row r="480">
      <c r="A480" s="5" t="n"/>
      <c r="B480" s="5" t="n"/>
      <c r="C480" s="5" t="n"/>
      <c r="D480" s="5" t="n"/>
      <c r="E480" s="5" t="n"/>
      <c r="F480" s="19" t="n"/>
      <c r="G480" s="18" t="n"/>
      <c r="H480" s="20">
        <f>IF(OR(F480="",G480=""),"",F480*G480)</f>
        <v/>
      </c>
      <c r="I480" s="5" t="n"/>
      <c r="J480" s="5" t="n"/>
    </row>
    <row r="481">
      <c r="A481" s="5" t="n"/>
      <c r="B481" s="5" t="n"/>
      <c r="C481" s="5" t="n"/>
      <c r="D481" s="5" t="n"/>
      <c r="E481" s="5" t="n"/>
      <c r="F481" s="19" t="n"/>
      <c r="G481" s="18" t="n"/>
      <c r="H481" s="20">
        <f>IF(OR(F481="",G481=""),"",F481*G481)</f>
        <v/>
      </c>
      <c r="I481" s="5" t="n"/>
      <c r="J481" s="5" t="n"/>
    </row>
    <row r="482">
      <c r="A482" s="5" t="n"/>
      <c r="B482" s="5" t="n"/>
      <c r="C482" s="5" t="n"/>
      <c r="D482" s="5" t="n"/>
      <c r="E482" s="5" t="n"/>
      <c r="F482" s="19" t="n"/>
      <c r="G482" s="18" t="n"/>
      <c r="H482" s="20">
        <f>IF(OR(F482="",G482=""),"",F482*G482)</f>
        <v/>
      </c>
      <c r="I482" s="5" t="n"/>
      <c r="J482" s="5" t="n"/>
    </row>
    <row r="483">
      <c r="A483" s="5" t="n"/>
      <c r="B483" s="5" t="n"/>
      <c r="C483" s="5" t="n"/>
      <c r="D483" s="5" t="n"/>
      <c r="E483" s="5" t="n"/>
      <c r="F483" s="19" t="n"/>
      <c r="G483" s="18" t="n"/>
      <c r="H483" s="20">
        <f>IF(OR(F483="",G483=""),"",F483*G483)</f>
        <v/>
      </c>
      <c r="I483" s="5" t="n"/>
      <c r="J483" s="5" t="n"/>
    </row>
    <row r="484">
      <c r="A484" s="5" t="n"/>
      <c r="B484" s="5" t="n"/>
      <c r="C484" s="5" t="n"/>
      <c r="D484" s="5" t="n"/>
      <c r="E484" s="5" t="n"/>
      <c r="F484" s="19" t="n"/>
      <c r="G484" s="18" t="n"/>
      <c r="H484" s="20">
        <f>IF(OR(F484="",G484=""),"",F484*G484)</f>
        <v/>
      </c>
      <c r="I484" s="5" t="n"/>
      <c r="J484" s="5" t="n"/>
    </row>
    <row r="485">
      <c r="A485" s="5" t="n"/>
      <c r="B485" s="5" t="n"/>
      <c r="C485" s="5" t="n"/>
      <c r="D485" s="5" t="n"/>
      <c r="E485" s="5" t="n"/>
      <c r="F485" s="19" t="n"/>
      <c r="G485" s="18" t="n"/>
      <c r="H485" s="20">
        <f>IF(OR(F485="",G485=""),"",F485*G485)</f>
        <v/>
      </c>
      <c r="I485" s="5" t="n"/>
      <c r="J485" s="5" t="n"/>
    </row>
    <row r="486">
      <c r="A486" s="5" t="n"/>
      <c r="B486" s="5" t="n"/>
      <c r="C486" s="5" t="n"/>
      <c r="D486" s="5" t="n"/>
      <c r="E486" s="5" t="n"/>
      <c r="F486" s="19" t="n"/>
      <c r="G486" s="18" t="n"/>
      <c r="H486" s="20">
        <f>IF(OR(F486="",G486=""),"",F486*G486)</f>
        <v/>
      </c>
      <c r="I486" s="5" t="n"/>
      <c r="J486" s="5" t="n"/>
    </row>
    <row r="487">
      <c r="A487" s="5" t="n"/>
      <c r="B487" s="5" t="n"/>
      <c r="C487" s="5" t="n"/>
      <c r="D487" s="5" t="n"/>
      <c r="E487" s="5" t="n"/>
      <c r="F487" s="19" t="n"/>
      <c r="G487" s="18" t="n"/>
      <c r="H487" s="20">
        <f>IF(OR(F487="",G487=""),"",F487*G487)</f>
        <v/>
      </c>
      <c r="I487" s="5" t="n"/>
      <c r="J487" s="5" t="n"/>
    </row>
    <row r="488">
      <c r="A488" s="5" t="n"/>
      <c r="B488" s="5" t="n"/>
      <c r="C488" s="5" t="n"/>
      <c r="D488" s="5" t="n"/>
      <c r="E488" s="5" t="n"/>
      <c r="F488" s="19" t="n"/>
      <c r="G488" s="18" t="n"/>
      <c r="H488" s="20">
        <f>IF(OR(F488="",G488=""),"",F488*G488)</f>
        <v/>
      </c>
      <c r="I488" s="5" t="n"/>
      <c r="J488" s="5" t="n"/>
    </row>
    <row r="489">
      <c r="A489" s="5" t="n"/>
      <c r="B489" s="5" t="n"/>
      <c r="C489" s="5" t="n"/>
      <c r="D489" s="5" t="n"/>
      <c r="E489" s="5" t="n"/>
      <c r="F489" s="19" t="n"/>
      <c r="G489" s="18" t="n"/>
      <c r="H489" s="20">
        <f>IF(OR(F489="",G489=""),"",F489*G489)</f>
        <v/>
      </c>
      <c r="I489" s="5" t="n"/>
      <c r="J489" s="5" t="n"/>
    </row>
    <row r="490">
      <c r="A490" s="5" t="n"/>
      <c r="B490" s="5" t="n"/>
      <c r="C490" s="5" t="n"/>
      <c r="D490" s="5" t="n"/>
      <c r="E490" s="5" t="n"/>
      <c r="F490" s="19" t="n"/>
      <c r="G490" s="18" t="n"/>
      <c r="H490" s="20">
        <f>IF(OR(F490="",G490=""),"",F490*G490)</f>
        <v/>
      </c>
      <c r="I490" s="5" t="n"/>
      <c r="J490" s="5" t="n"/>
    </row>
    <row r="491">
      <c r="A491" s="5" t="n"/>
      <c r="B491" s="5" t="n"/>
      <c r="C491" s="5" t="n"/>
      <c r="D491" s="5" t="n"/>
      <c r="E491" s="5" t="n"/>
      <c r="F491" s="19" t="n"/>
      <c r="G491" s="18" t="n"/>
      <c r="H491" s="20">
        <f>IF(OR(F491="",G491=""),"",F491*G491)</f>
        <v/>
      </c>
      <c r="I491" s="5" t="n"/>
      <c r="J491" s="5" t="n"/>
    </row>
    <row r="492">
      <c r="A492" s="5" t="n"/>
      <c r="B492" s="5" t="n"/>
      <c r="C492" s="5" t="n"/>
      <c r="D492" s="5" t="n"/>
      <c r="E492" s="5" t="n"/>
      <c r="F492" s="19" t="n"/>
      <c r="G492" s="18" t="n"/>
      <c r="H492" s="20">
        <f>IF(OR(F492="",G492=""),"",F492*G492)</f>
        <v/>
      </c>
      <c r="I492" s="5" t="n"/>
      <c r="J492" s="5" t="n"/>
    </row>
    <row r="493">
      <c r="A493" s="5" t="n"/>
      <c r="B493" s="5" t="n"/>
      <c r="C493" s="5" t="n"/>
      <c r="D493" s="5" t="n"/>
      <c r="E493" s="5" t="n"/>
      <c r="F493" s="19" t="n"/>
      <c r="G493" s="18" t="n"/>
      <c r="H493" s="20">
        <f>IF(OR(F493="",G493=""),"",F493*G493)</f>
        <v/>
      </c>
      <c r="I493" s="5" t="n"/>
      <c r="J493" s="5" t="n"/>
    </row>
    <row r="494">
      <c r="A494" s="5" t="n"/>
      <c r="B494" s="5" t="n"/>
      <c r="C494" s="5" t="n"/>
      <c r="D494" s="5" t="n"/>
      <c r="E494" s="5" t="n"/>
      <c r="F494" s="19" t="n"/>
      <c r="G494" s="18" t="n"/>
      <c r="H494" s="20">
        <f>IF(OR(F494="",G494=""),"",F494*G494)</f>
        <v/>
      </c>
      <c r="I494" s="5" t="n"/>
      <c r="J494" s="5" t="n"/>
    </row>
    <row r="495">
      <c r="A495" s="5" t="n"/>
      <c r="B495" s="5" t="n"/>
      <c r="C495" s="5" t="n"/>
      <c r="D495" s="5" t="n"/>
      <c r="E495" s="5" t="n"/>
      <c r="F495" s="19" t="n"/>
      <c r="G495" s="18" t="n"/>
      <c r="H495" s="20">
        <f>IF(OR(F495="",G495=""),"",F495*G495)</f>
        <v/>
      </c>
      <c r="I495" s="5" t="n"/>
      <c r="J495" s="5" t="n"/>
    </row>
    <row r="496">
      <c r="A496" s="5" t="n"/>
      <c r="B496" s="5" t="n"/>
      <c r="C496" s="5" t="n"/>
      <c r="D496" s="5" t="n"/>
      <c r="E496" s="5" t="n"/>
      <c r="F496" s="19" t="n"/>
      <c r="G496" s="18" t="n"/>
      <c r="H496" s="20">
        <f>IF(OR(F496="",G496=""),"",F496*G496)</f>
        <v/>
      </c>
      <c r="I496" s="5" t="n"/>
      <c r="J496" s="5" t="n"/>
    </row>
    <row r="497">
      <c r="A497" s="5" t="n"/>
      <c r="B497" s="5" t="n"/>
      <c r="C497" s="5" t="n"/>
      <c r="D497" s="5" t="n"/>
      <c r="E497" s="5" t="n"/>
      <c r="F497" s="19" t="n"/>
      <c r="G497" s="18" t="n"/>
      <c r="H497" s="20">
        <f>IF(OR(F497="",G497=""),"",F497*G497)</f>
        <v/>
      </c>
      <c r="I497" s="5" t="n"/>
      <c r="J497" s="5" t="n"/>
    </row>
    <row r="498">
      <c r="A498" s="5" t="n"/>
      <c r="B498" s="5" t="n"/>
      <c r="C498" s="5" t="n"/>
      <c r="D498" s="5" t="n"/>
      <c r="E498" s="5" t="n"/>
      <c r="F498" s="19" t="n"/>
      <c r="G498" s="18" t="n"/>
      <c r="H498" s="20">
        <f>IF(OR(F498="",G498=""),"",F498*G498)</f>
        <v/>
      </c>
      <c r="I498" s="5" t="n"/>
      <c r="J498" s="5" t="n"/>
    </row>
    <row r="499">
      <c r="A499" s="5" t="n"/>
      <c r="B499" s="5" t="n"/>
      <c r="C499" s="5" t="n"/>
      <c r="D499" s="5" t="n"/>
      <c r="E499" s="5" t="n"/>
      <c r="F499" s="19" t="n"/>
      <c r="G499" s="18" t="n"/>
      <c r="H499" s="20">
        <f>IF(OR(F499="",G499=""),"",F499*G499)</f>
        <v/>
      </c>
      <c r="I499" s="5" t="n"/>
      <c r="J499" s="5" t="n"/>
    </row>
    <row r="500">
      <c r="A500" s="5" t="n"/>
      <c r="B500" s="5" t="n"/>
      <c r="C500" s="5" t="n"/>
      <c r="D500" s="5" t="n"/>
      <c r="E500" s="5" t="n"/>
      <c r="F500" s="19" t="n"/>
      <c r="G500" s="18" t="n"/>
      <c r="H500" s="20">
        <f>IF(OR(F500="",G500=""),"",F500*G500)</f>
        <v/>
      </c>
      <c r="I500" s="5" t="n"/>
      <c r="J500" s="5" t="n"/>
    </row>
    <row r="501">
      <c r="A501" s="5" t="n"/>
      <c r="B501" s="5" t="n"/>
      <c r="C501" s="5" t="n"/>
      <c r="D501" s="5" t="n"/>
      <c r="E501" s="5" t="n"/>
      <c r="F501" s="19" t="n"/>
      <c r="G501" s="18" t="n"/>
      <c r="H501" s="20">
        <f>IF(OR(F501="",G501=""),"",F501*G501)</f>
        <v/>
      </c>
      <c r="I501" s="5" t="n"/>
      <c r="J501" s="5" t="n"/>
    </row>
    <row r="502">
      <c r="A502" s="5" t="n"/>
      <c r="B502" s="5" t="n"/>
      <c r="C502" s="5" t="n"/>
      <c r="D502" s="5" t="n"/>
      <c r="E502" s="5" t="n"/>
      <c r="F502" s="19" t="n"/>
      <c r="G502" s="18" t="n"/>
      <c r="H502" s="20">
        <f>IF(OR(F502="",G502=""),"",F502*G502)</f>
        <v/>
      </c>
      <c r="I502" s="5" t="n"/>
      <c r="J502" s="5" t="n"/>
    </row>
    <row r="503">
      <c r="A503" s="5" t="n"/>
      <c r="B503" s="5" t="n"/>
      <c r="C503" s="5" t="n"/>
      <c r="D503" s="5" t="n"/>
      <c r="E503" s="5" t="n"/>
      <c r="F503" s="19" t="n"/>
      <c r="G503" s="18" t="n"/>
      <c r="H503" s="20">
        <f>IF(OR(F503="",G503=""),"",F503*G503)</f>
        <v/>
      </c>
      <c r="I503" s="5" t="n"/>
      <c r="J503" s="5" t="n"/>
    </row>
    <row r="504">
      <c r="A504" s="5" t="n"/>
      <c r="B504" s="5" t="n"/>
      <c r="C504" s="5" t="n"/>
      <c r="D504" s="5" t="n"/>
      <c r="E504" s="5" t="n"/>
      <c r="F504" s="19" t="n"/>
      <c r="G504" s="18" t="n"/>
      <c r="H504" s="20">
        <f>IF(OR(F504="",G504=""),"",F504*G504)</f>
        <v/>
      </c>
      <c r="I504" s="5" t="n"/>
      <c r="J504" s="5" t="n"/>
    </row>
  </sheetData>
  <autoFilter ref="A4:J50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11" customWidth="1" min="4" max="4"/>
    <col width="11" customWidth="1" min="5" max="5"/>
    <col width="34" customWidth="1" min="6" max="6"/>
  </cols>
  <sheetData>
    <row r="1" ht="28" customHeight="1">
      <c r="A1" s="1" t="inlineStr">
        <is>
          <t>PURSANTAJ UYUMU</t>
        </is>
      </c>
    </row>
    <row r="2" ht="30" customHeight="1">
      <c r="A2" s="2" t="inlineStr">
        <is>
          <t>İdarenin pursantaj oranları ile keşifte her iş grubunun maliyet payı karşılaştırılır. Keşif payı pursantajdan yüksekse iş grubu yapıldığında ödenen tutar maliyeti karşılamaz (finansman yükü).</t>
        </is>
      </c>
    </row>
    <row r="3">
      <c r="A3" s="14" t="inlineStr">
        <is>
          <t>TOPLAM</t>
        </is>
      </c>
      <c r="B3" s="21">
        <f>SUM(B5:B504)</f>
        <v/>
      </c>
      <c r="C3" s="16">
        <f>SUM(C5:C504)</f>
        <v/>
      </c>
      <c r="D3" s="15" t="n"/>
      <c r="E3" s="15" t="n"/>
      <c r="F3" s="15" t="n"/>
    </row>
    <row r="4" ht="32" customHeight="1">
      <c r="A4" s="17" t="inlineStr">
        <is>
          <t>İş Grubu</t>
        </is>
      </c>
      <c r="B4" s="17" t="inlineStr">
        <is>
          <t>Pursantaj Oranı</t>
        </is>
      </c>
      <c r="C4" s="17" t="inlineStr">
        <is>
          <t>Keşif Tutarı</t>
        </is>
      </c>
      <c r="D4" s="17" t="inlineStr">
        <is>
          <t>Keşif Payı</t>
        </is>
      </c>
      <c r="E4" s="17" t="inlineStr">
        <is>
          <t>Fark (puan)</t>
        </is>
      </c>
      <c r="F4" s="17" t="inlineStr">
        <is>
          <t>Değerlendirme</t>
        </is>
      </c>
    </row>
    <row r="5">
      <c r="A5" s="5" t="n"/>
      <c r="B5" s="22" t="n"/>
      <c r="C5" s="20">
        <f>IF(A5="","",SUMIF('Keşif'!$B$5:$B$504,A5,'Keşif'!$H$5:$H$504))</f>
        <v/>
      </c>
      <c r="D5" s="23">
        <f>IF(OR(A5="",'Keşif'!$H$3=0),"",C5/'Keşif'!$H$3)</f>
        <v/>
      </c>
      <c r="E5" s="23">
        <f>IF(OR(B5="",D5=""),"",D5-B5)</f>
        <v/>
      </c>
      <c r="F5" s="24">
        <f>IF(E5="","",IF(E5&gt;PursantajTol,"Finansman yükü: maliyet ödemeden önde",IF(E5&lt;-PursantajTol,"Lehte: ödeme maliyetten önde","Uyumlu")))</f>
        <v/>
      </c>
    </row>
    <row r="6">
      <c r="A6" s="5" t="n"/>
      <c r="B6" s="22" t="n"/>
      <c r="C6" s="20">
        <f>IF(A6="","",SUMIF('Keşif'!$B$5:$B$504,A6,'Keşif'!$H$5:$H$504))</f>
        <v/>
      </c>
      <c r="D6" s="23">
        <f>IF(OR(A6="",'Keşif'!$H$3=0),"",C6/'Keşif'!$H$3)</f>
        <v/>
      </c>
      <c r="E6" s="23">
        <f>IF(OR(B6="",D6=""),"",D6-B6)</f>
        <v/>
      </c>
      <c r="F6" s="24">
        <f>IF(E6="","",IF(E6&gt;PursantajTol,"Finansman yükü: maliyet ödemeden önde",IF(E6&lt;-PursantajTol,"Lehte: ödeme maliyetten önde","Uyumlu")))</f>
        <v/>
      </c>
    </row>
    <row r="7">
      <c r="A7" s="5" t="n"/>
      <c r="B7" s="22" t="n"/>
      <c r="C7" s="20">
        <f>IF(A7="","",SUMIF('Keşif'!$B$5:$B$504,A7,'Keşif'!$H$5:$H$504))</f>
        <v/>
      </c>
      <c r="D7" s="23">
        <f>IF(OR(A7="",'Keşif'!$H$3=0),"",C7/'Keşif'!$H$3)</f>
        <v/>
      </c>
      <c r="E7" s="23">
        <f>IF(OR(B7="",D7=""),"",D7-B7)</f>
        <v/>
      </c>
      <c r="F7" s="24">
        <f>IF(E7="","",IF(E7&gt;PursantajTol,"Finansman yükü: maliyet ödemeden önde",IF(E7&lt;-PursantajTol,"Lehte: ödeme maliyetten önde","Uyumlu")))</f>
        <v/>
      </c>
    </row>
    <row r="8">
      <c r="A8" s="5" t="n"/>
      <c r="B8" s="22" t="n"/>
      <c r="C8" s="20">
        <f>IF(A8="","",SUMIF('Keşif'!$B$5:$B$504,A8,'Keşif'!$H$5:$H$504))</f>
        <v/>
      </c>
      <c r="D8" s="23">
        <f>IF(OR(A8="",'Keşif'!$H$3=0),"",C8/'Keşif'!$H$3)</f>
        <v/>
      </c>
      <c r="E8" s="23">
        <f>IF(OR(B8="",D8=""),"",D8-B8)</f>
        <v/>
      </c>
      <c r="F8" s="24">
        <f>IF(E8="","",IF(E8&gt;PursantajTol,"Finansman yükü: maliyet ödemeden önde",IF(E8&lt;-PursantajTol,"Lehte: ödeme maliyetten önde","Uyumlu")))</f>
        <v/>
      </c>
    </row>
    <row r="9">
      <c r="A9" s="5" t="n"/>
      <c r="B9" s="22" t="n"/>
      <c r="C9" s="20">
        <f>IF(A9="","",SUMIF('Keşif'!$B$5:$B$504,A9,'Keşif'!$H$5:$H$504))</f>
        <v/>
      </c>
      <c r="D9" s="23">
        <f>IF(OR(A9="",'Keşif'!$H$3=0),"",C9/'Keşif'!$H$3)</f>
        <v/>
      </c>
      <c r="E9" s="23">
        <f>IF(OR(B9="",D9=""),"",D9-B9)</f>
        <v/>
      </c>
      <c r="F9" s="24">
        <f>IF(E9="","",IF(E9&gt;PursantajTol,"Finansman yükü: maliyet ödemeden önde",IF(E9&lt;-PursantajTol,"Lehte: ödeme maliyetten önde","Uyumlu")))</f>
        <v/>
      </c>
    </row>
    <row r="10">
      <c r="A10" s="5" t="n"/>
      <c r="B10" s="22" t="n"/>
      <c r="C10" s="20">
        <f>IF(A10="","",SUMIF('Keşif'!$B$5:$B$504,A10,'Keşif'!$H$5:$H$504))</f>
        <v/>
      </c>
      <c r="D10" s="23">
        <f>IF(OR(A10="",'Keşif'!$H$3=0),"",C10/'Keşif'!$H$3)</f>
        <v/>
      </c>
      <c r="E10" s="23">
        <f>IF(OR(B10="",D10=""),"",D10-B10)</f>
        <v/>
      </c>
      <c r="F10" s="24">
        <f>IF(E10="","",IF(E10&gt;PursantajTol,"Finansman yükü: maliyet ödemeden önde",IF(E10&lt;-PursantajTol,"Lehte: ödeme maliyetten önde","Uyumlu")))</f>
        <v/>
      </c>
    </row>
    <row r="11">
      <c r="A11" s="5" t="n"/>
      <c r="B11" s="22" t="n"/>
      <c r="C11" s="20">
        <f>IF(A11="","",SUMIF('Keşif'!$B$5:$B$504,A11,'Keşif'!$H$5:$H$504))</f>
        <v/>
      </c>
      <c r="D11" s="23">
        <f>IF(OR(A11="",'Keşif'!$H$3=0),"",C11/'Keşif'!$H$3)</f>
        <v/>
      </c>
      <c r="E11" s="23">
        <f>IF(OR(B11="",D11=""),"",D11-B11)</f>
        <v/>
      </c>
      <c r="F11" s="24">
        <f>IF(E11="","",IF(E11&gt;PursantajTol,"Finansman yükü: maliyet ödemeden önde",IF(E11&lt;-PursantajTol,"Lehte: ödeme maliyetten önde","Uyumlu")))</f>
        <v/>
      </c>
    </row>
    <row r="12">
      <c r="A12" s="5" t="n"/>
      <c r="B12" s="22" t="n"/>
      <c r="C12" s="20">
        <f>IF(A12="","",SUMIF('Keşif'!$B$5:$B$504,A12,'Keşif'!$H$5:$H$504))</f>
        <v/>
      </c>
      <c r="D12" s="23">
        <f>IF(OR(A12="",'Keşif'!$H$3=0),"",C12/'Keşif'!$H$3)</f>
        <v/>
      </c>
      <c r="E12" s="23">
        <f>IF(OR(B12="",D12=""),"",D12-B12)</f>
        <v/>
      </c>
      <c r="F12" s="24">
        <f>IF(E12="","",IF(E12&gt;PursantajTol,"Finansman yükü: maliyet ödemeden önde",IF(E12&lt;-PursantajTol,"Lehte: ödeme maliyetten önde","Uyumlu")))</f>
        <v/>
      </c>
    </row>
    <row r="13">
      <c r="A13" s="5" t="n"/>
      <c r="B13" s="22" t="n"/>
      <c r="C13" s="20">
        <f>IF(A13="","",SUMIF('Keşif'!$B$5:$B$504,A13,'Keşif'!$H$5:$H$504))</f>
        <v/>
      </c>
      <c r="D13" s="23">
        <f>IF(OR(A13="",'Keşif'!$H$3=0),"",C13/'Keşif'!$H$3)</f>
        <v/>
      </c>
      <c r="E13" s="23">
        <f>IF(OR(B13="",D13=""),"",D13-B13)</f>
        <v/>
      </c>
      <c r="F13" s="24">
        <f>IF(E13="","",IF(E13&gt;PursantajTol,"Finansman yükü: maliyet ödemeden önde",IF(E13&lt;-PursantajTol,"Lehte: ödeme maliyetten önde","Uyumlu")))</f>
        <v/>
      </c>
    </row>
    <row r="14">
      <c r="A14" s="5" t="n"/>
      <c r="B14" s="22" t="n"/>
      <c r="C14" s="20">
        <f>IF(A14="","",SUMIF('Keşif'!$B$5:$B$504,A14,'Keşif'!$H$5:$H$504))</f>
        <v/>
      </c>
      <c r="D14" s="23">
        <f>IF(OR(A14="",'Keşif'!$H$3=0),"",C14/'Keşif'!$H$3)</f>
        <v/>
      </c>
      <c r="E14" s="23">
        <f>IF(OR(B14="",D14=""),"",D14-B14)</f>
        <v/>
      </c>
      <c r="F14" s="24">
        <f>IF(E14="","",IF(E14&gt;PursantajTol,"Finansman yükü: maliyet ödemeden önde",IF(E14&lt;-PursantajTol,"Lehte: ödeme maliyetten önde","Uyumlu")))</f>
        <v/>
      </c>
    </row>
    <row r="15">
      <c r="A15" s="5" t="n"/>
      <c r="B15" s="22" t="n"/>
      <c r="C15" s="20">
        <f>IF(A15="","",SUMIF('Keşif'!$B$5:$B$504,A15,'Keşif'!$H$5:$H$504))</f>
        <v/>
      </c>
      <c r="D15" s="23">
        <f>IF(OR(A15="",'Keşif'!$H$3=0),"",C15/'Keşif'!$H$3)</f>
        <v/>
      </c>
      <c r="E15" s="23">
        <f>IF(OR(B15="",D15=""),"",D15-B15)</f>
        <v/>
      </c>
      <c r="F15" s="24">
        <f>IF(E15="","",IF(E15&gt;PursantajTol,"Finansman yükü: maliyet ödemeden önde",IF(E15&lt;-PursantajTol,"Lehte: ödeme maliyetten önde","Uyumlu")))</f>
        <v/>
      </c>
    </row>
    <row r="16">
      <c r="A16" s="5" t="n"/>
      <c r="B16" s="22" t="n"/>
      <c r="C16" s="20">
        <f>IF(A16="","",SUMIF('Keşif'!$B$5:$B$504,A16,'Keşif'!$H$5:$H$504))</f>
        <v/>
      </c>
      <c r="D16" s="23">
        <f>IF(OR(A16="",'Keşif'!$H$3=0),"",C16/'Keşif'!$H$3)</f>
        <v/>
      </c>
      <c r="E16" s="23">
        <f>IF(OR(B16="",D16=""),"",D16-B16)</f>
        <v/>
      </c>
      <c r="F16" s="24">
        <f>IF(E16="","",IF(E16&gt;PursantajTol,"Finansman yükü: maliyet ödemeden önde",IF(E16&lt;-PursantajTol,"Lehte: ödeme maliyetten önde","Uyumlu")))</f>
        <v/>
      </c>
    </row>
    <row r="17">
      <c r="A17" s="5" t="n"/>
      <c r="B17" s="22" t="n"/>
      <c r="C17" s="20">
        <f>IF(A17="","",SUMIF('Keşif'!$B$5:$B$504,A17,'Keşif'!$H$5:$H$504))</f>
        <v/>
      </c>
      <c r="D17" s="23">
        <f>IF(OR(A17="",'Keşif'!$H$3=0),"",C17/'Keşif'!$H$3)</f>
        <v/>
      </c>
      <c r="E17" s="23">
        <f>IF(OR(B17="",D17=""),"",D17-B17)</f>
        <v/>
      </c>
      <c r="F17" s="24">
        <f>IF(E17="","",IF(E17&gt;PursantajTol,"Finansman yükü: maliyet ödemeden önde",IF(E17&lt;-PursantajTol,"Lehte: ödeme maliyetten önde","Uyumlu")))</f>
        <v/>
      </c>
    </row>
    <row r="18">
      <c r="A18" s="5" t="n"/>
      <c r="B18" s="22" t="n"/>
      <c r="C18" s="20">
        <f>IF(A18="","",SUMIF('Keşif'!$B$5:$B$504,A18,'Keşif'!$H$5:$H$504))</f>
        <v/>
      </c>
      <c r="D18" s="23">
        <f>IF(OR(A18="",'Keşif'!$H$3=0),"",C18/'Keşif'!$H$3)</f>
        <v/>
      </c>
      <c r="E18" s="23">
        <f>IF(OR(B18="",D18=""),"",D18-B18)</f>
        <v/>
      </c>
      <c r="F18" s="24">
        <f>IF(E18="","",IF(E18&gt;PursantajTol,"Finansman yükü: maliyet ödemeden önde",IF(E18&lt;-PursantajTol,"Lehte: ödeme maliyetten önde","Uyumlu")))</f>
        <v/>
      </c>
    </row>
    <row r="19">
      <c r="A19" s="5" t="n"/>
      <c r="B19" s="22" t="n"/>
      <c r="C19" s="20">
        <f>IF(A19="","",SUMIF('Keşif'!$B$5:$B$504,A19,'Keşif'!$H$5:$H$504))</f>
        <v/>
      </c>
      <c r="D19" s="23">
        <f>IF(OR(A19="",'Keşif'!$H$3=0),"",C19/'Keşif'!$H$3)</f>
        <v/>
      </c>
      <c r="E19" s="23">
        <f>IF(OR(B19="",D19=""),"",D19-B19)</f>
        <v/>
      </c>
      <c r="F19" s="24">
        <f>IF(E19="","",IF(E19&gt;PursantajTol,"Finansman yükü: maliyet ödemeden önde",IF(E19&lt;-PursantajTol,"Lehte: ödeme maliyetten önde","Uyumlu")))</f>
        <v/>
      </c>
    </row>
    <row r="20">
      <c r="A20" s="5" t="n"/>
      <c r="B20" s="22" t="n"/>
      <c r="C20" s="20">
        <f>IF(A20="","",SUMIF('Keşif'!$B$5:$B$504,A20,'Keşif'!$H$5:$H$504))</f>
        <v/>
      </c>
      <c r="D20" s="23">
        <f>IF(OR(A20="",'Keşif'!$H$3=0),"",C20/'Keşif'!$H$3)</f>
        <v/>
      </c>
      <c r="E20" s="23">
        <f>IF(OR(B20="",D20=""),"",D20-B20)</f>
        <v/>
      </c>
      <c r="F20" s="24">
        <f>IF(E20="","",IF(E20&gt;PursantajTol,"Finansman yükü: maliyet ödemeden önde",IF(E20&lt;-PursantajTol,"Lehte: ödeme maliyetten önde","Uyumlu")))</f>
        <v/>
      </c>
    </row>
    <row r="21">
      <c r="A21" s="5" t="n"/>
      <c r="B21" s="22" t="n"/>
      <c r="C21" s="20">
        <f>IF(A21="","",SUMIF('Keşif'!$B$5:$B$504,A21,'Keşif'!$H$5:$H$504))</f>
        <v/>
      </c>
      <c r="D21" s="23">
        <f>IF(OR(A21="",'Keşif'!$H$3=0),"",C21/'Keşif'!$H$3)</f>
        <v/>
      </c>
      <c r="E21" s="23">
        <f>IF(OR(B21="",D21=""),"",D21-B21)</f>
        <v/>
      </c>
      <c r="F21" s="24">
        <f>IF(E21="","",IF(E21&gt;PursantajTol,"Finansman yükü: maliyet ödemeden önde",IF(E21&lt;-PursantajTol,"Lehte: ödeme maliyetten önde","Uyumlu")))</f>
        <v/>
      </c>
    </row>
    <row r="22">
      <c r="A22" s="5" t="n"/>
      <c r="B22" s="22" t="n"/>
      <c r="C22" s="20">
        <f>IF(A22="","",SUMIF('Keşif'!$B$5:$B$504,A22,'Keşif'!$H$5:$H$504))</f>
        <v/>
      </c>
      <c r="D22" s="23">
        <f>IF(OR(A22="",'Keşif'!$H$3=0),"",C22/'Keşif'!$H$3)</f>
        <v/>
      </c>
      <c r="E22" s="23">
        <f>IF(OR(B22="",D22=""),"",D22-B22)</f>
        <v/>
      </c>
      <c r="F22" s="24">
        <f>IF(E22="","",IF(E22&gt;PursantajTol,"Finansman yükü: maliyet ödemeden önde",IF(E22&lt;-PursantajTol,"Lehte: ödeme maliyetten önde","Uyumlu")))</f>
        <v/>
      </c>
    </row>
    <row r="23">
      <c r="A23" s="5" t="n"/>
      <c r="B23" s="22" t="n"/>
      <c r="C23" s="20">
        <f>IF(A23="","",SUMIF('Keşif'!$B$5:$B$504,A23,'Keşif'!$H$5:$H$504))</f>
        <v/>
      </c>
      <c r="D23" s="23">
        <f>IF(OR(A23="",'Keşif'!$H$3=0),"",C23/'Keşif'!$H$3)</f>
        <v/>
      </c>
      <c r="E23" s="23">
        <f>IF(OR(B23="",D23=""),"",D23-B23)</f>
        <v/>
      </c>
      <c r="F23" s="24">
        <f>IF(E23="","",IF(E23&gt;PursantajTol,"Finansman yükü: maliyet ödemeden önde",IF(E23&lt;-PursantajTol,"Lehte: ödeme maliyetten önde","Uyumlu")))</f>
        <v/>
      </c>
    </row>
    <row r="24">
      <c r="A24" s="5" t="n"/>
      <c r="B24" s="22" t="n"/>
      <c r="C24" s="20">
        <f>IF(A24="","",SUMIF('Keşif'!$B$5:$B$504,A24,'Keşif'!$H$5:$H$504))</f>
        <v/>
      </c>
      <c r="D24" s="23">
        <f>IF(OR(A24="",'Keşif'!$H$3=0),"",C24/'Keşif'!$H$3)</f>
        <v/>
      </c>
      <c r="E24" s="23">
        <f>IF(OR(B24="",D24=""),"",D24-B24)</f>
        <v/>
      </c>
      <c r="F24" s="24">
        <f>IF(E24="","",IF(E24&gt;PursantajTol,"Finansman yükü: maliyet ödemeden önde",IF(E24&lt;-PursantajTol,"Lehte: ödeme maliyetten önde","Uyumlu")))</f>
        <v/>
      </c>
    </row>
    <row r="25">
      <c r="A25" s="5" t="n"/>
      <c r="B25" s="22" t="n"/>
      <c r="C25" s="20">
        <f>IF(A25="","",SUMIF('Keşif'!$B$5:$B$504,A25,'Keşif'!$H$5:$H$504))</f>
        <v/>
      </c>
      <c r="D25" s="23">
        <f>IF(OR(A25="",'Keşif'!$H$3=0),"",C25/'Keşif'!$H$3)</f>
        <v/>
      </c>
      <c r="E25" s="23">
        <f>IF(OR(B25="",D25=""),"",D25-B25)</f>
        <v/>
      </c>
      <c r="F25" s="24">
        <f>IF(E25="","",IF(E25&gt;PursantajTol,"Finansman yükü: maliyet ödemeden önde",IF(E25&lt;-PursantajTol,"Lehte: ödeme maliyetten önde","Uyumlu")))</f>
        <v/>
      </c>
    </row>
    <row r="26">
      <c r="A26" s="5" t="n"/>
      <c r="B26" s="22" t="n"/>
      <c r="C26" s="20">
        <f>IF(A26="","",SUMIF('Keşif'!$B$5:$B$504,A26,'Keşif'!$H$5:$H$504))</f>
        <v/>
      </c>
      <c r="D26" s="23">
        <f>IF(OR(A26="",'Keşif'!$H$3=0),"",C26/'Keşif'!$H$3)</f>
        <v/>
      </c>
      <c r="E26" s="23">
        <f>IF(OR(B26="",D26=""),"",D26-B26)</f>
        <v/>
      </c>
      <c r="F26" s="24">
        <f>IF(E26="","",IF(E26&gt;PursantajTol,"Finansman yükü: maliyet ödemeden önde",IF(E26&lt;-PursantajTol,"Lehte: ödeme maliyetten önde","Uyumlu")))</f>
        <v/>
      </c>
    </row>
    <row r="27">
      <c r="A27" s="5" t="n"/>
      <c r="B27" s="22" t="n"/>
      <c r="C27" s="20">
        <f>IF(A27="","",SUMIF('Keşif'!$B$5:$B$504,A27,'Keşif'!$H$5:$H$504))</f>
        <v/>
      </c>
      <c r="D27" s="23">
        <f>IF(OR(A27="",'Keşif'!$H$3=0),"",C27/'Keşif'!$H$3)</f>
        <v/>
      </c>
      <c r="E27" s="23">
        <f>IF(OR(B27="",D27=""),"",D27-B27)</f>
        <v/>
      </c>
      <c r="F27" s="24">
        <f>IF(E27="","",IF(E27&gt;PursantajTol,"Finansman yükü: maliyet ödemeden önde",IF(E27&lt;-PursantajTol,"Lehte: ödeme maliyetten önde","Uyumlu")))</f>
        <v/>
      </c>
    </row>
    <row r="28">
      <c r="A28" s="5" t="n"/>
      <c r="B28" s="22" t="n"/>
      <c r="C28" s="20">
        <f>IF(A28="","",SUMIF('Keşif'!$B$5:$B$504,A28,'Keşif'!$H$5:$H$504))</f>
        <v/>
      </c>
      <c r="D28" s="23">
        <f>IF(OR(A28="",'Keşif'!$H$3=0),"",C28/'Keşif'!$H$3)</f>
        <v/>
      </c>
      <c r="E28" s="23">
        <f>IF(OR(B28="",D28=""),"",D28-B28)</f>
        <v/>
      </c>
      <c r="F28" s="24">
        <f>IF(E28="","",IF(E28&gt;PursantajTol,"Finansman yükü: maliyet ödemeden önde",IF(E28&lt;-PursantajTol,"Lehte: ödeme maliyetten önde","Uyumlu")))</f>
        <v/>
      </c>
    </row>
    <row r="29">
      <c r="A29" s="5" t="n"/>
      <c r="B29" s="22" t="n"/>
      <c r="C29" s="20">
        <f>IF(A29="","",SUMIF('Keşif'!$B$5:$B$504,A29,'Keşif'!$H$5:$H$504))</f>
        <v/>
      </c>
      <c r="D29" s="23">
        <f>IF(OR(A29="",'Keşif'!$H$3=0),"",C29/'Keşif'!$H$3)</f>
        <v/>
      </c>
      <c r="E29" s="23">
        <f>IF(OR(B29="",D29=""),"",D29-B29)</f>
        <v/>
      </c>
      <c r="F29" s="24">
        <f>IF(E29="","",IF(E29&gt;PursantajTol,"Finansman yükü: maliyet ödemeden önde",IF(E29&lt;-PursantajTol,"Lehte: ödeme maliyetten önde","Uyumlu")))</f>
        <v/>
      </c>
    </row>
    <row r="30">
      <c r="A30" s="5" t="n"/>
      <c r="B30" s="22" t="n"/>
      <c r="C30" s="20">
        <f>IF(A30="","",SUMIF('Keşif'!$B$5:$B$504,A30,'Keşif'!$H$5:$H$504))</f>
        <v/>
      </c>
      <c r="D30" s="23">
        <f>IF(OR(A30="",'Keşif'!$H$3=0),"",C30/'Keşif'!$H$3)</f>
        <v/>
      </c>
      <c r="E30" s="23">
        <f>IF(OR(B30="",D30=""),"",D30-B30)</f>
        <v/>
      </c>
      <c r="F30" s="24">
        <f>IF(E30="","",IF(E30&gt;PursantajTol,"Finansman yükü: maliyet ödemeden önde",IF(E30&lt;-PursantajTol,"Lehte: ödeme maliyetten önde","Uyumlu")))</f>
        <v/>
      </c>
    </row>
    <row r="31">
      <c r="A31" s="5" t="n"/>
      <c r="B31" s="22" t="n"/>
      <c r="C31" s="20">
        <f>IF(A31="","",SUMIF('Keşif'!$B$5:$B$504,A31,'Keşif'!$H$5:$H$504))</f>
        <v/>
      </c>
      <c r="D31" s="23">
        <f>IF(OR(A31="",'Keşif'!$H$3=0),"",C31/'Keşif'!$H$3)</f>
        <v/>
      </c>
      <c r="E31" s="23">
        <f>IF(OR(B31="",D31=""),"",D31-B31)</f>
        <v/>
      </c>
      <c r="F31" s="24">
        <f>IF(E31="","",IF(E31&gt;PursantajTol,"Finansman yükü: maliyet ödemeden önde",IF(E31&lt;-PursantajTol,"Lehte: ödeme maliyetten önde","Uyumlu")))</f>
        <v/>
      </c>
    </row>
    <row r="32">
      <c r="A32" s="5" t="n"/>
      <c r="B32" s="22" t="n"/>
      <c r="C32" s="20">
        <f>IF(A32="","",SUMIF('Keşif'!$B$5:$B$504,A32,'Keşif'!$H$5:$H$504))</f>
        <v/>
      </c>
      <c r="D32" s="23">
        <f>IF(OR(A32="",'Keşif'!$H$3=0),"",C32/'Keşif'!$H$3)</f>
        <v/>
      </c>
      <c r="E32" s="23">
        <f>IF(OR(B32="",D32=""),"",D32-B32)</f>
        <v/>
      </c>
      <c r="F32" s="24">
        <f>IF(E32="","",IF(E32&gt;PursantajTol,"Finansman yükü: maliyet ödemeden önde",IF(E32&lt;-PursantajTol,"Lehte: ödeme maliyetten önde","Uyumlu")))</f>
        <v/>
      </c>
    </row>
    <row r="33">
      <c r="A33" s="5" t="n"/>
      <c r="B33" s="22" t="n"/>
      <c r="C33" s="20">
        <f>IF(A33="","",SUMIF('Keşif'!$B$5:$B$504,A33,'Keşif'!$H$5:$H$504))</f>
        <v/>
      </c>
      <c r="D33" s="23">
        <f>IF(OR(A33="",'Keşif'!$H$3=0),"",C33/'Keşif'!$H$3)</f>
        <v/>
      </c>
      <c r="E33" s="23">
        <f>IF(OR(B33="",D33=""),"",D33-B33)</f>
        <v/>
      </c>
      <c r="F33" s="24">
        <f>IF(E33="","",IF(E33&gt;PursantajTol,"Finansman yükü: maliyet ödemeden önde",IF(E33&lt;-PursantajTol,"Lehte: ödeme maliyetten önde","Uyumlu")))</f>
        <v/>
      </c>
    </row>
    <row r="34">
      <c r="A34" s="5" t="n"/>
      <c r="B34" s="22" t="n"/>
      <c r="C34" s="20">
        <f>IF(A34="","",SUMIF('Keşif'!$B$5:$B$504,A34,'Keşif'!$H$5:$H$504))</f>
        <v/>
      </c>
      <c r="D34" s="23">
        <f>IF(OR(A34="",'Keşif'!$H$3=0),"",C34/'Keşif'!$H$3)</f>
        <v/>
      </c>
      <c r="E34" s="23">
        <f>IF(OR(B34="",D34=""),"",D34-B34)</f>
        <v/>
      </c>
      <c r="F34" s="24">
        <f>IF(E34="","",IF(E34&gt;PursantajTol,"Finansman yükü: maliyet ödemeden önde",IF(E34&lt;-PursantajTol,"Lehte: ödeme maliyetten önde","Uyumlu")))</f>
        <v/>
      </c>
    </row>
    <row r="35">
      <c r="A35" s="5" t="n"/>
      <c r="B35" s="22" t="n"/>
      <c r="C35" s="20">
        <f>IF(A35="","",SUMIF('Keşif'!$B$5:$B$504,A35,'Keşif'!$H$5:$H$504))</f>
        <v/>
      </c>
      <c r="D35" s="23">
        <f>IF(OR(A35="",'Keşif'!$H$3=0),"",C35/'Keşif'!$H$3)</f>
        <v/>
      </c>
      <c r="E35" s="23">
        <f>IF(OR(B35="",D35=""),"",D35-B35)</f>
        <v/>
      </c>
      <c r="F35" s="24">
        <f>IF(E35="","",IF(E35&gt;PursantajTol,"Finansman yükü: maliyet ödemeden önde",IF(E35&lt;-PursantajTol,"Lehte: ödeme maliyetten önde","Uyumlu")))</f>
        <v/>
      </c>
    </row>
    <row r="36">
      <c r="A36" s="5" t="n"/>
      <c r="B36" s="22" t="n"/>
      <c r="C36" s="20">
        <f>IF(A36="","",SUMIF('Keşif'!$B$5:$B$504,A36,'Keşif'!$H$5:$H$504))</f>
        <v/>
      </c>
      <c r="D36" s="23">
        <f>IF(OR(A36="",'Keşif'!$H$3=0),"",C36/'Keşif'!$H$3)</f>
        <v/>
      </c>
      <c r="E36" s="23">
        <f>IF(OR(B36="",D36=""),"",D36-B36)</f>
        <v/>
      </c>
      <c r="F36" s="24">
        <f>IF(E36="","",IF(E36&gt;PursantajTol,"Finansman yükü: maliyet ödemeden önde",IF(E36&lt;-PursantajTol,"Lehte: ödeme maliyetten önde","Uyumlu")))</f>
        <v/>
      </c>
    </row>
    <row r="37">
      <c r="A37" s="5" t="n"/>
      <c r="B37" s="22" t="n"/>
      <c r="C37" s="20">
        <f>IF(A37="","",SUMIF('Keşif'!$B$5:$B$504,A37,'Keşif'!$H$5:$H$504))</f>
        <v/>
      </c>
      <c r="D37" s="23">
        <f>IF(OR(A37="",'Keşif'!$H$3=0),"",C37/'Keşif'!$H$3)</f>
        <v/>
      </c>
      <c r="E37" s="23">
        <f>IF(OR(B37="",D37=""),"",D37-B37)</f>
        <v/>
      </c>
      <c r="F37" s="24">
        <f>IF(E37="","",IF(E37&gt;PursantajTol,"Finansman yükü: maliyet ödemeden önde",IF(E37&lt;-PursantajTol,"Lehte: ödeme maliyetten önde","Uyumlu")))</f>
        <v/>
      </c>
    </row>
    <row r="38">
      <c r="A38" s="5" t="n"/>
      <c r="B38" s="22" t="n"/>
      <c r="C38" s="20">
        <f>IF(A38="","",SUMIF('Keşif'!$B$5:$B$504,A38,'Keşif'!$H$5:$H$504))</f>
        <v/>
      </c>
      <c r="D38" s="23">
        <f>IF(OR(A38="",'Keşif'!$H$3=0),"",C38/'Keşif'!$H$3)</f>
        <v/>
      </c>
      <c r="E38" s="23">
        <f>IF(OR(B38="",D38=""),"",D38-B38)</f>
        <v/>
      </c>
      <c r="F38" s="24">
        <f>IF(E38="","",IF(E38&gt;PursantajTol,"Finansman yükü: maliyet ödemeden önde",IF(E38&lt;-PursantajTol,"Lehte: ödeme maliyetten önde","Uyumlu")))</f>
        <v/>
      </c>
    </row>
    <row r="39">
      <c r="A39" s="5" t="n"/>
      <c r="B39" s="22" t="n"/>
      <c r="C39" s="20">
        <f>IF(A39="","",SUMIF('Keşif'!$B$5:$B$504,A39,'Keşif'!$H$5:$H$504))</f>
        <v/>
      </c>
      <c r="D39" s="23">
        <f>IF(OR(A39="",'Keşif'!$H$3=0),"",C39/'Keşif'!$H$3)</f>
        <v/>
      </c>
      <c r="E39" s="23">
        <f>IF(OR(B39="",D39=""),"",D39-B39)</f>
        <v/>
      </c>
      <c r="F39" s="24">
        <f>IF(E39="","",IF(E39&gt;PursantajTol,"Finansman yükü: maliyet ödemeden önde",IF(E39&lt;-PursantajTol,"Lehte: ödeme maliyetten önde","Uyumlu")))</f>
        <v/>
      </c>
    </row>
    <row r="40">
      <c r="A40" s="5" t="n"/>
      <c r="B40" s="22" t="n"/>
      <c r="C40" s="20">
        <f>IF(A40="","",SUMIF('Keşif'!$B$5:$B$504,A40,'Keşif'!$H$5:$H$504))</f>
        <v/>
      </c>
      <c r="D40" s="23">
        <f>IF(OR(A40="",'Keşif'!$H$3=0),"",C40/'Keşif'!$H$3)</f>
        <v/>
      </c>
      <c r="E40" s="23">
        <f>IF(OR(B40="",D40=""),"",D40-B40)</f>
        <v/>
      </c>
      <c r="F40" s="24">
        <f>IF(E40="","",IF(E40&gt;PursantajTol,"Finansman yükü: maliyet ödemeden önde",IF(E40&lt;-PursantajTol,"Lehte: ödeme maliyetten önde","Uyumlu")))</f>
        <v/>
      </c>
    </row>
    <row r="41">
      <c r="A41" s="5" t="n"/>
      <c r="B41" s="22" t="n"/>
      <c r="C41" s="20">
        <f>IF(A41="","",SUMIF('Keşif'!$B$5:$B$504,A41,'Keşif'!$H$5:$H$504))</f>
        <v/>
      </c>
      <c r="D41" s="23">
        <f>IF(OR(A41="",'Keşif'!$H$3=0),"",C41/'Keşif'!$H$3)</f>
        <v/>
      </c>
      <c r="E41" s="23">
        <f>IF(OR(B41="",D41=""),"",D41-B41)</f>
        <v/>
      </c>
      <c r="F41" s="24">
        <f>IF(E41="","",IF(E41&gt;PursantajTol,"Finansman yükü: maliyet ödemeden önde",IF(E41&lt;-PursantajTol,"Lehte: ödeme maliyetten önde","Uyumlu")))</f>
        <v/>
      </c>
    </row>
    <row r="42">
      <c r="A42" s="5" t="n"/>
      <c r="B42" s="22" t="n"/>
      <c r="C42" s="20">
        <f>IF(A42="","",SUMIF('Keşif'!$B$5:$B$504,A42,'Keşif'!$H$5:$H$504))</f>
        <v/>
      </c>
      <c r="D42" s="23">
        <f>IF(OR(A42="",'Keşif'!$H$3=0),"",C42/'Keşif'!$H$3)</f>
        <v/>
      </c>
      <c r="E42" s="23">
        <f>IF(OR(B42="",D42=""),"",D42-B42)</f>
        <v/>
      </c>
      <c r="F42" s="24">
        <f>IF(E42="","",IF(E42&gt;PursantajTol,"Finansman yükü: maliyet ödemeden önde",IF(E42&lt;-PursantajTol,"Lehte: ödeme maliyetten önde","Uyumlu")))</f>
        <v/>
      </c>
    </row>
    <row r="43">
      <c r="A43" s="5" t="n"/>
      <c r="B43" s="22" t="n"/>
      <c r="C43" s="20">
        <f>IF(A43="","",SUMIF('Keşif'!$B$5:$B$504,A43,'Keşif'!$H$5:$H$504))</f>
        <v/>
      </c>
      <c r="D43" s="23">
        <f>IF(OR(A43="",'Keşif'!$H$3=0),"",C43/'Keşif'!$H$3)</f>
        <v/>
      </c>
      <c r="E43" s="23">
        <f>IF(OR(B43="",D43=""),"",D43-B43)</f>
        <v/>
      </c>
      <c r="F43" s="24">
        <f>IF(E43="","",IF(E43&gt;PursantajTol,"Finansman yükü: maliyet ödemeden önde",IF(E43&lt;-PursantajTol,"Lehte: ödeme maliyetten önde","Uyumlu")))</f>
        <v/>
      </c>
    </row>
    <row r="44">
      <c r="A44" s="5" t="n"/>
      <c r="B44" s="22" t="n"/>
      <c r="C44" s="20">
        <f>IF(A44="","",SUMIF('Keşif'!$B$5:$B$504,A44,'Keşif'!$H$5:$H$504))</f>
        <v/>
      </c>
      <c r="D44" s="23">
        <f>IF(OR(A44="",'Keşif'!$H$3=0),"",C44/'Keşif'!$H$3)</f>
        <v/>
      </c>
      <c r="E44" s="23">
        <f>IF(OR(B44="",D44=""),"",D44-B44)</f>
        <v/>
      </c>
      <c r="F44" s="24">
        <f>IF(E44="","",IF(E44&gt;PursantajTol,"Finansman yükü: maliyet ödemeden önde",IF(E44&lt;-PursantajTol,"Lehte: ödeme maliyetten önde","Uyumlu")))</f>
        <v/>
      </c>
    </row>
    <row r="45">
      <c r="A45" s="5" t="n"/>
      <c r="B45" s="22" t="n"/>
      <c r="C45" s="20">
        <f>IF(A45="","",SUMIF('Keşif'!$B$5:$B$504,A45,'Keşif'!$H$5:$H$504))</f>
        <v/>
      </c>
      <c r="D45" s="23">
        <f>IF(OR(A45="",'Keşif'!$H$3=0),"",C45/'Keşif'!$H$3)</f>
        <v/>
      </c>
      <c r="E45" s="23">
        <f>IF(OR(B45="",D45=""),"",D45-B45)</f>
        <v/>
      </c>
      <c r="F45" s="24">
        <f>IF(E45="","",IF(E45&gt;PursantajTol,"Finansman yükü: maliyet ödemeden önde",IF(E45&lt;-PursantajTol,"Lehte: ödeme maliyetten önde","Uyumlu")))</f>
        <v/>
      </c>
    </row>
    <row r="46">
      <c r="A46" s="5" t="n"/>
      <c r="B46" s="22" t="n"/>
      <c r="C46" s="20">
        <f>IF(A46="","",SUMIF('Keşif'!$B$5:$B$504,A46,'Keşif'!$H$5:$H$504))</f>
        <v/>
      </c>
      <c r="D46" s="23">
        <f>IF(OR(A46="",'Keşif'!$H$3=0),"",C46/'Keşif'!$H$3)</f>
        <v/>
      </c>
      <c r="E46" s="23">
        <f>IF(OR(B46="",D46=""),"",D46-B46)</f>
        <v/>
      </c>
      <c r="F46" s="24">
        <f>IF(E46="","",IF(E46&gt;PursantajTol,"Finansman yükü: maliyet ödemeden önde",IF(E46&lt;-PursantajTol,"Lehte: ödeme maliyetten önde","Uyumlu")))</f>
        <v/>
      </c>
    </row>
    <row r="47">
      <c r="A47" s="5" t="n"/>
      <c r="B47" s="22" t="n"/>
      <c r="C47" s="20">
        <f>IF(A47="","",SUMIF('Keşif'!$B$5:$B$504,A47,'Keşif'!$H$5:$H$504))</f>
        <v/>
      </c>
      <c r="D47" s="23">
        <f>IF(OR(A47="",'Keşif'!$H$3=0),"",C47/'Keşif'!$H$3)</f>
        <v/>
      </c>
      <c r="E47" s="23">
        <f>IF(OR(B47="",D47=""),"",D47-B47)</f>
        <v/>
      </c>
      <c r="F47" s="24">
        <f>IF(E47="","",IF(E47&gt;PursantajTol,"Finansman yükü: maliyet ödemeden önde",IF(E47&lt;-PursantajTol,"Lehte: ödeme maliyetten önde","Uyumlu")))</f>
        <v/>
      </c>
    </row>
    <row r="48">
      <c r="A48" s="5" t="n"/>
      <c r="B48" s="22" t="n"/>
      <c r="C48" s="20">
        <f>IF(A48="","",SUMIF('Keşif'!$B$5:$B$504,A48,'Keşif'!$H$5:$H$504))</f>
        <v/>
      </c>
      <c r="D48" s="23">
        <f>IF(OR(A48="",'Keşif'!$H$3=0),"",C48/'Keşif'!$H$3)</f>
        <v/>
      </c>
      <c r="E48" s="23">
        <f>IF(OR(B48="",D48=""),"",D48-B48)</f>
        <v/>
      </c>
      <c r="F48" s="24">
        <f>IF(E48="","",IF(E48&gt;PursantajTol,"Finansman yükü: maliyet ödemeden önde",IF(E48&lt;-PursantajTol,"Lehte: ödeme maliyetten önde","Uyumlu")))</f>
        <v/>
      </c>
    </row>
    <row r="49">
      <c r="A49" s="5" t="n"/>
      <c r="B49" s="22" t="n"/>
      <c r="C49" s="20">
        <f>IF(A49="","",SUMIF('Keşif'!$B$5:$B$504,A49,'Keşif'!$H$5:$H$504))</f>
        <v/>
      </c>
      <c r="D49" s="23">
        <f>IF(OR(A49="",'Keşif'!$H$3=0),"",C49/'Keşif'!$H$3)</f>
        <v/>
      </c>
      <c r="E49" s="23">
        <f>IF(OR(B49="",D49=""),"",D49-B49)</f>
        <v/>
      </c>
      <c r="F49" s="24">
        <f>IF(E49="","",IF(E49&gt;PursantajTol,"Finansman yükü: maliyet ödemeden önde",IF(E49&lt;-PursantajTol,"Lehte: ödeme maliyetten önde","Uyumlu")))</f>
        <v/>
      </c>
    </row>
    <row r="50">
      <c r="A50" s="5" t="n"/>
      <c r="B50" s="22" t="n"/>
      <c r="C50" s="20">
        <f>IF(A50="","",SUMIF('Keşif'!$B$5:$B$504,A50,'Keşif'!$H$5:$H$504))</f>
        <v/>
      </c>
      <c r="D50" s="23">
        <f>IF(OR(A50="",'Keşif'!$H$3=0),"",C50/'Keşif'!$H$3)</f>
        <v/>
      </c>
      <c r="E50" s="23">
        <f>IF(OR(B50="",D50=""),"",D50-B50)</f>
        <v/>
      </c>
      <c r="F50" s="24">
        <f>IF(E50="","",IF(E50&gt;PursantajTol,"Finansman yükü: maliyet ödemeden önde",IF(E50&lt;-PursantajTol,"Lehte: ödeme maliyetten önde","Uyumlu")))</f>
        <v/>
      </c>
    </row>
    <row r="51">
      <c r="A51" s="5" t="n"/>
      <c r="B51" s="22" t="n"/>
      <c r="C51" s="20">
        <f>IF(A51="","",SUMIF('Keşif'!$B$5:$B$504,A51,'Keşif'!$H$5:$H$504))</f>
        <v/>
      </c>
      <c r="D51" s="23">
        <f>IF(OR(A51="",'Keşif'!$H$3=0),"",C51/'Keşif'!$H$3)</f>
        <v/>
      </c>
      <c r="E51" s="23">
        <f>IF(OR(B51="",D51=""),"",D51-B51)</f>
        <v/>
      </c>
      <c r="F51" s="24">
        <f>IF(E51="","",IF(E51&gt;PursantajTol,"Finansman yükü: maliyet ödemeden önde",IF(E51&lt;-PursantajTol,"Lehte: ödeme maliyetten önde","Uyumlu")))</f>
        <v/>
      </c>
    </row>
    <row r="52">
      <c r="A52" s="5" t="n"/>
      <c r="B52" s="22" t="n"/>
      <c r="C52" s="20">
        <f>IF(A52="","",SUMIF('Keşif'!$B$5:$B$504,A52,'Keşif'!$H$5:$H$504))</f>
        <v/>
      </c>
      <c r="D52" s="23">
        <f>IF(OR(A52="",'Keşif'!$H$3=0),"",C52/'Keşif'!$H$3)</f>
        <v/>
      </c>
      <c r="E52" s="23">
        <f>IF(OR(B52="",D52=""),"",D52-B52)</f>
        <v/>
      </c>
      <c r="F52" s="24">
        <f>IF(E52="","",IF(E52&gt;PursantajTol,"Finansman yükü: maliyet ödemeden önde",IF(E52&lt;-PursantajTol,"Lehte: ödeme maliyetten önde","Uyumlu")))</f>
        <v/>
      </c>
    </row>
    <row r="53">
      <c r="A53" s="5" t="n"/>
      <c r="B53" s="22" t="n"/>
      <c r="C53" s="20">
        <f>IF(A53="","",SUMIF('Keşif'!$B$5:$B$504,A53,'Keşif'!$H$5:$H$504))</f>
        <v/>
      </c>
      <c r="D53" s="23">
        <f>IF(OR(A53="",'Keşif'!$H$3=0),"",C53/'Keşif'!$H$3)</f>
        <v/>
      </c>
      <c r="E53" s="23">
        <f>IF(OR(B53="",D53=""),"",D53-B53)</f>
        <v/>
      </c>
      <c r="F53" s="24">
        <f>IF(E53="","",IF(E53&gt;PursantajTol,"Finansman yükü: maliyet ödemeden önde",IF(E53&lt;-PursantajTol,"Lehte: ödeme maliyetten önde","Uyumlu")))</f>
        <v/>
      </c>
    </row>
    <row r="54">
      <c r="A54" s="5" t="n"/>
      <c r="B54" s="22" t="n"/>
      <c r="C54" s="20">
        <f>IF(A54="","",SUMIF('Keşif'!$B$5:$B$504,A54,'Keşif'!$H$5:$H$504))</f>
        <v/>
      </c>
      <c r="D54" s="23">
        <f>IF(OR(A54="",'Keşif'!$H$3=0),"",C54/'Keşif'!$H$3)</f>
        <v/>
      </c>
      <c r="E54" s="23">
        <f>IF(OR(B54="",D54=""),"",D54-B54)</f>
        <v/>
      </c>
      <c r="F54" s="24">
        <f>IF(E54="","",IF(E54&gt;PursantajTol,"Finansman yükü: maliyet ödemeden önde",IF(E54&lt;-PursantajTol,"Lehte: ödeme maliyetten önde","Uyumlu")))</f>
        <v/>
      </c>
    </row>
    <row r="55">
      <c r="A55" s="5" t="n"/>
      <c r="B55" s="22" t="n"/>
      <c r="C55" s="20">
        <f>IF(A55="","",SUMIF('Keşif'!$B$5:$B$504,A55,'Keşif'!$H$5:$H$504))</f>
        <v/>
      </c>
      <c r="D55" s="23">
        <f>IF(OR(A55="",'Keşif'!$H$3=0),"",C55/'Keşif'!$H$3)</f>
        <v/>
      </c>
      <c r="E55" s="23">
        <f>IF(OR(B55="",D55=""),"",D55-B55)</f>
        <v/>
      </c>
      <c r="F55" s="24">
        <f>IF(E55="","",IF(E55&gt;PursantajTol,"Finansman yükü: maliyet ödemeden önde",IF(E55&lt;-PursantajTol,"Lehte: ödeme maliyetten önde","Uyumlu")))</f>
        <v/>
      </c>
    </row>
    <row r="56">
      <c r="A56" s="5" t="n"/>
      <c r="B56" s="22" t="n"/>
      <c r="C56" s="20">
        <f>IF(A56="","",SUMIF('Keşif'!$B$5:$B$504,A56,'Keşif'!$H$5:$H$504))</f>
        <v/>
      </c>
      <c r="D56" s="23">
        <f>IF(OR(A56="",'Keşif'!$H$3=0),"",C56/'Keşif'!$H$3)</f>
        <v/>
      </c>
      <c r="E56" s="23">
        <f>IF(OR(B56="",D56=""),"",D56-B56)</f>
        <v/>
      </c>
      <c r="F56" s="24">
        <f>IF(E56="","",IF(E56&gt;PursantajTol,"Finansman yükü: maliyet ödemeden önde",IF(E56&lt;-PursantajTol,"Lehte: ödeme maliyetten önde","Uyumlu")))</f>
        <v/>
      </c>
    </row>
    <row r="57">
      <c r="A57" s="5" t="n"/>
      <c r="B57" s="22" t="n"/>
      <c r="C57" s="20">
        <f>IF(A57="","",SUMIF('Keşif'!$B$5:$B$504,A57,'Keşif'!$H$5:$H$504))</f>
        <v/>
      </c>
      <c r="D57" s="23">
        <f>IF(OR(A57="",'Keşif'!$H$3=0),"",C57/'Keşif'!$H$3)</f>
        <v/>
      </c>
      <c r="E57" s="23">
        <f>IF(OR(B57="",D57=""),"",D57-B57)</f>
        <v/>
      </c>
      <c r="F57" s="24">
        <f>IF(E57="","",IF(E57&gt;PursantajTol,"Finansman yükü: maliyet ödemeden önde",IF(E57&lt;-PursantajTol,"Lehte: ödeme maliyetten önde","Uyumlu")))</f>
        <v/>
      </c>
    </row>
    <row r="58">
      <c r="A58" s="5" t="n"/>
      <c r="B58" s="22" t="n"/>
      <c r="C58" s="20">
        <f>IF(A58="","",SUMIF('Keşif'!$B$5:$B$504,A58,'Keşif'!$H$5:$H$504))</f>
        <v/>
      </c>
      <c r="D58" s="23">
        <f>IF(OR(A58="",'Keşif'!$H$3=0),"",C58/'Keşif'!$H$3)</f>
        <v/>
      </c>
      <c r="E58" s="23">
        <f>IF(OR(B58="",D58=""),"",D58-B58)</f>
        <v/>
      </c>
      <c r="F58" s="24">
        <f>IF(E58="","",IF(E58&gt;PursantajTol,"Finansman yükü: maliyet ödemeden önde",IF(E58&lt;-PursantajTol,"Lehte: ödeme maliyetten önde","Uyumlu")))</f>
        <v/>
      </c>
    </row>
    <row r="59">
      <c r="A59" s="5" t="n"/>
      <c r="B59" s="22" t="n"/>
      <c r="C59" s="20">
        <f>IF(A59="","",SUMIF('Keşif'!$B$5:$B$504,A59,'Keşif'!$H$5:$H$504))</f>
        <v/>
      </c>
      <c r="D59" s="23">
        <f>IF(OR(A59="",'Keşif'!$H$3=0),"",C59/'Keşif'!$H$3)</f>
        <v/>
      </c>
      <c r="E59" s="23">
        <f>IF(OR(B59="",D59=""),"",D59-B59)</f>
        <v/>
      </c>
      <c r="F59" s="24">
        <f>IF(E59="","",IF(E59&gt;PursantajTol,"Finansman yükü: maliyet ödemeden önde",IF(E59&lt;-PursantajTol,"Lehte: ödeme maliyetten önde","Uyumlu")))</f>
        <v/>
      </c>
    </row>
    <row r="60">
      <c r="A60" s="5" t="n"/>
      <c r="B60" s="22" t="n"/>
      <c r="C60" s="20">
        <f>IF(A60="","",SUMIF('Keşif'!$B$5:$B$504,A60,'Keşif'!$H$5:$H$504))</f>
        <v/>
      </c>
      <c r="D60" s="23">
        <f>IF(OR(A60="",'Keşif'!$H$3=0),"",C60/'Keşif'!$H$3)</f>
        <v/>
      </c>
      <c r="E60" s="23">
        <f>IF(OR(B60="",D60=""),"",D60-B60)</f>
        <v/>
      </c>
      <c r="F60" s="24">
        <f>IF(E60="","",IF(E60&gt;PursantajTol,"Finansman yükü: maliyet ödemeden önde",IF(E60&lt;-PursantajTol,"Lehte: ödeme maliyetten önde","Uyumlu")))</f>
        <v/>
      </c>
    </row>
    <row r="61">
      <c r="A61" s="5" t="n"/>
      <c r="B61" s="22" t="n"/>
      <c r="C61" s="20">
        <f>IF(A61="","",SUMIF('Keşif'!$B$5:$B$504,A61,'Keşif'!$H$5:$H$504))</f>
        <v/>
      </c>
      <c r="D61" s="23">
        <f>IF(OR(A61="",'Keşif'!$H$3=0),"",C61/'Keşif'!$H$3)</f>
        <v/>
      </c>
      <c r="E61" s="23">
        <f>IF(OR(B61="",D61=""),"",D61-B61)</f>
        <v/>
      </c>
      <c r="F61" s="24">
        <f>IF(E61="","",IF(E61&gt;PursantajTol,"Finansman yükü: maliyet ödemeden önde",IF(E61&lt;-PursantajTol,"Lehte: ödeme maliyetten önde","Uyumlu")))</f>
        <v/>
      </c>
    </row>
    <row r="62">
      <c r="A62" s="5" t="n"/>
      <c r="B62" s="22" t="n"/>
      <c r="C62" s="20">
        <f>IF(A62="","",SUMIF('Keşif'!$B$5:$B$504,A62,'Keşif'!$H$5:$H$504))</f>
        <v/>
      </c>
      <c r="D62" s="23">
        <f>IF(OR(A62="",'Keşif'!$H$3=0),"",C62/'Keşif'!$H$3)</f>
        <v/>
      </c>
      <c r="E62" s="23">
        <f>IF(OR(B62="",D62=""),"",D62-B62)</f>
        <v/>
      </c>
      <c r="F62" s="24">
        <f>IF(E62="","",IF(E62&gt;PursantajTol,"Finansman yükü: maliyet ödemeden önde",IF(E62&lt;-PursantajTol,"Lehte: ödeme maliyetten önde","Uyumlu")))</f>
        <v/>
      </c>
    </row>
    <row r="63">
      <c r="A63" s="5" t="n"/>
      <c r="B63" s="22" t="n"/>
      <c r="C63" s="20">
        <f>IF(A63="","",SUMIF('Keşif'!$B$5:$B$504,A63,'Keşif'!$H$5:$H$504))</f>
        <v/>
      </c>
      <c r="D63" s="23">
        <f>IF(OR(A63="",'Keşif'!$H$3=0),"",C63/'Keşif'!$H$3)</f>
        <v/>
      </c>
      <c r="E63" s="23">
        <f>IF(OR(B63="",D63=""),"",D63-B63)</f>
        <v/>
      </c>
      <c r="F63" s="24">
        <f>IF(E63="","",IF(E63&gt;PursantajTol,"Finansman yükü: maliyet ödemeden önde",IF(E63&lt;-PursantajTol,"Lehte: ödeme maliyetten önde","Uyumlu")))</f>
        <v/>
      </c>
    </row>
    <row r="64">
      <c r="A64" s="5" t="n"/>
      <c r="B64" s="22" t="n"/>
      <c r="C64" s="20">
        <f>IF(A64="","",SUMIF('Keşif'!$B$5:$B$504,A64,'Keşif'!$H$5:$H$504))</f>
        <v/>
      </c>
      <c r="D64" s="23">
        <f>IF(OR(A64="",'Keşif'!$H$3=0),"",C64/'Keşif'!$H$3)</f>
        <v/>
      </c>
      <c r="E64" s="23">
        <f>IF(OR(B64="",D64=""),"",D64-B64)</f>
        <v/>
      </c>
      <c r="F64" s="24">
        <f>IF(E64="","",IF(E64&gt;PursantajTol,"Finansman yükü: maliyet ödemeden önde",IF(E64&lt;-PursantajTol,"Lehte: ödeme maliyetten önde","Uyumlu")))</f>
        <v/>
      </c>
    </row>
    <row r="65">
      <c r="A65" s="5" t="n"/>
      <c r="B65" s="22" t="n"/>
      <c r="C65" s="20">
        <f>IF(A65="","",SUMIF('Keşif'!$B$5:$B$504,A65,'Keşif'!$H$5:$H$504))</f>
        <v/>
      </c>
      <c r="D65" s="23">
        <f>IF(OR(A65="",'Keşif'!$H$3=0),"",C65/'Keşif'!$H$3)</f>
        <v/>
      </c>
      <c r="E65" s="23">
        <f>IF(OR(B65="",D65=""),"",D65-B65)</f>
        <v/>
      </c>
      <c r="F65" s="24">
        <f>IF(E65="","",IF(E65&gt;PursantajTol,"Finansman yükü: maliyet ödemeden önde",IF(E65&lt;-PursantajTol,"Lehte: ödeme maliyetten önde","Uyumlu")))</f>
        <v/>
      </c>
    </row>
    <row r="66">
      <c r="A66" s="5" t="n"/>
      <c r="B66" s="22" t="n"/>
      <c r="C66" s="20">
        <f>IF(A66="","",SUMIF('Keşif'!$B$5:$B$504,A66,'Keşif'!$H$5:$H$504))</f>
        <v/>
      </c>
      <c r="D66" s="23">
        <f>IF(OR(A66="",'Keşif'!$H$3=0),"",C66/'Keşif'!$H$3)</f>
        <v/>
      </c>
      <c r="E66" s="23">
        <f>IF(OR(B66="",D66=""),"",D66-B66)</f>
        <v/>
      </c>
      <c r="F66" s="24">
        <f>IF(E66="","",IF(E66&gt;PursantajTol,"Finansman yükü: maliyet ödemeden önde",IF(E66&lt;-PursantajTol,"Lehte: ödeme maliyetten önde","Uyumlu")))</f>
        <v/>
      </c>
    </row>
    <row r="67">
      <c r="A67" s="5" t="n"/>
      <c r="B67" s="22" t="n"/>
      <c r="C67" s="20">
        <f>IF(A67="","",SUMIF('Keşif'!$B$5:$B$504,A67,'Keşif'!$H$5:$H$504))</f>
        <v/>
      </c>
      <c r="D67" s="23">
        <f>IF(OR(A67="",'Keşif'!$H$3=0),"",C67/'Keşif'!$H$3)</f>
        <v/>
      </c>
      <c r="E67" s="23">
        <f>IF(OR(B67="",D67=""),"",D67-B67)</f>
        <v/>
      </c>
      <c r="F67" s="24">
        <f>IF(E67="","",IF(E67&gt;PursantajTol,"Finansman yükü: maliyet ödemeden önde",IF(E67&lt;-PursantajTol,"Lehte: ödeme maliyetten önde","Uyumlu")))</f>
        <v/>
      </c>
    </row>
    <row r="68">
      <c r="A68" s="5" t="n"/>
      <c r="B68" s="22" t="n"/>
      <c r="C68" s="20">
        <f>IF(A68="","",SUMIF('Keşif'!$B$5:$B$504,A68,'Keşif'!$H$5:$H$504))</f>
        <v/>
      </c>
      <c r="D68" s="23">
        <f>IF(OR(A68="",'Keşif'!$H$3=0),"",C68/'Keşif'!$H$3)</f>
        <v/>
      </c>
      <c r="E68" s="23">
        <f>IF(OR(B68="",D68=""),"",D68-B68)</f>
        <v/>
      </c>
      <c r="F68" s="24">
        <f>IF(E68="","",IF(E68&gt;PursantajTol,"Finansman yükü: maliyet ödemeden önde",IF(E68&lt;-PursantajTol,"Lehte: ödeme maliyetten önde","Uyumlu")))</f>
        <v/>
      </c>
    </row>
    <row r="69">
      <c r="A69" s="5" t="n"/>
      <c r="B69" s="22" t="n"/>
      <c r="C69" s="20">
        <f>IF(A69="","",SUMIF('Keşif'!$B$5:$B$504,A69,'Keşif'!$H$5:$H$504))</f>
        <v/>
      </c>
      <c r="D69" s="23">
        <f>IF(OR(A69="",'Keşif'!$H$3=0),"",C69/'Keşif'!$H$3)</f>
        <v/>
      </c>
      <c r="E69" s="23">
        <f>IF(OR(B69="",D69=""),"",D69-B69)</f>
        <v/>
      </c>
      <c r="F69" s="24">
        <f>IF(E69="","",IF(E69&gt;PursantajTol,"Finansman yükü: maliyet ödemeden önde",IF(E69&lt;-PursantajTol,"Lehte: ödeme maliyetten önde","Uyumlu")))</f>
        <v/>
      </c>
    </row>
    <row r="70">
      <c r="A70" s="5" t="n"/>
      <c r="B70" s="22" t="n"/>
      <c r="C70" s="20">
        <f>IF(A70="","",SUMIF('Keşif'!$B$5:$B$504,A70,'Keşif'!$H$5:$H$504))</f>
        <v/>
      </c>
      <c r="D70" s="23">
        <f>IF(OR(A70="",'Keşif'!$H$3=0),"",C70/'Keşif'!$H$3)</f>
        <v/>
      </c>
      <c r="E70" s="23">
        <f>IF(OR(B70="",D70=""),"",D70-B70)</f>
        <v/>
      </c>
      <c r="F70" s="24">
        <f>IF(E70="","",IF(E70&gt;PursantajTol,"Finansman yükü: maliyet ödemeden önde",IF(E70&lt;-PursantajTol,"Lehte: ödeme maliyetten önde","Uyumlu")))</f>
        <v/>
      </c>
    </row>
    <row r="71">
      <c r="A71" s="5" t="n"/>
      <c r="B71" s="22" t="n"/>
      <c r="C71" s="20">
        <f>IF(A71="","",SUMIF('Keşif'!$B$5:$B$504,A71,'Keşif'!$H$5:$H$504))</f>
        <v/>
      </c>
      <c r="D71" s="23">
        <f>IF(OR(A71="",'Keşif'!$H$3=0),"",C71/'Keşif'!$H$3)</f>
        <v/>
      </c>
      <c r="E71" s="23">
        <f>IF(OR(B71="",D71=""),"",D71-B71)</f>
        <v/>
      </c>
      <c r="F71" s="24">
        <f>IF(E71="","",IF(E71&gt;PursantajTol,"Finansman yükü: maliyet ödemeden önde",IF(E71&lt;-PursantajTol,"Lehte: ödeme maliyetten önde","Uyumlu")))</f>
        <v/>
      </c>
    </row>
    <row r="72">
      <c r="A72" s="5" t="n"/>
      <c r="B72" s="22" t="n"/>
      <c r="C72" s="20">
        <f>IF(A72="","",SUMIF('Keşif'!$B$5:$B$504,A72,'Keşif'!$H$5:$H$504))</f>
        <v/>
      </c>
      <c r="D72" s="23">
        <f>IF(OR(A72="",'Keşif'!$H$3=0),"",C72/'Keşif'!$H$3)</f>
        <v/>
      </c>
      <c r="E72" s="23">
        <f>IF(OR(B72="",D72=""),"",D72-B72)</f>
        <v/>
      </c>
      <c r="F72" s="24">
        <f>IF(E72="","",IF(E72&gt;PursantajTol,"Finansman yükü: maliyet ödemeden önde",IF(E72&lt;-PursantajTol,"Lehte: ödeme maliyetten önde","Uyumlu")))</f>
        <v/>
      </c>
    </row>
    <row r="73">
      <c r="A73" s="5" t="n"/>
      <c r="B73" s="22" t="n"/>
      <c r="C73" s="20">
        <f>IF(A73="","",SUMIF('Keşif'!$B$5:$B$504,A73,'Keşif'!$H$5:$H$504))</f>
        <v/>
      </c>
      <c r="D73" s="23">
        <f>IF(OR(A73="",'Keşif'!$H$3=0),"",C73/'Keşif'!$H$3)</f>
        <v/>
      </c>
      <c r="E73" s="23">
        <f>IF(OR(B73="",D73=""),"",D73-B73)</f>
        <v/>
      </c>
      <c r="F73" s="24">
        <f>IF(E73="","",IF(E73&gt;PursantajTol,"Finansman yükü: maliyet ödemeden önde",IF(E73&lt;-PursantajTol,"Lehte: ödeme maliyetten önde","Uyumlu")))</f>
        <v/>
      </c>
    </row>
    <row r="74">
      <c r="A74" s="5" t="n"/>
      <c r="B74" s="22" t="n"/>
      <c r="C74" s="20">
        <f>IF(A74="","",SUMIF('Keşif'!$B$5:$B$504,A74,'Keşif'!$H$5:$H$504))</f>
        <v/>
      </c>
      <c r="D74" s="23">
        <f>IF(OR(A74="",'Keşif'!$H$3=0),"",C74/'Keşif'!$H$3)</f>
        <v/>
      </c>
      <c r="E74" s="23">
        <f>IF(OR(B74="",D74=""),"",D74-B74)</f>
        <v/>
      </c>
      <c r="F74" s="24">
        <f>IF(E74="","",IF(E74&gt;PursantajTol,"Finansman yükü: maliyet ödemeden önde",IF(E74&lt;-PursantajTol,"Lehte: ödeme maliyetten önde","Uyumlu")))</f>
        <v/>
      </c>
    </row>
    <row r="75">
      <c r="A75" s="5" t="n"/>
      <c r="B75" s="22" t="n"/>
      <c r="C75" s="20">
        <f>IF(A75="","",SUMIF('Keşif'!$B$5:$B$504,A75,'Keşif'!$H$5:$H$504))</f>
        <v/>
      </c>
      <c r="D75" s="23">
        <f>IF(OR(A75="",'Keşif'!$H$3=0),"",C75/'Keşif'!$H$3)</f>
        <v/>
      </c>
      <c r="E75" s="23">
        <f>IF(OR(B75="",D75=""),"",D75-B75)</f>
        <v/>
      </c>
      <c r="F75" s="24">
        <f>IF(E75="","",IF(E75&gt;PursantajTol,"Finansman yükü: maliyet ödemeden önde",IF(E75&lt;-PursantajTol,"Lehte: ödeme maliyetten önde","Uyumlu")))</f>
        <v/>
      </c>
    </row>
    <row r="76">
      <c r="A76" s="5" t="n"/>
      <c r="B76" s="22" t="n"/>
      <c r="C76" s="20">
        <f>IF(A76="","",SUMIF('Keşif'!$B$5:$B$504,A76,'Keşif'!$H$5:$H$504))</f>
        <v/>
      </c>
      <c r="D76" s="23">
        <f>IF(OR(A76="",'Keşif'!$H$3=0),"",C76/'Keşif'!$H$3)</f>
        <v/>
      </c>
      <c r="E76" s="23">
        <f>IF(OR(B76="",D76=""),"",D76-B76)</f>
        <v/>
      </c>
      <c r="F76" s="24">
        <f>IF(E76="","",IF(E76&gt;PursantajTol,"Finansman yükü: maliyet ödemeden önde",IF(E76&lt;-PursantajTol,"Lehte: ödeme maliyetten önde","Uyumlu")))</f>
        <v/>
      </c>
    </row>
    <row r="77">
      <c r="A77" s="5" t="n"/>
      <c r="B77" s="22" t="n"/>
      <c r="C77" s="20">
        <f>IF(A77="","",SUMIF('Keşif'!$B$5:$B$504,A77,'Keşif'!$H$5:$H$504))</f>
        <v/>
      </c>
      <c r="D77" s="23">
        <f>IF(OR(A77="",'Keşif'!$H$3=0),"",C77/'Keşif'!$H$3)</f>
        <v/>
      </c>
      <c r="E77" s="23">
        <f>IF(OR(B77="",D77=""),"",D77-B77)</f>
        <v/>
      </c>
      <c r="F77" s="24">
        <f>IF(E77="","",IF(E77&gt;PursantajTol,"Finansman yükü: maliyet ödemeden önde",IF(E77&lt;-PursantajTol,"Lehte: ödeme maliyetten önde","Uyumlu")))</f>
        <v/>
      </c>
    </row>
    <row r="78">
      <c r="A78" s="5" t="n"/>
      <c r="B78" s="22" t="n"/>
      <c r="C78" s="20">
        <f>IF(A78="","",SUMIF('Keşif'!$B$5:$B$504,A78,'Keşif'!$H$5:$H$504))</f>
        <v/>
      </c>
      <c r="D78" s="23">
        <f>IF(OR(A78="",'Keşif'!$H$3=0),"",C78/'Keşif'!$H$3)</f>
        <v/>
      </c>
      <c r="E78" s="23">
        <f>IF(OR(B78="",D78=""),"",D78-B78)</f>
        <v/>
      </c>
      <c r="F78" s="24">
        <f>IF(E78="","",IF(E78&gt;PursantajTol,"Finansman yükü: maliyet ödemeden önde",IF(E78&lt;-PursantajTol,"Lehte: ödeme maliyetten önde","Uyumlu")))</f>
        <v/>
      </c>
    </row>
    <row r="79">
      <c r="A79" s="5" t="n"/>
      <c r="B79" s="22" t="n"/>
      <c r="C79" s="20">
        <f>IF(A79="","",SUMIF('Keşif'!$B$5:$B$504,A79,'Keşif'!$H$5:$H$504))</f>
        <v/>
      </c>
      <c r="D79" s="23">
        <f>IF(OR(A79="",'Keşif'!$H$3=0),"",C79/'Keşif'!$H$3)</f>
        <v/>
      </c>
      <c r="E79" s="23">
        <f>IF(OR(B79="",D79=""),"",D79-B79)</f>
        <v/>
      </c>
      <c r="F79" s="24">
        <f>IF(E79="","",IF(E79&gt;PursantajTol,"Finansman yükü: maliyet ödemeden önde",IF(E79&lt;-PursantajTol,"Lehte: ödeme maliyetten önde","Uyumlu")))</f>
        <v/>
      </c>
    </row>
    <row r="80">
      <c r="A80" s="5" t="n"/>
      <c r="B80" s="22" t="n"/>
      <c r="C80" s="20">
        <f>IF(A80="","",SUMIF('Keşif'!$B$5:$B$504,A80,'Keşif'!$H$5:$H$504))</f>
        <v/>
      </c>
      <c r="D80" s="23">
        <f>IF(OR(A80="",'Keşif'!$H$3=0),"",C80/'Keşif'!$H$3)</f>
        <v/>
      </c>
      <c r="E80" s="23">
        <f>IF(OR(B80="",D80=""),"",D80-B80)</f>
        <v/>
      </c>
      <c r="F80" s="24">
        <f>IF(E80="","",IF(E80&gt;PursantajTol,"Finansman yükü: maliyet ödemeden önde",IF(E80&lt;-PursantajTol,"Lehte: ödeme maliyetten önde","Uyumlu")))</f>
        <v/>
      </c>
    </row>
    <row r="81">
      <c r="A81" s="5" t="n"/>
      <c r="B81" s="22" t="n"/>
      <c r="C81" s="20">
        <f>IF(A81="","",SUMIF('Keşif'!$B$5:$B$504,A81,'Keşif'!$H$5:$H$504))</f>
        <v/>
      </c>
      <c r="D81" s="23">
        <f>IF(OR(A81="",'Keşif'!$H$3=0),"",C81/'Keşif'!$H$3)</f>
        <v/>
      </c>
      <c r="E81" s="23">
        <f>IF(OR(B81="",D81=""),"",D81-B81)</f>
        <v/>
      </c>
      <c r="F81" s="24">
        <f>IF(E81="","",IF(E81&gt;PursantajTol,"Finansman yükü: maliyet ödemeden önde",IF(E81&lt;-PursantajTol,"Lehte: ödeme maliyetten önde","Uyumlu")))</f>
        <v/>
      </c>
    </row>
    <row r="82">
      <c r="A82" s="5" t="n"/>
      <c r="B82" s="22" t="n"/>
      <c r="C82" s="20">
        <f>IF(A82="","",SUMIF('Keşif'!$B$5:$B$504,A82,'Keşif'!$H$5:$H$504))</f>
        <v/>
      </c>
      <c r="D82" s="23">
        <f>IF(OR(A82="",'Keşif'!$H$3=0),"",C82/'Keşif'!$H$3)</f>
        <v/>
      </c>
      <c r="E82" s="23">
        <f>IF(OR(B82="",D82=""),"",D82-B82)</f>
        <v/>
      </c>
      <c r="F82" s="24">
        <f>IF(E82="","",IF(E82&gt;PursantajTol,"Finansman yükü: maliyet ödemeden önde",IF(E82&lt;-PursantajTol,"Lehte: ödeme maliyetten önde","Uyumlu")))</f>
        <v/>
      </c>
    </row>
    <row r="83">
      <c r="A83" s="5" t="n"/>
      <c r="B83" s="22" t="n"/>
      <c r="C83" s="20">
        <f>IF(A83="","",SUMIF('Keşif'!$B$5:$B$504,A83,'Keşif'!$H$5:$H$504))</f>
        <v/>
      </c>
      <c r="D83" s="23">
        <f>IF(OR(A83="",'Keşif'!$H$3=0),"",C83/'Keşif'!$H$3)</f>
        <v/>
      </c>
      <c r="E83" s="23">
        <f>IF(OR(B83="",D83=""),"",D83-B83)</f>
        <v/>
      </c>
      <c r="F83" s="24">
        <f>IF(E83="","",IF(E83&gt;PursantajTol,"Finansman yükü: maliyet ödemeden önde",IF(E83&lt;-PursantajTol,"Lehte: ödeme maliyetten önde","Uyumlu")))</f>
        <v/>
      </c>
    </row>
    <row r="84">
      <c r="A84" s="5" t="n"/>
      <c r="B84" s="22" t="n"/>
      <c r="C84" s="20">
        <f>IF(A84="","",SUMIF('Keşif'!$B$5:$B$504,A84,'Keşif'!$H$5:$H$504))</f>
        <v/>
      </c>
      <c r="D84" s="23">
        <f>IF(OR(A84="",'Keşif'!$H$3=0),"",C84/'Keşif'!$H$3)</f>
        <v/>
      </c>
      <c r="E84" s="23">
        <f>IF(OR(B84="",D84=""),"",D84-B84)</f>
        <v/>
      </c>
      <c r="F84" s="24">
        <f>IF(E84="","",IF(E84&gt;PursantajTol,"Finansman yükü: maliyet ödemeden önde",IF(E84&lt;-PursantajTol,"Lehte: ödeme maliyetten önde","Uyumlu")))</f>
        <v/>
      </c>
    </row>
    <row r="85">
      <c r="A85" s="5" t="n"/>
      <c r="B85" s="22" t="n"/>
      <c r="C85" s="20">
        <f>IF(A85="","",SUMIF('Keşif'!$B$5:$B$504,A85,'Keşif'!$H$5:$H$504))</f>
        <v/>
      </c>
      <c r="D85" s="23">
        <f>IF(OR(A85="",'Keşif'!$H$3=0),"",C85/'Keşif'!$H$3)</f>
        <v/>
      </c>
      <c r="E85" s="23">
        <f>IF(OR(B85="",D85=""),"",D85-B85)</f>
        <v/>
      </c>
      <c r="F85" s="24">
        <f>IF(E85="","",IF(E85&gt;PursantajTol,"Finansman yükü: maliyet ödemeden önde",IF(E85&lt;-PursantajTol,"Lehte: ödeme maliyetten önde","Uyumlu")))</f>
        <v/>
      </c>
    </row>
    <row r="86">
      <c r="A86" s="5" t="n"/>
      <c r="B86" s="22" t="n"/>
      <c r="C86" s="20">
        <f>IF(A86="","",SUMIF('Keşif'!$B$5:$B$504,A86,'Keşif'!$H$5:$H$504))</f>
        <v/>
      </c>
      <c r="D86" s="23">
        <f>IF(OR(A86="",'Keşif'!$H$3=0),"",C86/'Keşif'!$H$3)</f>
        <v/>
      </c>
      <c r="E86" s="23">
        <f>IF(OR(B86="",D86=""),"",D86-B86)</f>
        <v/>
      </c>
      <c r="F86" s="24">
        <f>IF(E86="","",IF(E86&gt;PursantajTol,"Finansman yükü: maliyet ödemeden önde",IF(E86&lt;-PursantajTol,"Lehte: ödeme maliyetten önde","Uyumlu")))</f>
        <v/>
      </c>
    </row>
    <row r="87">
      <c r="A87" s="5" t="n"/>
      <c r="B87" s="22" t="n"/>
      <c r="C87" s="20">
        <f>IF(A87="","",SUMIF('Keşif'!$B$5:$B$504,A87,'Keşif'!$H$5:$H$504))</f>
        <v/>
      </c>
      <c r="D87" s="23">
        <f>IF(OR(A87="",'Keşif'!$H$3=0),"",C87/'Keşif'!$H$3)</f>
        <v/>
      </c>
      <c r="E87" s="23">
        <f>IF(OR(B87="",D87=""),"",D87-B87)</f>
        <v/>
      </c>
      <c r="F87" s="24">
        <f>IF(E87="","",IF(E87&gt;PursantajTol,"Finansman yükü: maliyet ödemeden önde",IF(E87&lt;-PursantajTol,"Lehte: ödeme maliyetten önde","Uyumlu")))</f>
        <v/>
      </c>
    </row>
    <row r="88">
      <c r="A88" s="5" t="n"/>
      <c r="B88" s="22" t="n"/>
      <c r="C88" s="20">
        <f>IF(A88="","",SUMIF('Keşif'!$B$5:$B$504,A88,'Keşif'!$H$5:$H$504))</f>
        <v/>
      </c>
      <c r="D88" s="23">
        <f>IF(OR(A88="",'Keşif'!$H$3=0),"",C88/'Keşif'!$H$3)</f>
        <v/>
      </c>
      <c r="E88" s="23">
        <f>IF(OR(B88="",D88=""),"",D88-B88)</f>
        <v/>
      </c>
      <c r="F88" s="24">
        <f>IF(E88="","",IF(E88&gt;PursantajTol,"Finansman yükü: maliyet ödemeden önde",IF(E88&lt;-PursantajTol,"Lehte: ödeme maliyetten önde","Uyumlu")))</f>
        <v/>
      </c>
    </row>
    <row r="89">
      <c r="A89" s="5" t="n"/>
      <c r="B89" s="22" t="n"/>
      <c r="C89" s="20">
        <f>IF(A89="","",SUMIF('Keşif'!$B$5:$B$504,A89,'Keşif'!$H$5:$H$504))</f>
        <v/>
      </c>
      <c r="D89" s="23">
        <f>IF(OR(A89="",'Keşif'!$H$3=0),"",C89/'Keşif'!$H$3)</f>
        <v/>
      </c>
      <c r="E89" s="23">
        <f>IF(OR(B89="",D89=""),"",D89-B89)</f>
        <v/>
      </c>
      <c r="F89" s="24">
        <f>IF(E89="","",IF(E89&gt;PursantajTol,"Finansman yükü: maliyet ödemeden önde",IF(E89&lt;-PursantajTol,"Lehte: ödeme maliyetten önde","Uyumlu")))</f>
        <v/>
      </c>
    </row>
    <row r="90">
      <c r="A90" s="5" t="n"/>
      <c r="B90" s="22" t="n"/>
      <c r="C90" s="20">
        <f>IF(A90="","",SUMIF('Keşif'!$B$5:$B$504,A90,'Keşif'!$H$5:$H$504))</f>
        <v/>
      </c>
      <c r="D90" s="23">
        <f>IF(OR(A90="",'Keşif'!$H$3=0),"",C90/'Keşif'!$H$3)</f>
        <v/>
      </c>
      <c r="E90" s="23">
        <f>IF(OR(B90="",D90=""),"",D90-B90)</f>
        <v/>
      </c>
      <c r="F90" s="24">
        <f>IF(E90="","",IF(E90&gt;PursantajTol,"Finansman yükü: maliyet ödemeden önde",IF(E90&lt;-PursantajTol,"Lehte: ödeme maliyetten önde","Uyumlu")))</f>
        <v/>
      </c>
    </row>
    <row r="91">
      <c r="A91" s="5" t="n"/>
      <c r="B91" s="22" t="n"/>
      <c r="C91" s="20">
        <f>IF(A91="","",SUMIF('Keşif'!$B$5:$B$504,A91,'Keşif'!$H$5:$H$504))</f>
        <v/>
      </c>
      <c r="D91" s="23">
        <f>IF(OR(A91="",'Keşif'!$H$3=0),"",C91/'Keşif'!$H$3)</f>
        <v/>
      </c>
      <c r="E91" s="23">
        <f>IF(OR(B91="",D91=""),"",D91-B91)</f>
        <v/>
      </c>
      <c r="F91" s="24">
        <f>IF(E91="","",IF(E91&gt;PursantajTol,"Finansman yükü: maliyet ödemeden önde",IF(E91&lt;-PursantajTol,"Lehte: ödeme maliyetten önde","Uyumlu")))</f>
        <v/>
      </c>
    </row>
    <row r="92">
      <c r="A92" s="5" t="n"/>
      <c r="B92" s="22" t="n"/>
      <c r="C92" s="20">
        <f>IF(A92="","",SUMIF('Keşif'!$B$5:$B$504,A92,'Keşif'!$H$5:$H$504))</f>
        <v/>
      </c>
      <c r="D92" s="23">
        <f>IF(OR(A92="",'Keşif'!$H$3=0),"",C92/'Keşif'!$H$3)</f>
        <v/>
      </c>
      <c r="E92" s="23">
        <f>IF(OR(B92="",D92=""),"",D92-B92)</f>
        <v/>
      </c>
      <c r="F92" s="24">
        <f>IF(E92="","",IF(E92&gt;PursantajTol,"Finansman yükü: maliyet ödemeden önde",IF(E92&lt;-PursantajTol,"Lehte: ödeme maliyetten önde","Uyumlu")))</f>
        <v/>
      </c>
    </row>
    <row r="93">
      <c r="A93" s="5" t="n"/>
      <c r="B93" s="22" t="n"/>
      <c r="C93" s="20">
        <f>IF(A93="","",SUMIF('Keşif'!$B$5:$B$504,A93,'Keşif'!$H$5:$H$504))</f>
        <v/>
      </c>
      <c r="D93" s="23">
        <f>IF(OR(A93="",'Keşif'!$H$3=0),"",C93/'Keşif'!$H$3)</f>
        <v/>
      </c>
      <c r="E93" s="23">
        <f>IF(OR(B93="",D93=""),"",D93-B93)</f>
        <v/>
      </c>
      <c r="F93" s="24">
        <f>IF(E93="","",IF(E93&gt;PursantajTol,"Finansman yükü: maliyet ödemeden önde",IF(E93&lt;-PursantajTol,"Lehte: ödeme maliyetten önde","Uyumlu")))</f>
        <v/>
      </c>
    </row>
    <row r="94">
      <c r="A94" s="5" t="n"/>
      <c r="B94" s="22" t="n"/>
      <c r="C94" s="20">
        <f>IF(A94="","",SUMIF('Keşif'!$B$5:$B$504,A94,'Keşif'!$H$5:$H$504))</f>
        <v/>
      </c>
      <c r="D94" s="23">
        <f>IF(OR(A94="",'Keşif'!$H$3=0),"",C94/'Keşif'!$H$3)</f>
        <v/>
      </c>
      <c r="E94" s="23">
        <f>IF(OR(B94="",D94=""),"",D94-B94)</f>
        <v/>
      </c>
      <c r="F94" s="24">
        <f>IF(E94="","",IF(E94&gt;PursantajTol,"Finansman yükü: maliyet ödemeden önde",IF(E94&lt;-PursantajTol,"Lehte: ödeme maliyetten önde","Uyumlu")))</f>
        <v/>
      </c>
    </row>
    <row r="95">
      <c r="A95" s="5" t="n"/>
      <c r="B95" s="22" t="n"/>
      <c r="C95" s="20">
        <f>IF(A95="","",SUMIF('Keşif'!$B$5:$B$504,A95,'Keşif'!$H$5:$H$504))</f>
        <v/>
      </c>
      <c r="D95" s="23">
        <f>IF(OR(A95="",'Keşif'!$H$3=0),"",C95/'Keşif'!$H$3)</f>
        <v/>
      </c>
      <c r="E95" s="23">
        <f>IF(OR(B95="",D95=""),"",D95-B95)</f>
        <v/>
      </c>
      <c r="F95" s="24">
        <f>IF(E95="","",IF(E95&gt;PursantajTol,"Finansman yükü: maliyet ödemeden önde",IF(E95&lt;-PursantajTol,"Lehte: ödeme maliyetten önde","Uyumlu")))</f>
        <v/>
      </c>
    </row>
    <row r="96">
      <c r="A96" s="5" t="n"/>
      <c r="B96" s="22" t="n"/>
      <c r="C96" s="20">
        <f>IF(A96="","",SUMIF('Keşif'!$B$5:$B$504,A96,'Keşif'!$H$5:$H$504))</f>
        <v/>
      </c>
      <c r="D96" s="23">
        <f>IF(OR(A96="",'Keşif'!$H$3=0),"",C96/'Keşif'!$H$3)</f>
        <v/>
      </c>
      <c r="E96" s="23">
        <f>IF(OR(B96="",D96=""),"",D96-B96)</f>
        <v/>
      </c>
      <c r="F96" s="24">
        <f>IF(E96="","",IF(E96&gt;PursantajTol,"Finansman yükü: maliyet ödemeden önde",IF(E96&lt;-PursantajTol,"Lehte: ödeme maliyetten önde","Uyumlu")))</f>
        <v/>
      </c>
    </row>
    <row r="97">
      <c r="A97" s="5" t="n"/>
      <c r="B97" s="22" t="n"/>
      <c r="C97" s="20">
        <f>IF(A97="","",SUMIF('Keşif'!$B$5:$B$504,A97,'Keşif'!$H$5:$H$504))</f>
        <v/>
      </c>
      <c r="D97" s="23">
        <f>IF(OR(A97="",'Keşif'!$H$3=0),"",C97/'Keşif'!$H$3)</f>
        <v/>
      </c>
      <c r="E97" s="23">
        <f>IF(OR(B97="",D97=""),"",D97-B97)</f>
        <v/>
      </c>
      <c r="F97" s="24">
        <f>IF(E97="","",IF(E97&gt;PursantajTol,"Finansman yükü: maliyet ödemeden önde",IF(E97&lt;-PursantajTol,"Lehte: ödeme maliyetten önde","Uyumlu")))</f>
        <v/>
      </c>
    </row>
    <row r="98">
      <c r="A98" s="5" t="n"/>
      <c r="B98" s="22" t="n"/>
      <c r="C98" s="20">
        <f>IF(A98="","",SUMIF('Keşif'!$B$5:$B$504,A98,'Keşif'!$H$5:$H$504))</f>
        <v/>
      </c>
      <c r="D98" s="23">
        <f>IF(OR(A98="",'Keşif'!$H$3=0),"",C98/'Keşif'!$H$3)</f>
        <v/>
      </c>
      <c r="E98" s="23">
        <f>IF(OR(B98="",D98=""),"",D98-B98)</f>
        <v/>
      </c>
      <c r="F98" s="24">
        <f>IF(E98="","",IF(E98&gt;PursantajTol,"Finansman yükü: maliyet ödemeden önde",IF(E98&lt;-PursantajTol,"Lehte: ödeme maliyetten önde","Uyumlu")))</f>
        <v/>
      </c>
    </row>
    <row r="99">
      <c r="A99" s="5" t="n"/>
      <c r="B99" s="22" t="n"/>
      <c r="C99" s="20">
        <f>IF(A99="","",SUMIF('Keşif'!$B$5:$B$504,A99,'Keşif'!$H$5:$H$504))</f>
        <v/>
      </c>
      <c r="D99" s="23">
        <f>IF(OR(A99="",'Keşif'!$H$3=0),"",C99/'Keşif'!$H$3)</f>
        <v/>
      </c>
      <c r="E99" s="23">
        <f>IF(OR(B99="",D99=""),"",D99-B99)</f>
        <v/>
      </c>
      <c r="F99" s="24">
        <f>IF(E99="","",IF(E99&gt;PursantajTol,"Finansman yükü: maliyet ödemeden önde",IF(E99&lt;-PursantajTol,"Lehte: ödeme maliyetten önde","Uyumlu")))</f>
        <v/>
      </c>
    </row>
    <row r="100">
      <c r="A100" s="5" t="n"/>
      <c r="B100" s="22" t="n"/>
      <c r="C100" s="20">
        <f>IF(A100="","",SUMIF('Keşif'!$B$5:$B$504,A100,'Keşif'!$H$5:$H$504))</f>
        <v/>
      </c>
      <c r="D100" s="23">
        <f>IF(OR(A100="",'Keşif'!$H$3=0),"",C100/'Keşif'!$H$3)</f>
        <v/>
      </c>
      <c r="E100" s="23">
        <f>IF(OR(B100="",D100=""),"",D100-B100)</f>
        <v/>
      </c>
      <c r="F100" s="24">
        <f>IF(E100="","",IF(E100&gt;PursantajTol,"Finansman yükü: maliyet ödemeden önde",IF(E100&lt;-PursantajTol,"Lehte: ödeme maliyetten önde","Uyumlu")))</f>
        <v/>
      </c>
    </row>
    <row r="101">
      <c r="A101" s="5" t="n"/>
      <c r="B101" s="22" t="n"/>
      <c r="C101" s="20">
        <f>IF(A101="","",SUMIF('Keşif'!$B$5:$B$504,A101,'Keşif'!$H$5:$H$504))</f>
        <v/>
      </c>
      <c r="D101" s="23">
        <f>IF(OR(A101="",'Keşif'!$H$3=0),"",C101/'Keşif'!$H$3)</f>
        <v/>
      </c>
      <c r="E101" s="23">
        <f>IF(OR(B101="",D101=""),"",D101-B101)</f>
        <v/>
      </c>
      <c r="F101" s="24">
        <f>IF(E101="","",IF(E101&gt;PursantajTol,"Finansman yükü: maliyet ödemeden önde",IF(E101&lt;-PursantajTol,"Lehte: ödeme maliyetten önde","Uyumlu")))</f>
        <v/>
      </c>
    </row>
    <row r="102">
      <c r="A102" s="5" t="n"/>
      <c r="B102" s="22" t="n"/>
      <c r="C102" s="20">
        <f>IF(A102="","",SUMIF('Keşif'!$B$5:$B$504,A102,'Keşif'!$H$5:$H$504))</f>
        <v/>
      </c>
      <c r="D102" s="23">
        <f>IF(OR(A102="",'Keşif'!$H$3=0),"",C102/'Keşif'!$H$3)</f>
        <v/>
      </c>
      <c r="E102" s="23">
        <f>IF(OR(B102="",D102=""),"",D102-B102)</f>
        <v/>
      </c>
      <c r="F102" s="24">
        <f>IF(E102="","",IF(E102&gt;PursantajTol,"Finansman yükü: maliyet ödemeden önde",IF(E102&lt;-PursantajTol,"Lehte: ödeme maliyetten önde","Uyumlu")))</f>
        <v/>
      </c>
    </row>
    <row r="103">
      <c r="A103" s="5" t="n"/>
      <c r="B103" s="22" t="n"/>
      <c r="C103" s="20">
        <f>IF(A103="","",SUMIF('Keşif'!$B$5:$B$504,A103,'Keşif'!$H$5:$H$504))</f>
        <v/>
      </c>
      <c r="D103" s="23">
        <f>IF(OR(A103="",'Keşif'!$H$3=0),"",C103/'Keşif'!$H$3)</f>
        <v/>
      </c>
      <c r="E103" s="23">
        <f>IF(OR(B103="",D103=""),"",D103-B103)</f>
        <v/>
      </c>
      <c r="F103" s="24">
        <f>IF(E103="","",IF(E103&gt;PursantajTol,"Finansman yükü: maliyet ödemeden önde",IF(E103&lt;-PursantajTol,"Lehte: ödeme maliyetten önde","Uyumlu")))</f>
        <v/>
      </c>
    </row>
    <row r="104">
      <c r="A104" s="5" t="n"/>
      <c r="B104" s="22" t="n"/>
      <c r="C104" s="20">
        <f>IF(A104="","",SUMIF('Keşif'!$B$5:$B$504,A104,'Keşif'!$H$5:$H$504))</f>
        <v/>
      </c>
      <c r="D104" s="23">
        <f>IF(OR(A104="",'Keşif'!$H$3=0),"",C104/'Keşif'!$H$3)</f>
        <v/>
      </c>
      <c r="E104" s="23">
        <f>IF(OR(B104="",D104=""),"",D104-B104)</f>
        <v/>
      </c>
      <c r="F104" s="24">
        <f>IF(E104="","",IF(E104&gt;PursantajTol,"Finansman yükü: maliyet ödemeden önde",IF(E104&lt;-PursantajTol,"Lehte: ödeme maliyetten önde","Uyumlu")))</f>
        <v/>
      </c>
    </row>
    <row r="105">
      <c r="A105" s="5" t="n"/>
      <c r="B105" s="22" t="n"/>
      <c r="C105" s="20">
        <f>IF(A105="","",SUMIF('Keşif'!$B$5:$B$504,A105,'Keşif'!$H$5:$H$504))</f>
        <v/>
      </c>
      <c r="D105" s="23">
        <f>IF(OR(A105="",'Keşif'!$H$3=0),"",C105/'Keşif'!$H$3)</f>
        <v/>
      </c>
      <c r="E105" s="23">
        <f>IF(OR(B105="",D105=""),"",D105-B105)</f>
        <v/>
      </c>
      <c r="F105" s="24">
        <f>IF(E105="","",IF(E105&gt;PursantajTol,"Finansman yükü: maliyet ödemeden önde",IF(E105&lt;-PursantajTol,"Lehte: ödeme maliyetten önde","Uyumlu")))</f>
        <v/>
      </c>
    </row>
    <row r="106">
      <c r="A106" s="5" t="n"/>
      <c r="B106" s="22" t="n"/>
      <c r="C106" s="20">
        <f>IF(A106="","",SUMIF('Keşif'!$B$5:$B$504,A106,'Keşif'!$H$5:$H$504))</f>
        <v/>
      </c>
      <c r="D106" s="23">
        <f>IF(OR(A106="",'Keşif'!$H$3=0),"",C106/'Keşif'!$H$3)</f>
        <v/>
      </c>
      <c r="E106" s="23">
        <f>IF(OR(B106="",D106=""),"",D106-B106)</f>
        <v/>
      </c>
      <c r="F106" s="24">
        <f>IF(E106="","",IF(E106&gt;PursantajTol,"Finansman yükü: maliyet ödemeden önde",IF(E106&lt;-PursantajTol,"Lehte: ödeme maliyetten önde","Uyumlu")))</f>
        <v/>
      </c>
    </row>
    <row r="107">
      <c r="A107" s="5" t="n"/>
      <c r="B107" s="22" t="n"/>
      <c r="C107" s="20">
        <f>IF(A107="","",SUMIF('Keşif'!$B$5:$B$504,A107,'Keşif'!$H$5:$H$504))</f>
        <v/>
      </c>
      <c r="D107" s="23">
        <f>IF(OR(A107="",'Keşif'!$H$3=0),"",C107/'Keşif'!$H$3)</f>
        <v/>
      </c>
      <c r="E107" s="23">
        <f>IF(OR(B107="",D107=""),"",D107-B107)</f>
        <v/>
      </c>
      <c r="F107" s="24">
        <f>IF(E107="","",IF(E107&gt;PursantajTol,"Finansman yükü: maliyet ödemeden önde",IF(E107&lt;-PursantajTol,"Lehte: ödeme maliyetten önde","Uyumlu")))</f>
        <v/>
      </c>
    </row>
    <row r="108">
      <c r="A108" s="5" t="n"/>
      <c r="B108" s="22" t="n"/>
      <c r="C108" s="20">
        <f>IF(A108="","",SUMIF('Keşif'!$B$5:$B$504,A108,'Keşif'!$H$5:$H$504))</f>
        <v/>
      </c>
      <c r="D108" s="23">
        <f>IF(OR(A108="",'Keşif'!$H$3=0),"",C108/'Keşif'!$H$3)</f>
        <v/>
      </c>
      <c r="E108" s="23">
        <f>IF(OR(B108="",D108=""),"",D108-B108)</f>
        <v/>
      </c>
      <c r="F108" s="24">
        <f>IF(E108="","",IF(E108&gt;PursantajTol,"Finansman yükü: maliyet ödemeden önde",IF(E108&lt;-PursantajTol,"Lehte: ödeme maliyetten önde","Uyumlu")))</f>
        <v/>
      </c>
    </row>
    <row r="109">
      <c r="A109" s="5" t="n"/>
      <c r="B109" s="22" t="n"/>
      <c r="C109" s="20">
        <f>IF(A109="","",SUMIF('Keşif'!$B$5:$B$504,A109,'Keşif'!$H$5:$H$504))</f>
        <v/>
      </c>
      <c r="D109" s="23">
        <f>IF(OR(A109="",'Keşif'!$H$3=0),"",C109/'Keşif'!$H$3)</f>
        <v/>
      </c>
      <c r="E109" s="23">
        <f>IF(OR(B109="",D109=""),"",D109-B109)</f>
        <v/>
      </c>
      <c r="F109" s="24">
        <f>IF(E109="","",IF(E109&gt;PursantajTol,"Finansman yükü: maliyet ödemeden önde",IF(E109&lt;-PursantajTol,"Lehte: ödeme maliyetten önde","Uyumlu")))</f>
        <v/>
      </c>
    </row>
    <row r="110">
      <c r="A110" s="5" t="n"/>
      <c r="B110" s="22" t="n"/>
      <c r="C110" s="20">
        <f>IF(A110="","",SUMIF('Keşif'!$B$5:$B$504,A110,'Keşif'!$H$5:$H$504))</f>
        <v/>
      </c>
      <c r="D110" s="23">
        <f>IF(OR(A110="",'Keşif'!$H$3=0),"",C110/'Keşif'!$H$3)</f>
        <v/>
      </c>
      <c r="E110" s="23">
        <f>IF(OR(B110="",D110=""),"",D110-B110)</f>
        <v/>
      </c>
      <c r="F110" s="24">
        <f>IF(E110="","",IF(E110&gt;PursantajTol,"Finansman yükü: maliyet ödemeden önde",IF(E110&lt;-PursantajTol,"Lehte: ödeme maliyetten önde","Uyumlu")))</f>
        <v/>
      </c>
    </row>
    <row r="111">
      <c r="A111" s="5" t="n"/>
      <c r="B111" s="22" t="n"/>
      <c r="C111" s="20">
        <f>IF(A111="","",SUMIF('Keşif'!$B$5:$B$504,A111,'Keşif'!$H$5:$H$504))</f>
        <v/>
      </c>
      <c r="D111" s="23">
        <f>IF(OR(A111="",'Keşif'!$H$3=0),"",C111/'Keşif'!$H$3)</f>
        <v/>
      </c>
      <c r="E111" s="23">
        <f>IF(OR(B111="",D111=""),"",D111-B111)</f>
        <v/>
      </c>
      <c r="F111" s="24">
        <f>IF(E111="","",IF(E111&gt;PursantajTol,"Finansman yükü: maliyet ödemeden önde",IF(E111&lt;-PursantajTol,"Lehte: ödeme maliyetten önde","Uyumlu")))</f>
        <v/>
      </c>
    </row>
    <row r="112">
      <c r="A112" s="5" t="n"/>
      <c r="B112" s="22" t="n"/>
      <c r="C112" s="20">
        <f>IF(A112="","",SUMIF('Keşif'!$B$5:$B$504,A112,'Keşif'!$H$5:$H$504))</f>
        <v/>
      </c>
      <c r="D112" s="23">
        <f>IF(OR(A112="",'Keşif'!$H$3=0),"",C112/'Keşif'!$H$3)</f>
        <v/>
      </c>
      <c r="E112" s="23">
        <f>IF(OR(B112="",D112=""),"",D112-B112)</f>
        <v/>
      </c>
      <c r="F112" s="24">
        <f>IF(E112="","",IF(E112&gt;PursantajTol,"Finansman yükü: maliyet ödemeden önde",IF(E112&lt;-PursantajTol,"Lehte: ödeme maliyetten önde","Uyumlu")))</f>
        <v/>
      </c>
    </row>
    <row r="113">
      <c r="A113" s="5" t="n"/>
      <c r="B113" s="22" t="n"/>
      <c r="C113" s="20">
        <f>IF(A113="","",SUMIF('Keşif'!$B$5:$B$504,A113,'Keşif'!$H$5:$H$504))</f>
        <v/>
      </c>
      <c r="D113" s="23">
        <f>IF(OR(A113="",'Keşif'!$H$3=0),"",C113/'Keşif'!$H$3)</f>
        <v/>
      </c>
      <c r="E113" s="23">
        <f>IF(OR(B113="",D113=""),"",D113-B113)</f>
        <v/>
      </c>
      <c r="F113" s="24">
        <f>IF(E113="","",IF(E113&gt;PursantajTol,"Finansman yükü: maliyet ödemeden önde",IF(E113&lt;-PursantajTol,"Lehte: ödeme maliyetten önde","Uyumlu")))</f>
        <v/>
      </c>
    </row>
    <row r="114">
      <c r="A114" s="5" t="n"/>
      <c r="B114" s="22" t="n"/>
      <c r="C114" s="20">
        <f>IF(A114="","",SUMIF('Keşif'!$B$5:$B$504,A114,'Keşif'!$H$5:$H$504))</f>
        <v/>
      </c>
      <c r="D114" s="23">
        <f>IF(OR(A114="",'Keşif'!$H$3=0),"",C114/'Keşif'!$H$3)</f>
        <v/>
      </c>
      <c r="E114" s="23">
        <f>IF(OR(B114="",D114=""),"",D114-B114)</f>
        <v/>
      </c>
      <c r="F114" s="24">
        <f>IF(E114="","",IF(E114&gt;PursantajTol,"Finansman yükü: maliyet ödemeden önde",IF(E114&lt;-PursantajTol,"Lehte: ödeme maliyetten önde","Uyumlu")))</f>
        <v/>
      </c>
    </row>
    <row r="115">
      <c r="A115" s="5" t="n"/>
      <c r="B115" s="22" t="n"/>
      <c r="C115" s="20">
        <f>IF(A115="","",SUMIF('Keşif'!$B$5:$B$504,A115,'Keşif'!$H$5:$H$504))</f>
        <v/>
      </c>
      <c r="D115" s="23">
        <f>IF(OR(A115="",'Keşif'!$H$3=0),"",C115/'Keşif'!$H$3)</f>
        <v/>
      </c>
      <c r="E115" s="23">
        <f>IF(OR(B115="",D115=""),"",D115-B115)</f>
        <v/>
      </c>
      <c r="F115" s="24">
        <f>IF(E115="","",IF(E115&gt;PursantajTol,"Finansman yükü: maliyet ödemeden önde",IF(E115&lt;-PursantajTol,"Lehte: ödeme maliyetten önde","Uyumlu")))</f>
        <v/>
      </c>
    </row>
    <row r="116">
      <c r="A116" s="5" t="n"/>
      <c r="B116" s="22" t="n"/>
      <c r="C116" s="20">
        <f>IF(A116="","",SUMIF('Keşif'!$B$5:$B$504,A116,'Keşif'!$H$5:$H$504))</f>
        <v/>
      </c>
      <c r="D116" s="23">
        <f>IF(OR(A116="",'Keşif'!$H$3=0),"",C116/'Keşif'!$H$3)</f>
        <v/>
      </c>
      <c r="E116" s="23">
        <f>IF(OR(B116="",D116=""),"",D116-B116)</f>
        <v/>
      </c>
      <c r="F116" s="24">
        <f>IF(E116="","",IF(E116&gt;PursantajTol,"Finansman yükü: maliyet ödemeden önde",IF(E116&lt;-PursantajTol,"Lehte: ödeme maliyetten önde","Uyumlu")))</f>
        <v/>
      </c>
    </row>
    <row r="117">
      <c r="A117" s="5" t="n"/>
      <c r="B117" s="22" t="n"/>
      <c r="C117" s="20">
        <f>IF(A117="","",SUMIF('Keşif'!$B$5:$B$504,A117,'Keşif'!$H$5:$H$504))</f>
        <v/>
      </c>
      <c r="D117" s="23">
        <f>IF(OR(A117="",'Keşif'!$H$3=0),"",C117/'Keşif'!$H$3)</f>
        <v/>
      </c>
      <c r="E117" s="23">
        <f>IF(OR(B117="",D117=""),"",D117-B117)</f>
        <v/>
      </c>
      <c r="F117" s="24">
        <f>IF(E117="","",IF(E117&gt;PursantajTol,"Finansman yükü: maliyet ödemeden önde",IF(E117&lt;-PursantajTol,"Lehte: ödeme maliyetten önde","Uyumlu")))</f>
        <v/>
      </c>
    </row>
    <row r="118">
      <c r="A118" s="5" t="n"/>
      <c r="B118" s="22" t="n"/>
      <c r="C118" s="20">
        <f>IF(A118="","",SUMIF('Keşif'!$B$5:$B$504,A118,'Keşif'!$H$5:$H$504))</f>
        <v/>
      </c>
      <c r="D118" s="23">
        <f>IF(OR(A118="",'Keşif'!$H$3=0),"",C118/'Keşif'!$H$3)</f>
        <v/>
      </c>
      <c r="E118" s="23">
        <f>IF(OR(B118="",D118=""),"",D118-B118)</f>
        <v/>
      </c>
      <c r="F118" s="24">
        <f>IF(E118="","",IF(E118&gt;PursantajTol,"Finansman yükü: maliyet ödemeden önde",IF(E118&lt;-PursantajTol,"Lehte: ödeme maliyetten önde","Uyumlu")))</f>
        <v/>
      </c>
    </row>
    <row r="119">
      <c r="A119" s="5" t="n"/>
      <c r="B119" s="22" t="n"/>
      <c r="C119" s="20">
        <f>IF(A119="","",SUMIF('Keşif'!$B$5:$B$504,A119,'Keşif'!$H$5:$H$504))</f>
        <v/>
      </c>
      <c r="D119" s="23">
        <f>IF(OR(A119="",'Keşif'!$H$3=0),"",C119/'Keşif'!$H$3)</f>
        <v/>
      </c>
      <c r="E119" s="23">
        <f>IF(OR(B119="",D119=""),"",D119-B119)</f>
        <v/>
      </c>
      <c r="F119" s="24">
        <f>IF(E119="","",IF(E119&gt;PursantajTol,"Finansman yükü: maliyet ödemeden önde",IF(E119&lt;-PursantajTol,"Lehte: ödeme maliyetten önde","Uyumlu")))</f>
        <v/>
      </c>
    </row>
    <row r="120">
      <c r="A120" s="5" t="n"/>
      <c r="B120" s="22" t="n"/>
      <c r="C120" s="20">
        <f>IF(A120="","",SUMIF('Keşif'!$B$5:$B$504,A120,'Keşif'!$H$5:$H$504))</f>
        <v/>
      </c>
      <c r="D120" s="23">
        <f>IF(OR(A120="",'Keşif'!$H$3=0),"",C120/'Keşif'!$H$3)</f>
        <v/>
      </c>
      <c r="E120" s="23">
        <f>IF(OR(B120="",D120=""),"",D120-B120)</f>
        <v/>
      </c>
      <c r="F120" s="24">
        <f>IF(E120="","",IF(E120&gt;PursantajTol,"Finansman yükü: maliyet ödemeden önde",IF(E120&lt;-PursantajTol,"Lehte: ödeme maliyetten önde","Uyumlu")))</f>
        <v/>
      </c>
    </row>
    <row r="121">
      <c r="A121" s="5" t="n"/>
      <c r="B121" s="22" t="n"/>
      <c r="C121" s="20">
        <f>IF(A121="","",SUMIF('Keşif'!$B$5:$B$504,A121,'Keşif'!$H$5:$H$504))</f>
        <v/>
      </c>
      <c r="D121" s="23">
        <f>IF(OR(A121="",'Keşif'!$H$3=0),"",C121/'Keşif'!$H$3)</f>
        <v/>
      </c>
      <c r="E121" s="23">
        <f>IF(OR(B121="",D121=""),"",D121-B121)</f>
        <v/>
      </c>
      <c r="F121" s="24">
        <f>IF(E121="","",IF(E121&gt;PursantajTol,"Finansman yükü: maliyet ödemeden önde",IF(E121&lt;-PursantajTol,"Lehte: ödeme maliyetten önde","Uyumlu")))</f>
        <v/>
      </c>
    </row>
    <row r="122">
      <c r="A122" s="5" t="n"/>
      <c r="B122" s="22" t="n"/>
      <c r="C122" s="20">
        <f>IF(A122="","",SUMIF('Keşif'!$B$5:$B$504,A122,'Keşif'!$H$5:$H$504))</f>
        <v/>
      </c>
      <c r="D122" s="23">
        <f>IF(OR(A122="",'Keşif'!$H$3=0),"",C122/'Keşif'!$H$3)</f>
        <v/>
      </c>
      <c r="E122" s="23">
        <f>IF(OR(B122="",D122=""),"",D122-B122)</f>
        <v/>
      </c>
      <c r="F122" s="24">
        <f>IF(E122="","",IF(E122&gt;PursantajTol,"Finansman yükü: maliyet ödemeden önde",IF(E122&lt;-PursantajTol,"Lehte: ödeme maliyetten önde","Uyumlu")))</f>
        <v/>
      </c>
    </row>
    <row r="123">
      <c r="A123" s="5" t="n"/>
      <c r="B123" s="22" t="n"/>
      <c r="C123" s="20">
        <f>IF(A123="","",SUMIF('Keşif'!$B$5:$B$504,A123,'Keşif'!$H$5:$H$504))</f>
        <v/>
      </c>
      <c r="D123" s="23">
        <f>IF(OR(A123="",'Keşif'!$H$3=0),"",C123/'Keşif'!$H$3)</f>
        <v/>
      </c>
      <c r="E123" s="23">
        <f>IF(OR(B123="",D123=""),"",D123-B123)</f>
        <v/>
      </c>
      <c r="F123" s="24">
        <f>IF(E123="","",IF(E123&gt;PursantajTol,"Finansman yükü: maliyet ödemeden önde",IF(E123&lt;-PursantajTol,"Lehte: ödeme maliyetten önde","Uyumlu")))</f>
        <v/>
      </c>
    </row>
    <row r="124">
      <c r="A124" s="5" t="n"/>
      <c r="B124" s="22" t="n"/>
      <c r="C124" s="20">
        <f>IF(A124="","",SUMIF('Keşif'!$B$5:$B$504,A124,'Keşif'!$H$5:$H$504))</f>
        <v/>
      </c>
      <c r="D124" s="23">
        <f>IF(OR(A124="",'Keşif'!$H$3=0),"",C124/'Keşif'!$H$3)</f>
        <v/>
      </c>
      <c r="E124" s="23">
        <f>IF(OR(B124="",D124=""),"",D124-B124)</f>
        <v/>
      </c>
      <c r="F124" s="24">
        <f>IF(E124="","",IF(E124&gt;PursantajTol,"Finansman yükü: maliyet ödemeden önde",IF(E124&lt;-PursantajTol,"Lehte: ödeme maliyetten önde","Uyumlu")))</f>
        <v/>
      </c>
    </row>
    <row r="125">
      <c r="A125" s="5" t="n"/>
      <c r="B125" s="22" t="n"/>
      <c r="C125" s="20">
        <f>IF(A125="","",SUMIF('Keşif'!$B$5:$B$504,A125,'Keşif'!$H$5:$H$504))</f>
        <v/>
      </c>
      <c r="D125" s="23">
        <f>IF(OR(A125="",'Keşif'!$H$3=0),"",C125/'Keşif'!$H$3)</f>
        <v/>
      </c>
      <c r="E125" s="23">
        <f>IF(OR(B125="",D125=""),"",D125-B125)</f>
        <v/>
      </c>
      <c r="F125" s="24">
        <f>IF(E125="","",IF(E125&gt;PursantajTol,"Finansman yükü: maliyet ödemeden önde",IF(E125&lt;-PursantajTol,"Lehte: ödeme maliyetten önde","Uyumlu")))</f>
        <v/>
      </c>
    </row>
    <row r="126">
      <c r="A126" s="5" t="n"/>
      <c r="B126" s="22" t="n"/>
      <c r="C126" s="20">
        <f>IF(A126="","",SUMIF('Keşif'!$B$5:$B$504,A126,'Keşif'!$H$5:$H$504))</f>
        <v/>
      </c>
      <c r="D126" s="23">
        <f>IF(OR(A126="",'Keşif'!$H$3=0),"",C126/'Keşif'!$H$3)</f>
        <v/>
      </c>
      <c r="E126" s="23">
        <f>IF(OR(B126="",D126=""),"",D126-B126)</f>
        <v/>
      </c>
      <c r="F126" s="24">
        <f>IF(E126="","",IF(E126&gt;PursantajTol,"Finansman yükü: maliyet ödemeden önde",IF(E126&lt;-PursantajTol,"Lehte: ödeme maliyetten önde","Uyumlu")))</f>
        <v/>
      </c>
    </row>
    <row r="127">
      <c r="A127" s="5" t="n"/>
      <c r="B127" s="22" t="n"/>
      <c r="C127" s="20">
        <f>IF(A127="","",SUMIF('Keşif'!$B$5:$B$504,A127,'Keşif'!$H$5:$H$504))</f>
        <v/>
      </c>
      <c r="D127" s="23">
        <f>IF(OR(A127="",'Keşif'!$H$3=0),"",C127/'Keşif'!$H$3)</f>
        <v/>
      </c>
      <c r="E127" s="23">
        <f>IF(OR(B127="",D127=""),"",D127-B127)</f>
        <v/>
      </c>
      <c r="F127" s="24">
        <f>IF(E127="","",IF(E127&gt;PursantajTol,"Finansman yükü: maliyet ödemeden önde",IF(E127&lt;-PursantajTol,"Lehte: ödeme maliyetten önde","Uyumlu")))</f>
        <v/>
      </c>
    </row>
    <row r="128">
      <c r="A128" s="5" t="n"/>
      <c r="B128" s="22" t="n"/>
      <c r="C128" s="20">
        <f>IF(A128="","",SUMIF('Keşif'!$B$5:$B$504,A128,'Keşif'!$H$5:$H$504))</f>
        <v/>
      </c>
      <c r="D128" s="23">
        <f>IF(OR(A128="",'Keşif'!$H$3=0),"",C128/'Keşif'!$H$3)</f>
        <v/>
      </c>
      <c r="E128" s="23">
        <f>IF(OR(B128="",D128=""),"",D128-B128)</f>
        <v/>
      </c>
      <c r="F128" s="24">
        <f>IF(E128="","",IF(E128&gt;PursantajTol,"Finansman yükü: maliyet ödemeden önde",IF(E128&lt;-PursantajTol,"Lehte: ödeme maliyetten önde","Uyumlu")))</f>
        <v/>
      </c>
    </row>
    <row r="129">
      <c r="A129" s="5" t="n"/>
      <c r="B129" s="22" t="n"/>
      <c r="C129" s="20">
        <f>IF(A129="","",SUMIF('Keşif'!$B$5:$B$504,A129,'Keşif'!$H$5:$H$504))</f>
        <v/>
      </c>
      <c r="D129" s="23">
        <f>IF(OR(A129="",'Keşif'!$H$3=0),"",C129/'Keşif'!$H$3)</f>
        <v/>
      </c>
      <c r="E129" s="23">
        <f>IF(OR(B129="",D129=""),"",D129-B129)</f>
        <v/>
      </c>
      <c r="F129" s="24">
        <f>IF(E129="","",IF(E129&gt;PursantajTol,"Finansman yükü: maliyet ödemeden önde",IF(E129&lt;-PursantajTol,"Lehte: ödeme maliyetten önde","Uyumlu")))</f>
        <v/>
      </c>
    </row>
    <row r="130">
      <c r="A130" s="5" t="n"/>
      <c r="B130" s="22" t="n"/>
      <c r="C130" s="20">
        <f>IF(A130="","",SUMIF('Keşif'!$B$5:$B$504,A130,'Keşif'!$H$5:$H$504))</f>
        <v/>
      </c>
      <c r="D130" s="23">
        <f>IF(OR(A130="",'Keşif'!$H$3=0),"",C130/'Keşif'!$H$3)</f>
        <v/>
      </c>
      <c r="E130" s="23">
        <f>IF(OR(B130="",D130=""),"",D130-B130)</f>
        <v/>
      </c>
      <c r="F130" s="24">
        <f>IF(E130="","",IF(E130&gt;PursantajTol,"Finansman yükü: maliyet ödemeden önde",IF(E130&lt;-PursantajTol,"Lehte: ödeme maliyetten önde","Uyumlu")))</f>
        <v/>
      </c>
    </row>
    <row r="131">
      <c r="A131" s="5" t="n"/>
      <c r="B131" s="22" t="n"/>
      <c r="C131" s="20">
        <f>IF(A131="","",SUMIF('Keşif'!$B$5:$B$504,A131,'Keşif'!$H$5:$H$504))</f>
        <v/>
      </c>
      <c r="D131" s="23">
        <f>IF(OR(A131="",'Keşif'!$H$3=0),"",C131/'Keşif'!$H$3)</f>
        <v/>
      </c>
      <c r="E131" s="23">
        <f>IF(OR(B131="",D131=""),"",D131-B131)</f>
        <v/>
      </c>
      <c r="F131" s="24">
        <f>IF(E131="","",IF(E131&gt;PursantajTol,"Finansman yükü: maliyet ödemeden önde",IF(E131&lt;-PursantajTol,"Lehte: ödeme maliyetten önde","Uyumlu")))</f>
        <v/>
      </c>
    </row>
    <row r="132">
      <c r="A132" s="5" t="n"/>
      <c r="B132" s="22" t="n"/>
      <c r="C132" s="20">
        <f>IF(A132="","",SUMIF('Keşif'!$B$5:$B$504,A132,'Keşif'!$H$5:$H$504))</f>
        <v/>
      </c>
      <c r="D132" s="23">
        <f>IF(OR(A132="",'Keşif'!$H$3=0),"",C132/'Keşif'!$H$3)</f>
        <v/>
      </c>
      <c r="E132" s="23">
        <f>IF(OR(B132="",D132=""),"",D132-B132)</f>
        <v/>
      </c>
      <c r="F132" s="24">
        <f>IF(E132="","",IF(E132&gt;PursantajTol,"Finansman yükü: maliyet ödemeden önde",IF(E132&lt;-PursantajTol,"Lehte: ödeme maliyetten önde","Uyumlu")))</f>
        <v/>
      </c>
    </row>
    <row r="133">
      <c r="A133" s="5" t="n"/>
      <c r="B133" s="22" t="n"/>
      <c r="C133" s="20">
        <f>IF(A133="","",SUMIF('Keşif'!$B$5:$B$504,A133,'Keşif'!$H$5:$H$504))</f>
        <v/>
      </c>
      <c r="D133" s="23">
        <f>IF(OR(A133="",'Keşif'!$H$3=0),"",C133/'Keşif'!$H$3)</f>
        <v/>
      </c>
      <c r="E133" s="23">
        <f>IF(OR(B133="",D133=""),"",D133-B133)</f>
        <v/>
      </c>
      <c r="F133" s="24">
        <f>IF(E133="","",IF(E133&gt;PursantajTol,"Finansman yükü: maliyet ödemeden önde",IF(E133&lt;-PursantajTol,"Lehte: ödeme maliyetten önde","Uyumlu")))</f>
        <v/>
      </c>
    </row>
    <row r="134">
      <c r="A134" s="5" t="n"/>
      <c r="B134" s="22" t="n"/>
      <c r="C134" s="20">
        <f>IF(A134="","",SUMIF('Keşif'!$B$5:$B$504,A134,'Keşif'!$H$5:$H$504))</f>
        <v/>
      </c>
      <c r="D134" s="23">
        <f>IF(OR(A134="",'Keşif'!$H$3=0),"",C134/'Keşif'!$H$3)</f>
        <v/>
      </c>
      <c r="E134" s="23">
        <f>IF(OR(B134="",D134=""),"",D134-B134)</f>
        <v/>
      </c>
      <c r="F134" s="24">
        <f>IF(E134="","",IF(E134&gt;PursantajTol,"Finansman yükü: maliyet ödemeden önde",IF(E134&lt;-PursantajTol,"Lehte: ödeme maliyetten önde","Uyumlu")))</f>
        <v/>
      </c>
    </row>
    <row r="135">
      <c r="A135" s="5" t="n"/>
      <c r="B135" s="22" t="n"/>
      <c r="C135" s="20">
        <f>IF(A135="","",SUMIF('Keşif'!$B$5:$B$504,A135,'Keşif'!$H$5:$H$504))</f>
        <v/>
      </c>
      <c r="D135" s="23">
        <f>IF(OR(A135="",'Keşif'!$H$3=0),"",C135/'Keşif'!$H$3)</f>
        <v/>
      </c>
      <c r="E135" s="23">
        <f>IF(OR(B135="",D135=""),"",D135-B135)</f>
        <v/>
      </c>
      <c r="F135" s="24">
        <f>IF(E135="","",IF(E135&gt;PursantajTol,"Finansman yükü: maliyet ödemeden önde",IF(E135&lt;-PursantajTol,"Lehte: ödeme maliyetten önde","Uyumlu")))</f>
        <v/>
      </c>
    </row>
    <row r="136">
      <c r="A136" s="5" t="n"/>
      <c r="B136" s="22" t="n"/>
      <c r="C136" s="20">
        <f>IF(A136="","",SUMIF('Keşif'!$B$5:$B$504,A136,'Keşif'!$H$5:$H$504))</f>
        <v/>
      </c>
      <c r="D136" s="23">
        <f>IF(OR(A136="",'Keşif'!$H$3=0),"",C136/'Keşif'!$H$3)</f>
        <v/>
      </c>
      <c r="E136" s="23">
        <f>IF(OR(B136="",D136=""),"",D136-B136)</f>
        <v/>
      </c>
      <c r="F136" s="24">
        <f>IF(E136="","",IF(E136&gt;PursantajTol,"Finansman yükü: maliyet ödemeden önde",IF(E136&lt;-PursantajTol,"Lehte: ödeme maliyetten önde","Uyumlu")))</f>
        <v/>
      </c>
    </row>
    <row r="137">
      <c r="A137" s="5" t="n"/>
      <c r="B137" s="22" t="n"/>
      <c r="C137" s="20">
        <f>IF(A137="","",SUMIF('Keşif'!$B$5:$B$504,A137,'Keşif'!$H$5:$H$504))</f>
        <v/>
      </c>
      <c r="D137" s="23">
        <f>IF(OR(A137="",'Keşif'!$H$3=0),"",C137/'Keşif'!$H$3)</f>
        <v/>
      </c>
      <c r="E137" s="23">
        <f>IF(OR(B137="",D137=""),"",D137-B137)</f>
        <v/>
      </c>
      <c r="F137" s="24">
        <f>IF(E137="","",IF(E137&gt;PursantajTol,"Finansman yükü: maliyet ödemeden önde",IF(E137&lt;-PursantajTol,"Lehte: ödeme maliyetten önde","Uyumlu")))</f>
        <v/>
      </c>
    </row>
    <row r="138">
      <c r="A138" s="5" t="n"/>
      <c r="B138" s="22" t="n"/>
      <c r="C138" s="20">
        <f>IF(A138="","",SUMIF('Keşif'!$B$5:$B$504,A138,'Keşif'!$H$5:$H$504))</f>
        <v/>
      </c>
      <c r="D138" s="23">
        <f>IF(OR(A138="",'Keşif'!$H$3=0),"",C138/'Keşif'!$H$3)</f>
        <v/>
      </c>
      <c r="E138" s="23">
        <f>IF(OR(B138="",D138=""),"",D138-B138)</f>
        <v/>
      </c>
      <c r="F138" s="24">
        <f>IF(E138="","",IF(E138&gt;PursantajTol,"Finansman yükü: maliyet ödemeden önde",IF(E138&lt;-PursantajTol,"Lehte: ödeme maliyetten önde","Uyumlu")))</f>
        <v/>
      </c>
    </row>
    <row r="139">
      <c r="A139" s="5" t="n"/>
      <c r="B139" s="22" t="n"/>
      <c r="C139" s="20">
        <f>IF(A139="","",SUMIF('Keşif'!$B$5:$B$504,A139,'Keşif'!$H$5:$H$504))</f>
        <v/>
      </c>
      <c r="D139" s="23">
        <f>IF(OR(A139="",'Keşif'!$H$3=0),"",C139/'Keşif'!$H$3)</f>
        <v/>
      </c>
      <c r="E139" s="23">
        <f>IF(OR(B139="",D139=""),"",D139-B139)</f>
        <v/>
      </c>
      <c r="F139" s="24">
        <f>IF(E139="","",IF(E139&gt;PursantajTol,"Finansman yükü: maliyet ödemeden önde",IF(E139&lt;-PursantajTol,"Lehte: ödeme maliyetten önde","Uyumlu")))</f>
        <v/>
      </c>
    </row>
    <row r="140">
      <c r="A140" s="5" t="n"/>
      <c r="B140" s="22" t="n"/>
      <c r="C140" s="20">
        <f>IF(A140="","",SUMIF('Keşif'!$B$5:$B$504,A140,'Keşif'!$H$5:$H$504))</f>
        <v/>
      </c>
      <c r="D140" s="23">
        <f>IF(OR(A140="",'Keşif'!$H$3=0),"",C140/'Keşif'!$H$3)</f>
        <v/>
      </c>
      <c r="E140" s="23">
        <f>IF(OR(B140="",D140=""),"",D140-B140)</f>
        <v/>
      </c>
      <c r="F140" s="24">
        <f>IF(E140="","",IF(E140&gt;PursantajTol,"Finansman yükü: maliyet ödemeden önde",IF(E140&lt;-PursantajTol,"Lehte: ödeme maliyetten önde","Uyumlu")))</f>
        <v/>
      </c>
    </row>
    <row r="141">
      <c r="A141" s="5" t="n"/>
      <c r="B141" s="22" t="n"/>
      <c r="C141" s="20">
        <f>IF(A141="","",SUMIF('Keşif'!$B$5:$B$504,A141,'Keşif'!$H$5:$H$504))</f>
        <v/>
      </c>
      <c r="D141" s="23">
        <f>IF(OR(A141="",'Keşif'!$H$3=0),"",C141/'Keşif'!$H$3)</f>
        <v/>
      </c>
      <c r="E141" s="23">
        <f>IF(OR(B141="",D141=""),"",D141-B141)</f>
        <v/>
      </c>
      <c r="F141" s="24">
        <f>IF(E141="","",IF(E141&gt;PursantajTol,"Finansman yükü: maliyet ödemeden önde",IF(E141&lt;-PursantajTol,"Lehte: ödeme maliyetten önde","Uyumlu")))</f>
        <v/>
      </c>
    </row>
    <row r="142">
      <c r="A142" s="5" t="n"/>
      <c r="B142" s="22" t="n"/>
      <c r="C142" s="20">
        <f>IF(A142="","",SUMIF('Keşif'!$B$5:$B$504,A142,'Keşif'!$H$5:$H$504))</f>
        <v/>
      </c>
      <c r="D142" s="23">
        <f>IF(OR(A142="",'Keşif'!$H$3=0),"",C142/'Keşif'!$H$3)</f>
        <v/>
      </c>
      <c r="E142" s="23">
        <f>IF(OR(B142="",D142=""),"",D142-B142)</f>
        <v/>
      </c>
      <c r="F142" s="24">
        <f>IF(E142="","",IF(E142&gt;PursantajTol,"Finansman yükü: maliyet ödemeden önde",IF(E142&lt;-PursantajTol,"Lehte: ödeme maliyetten önde","Uyumlu")))</f>
        <v/>
      </c>
    </row>
    <row r="143">
      <c r="A143" s="5" t="n"/>
      <c r="B143" s="22" t="n"/>
      <c r="C143" s="20">
        <f>IF(A143="","",SUMIF('Keşif'!$B$5:$B$504,A143,'Keşif'!$H$5:$H$504))</f>
        <v/>
      </c>
      <c r="D143" s="23">
        <f>IF(OR(A143="",'Keşif'!$H$3=0),"",C143/'Keşif'!$H$3)</f>
        <v/>
      </c>
      <c r="E143" s="23">
        <f>IF(OR(B143="",D143=""),"",D143-B143)</f>
        <v/>
      </c>
      <c r="F143" s="24">
        <f>IF(E143="","",IF(E143&gt;PursantajTol,"Finansman yükü: maliyet ödemeden önde",IF(E143&lt;-PursantajTol,"Lehte: ödeme maliyetten önde","Uyumlu")))</f>
        <v/>
      </c>
    </row>
    <row r="144">
      <c r="A144" s="5" t="n"/>
      <c r="B144" s="22" t="n"/>
      <c r="C144" s="20">
        <f>IF(A144="","",SUMIF('Keşif'!$B$5:$B$504,A144,'Keşif'!$H$5:$H$504))</f>
        <v/>
      </c>
      <c r="D144" s="23">
        <f>IF(OR(A144="",'Keşif'!$H$3=0),"",C144/'Keşif'!$H$3)</f>
        <v/>
      </c>
      <c r="E144" s="23">
        <f>IF(OR(B144="",D144=""),"",D144-B144)</f>
        <v/>
      </c>
      <c r="F144" s="24">
        <f>IF(E144="","",IF(E144&gt;PursantajTol,"Finansman yükü: maliyet ödemeden önde",IF(E144&lt;-PursantajTol,"Lehte: ödeme maliyetten önde","Uyumlu")))</f>
        <v/>
      </c>
    </row>
    <row r="145">
      <c r="A145" s="5" t="n"/>
      <c r="B145" s="22" t="n"/>
      <c r="C145" s="20">
        <f>IF(A145="","",SUMIF('Keşif'!$B$5:$B$504,A145,'Keşif'!$H$5:$H$504))</f>
        <v/>
      </c>
      <c r="D145" s="23">
        <f>IF(OR(A145="",'Keşif'!$H$3=0),"",C145/'Keşif'!$H$3)</f>
        <v/>
      </c>
      <c r="E145" s="23">
        <f>IF(OR(B145="",D145=""),"",D145-B145)</f>
        <v/>
      </c>
      <c r="F145" s="24">
        <f>IF(E145="","",IF(E145&gt;PursantajTol,"Finansman yükü: maliyet ödemeden önde",IF(E145&lt;-PursantajTol,"Lehte: ödeme maliyetten önde","Uyumlu")))</f>
        <v/>
      </c>
    </row>
    <row r="146">
      <c r="A146" s="5" t="n"/>
      <c r="B146" s="22" t="n"/>
      <c r="C146" s="20">
        <f>IF(A146="","",SUMIF('Keşif'!$B$5:$B$504,A146,'Keşif'!$H$5:$H$504))</f>
        <v/>
      </c>
      <c r="D146" s="23">
        <f>IF(OR(A146="",'Keşif'!$H$3=0),"",C146/'Keşif'!$H$3)</f>
        <v/>
      </c>
      <c r="E146" s="23">
        <f>IF(OR(B146="",D146=""),"",D146-B146)</f>
        <v/>
      </c>
      <c r="F146" s="24">
        <f>IF(E146="","",IF(E146&gt;PursantajTol,"Finansman yükü: maliyet ödemeden önde",IF(E146&lt;-PursantajTol,"Lehte: ödeme maliyetten önde","Uyumlu")))</f>
        <v/>
      </c>
    </row>
    <row r="147">
      <c r="A147" s="5" t="n"/>
      <c r="B147" s="22" t="n"/>
      <c r="C147" s="20">
        <f>IF(A147="","",SUMIF('Keşif'!$B$5:$B$504,A147,'Keşif'!$H$5:$H$504))</f>
        <v/>
      </c>
      <c r="D147" s="23">
        <f>IF(OR(A147="",'Keşif'!$H$3=0),"",C147/'Keşif'!$H$3)</f>
        <v/>
      </c>
      <c r="E147" s="23">
        <f>IF(OR(B147="",D147=""),"",D147-B147)</f>
        <v/>
      </c>
      <c r="F147" s="24">
        <f>IF(E147="","",IF(E147&gt;PursantajTol,"Finansman yükü: maliyet ödemeden önde",IF(E147&lt;-PursantajTol,"Lehte: ödeme maliyetten önde","Uyumlu")))</f>
        <v/>
      </c>
    </row>
    <row r="148">
      <c r="A148" s="5" t="n"/>
      <c r="B148" s="22" t="n"/>
      <c r="C148" s="20">
        <f>IF(A148="","",SUMIF('Keşif'!$B$5:$B$504,A148,'Keşif'!$H$5:$H$504))</f>
        <v/>
      </c>
      <c r="D148" s="23">
        <f>IF(OR(A148="",'Keşif'!$H$3=0),"",C148/'Keşif'!$H$3)</f>
        <v/>
      </c>
      <c r="E148" s="23">
        <f>IF(OR(B148="",D148=""),"",D148-B148)</f>
        <v/>
      </c>
      <c r="F148" s="24">
        <f>IF(E148="","",IF(E148&gt;PursantajTol,"Finansman yükü: maliyet ödemeden önde",IF(E148&lt;-PursantajTol,"Lehte: ödeme maliyetten önde","Uyumlu")))</f>
        <v/>
      </c>
    </row>
    <row r="149">
      <c r="A149" s="5" t="n"/>
      <c r="B149" s="22" t="n"/>
      <c r="C149" s="20">
        <f>IF(A149="","",SUMIF('Keşif'!$B$5:$B$504,A149,'Keşif'!$H$5:$H$504))</f>
        <v/>
      </c>
      <c r="D149" s="23">
        <f>IF(OR(A149="",'Keşif'!$H$3=0),"",C149/'Keşif'!$H$3)</f>
        <v/>
      </c>
      <c r="E149" s="23">
        <f>IF(OR(B149="",D149=""),"",D149-B149)</f>
        <v/>
      </c>
      <c r="F149" s="24">
        <f>IF(E149="","",IF(E149&gt;PursantajTol,"Finansman yükü: maliyet ödemeden önde",IF(E149&lt;-PursantajTol,"Lehte: ödeme maliyetten önde","Uyumlu")))</f>
        <v/>
      </c>
    </row>
    <row r="150">
      <c r="A150" s="5" t="n"/>
      <c r="B150" s="22" t="n"/>
      <c r="C150" s="20">
        <f>IF(A150="","",SUMIF('Keşif'!$B$5:$B$504,A150,'Keşif'!$H$5:$H$504))</f>
        <v/>
      </c>
      <c r="D150" s="23">
        <f>IF(OR(A150="",'Keşif'!$H$3=0),"",C150/'Keşif'!$H$3)</f>
        <v/>
      </c>
      <c r="E150" s="23">
        <f>IF(OR(B150="",D150=""),"",D150-B150)</f>
        <v/>
      </c>
      <c r="F150" s="24">
        <f>IF(E150="","",IF(E150&gt;PursantajTol,"Finansman yükü: maliyet ödemeden önde",IF(E150&lt;-PursantajTol,"Lehte: ödeme maliyetten önde","Uyumlu")))</f>
        <v/>
      </c>
    </row>
    <row r="151">
      <c r="A151" s="5" t="n"/>
      <c r="B151" s="22" t="n"/>
      <c r="C151" s="20">
        <f>IF(A151="","",SUMIF('Keşif'!$B$5:$B$504,A151,'Keşif'!$H$5:$H$504))</f>
        <v/>
      </c>
      <c r="D151" s="23">
        <f>IF(OR(A151="",'Keşif'!$H$3=0),"",C151/'Keşif'!$H$3)</f>
        <v/>
      </c>
      <c r="E151" s="23">
        <f>IF(OR(B151="",D151=""),"",D151-B151)</f>
        <v/>
      </c>
      <c r="F151" s="24">
        <f>IF(E151="","",IF(E151&gt;PursantajTol,"Finansman yükü: maliyet ödemeden önde",IF(E151&lt;-PursantajTol,"Lehte: ödeme maliyetten önde","Uyumlu")))</f>
        <v/>
      </c>
    </row>
    <row r="152">
      <c r="A152" s="5" t="n"/>
      <c r="B152" s="22" t="n"/>
      <c r="C152" s="20">
        <f>IF(A152="","",SUMIF('Keşif'!$B$5:$B$504,A152,'Keşif'!$H$5:$H$504))</f>
        <v/>
      </c>
      <c r="D152" s="23">
        <f>IF(OR(A152="",'Keşif'!$H$3=0),"",C152/'Keşif'!$H$3)</f>
        <v/>
      </c>
      <c r="E152" s="23">
        <f>IF(OR(B152="",D152=""),"",D152-B152)</f>
        <v/>
      </c>
      <c r="F152" s="24">
        <f>IF(E152="","",IF(E152&gt;PursantajTol,"Finansman yükü: maliyet ödemeden önde",IF(E152&lt;-PursantajTol,"Lehte: ödeme maliyetten önde","Uyumlu")))</f>
        <v/>
      </c>
    </row>
    <row r="153">
      <c r="A153" s="5" t="n"/>
      <c r="B153" s="22" t="n"/>
      <c r="C153" s="20">
        <f>IF(A153="","",SUMIF('Keşif'!$B$5:$B$504,A153,'Keşif'!$H$5:$H$504))</f>
        <v/>
      </c>
      <c r="D153" s="23">
        <f>IF(OR(A153="",'Keşif'!$H$3=0),"",C153/'Keşif'!$H$3)</f>
        <v/>
      </c>
      <c r="E153" s="23">
        <f>IF(OR(B153="",D153=""),"",D153-B153)</f>
        <v/>
      </c>
      <c r="F153" s="24">
        <f>IF(E153="","",IF(E153&gt;PursantajTol,"Finansman yükü: maliyet ödemeden önde",IF(E153&lt;-PursantajTol,"Lehte: ödeme maliyetten önde","Uyumlu")))</f>
        <v/>
      </c>
    </row>
    <row r="154">
      <c r="A154" s="5" t="n"/>
      <c r="B154" s="22" t="n"/>
      <c r="C154" s="20">
        <f>IF(A154="","",SUMIF('Keşif'!$B$5:$B$504,A154,'Keşif'!$H$5:$H$504))</f>
        <v/>
      </c>
      <c r="D154" s="23">
        <f>IF(OR(A154="",'Keşif'!$H$3=0),"",C154/'Keşif'!$H$3)</f>
        <v/>
      </c>
      <c r="E154" s="23">
        <f>IF(OR(B154="",D154=""),"",D154-B154)</f>
        <v/>
      </c>
      <c r="F154" s="24">
        <f>IF(E154="","",IF(E154&gt;PursantajTol,"Finansman yükü: maliyet ödemeden önde",IF(E154&lt;-PursantajTol,"Lehte: ödeme maliyetten önde","Uyumlu")))</f>
        <v/>
      </c>
    </row>
    <row r="155">
      <c r="A155" s="5" t="n"/>
      <c r="B155" s="22" t="n"/>
      <c r="C155" s="20">
        <f>IF(A155="","",SUMIF('Keşif'!$B$5:$B$504,A155,'Keşif'!$H$5:$H$504))</f>
        <v/>
      </c>
      <c r="D155" s="23">
        <f>IF(OR(A155="",'Keşif'!$H$3=0),"",C155/'Keşif'!$H$3)</f>
        <v/>
      </c>
      <c r="E155" s="23">
        <f>IF(OR(B155="",D155=""),"",D155-B155)</f>
        <v/>
      </c>
      <c r="F155" s="24">
        <f>IF(E155="","",IF(E155&gt;PursantajTol,"Finansman yükü: maliyet ödemeden önde",IF(E155&lt;-PursantajTol,"Lehte: ödeme maliyetten önde","Uyumlu")))</f>
        <v/>
      </c>
    </row>
    <row r="156">
      <c r="A156" s="5" t="n"/>
      <c r="B156" s="22" t="n"/>
      <c r="C156" s="20">
        <f>IF(A156="","",SUMIF('Keşif'!$B$5:$B$504,A156,'Keşif'!$H$5:$H$504))</f>
        <v/>
      </c>
      <c r="D156" s="23">
        <f>IF(OR(A156="",'Keşif'!$H$3=0),"",C156/'Keşif'!$H$3)</f>
        <v/>
      </c>
      <c r="E156" s="23">
        <f>IF(OR(B156="",D156=""),"",D156-B156)</f>
        <v/>
      </c>
      <c r="F156" s="24">
        <f>IF(E156="","",IF(E156&gt;PursantajTol,"Finansman yükü: maliyet ödemeden önde",IF(E156&lt;-PursantajTol,"Lehte: ödeme maliyetten önde","Uyumlu")))</f>
        <v/>
      </c>
    </row>
    <row r="157">
      <c r="A157" s="5" t="n"/>
      <c r="B157" s="22" t="n"/>
      <c r="C157" s="20">
        <f>IF(A157="","",SUMIF('Keşif'!$B$5:$B$504,A157,'Keşif'!$H$5:$H$504))</f>
        <v/>
      </c>
      <c r="D157" s="23">
        <f>IF(OR(A157="",'Keşif'!$H$3=0),"",C157/'Keşif'!$H$3)</f>
        <v/>
      </c>
      <c r="E157" s="23">
        <f>IF(OR(B157="",D157=""),"",D157-B157)</f>
        <v/>
      </c>
      <c r="F157" s="24">
        <f>IF(E157="","",IF(E157&gt;PursantajTol,"Finansman yükü: maliyet ödemeden önde",IF(E157&lt;-PursantajTol,"Lehte: ödeme maliyetten önde","Uyumlu")))</f>
        <v/>
      </c>
    </row>
    <row r="158">
      <c r="A158" s="5" t="n"/>
      <c r="B158" s="22" t="n"/>
      <c r="C158" s="20">
        <f>IF(A158="","",SUMIF('Keşif'!$B$5:$B$504,A158,'Keşif'!$H$5:$H$504))</f>
        <v/>
      </c>
      <c r="D158" s="23">
        <f>IF(OR(A158="",'Keşif'!$H$3=0),"",C158/'Keşif'!$H$3)</f>
        <v/>
      </c>
      <c r="E158" s="23">
        <f>IF(OR(B158="",D158=""),"",D158-B158)</f>
        <v/>
      </c>
      <c r="F158" s="24">
        <f>IF(E158="","",IF(E158&gt;PursantajTol,"Finansman yükü: maliyet ödemeden önde",IF(E158&lt;-PursantajTol,"Lehte: ödeme maliyetten önde","Uyumlu")))</f>
        <v/>
      </c>
    </row>
    <row r="159">
      <c r="A159" s="5" t="n"/>
      <c r="B159" s="22" t="n"/>
      <c r="C159" s="20">
        <f>IF(A159="","",SUMIF('Keşif'!$B$5:$B$504,A159,'Keşif'!$H$5:$H$504))</f>
        <v/>
      </c>
      <c r="D159" s="23">
        <f>IF(OR(A159="",'Keşif'!$H$3=0),"",C159/'Keşif'!$H$3)</f>
        <v/>
      </c>
      <c r="E159" s="23">
        <f>IF(OR(B159="",D159=""),"",D159-B159)</f>
        <v/>
      </c>
      <c r="F159" s="24">
        <f>IF(E159="","",IF(E159&gt;PursantajTol,"Finansman yükü: maliyet ödemeden önde",IF(E159&lt;-PursantajTol,"Lehte: ödeme maliyetten önde","Uyumlu")))</f>
        <v/>
      </c>
    </row>
    <row r="160">
      <c r="A160" s="5" t="n"/>
      <c r="B160" s="22" t="n"/>
      <c r="C160" s="20">
        <f>IF(A160="","",SUMIF('Keşif'!$B$5:$B$504,A160,'Keşif'!$H$5:$H$504))</f>
        <v/>
      </c>
      <c r="D160" s="23">
        <f>IF(OR(A160="",'Keşif'!$H$3=0),"",C160/'Keşif'!$H$3)</f>
        <v/>
      </c>
      <c r="E160" s="23">
        <f>IF(OR(B160="",D160=""),"",D160-B160)</f>
        <v/>
      </c>
      <c r="F160" s="24">
        <f>IF(E160="","",IF(E160&gt;PursantajTol,"Finansman yükü: maliyet ödemeden önde",IF(E160&lt;-PursantajTol,"Lehte: ödeme maliyetten önde","Uyumlu")))</f>
        <v/>
      </c>
    </row>
    <row r="161">
      <c r="A161" s="5" t="n"/>
      <c r="B161" s="22" t="n"/>
      <c r="C161" s="20">
        <f>IF(A161="","",SUMIF('Keşif'!$B$5:$B$504,A161,'Keşif'!$H$5:$H$504))</f>
        <v/>
      </c>
      <c r="D161" s="23">
        <f>IF(OR(A161="",'Keşif'!$H$3=0),"",C161/'Keşif'!$H$3)</f>
        <v/>
      </c>
      <c r="E161" s="23">
        <f>IF(OR(B161="",D161=""),"",D161-B161)</f>
        <v/>
      </c>
      <c r="F161" s="24">
        <f>IF(E161="","",IF(E161&gt;PursantajTol,"Finansman yükü: maliyet ödemeden önde",IF(E161&lt;-PursantajTol,"Lehte: ödeme maliyetten önde","Uyumlu")))</f>
        <v/>
      </c>
    </row>
    <row r="162">
      <c r="A162" s="5" t="n"/>
      <c r="B162" s="22" t="n"/>
      <c r="C162" s="20">
        <f>IF(A162="","",SUMIF('Keşif'!$B$5:$B$504,A162,'Keşif'!$H$5:$H$504))</f>
        <v/>
      </c>
      <c r="D162" s="23">
        <f>IF(OR(A162="",'Keşif'!$H$3=0),"",C162/'Keşif'!$H$3)</f>
        <v/>
      </c>
      <c r="E162" s="23">
        <f>IF(OR(B162="",D162=""),"",D162-B162)</f>
        <v/>
      </c>
      <c r="F162" s="24">
        <f>IF(E162="","",IF(E162&gt;PursantajTol,"Finansman yükü: maliyet ödemeden önde",IF(E162&lt;-PursantajTol,"Lehte: ödeme maliyetten önde","Uyumlu")))</f>
        <v/>
      </c>
    </row>
    <row r="163">
      <c r="A163" s="5" t="n"/>
      <c r="B163" s="22" t="n"/>
      <c r="C163" s="20">
        <f>IF(A163="","",SUMIF('Keşif'!$B$5:$B$504,A163,'Keşif'!$H$5:$H$504))</f>
        <v/>
      </c>
      <c r="D163" s="23">
        <f>IF(OR(A163="",'Keşif'!$H$3=0),"",C163/'Keşif'!$H$3)</f>
        <v/>
      </c>
      <c r="E163" s="23">
        <f>IF(OR(B163="",D163=""),"",D163-B163)</f>
        <v/>
      </c>
      <c r="F163" s="24">
        <f>IF(E163="","",IF(E163&gt;PursantajTol,"Finansman yükü: maliyet ödemeden önde",IF(E163&lt;-PursantajTol,"Lehte: ödeme maliyetten önde","Uyumlu")))</f>
        <v/>
      </c>
    </row>
    <row r="164">
      <c r="A164" s="5" t="n"/>
      <c r="B164" s="22" t="n"/>
      <c r="C164" s="20">
        <f>IF(A164="","",SUMIF('Keşif'!$B$5:$B$504,A164,'Keşif'!$H$5:$H$504))</f>
        <v/>
      </c>
      <c r="D164" s="23">
        <f>IF(OR(A164="",'Keşif'!$H$3=0),"",C164/'Keşif'!$H$3)</f>
        <v/>
      </c>
      <c r="E164" s="23">
        <f>IF(OR(B164="",D164=""),"",D164-B164)</f>
        <v/>
      </c>
      <c r="F164" s="24">
        <f>IF(E164="","",IF(E164&gt;PursantajTol,"Finansman yükü: maliyet ödemeden önde",IF(E164&lt;-PursantajTol,"Lehte: ödeme maliyetten önde","Uyumlu")))</f>
        <v/>
      </c>
    </row>
    <row r="165">
      <c r="A165" s="5" t="n"/>
      <c r="B165" s="22" t="n"/>
      <c r="C165" s="20">
        <f>IF(A165="","",SUMIF('Keşif'!$B$5:$B$504,A165,'Keşif'!$H$5:$H$504))</f>
        <v/>
      </c>
      <c r="D165" s="23">
        <f>IF(OR(A165="",'Keşif'!$H$3=0),"",C165/'Keşif'!$H$3)</f>
        <v/>
      </c>
      <c r="E165" s="23">
        <f>IF(OR(B165="",D165=""),"",D165-B165)</f>
        <v/>
      </c>
      <c r="F165" s="24">
        <f>IF(E165="","",IF(E165&gt;PursantajTol,"Finansman yükü: maliyet ödemeden önde",IF(E165&lt;-PursantajTol,"Lehte: ödeme maliyetten önde","Uyumlu")))</f>
        <v/>
      </c>
    </row>
    <row r="166">
      <c r="A166" s="5" t="n"/>
      <c r="B166" s="22" t="n"/>
      <c r="C166" s="20">
        <f>IF(A166="","",SUMIF('Keşif'!$B$5:$B$504,A166,'Keşif'!$H$5:$H$504))</f>
        <v/>
      </c>
      <c r="D166" s="23">
        <f>IF(OR(A166="",'Keşif'!$H$3=0),"",C166/'Keşif'!$H$3)</f>
        <v/>
      </c>
      <c r="E166" s="23">
        <f>IF(OR(B166="",D166=""),"",D166-B166)</f>
        <v/>
      </c>
      <c r="F166" s="24">
        <f>IF(E166="","",IF(E166&gt;PursantajTol,"Finansman yükü: maliyet ödemeden önde",IF(E166&lt;-PursantajTol,"Lehte: ödeme maliyetten önde","Uyumlu")))</f>
        <v/>
      </c>
    </row>
    <row r="167">
      <c r="A167" s="5" t="n"/>
      <c r="B167" s="22" t="n"/>
      <c r="C167" s="20">
        <f>IF(A167="","",SUMIF('Keşif'!$B$5:$B$504,A167,'Keşif'!$H$5:$H$504))</f>
        <v/>
      </c>
      <c r="D167" s="23">
        <f>IF(OR(A167="",'Keşif'!$H$3=0),"",C167/'Keşif'!$H$3)</f>
        <v/>
      </c>
      <c r="E167" s="23">
        <f>IF(OR(B167="",D167=""),"",D167-B167)</f>
        <v/>
      </c>
      <c r="F167" s="24">
        <f>IF(E167="","",IF(E167&gt;PursantajTol,"Finansman yükü: maliyet ödemeden önde",IF(E167&lt;-PursantajTol,"Lehte: ödeme maliyetten önde","Uyumlu")))</f>
        <v/>
      </c>
    </row>
    <row r="168">
      <c r="A168" s="5" t="n"/>
      <c r="B168" s="22" t="n"/>
      <c r="C168" s="20">
        <f>IF(A168="","",SUMIF('Keşif'!$B$5:$B$504,A168,'Keşif'!$H$5:$H$504))</f>
        <v/>
      </c>
      <c r="D168" s="23">
        <f>IF(OR(A168="",'Keşif'!$H$3=0),"",C168/'Keşif'!$H$3)</f>
        <v/>
      </c>
      <c r="E168" s="23">
        <f>IF(OR(B168="",D168=""),"",D168-B168)</f>
        <v/>
      </c>
      <c r="F168" s="24">
        <f>IF(E168="","",IF(E168&gt;PursantajTol,"Finansman yükü: maliyet ödemeden önde",IF(E168&lt;-PursantajTol,"Lehte: ödeme maliyetten önde","Uyumlu")))</f>
        <v/>
      </c>
    </row>
    <row r="169">
      <c r="A169" s="5" t="n"/>
      <c r="B169" s="22" t="n"/>
      <c r="C169" s="20">
        <f>IF(A169="","",SUMIF('Keşif'!$B$5:$B$504,A169,'Keşif'!$H$5:$H$504))</f>
        <v/>
      </c>
      <c r="D169" s="23">
        <f>IF(OR(A169="",'Keşif'!$H$3=0),"",C169/'Keşif'!$H$3)</f>
        <v/>
      </c>
      <c r="E169" s="23">
        <f>IF(OR(B169="",D169=""),"",D169-B169)</f>
        <v/>
      </c>
      <c r="F169" s="24">
        <f>IF(E169="","",IF(E169&gt;PursantajTol,"Finansman yükü: maliyet ödemeden önde",IF(E169&lt;-PursantajTol,"Lehte: ödeme maliyetten önde","Uyumlu")))</f>
        <v/>
      </c>
    </row>
    <row r="170">
      <c r="A170" s="5" t="n"/>
      <c r="B170" s="22" t="n"/>
      <c r="C170" s="20">
        <f>IF(A170="","",SUMIF('Keşif'!$B$5:$B$504,A170,'Keşif'!$H$5:$H$504))</f>
        <v/>
      </c>
      <c r="D170" s="23">
        <f>IF(OR(A170="",'Keşif'!$H$3=0),"",C170/'Keşif'!$H$3)</f>
        <v/>
      </c>
      <c r="E170" s="23">
        <f>IF(OR(B170="",D170=""),"",D170-B170)</f>
        <v/>
      </c>
      <c r="F170" s="24">
        <f>IF(E170="","",IF(E170&gt;PursantajTol,"Finansman yükü: maliyet ödemeden önde",IF(E170&lt;-PursantajTol,"Lehte: ödeme maliyetten önde","Uyumlu")))</f>
        <v/>
      </c>
    </row>
    <row r="171">
      <c r="A171" s="5" t="n"/>
      <c r="B171" s="22" t="n"/>
      <c r="C171" s="20">
        <f>IF(A171="","",SUMIF('Keşif'!$B$5:$B$504,A171,'Keşif'!$H$5:$H$504))</f>
        <v/>
      </c>
      <c r="D171" s="23">
        <f>IF(OR(A171="",'Keşif'!$H$3=0),"",C171/'Keşif'!$H$3)</f>
        <v/>
      </c>
      <c r="E171" s="23">
        <f>IF(OR(B171="",D171=""),"",D171-B171)</f>
        <v/>
      </c>
      <c r="F171" s="24">
        <f>IF(E171="","",IF(E171&gt;PursantajTol,"Finansman yükü: maliyet ödemeden önde",IF(E171&lt;-PursantajTol,"Lehte: ödeme maliyetten önde","Uyumlu")))</f>
        <v/>
      </c>
    </row>
    <row r="172">
      <c r="A172" s="5" t="n"/>
      <c r="B172" s="22" t="n"/>
      <c r="C172" s="20">
        <f>IF(A172="","",SUMIF('Keşif'!$B$5:$B$504,A172,'Keşif'!$H$5:$H$504))</f>
        <v/>
      </c>
      <c r="D172" s="23">
        <f>IF(OR(A172="",'Keşif'!$H$3=0),"",C172/'Keşif'!$H$3)</f>
        <v/>
      </c>
      <c r="E172" s="23">
        <f>IF(OR(B172="",D172=""),"",D172-B172)</f>
        <v/>
      </c>
      <c r="F172" s="24">
        <f>IF(E172="","",IF(E172&gt;PursantajTol,"Finansman yükü: maliyet ödemeden önde",IF(E172&lt;-PursantajTol,"Lehte: ödeme maliyetten önde","Uyumlu")))</f>
        <v/>
      </c>
    </row>
    <row r="173">
      <c r="A173" s="5" t="n"/>
      <c r="B173" s="22" t="n"/>
      <c r="C173" s="20">
        <f>IF(A173="","",SUMIF('Keşif'!$B$5:$B$504,A173,'Keşif'!$H$5:$H$504))</f>
        <v/>
      </c>
      <c r="D173" s="23">
        <f>IF(OR(A173="",'Keşif'!$H$3=0),"",C173/'Keşif'!$H$3)</f>
        <v/>
      </c>
      <c r="E173" s="23">
        <f>IF(OR(B173="",D173=""),"",D173-B173)</f>
        <v/>
      </c>
      <c r="F173" s="24">
        <f>IF(E173="","",IF(E173&gt;PursantajTol,"Finansman yükü: maliyet ödemeden önde",IF(E173&lt;-PursantajTol,"Lehte: ödeme maliyetten önde","Uyumlu")))</f>
        <v/>
      </c>
    </row>
    <row r="174">
      <c r="A174" s="5" t="n"/>
      <c r="B174" s="22" t="n"/>
      <c r="C174" s="20">
        <f>IF(A174="","",SUMIF('Keşif'!$B$5:$B$504,A174,'Keşif'!$H$5:$H$504))</f>
        <v/>
      </c>
      <c r="D174" s="23">
        <f>IF(OR(A174="",'Keşif'!$H$3=0),"",C174/'Keşif'!$H$3)</f>
        <v/>
      </c>
      <c r="E174" s="23">
        <f>IF(OR(B174="",D174=""),"",D174-B174)</f>
        <v/>
      </c>
      <c r="F174" s="24">
        <f>IF(E174="","",IF(E174&gt;PursantajTol,"Finansman yükü: maliyet ödemeden önde",IF(E174&lt;-PursantajTol,"Lehte: ödeme maliyetten önde","Uyumlu")))</f>
        <v/>
      </c>
    </row>
    <row r="175">
      <c r="A175" s="5" t="n"/>
      <c r="B175" s="22" t="n"/>
      <c r="C175" s="20">
        <f>IF(A175="","",SUMIF('Keşif'!$B$5:$B$504,A175,'Keşif'!$H$5:$H$504))</f>
        <v/>
      </c>
      <c r="D175" s="23">
        <f>IF(OR(A175="",'Keşif'!$H$3=0),"",C175/'Keşif'!$H$3)</f>
        <v/>
      </c>
      <c r="E175" s="23">
        <f>IF(OR(B175="",D175=""),"",D175-B175)</f>
        <v/>
      </c>
      <c r="F175" s="24">
        <f>IF(E175="","",IF(E175&gt;PursantajTol,"Finansman yükü: maliyet ödemeden önde",IF(E175&lt;-PursantajTol,"Lehte: ödeme maliyetten önde","Uyumlu")))</f>
        <v/>
      </c>
    </row>
    <row r="176">
      <c r="A176" s="5" t="n"/>
      <c r="B176" s="22" t="n"/>
      <c r="C176" s="20">
        <f>IF(A176="","",SUMIF('Keşif'!$B$5:$B$504,A176,'Keşif'!$H$5:$H$504))</f>
        <v/>
      </c>
      <c r="D176" s="23">
        <f>IF(OR(A176="",'Keşif'!$H$3=0),"",C176/'Keşif'!$H$3)</f>
        <v/>
      </c>
      <c r="E176" s="23">
        <f>IF(OR(B176="",D176=""),"",D176-B176)</f>
        <v/>
      </c>
      <c r="F176" s="24">
        <f>IF(E176="","",IF(E176&gt;PursantajTol,"Finansman yükü: maliyet ödemeden önde",IF(E176&lt;-PursantajTol,"Lehte: ödeme maliyetten önde","Uyumlu")))</f>
        <v/>
      </c>
    </row>
    <row r="177">
      <c r="A177" s="5" t="n"/>
      <c r="B177" s="22" t="n"/>
      <c r="C177" s="20">
        <f>IF(A177="","",SUMIF('Keşif'!$B$5:$B$504,A177,'Keşif'!$H$5:$H$504))</f>
        <v/>
      </c>
      <c r="D177" s="23">
        <f>IF(OR(A177="",'Keşif'!$H$3=0),"",C177/'Keşif'!$H$3)</f>
        <v/>
      </c>
      <c r="E177" s="23">
        <f>IF(OR(B177="",D177=""),"",D177-B177)</f>
        <v/>
      </c>
      <c r="F177" s="24">
        <f>IF(E177="","",IF(E177&gt;PursantajTol,"Finansman yükü: maliyet ödemeden önde",IF(E177&lt;-PursantajTol,"Lehte: ödeme maliyetten önde","Uyumlu")))</f>
        <v/>
      </c>
    </row>
    <row r="178">
      <c r="A178" s="5" t="n"/>
      <c r="B178" s="22" t="n"/>
      <c r="C178" s="20">
        <f>IF(A178="","",SUMIF('Keşif'!$B$5:$B$504,A178,'Keşif'!$H$5:$H$504))</f>
        <v/>
      </c>
      <c r="D178" s="23">
        <f>IF(OR(A178="",'Keşif'!$H$3=0),"",C178/'Keşif'!$H$3)</f>
        <v/>
      </c>
      <c r="E178" s="23">
        <f>IF(OR(B178="",D178=""),"",D178-B178)</f>
        <v/>
      </c>
      <c r="F178" s="24">
        <f>IF(E178="","",IF(E178&gt;PursantajTol,"Finansman yükü: maliyet ödemeden önde",IF(E178&lt;-PursantajTol,"Lehte: ödeme maliyetten önde","Uyumlu")))</f>
        <v/>
      </c>
    </row>
    <row r="179">
      <c r="A179" s="5" t="n"/>
      <c r="B179" s="22" t="n"/>
      <c r="C179" s="20">
        <f>IF(A179="","",SUMIF('Keşif'!$B$5:$B$504,A179,'Keşif'!$H$5:$H$504))</f>
        <v/>
      </c>
      <c r="D179" s="23">
        <f>IF(OR(A179="",'Keşif'!$H$3=0),"",C179/'Keşif'!$H$3)</f>
        <v/>
      </c>
      <c r="E179" s="23">
        <f>IF(OR(B179="",D179=""),"",D179-B179)</f>
        <v/>
      </c>
      <c r="F179" s="24">
        <f>IF(E179="","",IF(E179&gt;PursantajTol,"Finansman yükü: maliyet ödemeden önde",IF(E179&lt;-PursantajTol,"Lehte: ödeme maliyetten önde","Uyumlu")))</f>
        <v/>
      </c>
    </row>
    <row r="180">
      <c r="A180" s="5" t="n"/>
      <c r="B180" s="22" t="n"/>
      <c r="C180" s="20">
        <f>IF(A180="","",SUMIF('Keşif'!$B$5:$B$504,A180,'Keşif'!$H$5:$H$504))</f>
        <v/>
      </c>
      <c r="D180" s="23">
        <f>IF(OR(A180="",'Keşif'!$H$3=0),"",C180/'Keşif'!$H$3)</f>
        <v/>
      </c>
      <c r="E180" s="23">
        <f>IF(OR(B180="",D180=""),"",D180-B180)</f>
        <v/>
      </c>
      <c r="F180" s="24">
        <f>IF(E180="","",IF(E180&gt;PursantajTol,"Finansman yükü: maliyet ödemeden önde",IF(E180&lt;-PursantajTol,"Lehte: ödeme maliyetten önde","Uyumlu")))</f>
        <v/>
      </c>
    </row>
    <row r="181">
      <c r="A181" s="5" t="n"/>
      <c r="B181" s="22" t="n"/>
      <c r="C181" s="20">
        <f>IF(A181="","",SUMIF('Keşif'!$B$5:$B$504,A181,'Keşif'!$H$5:$H$504))</f>
        <v/>
      </c>
      <c r="D181" s="23">
        <f>IF(OR(A181="",'Keşif'!$H$3=0),"",C181/'Keşif'!$H$3)</f>
        <v/>
      </c>
      <c r="E181" s="23">
        <f>IF(OR(B181="",D181=""),"",D181-B181)</f>
        <v/>
      </c>
      <c r="F181" s="24">
        <f>IF(E181="","",IF(E181&gt;PursantajTol,"Finansman yükü: maliyet ödemeden önde",IF(E181&lt;-PursantajTol,"Lehte: ödeme maliyetten önde","Uyumlu")))</f>
        <v/>
      </c>
    </row>
    <row r="182">
      <c r="A182" s="5" t="n"/>
      <c r="B182" s="22" t="n"/>
      <c r="C182" s="20">
        <f>IF(A182="","",SUMIF('Keşif'!$B$5:$B$504,A182,'Keşif'!$H$5:$H$504))</f>
        <v/>
      </c>
      <c r="D182" s="23">
        <f>IF(OR(A182="",'Keşif'!$H$3=0),"",C182/'Keşif'!$H$3)</f>
        <v/>
      </c>
      <c r="E182" s="23">
        <f>IF(OR(B182="",D182=""),"",D182-B182)</f>
        <v/>
      </c>
      <c r="F182" s="24">
        <f>IF(E182="","",IF(E182&gt;PursantajTol,"Finansman yükü: maliyet ödemeden önde",IF(E182&lt;-PursantajTol,"Lehte: ödeme maliyetten önde","Uyumlu")))</f>
        <v/>
      </c>
    </row>
    <row r="183">
      <c r="A183" s="5" t="n"/>
      <c r="B183" s="22" t="n"/>
      <c r="C183" s="20">
        <f>IF(A183="","",SUMIF('Keşif'!$B$5:$B$504,A183,'Keşif'!$H$5:$H$504))</f>
        <v/>
      </c>
      <c r="D183" s="23">
        <f>IF(OR(A183="",'Keşif'!$H$3=0),"",C183/'Keşif'!$H$3)</f>
        <v/>
      </c>
      <c r="E183" s="23">
        <f>IF(OR(B183="",D183=""),"",D183-B183)</f>
        <v/>
      </c>
      <c r="F183" s="24">
        <f>IF(E183="","",IF(E183&gt;PursantajTol,"Finansman yükü: maliyet ödemeden önde",IF(E183&lt;-PursantajTol,"Lehte: ödeme maliyetten önde","Uyumlu")))</f>
        <v/>
      </c>
    </row>
    <row r="184">
      <c r="A184" s="5" t="n"/>
      <c r="B184" s="22" t="n"/>
      <c r="C184" s="20">
        <f>IF(A184="","",SUMIF('Keşif'!$B$5:$B$504,A184,'Keşif'!$H$5:$H$504))</f>
        <v/>
      </c>
      <c r="D184" s="23">
        <f>IF(OR(A184="",'Keşif'!$H$3=0),"",C184/'Keşif'!$H$3)</f>
        <v/>
      </c>
      <c r="E184" s="23">
        <f>IF(OR(B184="",D184=""),"",D184-B184)</f>
        <v/>
      </c>
      <c r="F184" s="24">
        <f>IF(E184="","",IF(E184&gt;PursantajTol,"Finansman yükü: maliyet ödemeden önde",IF(E184&lt;-PursantajTol,"Lehte: ödeme maliyetten önde","Uyumlu")))</f>
        <v/>
      </c>
    </row>
    <row r="185">
      <c r="A185" s="5" t="n"/>
      <c r="B185" s="22" t="n"/>
      <c r="C185" s="20">
        <f>IF(A185="","",SUMIF('Keşif'!$B$5:$B$504,A185,'Keşif'!$H$5:$H$504))</f>
        <v/>
      </c>
      <c r="D185" s="23">
        <f>IF(OR(A185="",'Keşif'!$H$3=0),"",C185/'Keşif'!$H$3)</f>
        <v/>
      </c>
      <c r="E185" s="23">
        <f>IF(OR(B185="",D185=""),"",D185-B185)</f>
        <v/>
      </c>
      <c r="F185" s="24">
        <f>IF(E185="","",IF(E185&gt;PursantajTol,"Finansman yükü: maliyet ödemeden önde",IF(E185&lt;-PursantajTol,"Lehte: ödeme maliyetten önde","Uyumlu")))</f>
        <v/>
      </c>
    </row>
    <row r="186">
      <c r="A186" s="5" t="n"/>
      <c r="B186" s="22" t="n"/>
      <c r="C186" s="20">
        <f>IF(A186="","",SUMIF('Keşif'!$B$5:$B$504,A186,'Keşif'!$H$5:$H$504))</f>
        <v/>
      </c>
      <c r="D186" s="23">
        <f>IF(OR(A186="",'Keşif'!$H$3=0),"",C186/'Keşif'!$H$3)</f>
        <v/>
      </c>
      <c r="E186" s="23">
        <f>IF(OR(B186="",D186=""),"",D186-B186)</f>
        <v/>
      </c>
      <c r="F186" s="24">
        <f>IF(E186="","",IF(E186&gt;PursantajTol,"Finansman yükü: maliyet ödemeden önde",IF(E186&lt;-PursantajTol,"Lehte: ödeme maliyetten önde","Uyumlu")))</f>
        <v/>
      </c>
    </row>
    <row r="187">
      <c r="A187" s="5" t="n"/>
      <c r="B187" s="22" t="n"/>
      <c r="C187" s="20">
        <f>IF(A187="","",SUMIF('Keşif'!$B$5:$B$504,A187,'Keşif'!$H$5:$H$504))</f>
        <v/>
      </c>
      <c r="D187" s="23">
        <f>IF(OR(A187="",'Keşif'!$H$3=0),"",C187/'Keşif'!$H$3)</f>
        <v/>
      </c>
      <c r="E187" s="23">
        <f>IF(OR(B187="",D187=""),"",D187-B187)</f>
        <v/>
      </c>
      <c r="F187" s="24">
        <f>IF(E187="","",IF(E187&gt;PursantajTol,"Finansman yükü: maliyet ödemeden önde",IF(E187&lt;-PursantajTol,"Lehte: ödeme maliyetten önde","Uyumlu")))</f>
        <v/>
      </c>
    </row>
    <row r="188">
      <c r="A188" s="5" t="n"/>
      <c r="B188" s="22" t="n"/>
      <c r="C188" s="20">
        <f>IF(A188="","",SUMIF('Keşif'!$B$5:$B$504,A188,'Keşif'!$H$5:$H$504))</f>
        <v/>
      </c>
      <c r="D188" s="23">
        <f>IF(OR(A188="",'Keşif'!$H$3=0),"",C188/'Keşif'!$H$3)</f>
        <v/>
      </c>
      <c r="E188" s="23">
        <f>IF(OR(B188="",D188=""),"",D188-B188)</f>
        <v/>
      </c>
      <c r="F188" s="24">
        <f>IF(E188="","",IF(E188&gt;PursantajTol,"Finansman yükü: maliyet ödemeden önde",IF(E188&lt;-PursantajTol,"Lehte: ödeme maliyetten önde","Uyumlu")))</f>
        <v/>
      </c>
    </row>
    <row r="189">
      <c r="A189" s="5" t="n"/>
      <c r="B189" s="22" t="n"/>
      <c r="C189" s="20">
        <f>IF(A189="","",SUMIF('Keşif'!$B$5:$B$504,A189,'Keşif'!$H$5:$H$504))</f>
        <v/>
      </c>
      <c r="D189" s="23">
        <f>IF(OR(A189="",'Keşif'!$H$3=0),"",C189/'Keşif'!$H$3)</f>
        <v/>
      </c>
      <c r="E189" s="23">
        <f>IF(OR(B189="",D189=""),"",D189-B189)</f>
        <v/>
      </c>
      <c r="F189" s="24">
        <f>IF(E189="","",IF(E189&gt;PursantajTol,"Finansman yükü: maliyet ödemeden önde",IF(E189&lt;-PursantajTol,"Lehte: ödeme maliyetten önde","Uyumlu")))</f>
        <v/>
      </c>
    </row>
    <row r="190">
      <c r="A190" s="5" t="n"/>
      <c r="B190" s="22" t="n"/>
      <c r="C190" s="20">
        <f>IF(A190="","",SUMIF('Keşif'!$B$5:$B$504,A190,'Keşif'!$H$5:$H$504))</f>
        <v/>
      </c>
      <c r="D190" s="23">
        <f>IF(OR(A190="",'Keşif'!$H$3=0),"",C190/'Keşif'!$H$3)</f>
        <v/>
      </c>
      <c r="E190" s="23">
        <f>IF(OR(B190="",D190=""),"",D190-B190)</f>
        <v/>
      </c>
      <c r="F190" s="24">
        <f>IF(E190="","",IF(E190&gt;PursantajTol,"Finansman yükü: maliyet ödemeden önde",IF(E190&lt;-PursantajTol,"Lehte: ödeme maliyetten önde","Uyumlu")))</f>
        <v/>
      </c>
    </row>
    <row r="191">
      <c r="A191" s="5" t="n"/>
      <c r="B191" s="22" t="n"/>
      <c r="C191" s="20">
        <f>IF(A191="","",SUMIF('Keşif'!$B$5:$B$504,A191,'Keşif'!$H$5:$H$504))</f>
        <v/>
      </c>
      <c r="D191" s="23">
        <f>IF(OR(A191="",'Keşif'!$H$3=0),"",C191/'Keşif'!$H$3)</f>
        <v/>
      </c>
      <c r="E191" s="23">
        <f>IF(OR(B191="",D191=""),"",D191-B191)</f>
        <v/>
      </c>
      <c r="F191" s="24">
        <f>IF(E191="","",IF(E191&gt;PursantajTol,"Finansman yükü: maliyet ödemeden önde",IF(E191&lt;-PursantajTol,"Lehte: ödeme maliyetten önde","Uyumlu")))</f>
        <v/>
      </c>
    </row>
    <row r="192">
      <c r="A192" s="5" t="n"/>
      <c r="B192" s="22" t="n"/>
      <c r="C192" s="20">
        <f>IF(A192="","",SUMIF('Keşif'!$B$5:$B$504,A192,'Keşif'!$H$5:$H$504))</f>
        <v/>
      </c>
      <c r="D192" s="23">
        <f>IF(OR(A192="",'Keşif'!$H$3=0),"",C192/'Keşif'!$H$3)</f>
        <v/>
      </c>
      <c r="E192" s="23">
        <f>IF(OR(B192="",D192=""),"",D192-B192)</f>
        <v/>
      </c>
      <c r="F192" s="24">
        <f>IF(E192="","",IF(E192&gt;PursantajTol,"Finansman yükü: maliyet ödemeden önde",IF(E192&lt;-PursantajTol,"Lehte: ödeme maliyetten önde","Uyumlu")))</f>
        <v/>
      </c>
    </row>
    <row r="193">
      <c r="A193" s="5" t="n"/>
      <c r="B193" s="22" t="n"/>
      <c r="C193" s="20">
        <f>IF(A193="","",SUMIF('Keşif'!$B$5:$B$504,A193,'Keşif'!$H$5:$H$504))</f>
        <v/>
      </c>
      <c r="D193" s="23">
        <f>IF(OR(A193="",'Keşif'!$H$3=0),"",C193/'Keşif'!$H$3)</f>
        <v/>
      </c>
      <c r="E193" s="23">
        <f>IF(OR(B193="",D193=""),"",D193-B193)</f>
        <v/>
      </c>
      <c r="F193" s="24">
        <f>IF(E193="","",IF(E193&gt;PursantajTol,"Finansman yükü: maliyet ödemeden önde",IF(E193&lt;-PursantajTol,"Lehte: ödeme maliyetten önde","Uyumlu")))</f>
        <v/>
      </c>
    </row>
    <row r="194">
      <c r="A194" s="5" t="n"/>
      <c r="B194" s="22" t="n"/>
      <c r="C194" s="20">
        <f>IF(A194="","",SUMIF('Keşif'!$B$5:$B$504,A194,'Keşif'!$H$5:$H$504))</f>
        <v/>
      </c>
      <c r="D194" s="23">
        <f>IF(OR(A194="",'Keşif'!$H$3=0),"",C194/'Keşif'!$H$3)</f>
        <v/>
      </c>
      <c r="E194" s="23">
        <f>IF(OR(B194="",D194=""),"",D194-B194)</f>
        <v/>
      </c>
      <c r="F194" s="24">
        <f>IF(E194="","",IF(E194&gt;PursantajTol,"Finansman yükü: maliyet ödemeden önde",IF(E194&lt;-PursantajTol,"Lehte: ödeme maliyetten önde","Uyumlu")))</f>
        <v/>
      </c>
    </row>
    <row r="195">
      <c r="A195" s="5" t="n"/>
      <c r="B195" s="22" t="n"/>
      <c r="C195" s="20">
        <f>IF(A195="","",SUMIF('Keşif'!$B$5:$B$504,A195,'Keşif'!$H$5:$H$504))</f>
        <v/>
      </c>
      <c r="D195" s="23">
        <f>IF(OR(A195="",'Keşif'!$H$3=0),"",C195/'Keşif'!$H$3)</f>
        <v/>
      </c>
      <c r="E195" s="23">
        <f>IF(OR(B195="",D195=""),"",D195-B195)</f>
        <v/>
      </c>
      <c r="F195" s="24">
        <f>IF(E195="","",IF(E195&gt;PursantajTol,"Finansman yükü: maliyet ödemeden önde",IF(E195&lt;-PursantajTol,"Lehte: ödeme maliyetten önde","Uyumlu")))</f>
        <v/>
      </c>
    </row>
    <row r="196">
      <c r="A196" s="5" t="n"/>
      <c r="B196" s="22" t="n"/>
      <c r="C196" s="20">
        <f>IF(A196="","",SUMIF('Keşif'!$B$5:$B$504,A196,'Keşif'!$H$5:$H$504))</f>
        <v/>
      </c>
      <c r="D196" s="23">
        <f>IF(OR(A196="",'Keşif'!$H$3=0),"",C196/'Keşif'!$H$3)</f>
        <v/>
      </c>
      <c r="E196" s="23">
        <f>IF(OR(B196="",D196=""),"",D196-B196)</f>
        <v/>
      </c>
      <c r="F196" s="24">
        <f>IF(E196="","",IF(E196&gt;PursantajTol,"Finansman yükü: maliyet ödemeden önde",IF(E196&lt;-PursantajTol,"Lehte: ödeme maliyetten önde","Uyumlu")))</f>
        <v/>
      </c>
    </row>
    <row r="197">
      <c r="A197" s="5" t="n"/>
      <c r="B197" s="22" t="n"/>
      <c r="C197" s="20">
        <f>IF(A197="","",SUMIF('Keşif'!$B$5:$B$504,A197,'Keşif'!$H$5:$H$504))</f>
        <v/>
      </c>
      <c r="D197" s="23">
        <f>IF(OR(A197="",'Keşif'!$H$3=0),"",C197/'Keşif'!$H$3)</f>
        <v/>
      </c>
      <c r="E197" s="23">
        <f>IF(OR(B197="",D197=""),"",D197-B197)</f>
        <v/>
      </c>
      <c r="F197" s="24">
        <f>IF(E197="","",IF(E197&gt;PursantajTol,"Finansman yükü: maliyet ödemeden önde",IF(E197&lt;-PursantajTol,"Lehte: ödeme maliyetten önde","Uyumlu")))</f>
        <v/>
      </c>
    </row>
    <row r="198">
      <c r="A198" s="5" t="n"/>
      <c r="B198" s="22" t="n"/>
      <c r="C198" s="20">
        <f>IF(A198="","",SUMIF('Keşif'!$B$5:$B$504,A198,'Keşif'!$H$5:$H$504))</f>
        <v/>
      </c>
      <c r="D198" s="23">
        <f>IF(OR(A198="",'Keşif'!$H$3=0),"",C198/'Keşif'!$H$3)</f>
        <v/>
      </c>
      <c r="E198" s="23">
        <f>IF(OR(B198="",D198=""),"",D198-B198)</f>
        <v/>
      </c>
      <c r="F198" s="24">
        <f>IF(E198="","",IF(E198&gt;PursantajTol,"Finansman yükü: maliyet ödemeden önde",IF(E198&lt;-PursantajTol,"Lehte: ödeme maliyetten önde","Uyumlu")))</f>
        <v/>
      </c>
    </row>
    <row r="199">
      <c r="A199" s="5" t="n"/>
      <c r="B199" s="22" t="n"/>
      <c r="C199" s="20">
        <f>IF(A199="","",SUMIF('Keşif'!$B$5:$B$504,A199,'Keşif'!$H$5:$H$504))</f>
        <v/>
      </c>
      <c r="D199" s="23">
        <f>IF(OR(A199="",'Keşif'!$H$3=0),"",C199/'Keşif'!$H$3)</f>
        <v/>
      </c>
      <c r="E199" s="23">
        <f>IF(OR(B199="",D199=""),"",D199-B199)</f>
        <v/>
      </c>
      <c r="F199" s="24">
        <f>IF(E199="","",IF(E199&gt;PursantajTol,"Finansman yükü: maliyet ödemeden önde",IF(E199&lt;-PursantajTol,"Lehte: ödeme maliyetten önde","Uyumlu")))</f>
        <v/>
      </c>
    </row>
    <row r="200">
      <c r="A200" s="5" t="n"/>
      <c r="B200" s="22" t="n"/>
      <c r="C200" s="20">
        <f>IF(A200="","",SUMIF('Keşif'!$B$5:$B$504,A200,'Keşif'!$H$5:$H$504))</f>
        <v/>
      </c>
      <c r="D200" s="23">
        <f>IF(OR(A200="",'Keşif'!$H$3=0),"",C200/'Keşif'!$H$3)</f>
        <v/>
      </c>
      <c r="E200" s="23">
        <f>IF(OR(B200="",D200=""),"",D200-B200)</f>
        <v/>
      </c>
      <c r="F200" s="24">
        <f>IF(E200="","",IF(E200&gt;PursantajTol,"Finansman yükü: maliyet ödemeden önde",IF(E200&lt;-PursantajTol,"Lehte: ödeme maliyetten önde","Uyumlu")))</f>
        <v/>
      </c>
    </row>
    <row r="201">
      <c r="A201" s="5" t="n"/>
      <c r="B201" s="22" t="n"/>
      <c r="C201" s="20">
        <f>IF(A201="","",SUMIF('Keşif'!$B$5:$B$504,A201,'Keşif'!$H$5:$H$504))</f>
        <v/>
      </c>
      <c r="D201" s="23">
        <f>IF(OR(A201="",'Keşif'!$H$3=0),"",C201/'Keşif'!$H$3)</f>
        <v/>
      </c>
      <c r="E201" s="23">
        <f>IF(OR(B201="",D201=""),"",D201-B201)</f>
        <v/>
      </c>
      <c r="F201" s="24">
        <f>IF(E201="","",IF(E201&gt;PursantajTol,"Finansman yükü: maliyet ödemeden önde",IF(E201&lt;-PursantajTol,"Lehte: ödeme maliyetten önde","Uyumlu")))</f>
        <v/>
      </c>
    </row>
    <row r="202">
      <c r="A202" s="5" t="n"/>
      <c r="B202" s="22" t="n"/>
      <c r="C202" s="20">
        <f>IF(A202="","",SUMIF('Keşif'!$B$5:$B$504,A202,'Keşif'!$H$5:$H$504))</f>
        <v/>
      </c>
      <c r="D202" s="23">
        <f>IF(OR(A202="",'Keşif'!$H$3=0),"",C202/'Keşif'!$H$3)</f>
        <v/>
      </c>
      <c r="E202" s="23">
        <f>IF(OR(B202="",D202=""),"",D202-B202)</f>
        <v/>
      </c>
      <c r="F202" s="24">
        <f>IF(E202="","",IF(E202&gt;PursantajTol,"Finansman yükü: maliyet ödemeden önde",IF(E202&lt;-PursantajTol,"Lehte: ödeme maliyetten önde","Uyumlu")))</f>
        <v/>
      </c>
    </row>
    <row r="203">
      <c r="A203" s="5" t="n"/>
      <c r="B203" s="22" t="n"/>
      <c r="C203" s="20">
        <f>IF(A203="","",SUMIF('Keşif'!$B$5:$B$504,A203,'Keşif'!$H$5:$H$504))</f>
        <v/>
      </c>
      <c r="D203" s="23">
        <f>IF(OR(A203="",'Keşif'!$H$3=0),"",C203/'Keşif'!$H$3)</f>
        <v/>
      </c>
      <c r="E203" s="23">
        <f>IF(OR(B203="",D203=""),"",D203-B203)</f>
        <v/>
      </c>
      <c r="F203" s="24">
        <f>IF(E203="","",IF(E203&gt;PursantajTol,"Finansman yükü: maliyet ödemeden önde",IF(E203&lt;-PursantajTol,"Lehte: ödeme maliyetten önde","Uyumlu")))</f>
        <v/>
      </c>
    </row>
    <row r="204">
      <c r="A204" s="5" t="n"/>
      <c r="B204" s="22" t="n"/>
      <c r="C204" s="20">
        <f>IF(A204="","",SUMIF('Keşif'!$B$5:$B$504,A204,'Keşif'!$H$5:$H$504))</f>
        <v/>
      </c>
      <c r="D204" s="23">
        <f>IF(OR(A204="",'Keşif'!$H$3=0),"",C204/'Keşif'!$H$3)</f>
        <v/>
      </c>
      <c r="E204" s="23">
        <f>IF(OR(B204="",D204=""),"",D204-B204)</f>
        <v/>
      </c>
      <c r="F204" s="24">
        <f>IF(E204="","",IF(E204&gt;PursantajTol,"Finansman yükü: maliyet ödemeden önde",IF(E204&lt;-PursantajTol,"Lehte: ödeme maliyetten önde","Uyumlu")))</f>
        <v/>
      </c>
    </row>
    <row r="205">
      <c r="A205" s="5" t="n"/>
      <c r="B205" s="22" t="n"/>
      <c r="C205" s="20">
        <f>IF(A205="","",SUMIF('Keşif'!$B$5:$B$504,A205,'Keşif'!$H$5:$H$504))</f>
        <v/>
      </c>
      <c r="D205" s="23">
        <f>IF(OR(A205="",'Keşif'!$H$3=0),"",C205/'Keşif'!$H$3)</f>
        <v/>
      </c>
      <c r="E205" s="23">
        <f>IF(OR(B205="",D205=""),"",D205-B205)</f>
        <v/>
      </c>
      <c r="F205" s="24">
        <f>IF(E205="","",IF(E205&gt;PursantajTol,"Finansman yükü: maliyet ödemeden önde",IF(E205&lt;-PursantajTol,"Lehte: ödeme maliyetten önde","Uyumlu")))</f>
        <v/>
      </c>
    </row>
    <row r="206">
      <c r="A206" s="5" t="n"/>
      <c r="B206" s="22" t="n"/>
      <c r="C206" s="20">
        <f>IF(A206="","",SUMIF('Keşif'!$B$5:$B$504,A206,'Keşif'!$H$5:$H$504))</f>
        <v/>
      </c>
      <c r="D206" s="23">
        <f>IF(OR(A206="",'Keşif'!$H$3=0),"",C206/'Keşif'!$H$3)</f>
        <v/>
      </c>
      <c r="E206" s="23">
        <f>IF(OR(B206="",D206=""),"",D206-B206)</f>
        <v/>
      </c>
      <c r="F206" s="24">
        <f>IF(E206="","",IF(E206&gt;PursantajTol,"Finansman yükü: maliyet ödemeden önde",IF(E206&lt;-PursantajTol,"Lehte: ödeme maliyetten önde","Uyumlu")))</f>
        <v/>
      </c>
    </row>
    <row r="207">
      <c r="A207" s="5" t="n"/>
      <c r="B207" s="22" t="n"/>
      <c r="C207" s="20">
        <f>IF(A207="","",SUMIF('Keşif'!$B$5:$B$504,A207,'Keşif'!$H$5:$H$504))</f>
        <v/>
      </c>
      <c r="D207" s="23">
        <f>IF(OR(A207="",'Keşif'!$H$3=0),"",C207/'Keşif'!$H$3)</f>
        <v/>
      </c>
      <c r="E207" s="23">
        <f>IF(OR(B207="",D207=""),"",D207-B207)</f>
        <v/>
      </c>
      <c r="F207" s="24">
        <f>IF(E207="","",IF(E207&gt;PursantajTol,"Finansman yükü: maliyet ödemeden önde",IF(E207&lt;-PursantajTol,"Lehte: ödeme maliyetten önde","Uyumlu")))</f>
        <v/>
      </c>
    </row>
    <row r="208">
      <c r="A208" s="5" t="n"/>
      <c r="B208" s="22" t="n"/>
      <c r="C208" s="20">
        <f>IF(A208="","",SUMIF('Keşif'!$B$5:$B$504,A208,'Keşif'!$H$5:$H$504))</f>
        <v/>
      </c>
      <c r="D208" s="23">
        <f>IF(OR(A208="",'Keşif'!$H$3=0),"",C208/'Keşif'!$H$3)</f>
        <v/>
      </c>
      <c r="E208" s="23">
        <f>IF(OR(B208="",D208=""),"",D208-B208)</f>
        <v/>
      </c>
      <c r="F208" s="24">
        <f>IF(E208="","",IF(E208&gt;PursantajTol,"Finansman yükü: maliyet ödemeden önde",IF(E208&lt;-PursantajTol,"Lehte: ödeme maliyetten önde","Uyumlu")))</f>
        <v/>
      </c>
    </row>
    <row r="209">
      <c r="A209" s="5" t="n"/>
      <c r="B209" s="22" t="n"/>
      <c r="C209" s="20">
        <f>IF(A209="","",SUMIF('Keşif'!$B$5:$B$504,A209,'Keşif'!$H$5:$H$504))</f>
        <v/>
      </c>
      <c r="D209" s="23">
        <f>IF(OR(A209="",'Keşif'!$H$3=0),"",C209/'Keşif'!$H$3)</f>
        <v/>
      </c>
      <c r="E209" s="23">
        <f>IF(OR(B209="",D209=""),"",D209-B209)</f>
        <v/>
      </c>
      <c r="F209" s="24">
        <f>IF(E209="","",IF(E209&gt;PursantajTol,"Finansman yükü: maliyet ödemeden önde",IF(E209&lt;-PursantajTol,"Lehte: ödeme maliyetten önde","Uyumlu")))</f>
        <v/>
      </c>
    </row>
    <row r="210">
      <c r="A210" s="5" t="n"/>
      <c r="B210" s="22" t="n"/>
      <c r="C210" s="20">
        <f>IF(A210="","",SUMIF('Keşif'!$B$5:$B$504,A210,'Keşif'!$H$5:$H$504))</f>
        <v/>
      </c>
      <c r="D210" s="23">
        <f>IF(OR(A210="",'Keşif'!$H$3=0),"",C210/'Keşif'!$H$3)</f>
        <v/>
      </c>
      <c r="E210" s="23">
        <f>IF(OR(B210="",D210=""),"",D210-B210)</f>
        <v/>
      </c>
      <c r="F210" s="24">
        <f>IF(E210="","",IF(E210&gt;PursantajTol,"Finansman yükü: maliyet ödemeden önde",IF(E210&lt;-PursantajTol,"Lehte: ödeme maliyetten önde","Uyumlu")))</f>
        <v/>
      </c>
    </row>
    <row r="211">
      <c r="A211" s="5" t="n"/>
      <c r="B211" s="22" t="n"/>
      <c r="C211" s="20">
        <f>IF(A211="","",SUMIF('Keşif'!$B$5:$B$504,A211,'Keşif'!$H$5:$H$504))</f>
        <v/>
      </c>
      <c r="D211" s="23">
        <f>IF(OR(A211="",'Keşif'!$H$3=0),"",C211/'Keşif'!$H$3)</f>
        <v/>
      </c>
      <c r="E211" s="23">
        <f>IF(OR(B211="",D211=""),"",D211-B211)</f>
        <v/>
      </c>
      <c r="F211" s="24">
        <f>IF(E211="","",IF(E211&gt;PursantajTol,"Finansman yükü: maliyet ödemeden önde",IF(E211&lt;-PursantajTol,"Lehte: ödeme maliyetten önde","Uyumlu")))</f>
        <v/>
      </c>
    </row>
    <row r="212">
      <c r="A212" s="5" t="n"/>
      <c r="B212" s="22" t="n"/>
      <c r="C212" s="20">
        <f>IF(A212="","",SUMIF('Keşif'!$B$5:$B$504,A212,'Keşif'!$H$5:$H$504))</f>
        <v/>
      </c>
      <c r="D212" s="23">
        <f>IF(OR(A212="",'Keşif'!$H$3=0),"",C212/'Keşif'!$H$3)</f>
        <v/>
      </c>
      <c r="E212" s="23">
        <f>IF(OR(B212="",D212=""),"",D212-B212)</f>
        <v/>
      </c>
      <c r="F212" s="24">
        <f>IF(E212="","",IF(E212&gt;PursantajTol,"Finansman yükü: maliyet ödemeden önde",IF(E212&lt;-PursantajTol,"Lehte: ödeme maliyetten önde","Uyumlu")))</f>
        <v/>
      </c>
    </row>
    <row r="213">
      <c r="A213" s="5" t="n"/>
      <c r="B213" s="22" t="n"/>
      <c r="C213" s="20">
        <f>IF(A213="","",SUMIF('Keşif'!$B$5:$B$504,A213,'Keşif'!$H$5:$H$504))</f>
        <v/>
      </c>
      <c r="D213" s="23">
        <f>IF(OR(A213="",'Keşif'!$H$3=0),"",C213/'Keşif'!$H$3)</f>
        <v/>
      </c>
      <c r="E213" s="23">
        <f>IF(OR(B213="",D213=""),"",D213-B213)</f>
        <v/>
      </c>
      <c r="F213" s="24">
        <f>IF(E213="","",IF(E213&gt;PursantajTol,"Finansman yükü: maliyet ödemeden önde",IF(E213&lt;-PursantajTol,"Lehte: ödeme maliyetten önde","Uyumlu")))</f>
        <v/>
      </c>
    </row>
    <row r="214">
      <c r="A214" s="5" t="n"/>
      <c r="B214" s="22" t="n"/>
      <c r="C214" s="20">
        <f>IF(A214="","",SUMIF('Keşif'!$B$5:$B$504,A214,'Keşif'!$H$5:$H$504))</f>
        <v/>
      </c>
      <c r="D214" s="23">
        <f>IF(OR(A214="",'Keşif'!$H$3=0),"",C214/'Keşif'!$H$3)</f>
        <v/>
      </c>
      <c r="E214" s="23">
        <f>IF(OR(B214="",D214=""),"",D214-B214)</f>
        <v/>
      </c>
      <c r="F214" s="24">
        <f>IF(E214="","",IF(E214&gt;PursantajTol,"Finansman yükü: maliyet ödemeden önde",IF(E214&lt;-PursantajTol,"Lehte: ödeme maliyetten önde","Uyumlu")))</f>
        <v/>
      </c>
    </row>
    <row r="215">
      <c r="A215" s="5" t="n"/>
      <c r="B215" s="22" t="n"/>
      <c r="C215" s="20">
        <f>IF(A215="","",SUMIF('Keşif'!$B$5:$B$504,A215,'Keşif'!$H$5:$H$504))</f>
        <v/>
      </c>
      <c r="D215" s="23">
        <f>IF(OR(A215="",'Keşif'!$H$3=0),"",C215/'Keşif'!$H$3)</f>
        <v/>
      </c>
      <c r="E215" s="23">
        <f>IF(OR(B215="",D215=""),"",D215-B215)</f>
        <v/>
      </c>
      <c r="F215" s="24">
        <f>IF(E215="","",IF(E215&gt;PursantajTol,"Finansman yükü: maliyet ödemeden önde",IF(E215&lt;-PursantajTol,"Lehte: ödeme maliyetten önde","Uyumlu")))</f>
        <v/>
      </c>
    </row>
    <row r="216">
      <c r="A216" s="5" t="n"/>
      <c r="B216" s="22" t="n"/>
      <c r="C216" s="20">
        <f>IF(A216="","",SUMIF('Keşif'!$B$5:$B$504,A216,'Keşif'!$H$5:$H$504))</f>
        <v/>
      </c>
      <c r="D216" s="23">
        <f>IF(OR(A216="",'Keşif'!$H$3=0),"",C216/'Keşif'!$H$3)</f>
        <v/>
      </c>
      <c r="E216" s="23">
        <f>IF(OR(B216="",D216=""),"",D216-B216)</f>
        <v/>
      </c>
      <c r="F216" s="24">
        <f>IF(E216="","",IF(E216&gt;PursantajTol,"Finansman yükü: maliyet ödemeden önde",IF(E216&lt;-PursantajTol,"Lehte: ödeme maliyetten önde","Uyumlu")))</f>
        <v/>
      </c>
    </row>
    <row r="217">
      <c r="A217" s="5" t="n"/>
      <c r="B217" s="22" t="n"/>
      <c r="C217" s="20">
        <f>IF(A217="","",SUMIF('Keşif'!$B$5:$B$504,A217,'Keşif'!$H$5:$H$504))</f>
        <v/>
      </c>
      <c r="D217" s="23">
        <f>IF(OR(A217="",'Keşif'!$H$3=0),"",C217/'Keşif'!$H$3)</f>
        <v/>
      </c>
      <c r="E217" s="23">
        <f>IF(OR(B217="",D217=""),"",D217-B217)</f>
        <v/>
      </c>
      <c r="F217" s="24">
        <f>IF(E217="","",IF(E217&gt;PursantajTol,"Finansman yükü: maliyet ödemeden önde",IF(E217&lt;-PursantajTol,"Lehte: ödeme maliyetten önde","Uyumlu")))</f>
        <v/>
      </c>
    </row>
    <row r="218">
      <c r="A218" s="5" t="n"/>
      <c r="B218" s="22" t="n"/>
      <c r="C218" s="20">
        <f>IF(A218="","",SUMIF('Keşif'!$B$5:$B$504,A218,'Keşif'!$H$5:$H$504))</f>
        <v/>
      </c>
      <c r="D218" s="23">
        <f>IF(OR(A218="",'Keşif'!$H$3=0),"",C218/'Keşif'!$H$3)</f>
        <v/>
      </c>
      <c r="E218" s="23">
        <f>IF(OR(B218="",D218=""),"",D218-B218)</f>
        <v/>
      </c>
      <c r="F218" s="24">
        <f>IF(E218="","",IF(E218&gt;PursantajTol,"Finansman yükü: maliyet ödemeden önde",IF(E218&lt;-PursantajTol,"Lehte: ödeme maliyetten önde","Uyumlu")))</f>
        <v/>
      </c>
    </row>
    <row r="219">
      <c r="A219" s="5" t="n"/>
      <c r="B219" s="22" t="n"/>
      <c r="C219" s="20">
        <f>IF(A219="","",SUMIF('Keşif'!$B$5:$B$504,A219,'Keşif'!$H$5:$H$504))</f>
        <v/>
      </c>
      <c r="D219" s="23">
        <f>IF(OR(A219="",'Keşif'!$H$3=0),"",C219/'Keşif'!$H$3)</f>
        <v/>
      </c>
      <c r="E219" s="23">
        <f>IF(OR(B219="",D219=""),"",D219-B219)</f>
        <v/>
      </c>
      <c r="F219" s="24">
        <f>IF(E219="","",IF(E219&gt;PursantajTol,"Finansman yükü: maliyet ödemeden önde",IF(E219&lt;-PursantajTol,"Lehte: ödeme maliyetten önde","Uyumlu")))</f>
        <v/>
      </c>
    </row>
    <row r="220">
      <c r="A220" s="5" t="n"/>
      <c r="B220" s="22" t="n"/>
      <c r="C220" s="20">
        <f>IF(A220="","",SUMIF('Keşif'!$B$5:$B$504,A220,'Keşif'!$H$5:$H$504))</f>
        <v/>
      </c>
      <c r="D220" s="23">
        <f>IF(OR(A220="",'Keşif'!$H$3=0),"",C220/'Keşif'!$H$3)</f>
        <v/>
      </c>
      <c r="E220" s="23">
        <f>IF(OR(B220="",D220=""),"",D220-B220)</f>
        <v/>
      </c>
      <c r="F220" s="24">
        <f>IF(E220="","",IF(E220&gt;PursantajTol,"Finansman yükü: maliyet ödemeden önde",IF(E220&lt;-PursantajTol,"Lehte: ödeme maliyetten önde","Uyumlu")))</f>
        <v/>
      </c>
    </row>
    <row r="221">
      <c r="A221" s="5" t="n"/>
      <c r="B221" s="22" t="n"/>
      <c r="C221" s="20">
        <f>IF(A221="","",SUMIF('Keşif'!$B$5:$B$504,A221,'Keşif'!$H$5:$H$504))</f>
        <v/>
      </c>
      <c r="D221" s="23">
        <f>IF(OR(A221="",'Keşif'!$H$3=0),"",C221/'Keşif'!$H$3)</f>
        <v/>
      </c>
      <c r="E221" s="23">
        <f>IF(OR(B221="",D221=""),"",D221-B221)</f>
        <v/>
      </c>
      <c r="F221" s="24">
        <f>IF(E221="","",IF(E221&gt;PursantajTol,"Finansman yükü: maliyet ödemeden önde",IF(E221&lt;-PursantajTol,"Lehte: ödeme maliyetten önde","Uyumlu")))</f>
        <v/>
      </c>
    </row>
    <row r="222">
      <c r="A222" s="5" t="n"/>
      <c r="B222" s="22" t="n"/>
      <c r="C222" s="20">
        <f>IF(A222="","",SUMIF('Keşif'!$B$5:$B$504,A222,'Keşif'!$H$5:$H$504))</f>
        <v/>
      </c>
      <c r="D222" s="23">
        <f>IF(OR(A222="",'Keşif'!$H$3=0),"",C222/'Keşif'!$H$3)</f>
        <v/>
      </c>
      <c r="E222" s="23">
        <f>IF(OR(B222="",D222=""),"",D222-B222)</f>
        <v/>
      </c>
      <c r="F222" s="24">
        <f>IF(E222="","",IF(E222&gt;PursantajTol,"Finansman yükü: maliyet ödemeden önde",IF(E222&lt;-PursantajTol,"Lehte: ödeme maliyetten önde","Uyumlu")))</f>
        <v/>
      </c>
    </row>
    <row r="223">
      <c r="A223" s="5" t="n"/>
      <c r="B223" s="22" t="n"/>
      <c r="C223" s="20">
        <f>IF(A223="","",SUMIF('Keşif'!$B$5:$B$504,A223,'Keşif'!$H$5:$H$504))</f>
        <v/>
      </c>
      <c r="D223" s="23">
        <f>IF(OR(A223="",'Keşif'!$H$3=0),"",C223/'Keşif'!$H$3)</f>
        <v/>
      </c>
      <c r="E223" s="23">
        <f>IF(OR(B223="",D223=""),"",D223-B223)</f>
        <v/>
      </c>
      <c r="F223" s="24">
        <f>IF(E223="","",IF(E223&gt;PursantajTol,"Finansman yükü: maliyet ödemeden önde",IF(E223&lt;-PursantajTol,"Lehte: ödeme maliyetten önde","Uyumlu")))</f>
        <v/>
      </c>
    </row>
    <row r="224">
      <c r="A224" s="5" t="n"/>
      <c r="B224" s="22" t="n"/>
      <c r="C224" s="20">
        <f>IF(A224="","",SUMIF('Keşif'!$B$5:$B$504,A224,'Keşif'!$H$5:$H$504))</f>
        <v/>
      </c>
      <c r="D224" s="23">
        <f>IF(OR(A224="",'Keşif'!$H$3=0),"",C224/'Keşif'!$H$3)</f>
        <v/>
      </c>
      <c r="E224" s="23">
        <f>IF(OR(B224="",D224=""),"",D224-B224)</f>
        <v/>
      </c>
      <c r="F224" s="24">
        <f>IF(E224="","",IF(E224&gt;PursantajTol,"Finansman yükü: maliyet ödemeden önde",IF(E224&lt;-PursantajTol,"Lehte: ödeme maliyetten önde","Uyumlu")))</f>
        <v/>
      </c>
    </row>
    <row r="225">
      <c r="A225" s="5" t="n"/>
      <c r="B225" s="22" t="n"/>
      <c r="C225" s="20">
        <f>IF(A225="","",SUMIF('Keşif'!$B$5:$B$504,A225,'Keşif'!$H$5:$H$504))</f>
        <v/>
      </c>
      <c r="D225" s="23">
        <f>IF(OR(A225="",'Keşif'!$H$3=0),"",C225/'Keşif'!$H$3)</f>
        <v/>
      </c>
      <c r="E225" s="23">
        <f>IF(OR(B225="",D225=""),"",D225-B225)</f>
        <v/>
      </c>
      <c r="F225" s="24">
        <f>IF(E225="","",IF(E225&gt;PursantajTol,"Finansman yükü: maliyet ödemeden önde",IF(E225&lt;-PursantajTol,"Lehte: ödeme maliyetten önde","Uyumlu")))</f>
        <v/>
      </c>
    </row>
    <row r="226">
      <c r="A226" s="5" t="n"/>
      <c r="B226" s="22" t="n"/>
      <c r="C226" s="20">
        <f>IF(A226="","",SUMIF('Keşif'!$B$5:$B$504,A226,'Keşif'!$H$5:$H$504))</f>
        <v/>
      </c>
      <c r="D226" s="23">
        <f>IF(OR(A226="",'Keşif'!$H$3=0),"",C226/'Keşif'!$H$3)</f>
        <v/>
      </c>
      <c r="E226" s="23">
        <f>IF(OR(B226="",D226=""),"",D226-B226)</f>
        <v/>
      </c>
      <c r="F226" s="24">
        <f>IF(E226="","",IF(E226&gt;PursantajTol,"Finansman yükü: maliyet ödemeden önde",IF(E226&lt;-PursantajTol,"Lehte: ödeme maliyetten önde","Uyumlu")))</f>
        <v/>
      </c>
    </row>
    <row r="227">
      <c r="A227" s="5" t="n"/>
      <c r="B227" s="22" t="n"/>
      <c r="C227" s="20">
        <f>IF(A227="","",SUMIF('Keşif'!$B$5:$B$504,A227,'Keşif'!$H$5:$H$504))</f>
        <v/>
      </c>
      <c r="D227" s="23">
        <f>IF(OR(A227="",'Keşif'!$H$3=0),"",C227/'Keşif'!$H$3)</f>
        <v/>
      </c>
      <c r="E227" s="23">
        <f>IF(OR(B227="",D227=""),"",D227-B227)</f>
        <v/>
      </c>
      <c r="F227" s="24">
        <f>IF(E227="","",IF(E227&gt;PursantajTol,"Finansman yükü: maliyet ödemeden önde",IF(E227&lt;-PursantajTol,"Lehte: ödeme maliyetten önde","Uyumlu")))</f>
        <v/>
      </c>
    </row>
    <row r="228">
      <c r="A228" s="5" t="n"/>
      <c r="B228" s="22" t="n"/>
      <c r="C228" s="20">
        <f>IF(A228="","",SUMIF('Keşif'!$B$5:$B$504,A228,'Keşif'!$H$5:$H$504))</f>
        <v/>
      </c>
      <c r="D228" s="23">
        <f>IF(OR(A228="",'Keşif'!$H$3=0),"",C228/'Keşif'!$H$3)</f>
        <v/>
      </c>
      <c r="E228" s="23">
        <f>IF(OR(B228="",D228=""),"",D228-B228)</f>
        <v/>
      </c>
      <c r="F228" s="24">
        <f>IF(E228="","",IF(E228&gt;PursantajTol,"Finansman yükü: maliyet ödemeden önde",IF(E228&lt;-PursantajTol,"Lehte: ödeme maliyetten önde","Uyumlu")))</f>
        <v/>
      </c>
    </row>
    <row r="229">
      <c r="A229" s="5" t="n"/>
      <c r="B229" s="22" t="n"/>
      <c r="C229" s="20">
        <f>IF(A229="","",SUMIF('Keşif'!$B$5:$B$504,A229,'Keşif'!$H$5:$H$504))</f>
        <v/>
      </c>
      <c r="D229" s="23">
        <f>IF(OR(A229="",'Keşif'!$H$3=0),"",C229/'Keşif'!$H$3)</f>
        <v/>
      </c>
      <c r="E229" s="23">
        <f>IF(OR(B229="",D229=""),"",D229-B229)</f>
        <v/>
      </c>
      <c r="F229" s="24">
        <f>IF(E229="","",IF(E229&gt;PursantajTol,"Finansman yükü: maliyet ödemeden önde",IF(E229&lt;-PursantajTol,"Lehte: ödeme maliyetten önde","Uyumlu")))</f>
        <v/>
      </c>
    </row>
    <row r="230">
      <c r="A230" s="5" t="n"/>
      <c r="B230" s="22" t="n"/>
      <c r="C230" s="20">
        <f>IF(A230="","",SUMIF('Keşif'!$B$5:$B$504,A230,'Keşif'!$H$5:$H$504))</f>
        <v/>
      </c>
      <c r="D230" s="23">
        <f>IF(OR(A230="",'Keşif'!$H$3=0),"",C230/'Keşif'!$H$3)</f>
        <v/>
      </c>
      <c r="E230" s="23">
        <f>IF(OR(B230="",D230=""),"",D230-B230)</f>
        <v/>
      </c>
      <c r="F230" s="24">
        <f>IF(E230="","",IF(E230&gt;PursantajTol,"Finansman yükü: maliyet ödemeden önde",IF(E230&lt;-PursantajTol,"Lehte: ödeme maliyetten önde","Uyumlu")))</f>
        <v/>
      </c>
    </row>
    <row r="231">
      <c r="A231" s="5" t="n"/>
      <c r="B231" s="22" t="n"/>
      <c r="C231" s="20">
        <f>IF(A231="","",SUMIF('Keşif'!$B$5:$B$504,A231,'Keşif'!$H$5:$H$504))</f>
        <v/>
      </c>
      <c r="D231" s="23">
        <f>IF(OR(A231="",'Keşif'!$H$3=0),"",C231/'Keşif'!$H$3)</f>
        <v/>
      </c>
      <c r="E231" s="23">
        <f>IF(OR(B231="",D231=""),"",D231-B231)</f>
        <v/>
      </c>
      <c r="F231" s="24">
        <f>IF(E231="","",IF(E231&gt;PursantajTol,"Finansman yükü: maliyet ödemeden önde",IF(E231&lt;-PursantajTol,"Lehte: ödeme maliyetten önde","Uyumlu")))</f>
        <v/>
      </c>
    </row>
    <row r="232">
      <c r="A232" s="5" t="n"/>
      <c r="B232" s="22" t="n"/>
      <c r="C232" s="20">
        <f>IF(A232="","",SUMIF('Keşif'!$B$5:$B$504,A232,'Keşif'!$H$5:$H$504))</f>
        <v/>
      </c>
      <c r="D232" s="23">
        <f>IF(OR(A232="",'Keşif'!$H$3=0),"",C232/'Keşif'!$H$3)</f>
        <v/>
      </c>
      <c r="E232" s="23">
        <f>IF(OR(B232="",D232=""),"",D232-B232)</f>
        <v/>
      </c>
      <c r="F232" s="24">
        <f>IF(E232="","",IF(E232&gt;PursantajTol,"Finansman yükü: maliyet ödemeden önde",IF(E232&lt;-PursantajTol,"Lehte: ödeme maliyetten önde","Uyumlu")))</f>
        <v/>
      </c>
    </row>
    <row r="233">
      <c r="A233" s="5" t="n"/>
      <c r="B233" s="22" t="n"/>
      <c r="C233" s="20">
        <f>IF(A233="","",SUMIF('Keşif'!$B$5:$B$504,A233,'Keşif'!$H$5:$H$504))</f>
        <v/>
      </c>
      <c r="D233" s="23">
        <f>IF(OR(A233="",'Keşif'!$H$3=0),"",C233/'Keşif'!$H$3)</f>
        <v/>
      </c>
      <c r="E233" s="23">
        <f>IF(OR(B233="",D233=""),"",D233-B233)</f>
        <v/>
      </c>
      <c r="F233" s="24">
        <f>IF(E233="","",IF(E233&gt;PursantajTol,"Finansman yükü: maliyet ödemeden önde",IF(E233&lt;-PursantajTol,"Lehte: ödeme maliyetten önde","Uyumlu")))</f>
        <v/>
      </c>
    </row>
    <row r="234">
      <c r="A234" s="5" t="n"/>
      <c r="B234" s="22" t="n"/>
      <c r="C234" s="20">
        <f>IF(A234="","",SUMIF('Keşif'!$B$5:$B$504,A234,'Keşif'!$H$5:$H$504))</f>
        <v/>
      </c>
      <c r="D234" s="23">
        <f>IF(OR(A234="",'Keşif'!$H$3=0),"",C234/'Keşif'!$H$3)</f>
        <v/>
      </c>
      <c r="E234" s="23">
        <f>IF(OR(B234="",D234=""),"",D234-B234)</f>
        <v/>
      </c>
      <c r="F234" s="24">
        <f>IF(E234="","",IF(E234&gt;PursantajTol,"Finansman yükü: maliyet ödemeden önde",IF(E234&lt;-PursantajTol,"Lehte: ödeme maliyetten önde","Uyumlu")))</f>
        <v/>
      </c>
    </row>
    <row r="235">
      <c r="A235" s="5" t="n"/>
      <c r="B235" s="22" t="n"/>
      <c r="C235" s="20">
        <f>IF(A235="","",SUMIF('Keşif'!$B$5:$B$504,A235,'Keşif'!$H$5:$H$504))</f>
        <v/>
      </c>
      <c r="D235" s="23">
        <f>IF(OR(A235="",'Keşif'!$H$3=0),"",C235/'Keşif'!$H$3)</f>
        <v/>
      </c>
      <c r="E235" s="23">
        <f>IF(OR(B235="",D235=""),"",D235-B235)</f>
        <v/>
      </c>
      <c r="F235" s="24">
        <f>IF(E235="","",IF(E235&gt;PursantajTol,"Finansman yükü: maliyet ödemeden önde",IF(E235&lt;-PursantajTol,"Lehte: ödeme maliyetten önde","Uyumlu")))</f>
        <v/>
      </c>
    </row>
    <row r="236">
      <c r="A236" s="5" t="n"/>
      <c r="B236" s="22" t="n"/>
      <c r="C236" s="20">
        <f>IF(A236="","",SUMIF('Keşif'!$B$5:$B$504,A236,'Keşif'!$H$5:$H$504))</f>
        <v/>
      </c>
      <c r="D236" s="23">
        <f>IF(OR(A236="",'Keşif'!$H$3=0),"",C236/'Keşif'!$H$3)</f>
        <v/>
      </c>
      <c r="E236" s="23">
        <f>IF(OR(B236="",D236=""),"",D236-B236)</f>
        <v/>
      </c>
      <c r="F236" s="24">
        <f>IF(E236="","",IF(E236&gt;PursantajTol,"Finansman yükü: maliyet ödemeden önde",IF(E236&lt;-PursantajTol,"Lehte: ödeme maliyetten önde","Uyumlu")))</f>
        <v/>
      </c>
    </row>
    <row r="237">
      <c r="A237" s="5" t="n"/>
      <c r="B237" s="22" t="n"/>
      <c r="C237" s="20">
        <f>IF(A237="","",SUMIF('Keşif'!$B$5:$B$504,A237,'Keşif'!$H$5:$H$504))</f>
        <v/>
      </c>
      <c r="D237" s="23">
        <f>IF(OR(A237="",'Keşif'!$H$3=0),"",C237/'Keşif'!$H$3)</f>
        <v/>
      </c>
      <c r="E237" s="23">
        <f>IF(OR(B237="",D237=""),"",D237-B237)</f>
        <v/>
      </c>
      <c r="F237" s="24">
        <f>IF(E237="","",IF(E237&gt;PursantajTol,"Finansman yükü: maliyet ödemeden önde",IF(E237&lt;-PursantajTol,"Lehte: ödeme maliyetten önde","Uyumlu")))</f>
        <v/>
      </c>
    </row>
    <row r="238">
      <c r="A238" s="5" t="n"/>
      <c r="B238" s="22" t="n"/>
      <c r="C238" s="20">
        <f>IF(A238="","",SUMIF('Keşif'!$B$5:$B$504,A238,'Keşif'!$H$5:$H$504))</f>
        <v/>
      </c>
      <c r="D238" s="23">
        <f>IF(OR(A238="",'Keşif'!$H$3=0),"",C238/'Keşif'!$H$3)</f>
        <v/>
      </c>
      <c r="E238" s="23">
        <f>IF(OR(B238="",D238=""),"",D238-B238)</f>
        <v/>
      </c>
      <c r="F238" s="24">
        <f>IF(E238="","",IF(E238&gt;PursantajTol,"Finansman yükü: maliyet ödemeden önde",IF(E238&lt;-PursantajTol,"Lehte: ödeme maliyetten önde","Uyumlu")))</f>
        <v/>
      </c>
    </row>
    <row r="239">
      <c r="A239" s="5" t="n"/>
      <c r="B239" s="22" t="n"/>
      <c r="C239" s="20">
        <f>IF(A239="","",SUMIF('Keşif'!$B$5:$B$504,A239,'Keşif'!$H$5:$H$504))</f>
        <v/>
      </c>
      <c r="D239" s="23">
        <f>IF(OR(A239="",'Keşif'!$H$3=0),"",C239/'Keşif'!$H$3)</f>
        <v/>
      </c>
      <c r="E239" s="23">
        <f>IF(OR(B239="",D239=""),"",D239-B239)</f>
        <v/>
      </c>
      <c r="F239" s="24">
        <f>IF(E239="","",IF(E239&gt;PursantajTol,"Finansman yükü: maliyet ödemeden önde",IF(E239&lt;-PursantajTol,"Lehte: ödeme maliyetten önde","Uyumlu")))</f>
        <v/>
      </c>
    </row>
    <row r="240">
      <c r="A240" s="5" t="n"/>
      <c r="B240" s="22" t="n"/>
      <c r="C240" s="20">
        <f>IF(A240="","",SUMIF('Keşif'!$B$5:$B$504,A240,'Keşif'!$H$5:$H$504))</f>
        <v/>
      </c>
      <c r="D240" s="23">
        <f>IF(OR(A240="",'Keşif'!$H$3=0),"",C240/'Keşif'!$H$3)</f>
        <v/>
      </c>
      <c r="E240" s="23">
        <f>IF(OR(B240="",D240=""),"",D240-B240)</f>
        <v/>
      </c>
      <c r="F240" s="24">
        <f>IF(E240="","",IF(E240&gt;PursantajTol,"Finansman yükü: maliyet ödemeden önde",IF(E240&lt;-PursantajTol,"Lehte: ödeme maliyetten önde","Uyumlu")))</f>
        <v/>
      </c>
    </row>
    <row r="241">
      <c r="A241" s="5" t="n"/>
      <c r="B241" s="22" t="n"/>
      <c r="C241" s="20">
        <f>IF(A241="","",SUMIF('Keşif'!$B$5:$B$504,A241,'Keşif'!$H$5:$H$504))</f>
        <v/>
      </c>
      <c r="D241" s="23">
        <f>IF(OR(A241="",'Keşif'!$H$3=0),"",C241/'Keşif'!$H$3)</f>
        <v/>
      </c>
      <c r="E241" s="23">
        <f>IF(OR(B241="",D241=""),"",D241-B241)</f>
        <v/>
      </c>
      <c r="F241" s="24">
        <f>IF(E241="","",IF(E241&gt;PursantajTol,"Finansman yükü: maliyet ödemeden önde",IF(E241&lt;-PursantajTol,"Lehte: ödeme maliyetten önde","Uyumlu")))</f>
        <v/>
      </c>
    </row>
    <row r="242">
      <c r="A242" s="5" t="n"/>
      <c r="B242" s="22" t="n"/>
      <c r="C242" s="20">
        <f>IF(A242="","",SUMIF('Keşif'!$B$5:$B$504,A242,'Keşif'!$H$5:$H$504))</f>
        <v/>
      </c>
      <c r="D242" s="23">
        <f>IF(OR(A242="",'Keşif'!$H$3=0),"",C242/'Keşif'!$H$3)</f>
        <v/>
      </c>
      <c r="E242" s="23">
        <f>IF(OR(B242="",D242=""),"",D242-B242)</f>
        <v/>
      </c>
      <c r="F242" s="24">
        <f>IF(E242="","",IF(E242&gt;PursantajTol,"Finansman yükü: maliyet ödemeden önde",IF(E242&lt;-PursantajTol,"Lehte: ödeme maliyetten önde","Uyumlu")))</f>
        <v/>
      </c>
    </row>
    <row r="243">
      <c r="A243" s="5" t="n"/>
      <c r="B243" s="22" t="n"/>
      <c r="C243" s="20">
        <f>IF(A243="","",SUMIF('Keşif'!$B$5:$B$504,A243,'Keşif'!$H$5:$H$504))</f>
        <v/>
      </c>
      <c r="D243" s="23">
        <f>IF(OR(A243="",'Keşif'!$H$3=0),"",C243/'Keşif'!$H$3)</f>
        <v/>
      </c>
      <c r="E243" s="23">
        <f>IF(OR(B243="",D243=""),"",D243-B243)</f>
        <v/>
      </c>
      <c r="F243" s="24">
        <f>IF(E243="","",IF(E243&gt;PursantajTol,"Finansman yükü: maliyet ödemeden önde",IF(E243&lt;-PursantajTol,"Lehte: ödeme maliyetten önde","Uyumlu")))</f>
        <v/>
      </c>
    </row>
    <row r="244">
      <c r="A244" s="5" t="n"/>
      <c r="B244" s="22" t="n"/>
      <c r="C244" s="20">
        <f>IF(A244="","",SUMIF('Keşif'!$B$5:$B$504,A244,'Keşif'!$H$5:$H$504))</f>
        <v/>
      </c>
      <c r="D244" s="23">
        <f>IF(OR(A244="",'Keşif'!$H$3=0),"",C244/'Keşif'!$H$3)</f>
        <v/>
      </c>
      <c r="E244" s="23">
        <f>IF(OR(B244="",D244=""),"",D244-B244)</f>
        <v/>
      </c>
      <c r="F244" s="24">
        <f>IF(E244="","",IF(E244&gt;PursantajTol,"Finansman yükü: maliyet ödemeden önde",IF(E244&lt;-PursantajTol,"Lehte: ödeme maliyetten önde","Uyumlu")))</f>
        <v/>
      </c>
    </row>
    <row r="245">
      <c r="A245" s="5" t="n"/>
      <c r="B245" s="22" t="n"/>
      <c r="C245" s="20">
        <f>IF(A245="","",SUMIF('Keşif'!$B$5:$B$504,A245,'Keşif'!$H$5:$H$504))</f>
        <v/>
      </c>
      <c r="D245" s="23">
        <f>IF(OR(A245="",'Keşif'!$H$3=0),"",C245/'Keşif'!$H$3)</f>
        <v/>
      </c>
      <c r="E245" s="23">
        <f>IF(OR(B245="",D245=""),"",D245-B245)</f>
        <v/>
      </c>
      <c r="F245" s="24">
        <f>IF(E245="","",IF(E245&gt;PursantajTol,"Finansman yükü: maliyet ödemeden önde",IF(E245&lt;-PursantajTol,"Lehte: ödeme maliyetten önde","Uyumlu")))</f>
        <v/>
      </c>
    </row>
    <row r="246">
      <c r="A246" s="5" t="n"/>
      <c r="B246" s="22" t="n"/>
      <c r="C246" s="20">
        <f>IF(A246="","",SUMIF('Keşif'!$B$5:$B$504,A246,'Keşif'!$H$5:$H$504))</f>
        <v/>
      </c>
      <c r="D246" s="23">
        <f>IF(OR(A246="",'Keşif'!$H$3=0),"",C246/'Keşif'!$H$3)</f>
        <v/>
      </c>
      <c r="E246" s="23">
        <f>IF(OR(B246="",D246=""),"",D246-B246)</f>
        <v/>
      </c>
      <c r="F246" s="24">
        <f>IF(E246="","",IF(E246&gt;PursantajTol,"Finansman yükü: maliyet ödemeden önde",IF(E246&lt;-PursantajTol,"Lehte: ödeme maliyetten önde","Uyumlu")))</f>
        <v/>
      </c>
    </row>
    <row r="247">
      <c r="A247" s="5" t="n"/>
      <c r="B247" s="22" t="n"/>
      <c r="C247" s="20">
        <f>IF(A247="","",SUMIF('Keşif'!$B$5:$B$504,A247,'Keşif'!$H$5:$H$504))</f>
        <v/>
      </c>
      <c r="D247" s="23">
        <f>IF(OR(A247="",'Keşif'!$H$3=0),"",C247/'Keşif'!$H$3)</f>
        <v/>
      </c>
      <c r="E247" s="23">
        <f>IF(OR(B247="",D247=""),"",D247-B247)</f>
        <v/>
      </c>
      <c r="F247" s="24">
        <f>IF(E247="","",IF(E247&gt;PursantajTol,"Finansman yükü: maliyet ödemeden önde",IF(E247&lt;-PursantajTol,"Lehte: ödeme maliyetten önde","Uyumlu")))</f>
        <v/>
      </c>
    </row>
    <row r="248">
      <c r="A248" s="5" t="n"/>
      <c r="B248" s="22" t="n"/>
      <c r="C248" s="20">
        <f>IF(A248="","",SUMIF('Keşif'!$B$5:$B$504,A248,'Keşif'!$H$5:$H$504))</f>
        <v/>
      </c>
      <c r="D248" s="23">
        <f>IF(OR(A248="",'Keşif'!$H$3=0),"",C248/'Keşif'!$H$3)</f>
        <v/>
      </c>
      <c r="E248" s="23">
        <f>IF(OR(B248="",D248=""),"",D248-B248)</f>
        <v/>
      </c>
      <c r="F248" s="24">
        <f>IF(E248="","",IF(E248&gt;PursantajTol,"Finansman yükü: maliyet ödemeden önde",IF(E248&lt;-PursantajTol,"Lehte: ödeme maliyetten önde","Uyumlu")))</f>
        <v/>
      </c>
    </row>
    <row r="249">
      <c r="A249" s="5" t="n"/>
      <c r="B249" s="22" t="n"/>
      <c r="C249" s="20">
        <f>IF(A249="","",SUMIF('Keşif'!$B$5:$B$504,A249,'Keşif'!$H$5:$H$504))</f>
        <v/>
      </c>
      <c r="D249" s="23">
        <f>IF(OR(A249="",'Keşif'!$H$3=0),"",C249/'Keşif'!$H$3)</f>
        <v/>
      </c>
      <c r="E249" s="23">
        <f>IF(OR(B249="",D249=""),"",D249-B249)</f>
        <v/>
      </c>
      <c r="F249" s="24">
        <f>IF(E249="","",IF(E249&gt;PursantajTol,"Finansman yükü: maliyet ödemeden önde",IF(E249&lt;-PursantajTol,"Lehte: ödeme maliyetten önde","Uyumlu")))</f>
        <v/>
      </c>
    </row>
    <row r="250">
      <c r="A250" s="5" t="n"/>
      <c r="B250" s="22" t="n"/>
      <c r="C250" s="20">
        <f>IF(A250="","",SUMIF('Keşif'!$B$5:$B$504,A250,'Keşif'!$H$5:$H$504))</f>
        <v/>
      </c>
      <c r="D250" s="23">
        <f>IF(OR(A250="",'Keşif'!$H$3=0),"",C250/'Keşif'!$H$3)</f>
        <v/>
      </c>
      <c r="E250" s="23">
        <f>IF(OR(B250="",D250=""),"",D250-B250)</f>
        <v/>
      </c>
      <c r="F250" s="24">
        <f>IF(E250="","",IF(E250&gt;PursantajTol,"Finansman yükü: maliyet ödemeden önde",IF(E250&lt;-PursantajTol,"Lehte: ödeme maliyetten önde","Uyumlu")))</f>
        <v/>
      </c>
    </row>
    <row r="251">
      <c r="A251" s="5" t="n"/>
      <c r="B251" s="22" t="n"/>
      <c r="C251" s="20">
        <f>IF(A251="","",SUMIF('Keşif'!$B$5:$B$504,A251,'Keşif'!$H$5:$H$504))</f>
        <v/>
      </c>
      <c r="D251" s="23">
        <f>IF(OR(A251="",'Keşif'!$H$3=0),"",C251/'Keşif'!$H$3)</f>
        <v/>
      </c>
      <c r="E251" s="23">
        <f>IF(OR(B251="",D251=""),"",D251-B251)</f>
        <v/>
      </c>
      <c r="F251" s="24">
        <f>IF(E251="","",IF(E251&gt;PursantajTol,"Finansman yükü: maliyet ödemeden önde",IF(E251&lt;-PursantajTol,"Lehte: ödeme maliyetten önde","Uyumlu")))</f>
        <v/>
      </c>
    </row>
    <row r="252">
      <c r="A252" s="5" t="n"/>
      <c r="B252" s="22" t="n"/>
      <c r="C252" s="20">
        <f>IF(A252="","",SUMIF('Keşif'!$B$5:$B$504,A252,'Keşif'!$H$5:$H$504))</f>
        <v/>
      </c>
      <c r="D252" s="23">
        <f>IF(OR(A252="",'Keşif'!$H$3=0),"",C252/'Keşif'!$H$3)</f>
        <v/>
      </c>
      <c r="E252" s="23">
        <f>IF(OR(B252="",D252=""),"",D252-B252)</f>
        <v/>
      </c>
      <c r="F252" s="24">
        <f>IF(E252="","",IF(E252&gt;PursantajTol,"Finansman yükü: maliyet ödemeden önde",IF(E252&lt;-PursantajTol,"Lehte: ödeme maliyetten önde","Uyumlu")))</f>
        <v/>
      </c>
    </row>
    <row r="253">
      <c r="A253" s="5" t="n"/>
      <c r="B253" s="22" t="n"/>
      <c r="C253" s="20">
        <f>IF(A253="","",SUMIF('Keşif'!$B$5:$B$504,A253,'Keşif'!$H$5:$H$504))</f>
        <v/>
      </c>
      <c r="D253" s="23">
        <f>IF(OR(A253="",'Keşif'!$H$3=0),"",C253/'Keşif'!$H$3)</f>
        <v/>
      </c>
      <c r="E253" s="23">
        <f>IF(OR(B253="",D253=""),"",D253-B253)</f>
        <v/>
      </c>
      <c r="F253" s="24">
        <f>IF(E253="","",IF(E253&gt;PursantajTol,"Finansman yükü: maliyet ödemeden önde",IF(E253&lt;-PursantajTol,"Lehte: ödeme maliyetten önde","Uyumlu")))</f>
        <v/>
      </c>
    </row>
    <row r="254">
      <c r="A254" s="5" t="n"/>
      <c r="B254" s="22" t="n"/>
      <c r="C254" s="20">
        <f>IF(A254="","",SUMIF('Keşif'!$B$5:$B$504,A254,'Keşif'!$H$5:$H$504))</f>
        <v/>
      </c>
      <c r="D254" s="23">
        <f>IF(OR(A254="",'Keşif'!$H$3=0),"",C254/'Keşif'!$H$3)</f>
        <v/>
      </c>
      <c r="E254" s="23">
        <f>IF(OR(B254="",D254=""),"",D254-B254)</f>
        <v/>
      </c>
      <c r="F254" s="24">
        <f>IF(E254="","",IF(E254&gt;PursantajTol,"Finansman yükü: maliyet ödemeden önde",IF(E254&lt;-PursantajTol,"Lehte: ödeme maliyetten önde","Uyumlu")))</f>
        <v/>
      </c>
    </row>
    <row r="255">
      <c r="A255" s="5" t="n"/>
      <c r="B255" s="22" t="n"/>
      <c r="C255" s="20">
        <f>IF(A255="","",SUMIF('Keşif'!$B$5:$B$504,A255,'Keşif'!$H$5:$H$504))</f>
        <v/>
      </c>
      <c r="D255" s="23">
        <f>IF(OR(A255="",'Keşif'!$H$3=0),"",C255/'Keşif'!$H$3)</f>
        <v/>
      </c>
      <c r="E255" s="23">
        <f>IF(OR(B255="",D255=""),"",D255-B255)</f>
        <v/>
      </c>
      <c r="F255" s="24">
        <f>IF(E255="","",IF(E255&gt;PursantajTol,"Finansman yükü: maliyet ödemeden önde",IF(E255&lt;-PursantajTol,"Lehte: ödeme maliyetten önde","Uyumlu")))</f>
        <v/>
      </c>
    </row>
    <row r="256">
      <c r="A256" s="5" t="n"/>
      <c r="B256" s="22" t="n"/>
      <c r="C256" s="20">
        <f>IF(A256="","",SUMIF('Keşif'!$B$5:$B$504,A256,'Keşif'!$H$5:$H$504))</f>
        <v/>
      </c>
      <c r="D256" s="23">
        <f>IF(OR(A256="",'Keşif'!$H$3=0),"",C256/'Keşif'!$H$3)</f>
        <v/>
      </c>
      <c r="E256" s="23">
        <f>IF(OR(B256="",D256=""),"",D256-B256)</f>
        <v/>
      </c>
      <c r="F256" s="24">
        <f>IF(E256="","",IF(E256&gt;PursantajTol,"Finansman yükü: maliyet ödemeden önde",IF(E256&lt;-PursantajTol,"Lehte: ödeme maliyetten önde","Uyumlu")))</f>
        <v/>
      </c>
    </row>
    <row r="257">
      <c r="A257" s="5" t="n"/>
      <c r="B257" s="22" t="n"/>
      <c r="C257" s="20">
        <f>IF(A257="","",SUMIF('Keşif'!$B$5:$B$504,A257,'Keşif'!$H$5:$H$504))</f>
        <v/>
      </c>
      <c r="D257" s="23">
        <f>IF(OR(A257="",'Keşif'!$H$3=0),"",C257/'Keşif'!$H$3)</f>
        <v/>
      </c>
      <c r="E257" s="23">
        <f>IF(OR(B257="",D257=""),"",D257-B257)</f>
        <v/>
      </c>
      <c r="F257" s="24">
        <f>IF(E257="","",IF(E257&gt;PursantajTol,"Finansman yükü: maliyet ödemeden önde",IF(E257&lt;-PursantajTol,"Lehte: ödeme maliyetten önde","Uyumlu")))</f>
        <v/>
      </c>
    </row>
    <row r="258">
      <c r="A258" s="5" t="n"/>
      <c r="B258" s="22" t="n"/>
      <c r="C258" s="20">
        <f>IF(A258="","",SUMIF('Keşif'!$B$5:$B$504,A258,'Keşif'!$H$5:$H$504))</f>
        <v/>
      </c>
      <c r="D258" s="23">
        <f>IF(OR(A258="",'Keşif'!$H$3=0),"",C258/'Keşif'!$H$3)</f>
        <v/>
      </c>
      <c r="E258" s="23">
        <f>IF(OR(B258="",D258=""),"",D258-B258)</f>
        <v/>
      </c>
      <c r="F258" s="24">
        <f>IF(E258="","",IF(E258&gt;PursantajTol,"Finansman yükü: maliyet ödemeden önde",IF(E258&lt;-PursantajTol,"Lehte: ödeme maliyetten önde","Uyumlu")))</f>
        <v/>
      </c>
    </row>
    <row r="259">
      <c r="A259" s="5" t="n"/>
      <c r="B259" s="22" t="n"/>
      <c r="C259" s="20">
        <f>IF(A259="","",SUMIF('Keşif'!$B$5:$B$504,A259,'Keşif'!$H$5:$H$504))</f>
        <v/>
      </c>
      <c r="D259" s="23">
        <f>IF(OR(A259="",'Keşif'!$H$3=0),"",C259/'Keşif'!$H$3)</f>
        <v/>
      </c>
      <c r="E259" s="23">
        <f>IF(OR(B259="",D259=""),"",D259-B259)</f>
        <v/>
      </c>
      <c r="F259" s="24">
        <f>IF(E259="","",IF(E259&gt;PursantajTol,"Finansman yükü: maliyet ödemeden önde",IF(E259&lt;-PursantajTol,"Lehte: ödeme maliyetten önde","Uyumlu")))</f>
        <v/>
      </c>
    </row>
    <row r="260">
      <c r="A260" s="5" t="n"/>
      <c r="B260" s="22" t="n"/>
      <c r="C260" s="20">
        <f>IF(A260="","",SUMIF('Keşif'!$B$5:$B$504,A260,'Keşif'!$H$5:$H$504))</f>
        <v/>
      </c>
      <c r="D260" s="23">
        <f>IF(OR(A260="",'Keşif'!$H$3=0),"",C260/'Keşif'!$H$3)</f>
        <v/>
      </c>
      <c r="E260" s="23">
        <f>IF(OR(B260="",D260=""),"",D260-B260)</f>
        <v/>
      </c>
      <c r="F260" s="24">
        <f>IF(E260="","",IF(E260&gt;PursantajTol,"Finansman yükü: maliyet ödemeden önde",IF(E260&lt;-PursantajTol,"Lehte: ödeme maliyetten önde","Uyumlu")))</f>
        <v/>
      </c>
    </row>
    <row r="261">
      <c r="A261" s="5" t="n"/>
      <c r="B261" s="22" t="n"/>
      <c r="C261" s="20">
        <f>IF(A261="","",SUMIF('Keşif'!$B$5:$B$504,A261,'Keşif'!$H$5:$H$504))</f>
        <v/>
      </c>
      <c r="D261" s="23">
        <f>IF(OR(A261="",'Keşif'!$H$3=0),"",C261/'Keşif'!$H$3)</f>
        <v/>
      </c>
      <c r="E261" s="23">
        <f>IF(OR(B261="",D261=""),"",D261-B261)</f>
        <v/>
      </c>
      <c r="F261" s="24">
        <f>IF(E261="","",IF(E261&gt;PursantajTol,"Finansman yükü: maliyet ödemeden önde",IF(E261&lt;-PursantajTol,"Lehte: ödeme maliyetten önde","Uyumlu")))</f>
        <v/>
      </c>
    </row>
    <row r="262">
      <c r="A262" s="5" t="n"/>
      <c r="B262" s="22" t="n"/>
      <c r="C262" s="20">
        <f>IF(A262="","",SUMIF('Keşif'!$B$5:$B$504,A262,'Keşif'!$H$5:$H$504))</f>
        <v/>
      </c>
      <c r="D262" s="23">
        <f>IF(OR(A262="",'Keşif'!$H$3=0),"",C262/'Keşif'!$H$3)</f>
        <v/>
      </c>
      <c r="E262" s="23">
        <f>IF(OR(B262="",D262=""),"",D262-B262)</f>
        <v/>
      </c>
      <c r="F262" s="24">
        <f>IF(E262="","",IF(E262&gt;PursantajTol,"Finansman yükü: maliyet ödemeden önde",IF(E262&lt;-PursantajTol,"Lehte: ödeme maliyetten önde","Uyumlu")))</f>
        <v/>
      </c>
    </row>
    <row r="263">
      <c r="A263" s="5" t="n"/>
      <c r="B263" s="22" t="n"/>
      <c r="C263" s="20">
        <f>IF(A263="","",SUMIF('Keşif'!$B$5:$B$504,A263,'Keşif'!$H$5:$H$504))</f>
        <v/>
      </c>
      <c r="D263" s="23">
        <f>IF(OR(A263="",'Keşif'!$H$3=0),"",C263/'Keşif'!$H$3)</f>
        <v/>
      </c>
      <c r="E263" s="23">
        <f>IF(OR(B263="",D263=""),"",D263-B263)</f>
        <v/>
      </c>
      <c r="F263" s="24">
        <f>IF(E263="","",IF(E263&gt;PursantajTol,"Finansman yükü: maliyet ödemeden önde",IF(E263&lt;-PursantajTol,"Lehte: ödeme maliyetten önde","Uyumlu")))</f>
        <v/>
      </c>
    </row>
    <row r="264">
      <c r="A264" s="5" t="n"/>
      <c r="B264" s="22" t="n"/>
      <c r="C264" s="20">
        <f>IF(A264="","",SUMIF('Keşif'!$B$5:$B$504,A264,'Keşif'!$H$5:$H$504))</f>
        <v/>
      </c>
      <c r="D264" s="23">
        <f>IF(OR(A264="",'Keşif'!$H$3=0),"",C264/'Keşif'!$H$3)</f>
        <v/>
      </c>
      <c r="E264" s="23">
        <f>IF(OR(B264="",D264=""),"",D264-B264)</f>
        <v/>
      </c>
      <c r="F264" s="24">
        <f>IF(E264="","",IF(E264&gt;PursantajTol,"Finansman yükü: maliyet ödemeden önde",IF(E264&lt;-PursantajTol,"Lehte: ödeme maliyetten önde","Uyumlu")))</f>
        <v/>
      </c>
    </row>
    <row r="265">
      <c r="A265" s="5" t="n"/>
      <c r="B265" s="22" t="n"/>
      <c r="C265" s="20">
        <f>IF(A265="","",SUMIF('Keşif'!$B$5:$B$504,A265,'Keşif'!$H$5:$H$504))</f>
        <v/>
      </c>
      <c r="D265" s="23">
        <f>IF(OR(A265="",'Keşif'!$H$3=0),"",C265/'Keşif'!$H$3)</f>
        <v/>
      </c>
      <c r="E265" s="23">
        <f>IF(OR(B265="",D265=""),"",D265-B265)</f>
        <v/>
      </c>
      <c r="F265" s="24">
        <f>IF(E265="","",IF(E265&gt;PursantajTol,"Finansman yükü: maliyet ödemeden önde",IF(E265&lt;-PursantajTol,"Lehte: ödeme maliyetten önde","Uyumlu")))</f>
        <v/>
      </c>
    </row>
    <row r="266">
      <c r="A266" s="5" t="n"/>
      <c r="B266" s="22" t="n"/>
      <c r="C266" s="20">
        <f>IF(A266="","",SUMIF('Keşif'!$B$5:$B$504,A266,'Keşif'!$H$5:$H$504))</f>
        <v/>
      </c>
      <c r="D266" s="23">
        <f>IF(OR(A266="",'Keşif'!$H$3=0),"",C266/'Keşif'!$H$3)</f>
        <v/>
      </c>
      <c r="E266" s="23">
        <f>IF(OR(B266="",D266=""),"",D266-B266)</f>
        <v/>
      </c>
      <c r="F266" s="24">
        <f>IF(E266="","",IF(E266&gt;PursantajTol,"Finansman yükü: maliyet ödemeden önde",IF(E266&lt;-PursantajTol,"Lehte: ödeme maliyetten önde","Uyumlu")))</f>
        <v/>
      </c>
    </row>
    <row r="267">
      <c r="A267" s="5" t="n"/>
      <c r="B267" s="22" t="n"/>
      <c r="C267" s="20">
        <f>IF(A267="","",SUMIF('Keşif'!$B$5:$B$504,A267,'Keşif'!$H$5:$H$504))</f>
        <v/>
      </c>
      <c r="D267" s="23">
        <f>IF(OR(A267="",'Keşif'!$H$3=0),"",C267/'Keşif'!$H$3)</f>
        <v/>
      </c>
      <c r="E267" s="23">
        <f>IF(OR(B267="",D267=""),"",D267-B267)</f>
        <v/>
      </c>
      <c r="F267" s="24">
        <f>IF(E267="","",IF(E267&gt;PursantajTol,"Finansman yükü: maliyet ödemeden önde",IF(E267&lt;-PursantajTol,"Lehte: ödeme maliyetten önde","Uyumlu")))</f>
        <v/>
      </c>
    </row>
    <row r="268">
      <c r="A268" s="5" t="n"/>
      <c r="B268" s="22" t="n"/>
      <c r="C268" s="20">
        <f>IF(A268="","",SUMIF('Keşif'!$B$5:$B$504,A268,'Keşif'!$H$5:$H$504))</f>
        <v/>
      </c>
      <c r="D268" s="23">
        <f>IF(OR(A268="",'Keşif'!$H$3=0),"",C268/'Keşif'!$H$3)</f>
        <v/>
      </c>
      <c r="E268" s="23">
        <f>IF(OR(B268="",D268=""),"",D268-B268)</f>
        <v/>
      </c>
      <c r="F268" s="24">
        <f>IF(E268="","",IF(E268&gt;PursantajTol,"Finansman yükü: maliyet ödemeden önde",IF(E268&lt;-PursantajTol,"Lehte: ödeme maliyetten önde","Uyumlu")))</f>
        <v/>
      </c>
    </row>
    <row r="269">
      <c r="A269" s="5" t="n"/>
      <c r="B269" s="22" t="n"/>
      <c r="C269" s="20">
        <f>IF(A269="","",SUMIF('Keşif'!$B$5:$B$504,A269,'Keşif'!$H$5:$H$504))</f>
        <v/>
      </c>
      <c r="D269" s="23">
        <f>IF(OR(A269="",'Keşif'!$H$3=0),"",C269/'Keşif'!$H$3)</f>
        <v/>
      </c>
      <c r="E269" s="23">
        <f>IF(OR(B269="",D269=""),"",D269-B269)</f>
        <v/>
      </c>
      <c r="F269" s="24">
        <f>IF(E269="","",IF(E269&gt;PursantajTol,"Finansman yükü: maliyet ödemeden önde",IF(E269&lt;-PursantajTol,"Lehte: ödeme maliyetten önde","Uyumlu")))</f>
        <v/>
      </c>
    </row>
    <row r="270">
      <c r="A270" s="5" t="n"/>
      <c r="B270" s="22" t="n"/>
      <c r="C270" s="20">
        <f>IF(A270="","",SUMIF('Keşif'!$B$5:$B$504,A270,'Keşif'!$H$5:$H$504))</f>
        <v/>
      </c>
      <c r="D270" s="23">
        <f>IF(OR(A270="",'Keşif'!$H$3=0),"",C270/'Keşif'!$H$3)</f>
        <v/>
      </c>
      <c r="E270" s="23">
        <f>IF(OR(B270="",D270=""),"",D270-B270)</f>
        <v/>
      </c>
      <c r="F270" s="24">
        <f>IF(E270="","",IF(E270&gt;PursantajTol,"Finansman yükü: maliyet ödemeden önde",IF(E270&lt;-PursantajTol,"Lehte: ödeme maliyetten önde","Uyumlu")))</f>
        <v/>
      </c>
    </row>
    <row r="271">
      <c r="A271" s="5" t="n"/>
      <c r="B271" s="22" t="n"/>
      <c r="C271" s="20">
        <f>IF(A271="","",SUMIF('Keşif'!$B$5:$B$504,A271,'Keşif'!$H$5:$H$504))</f>
        <v/>
      </c>
      <c r="D271" s="23">
        <f>IF(OR(A271="",'Keşif'!$H$3=0),"",C271/'Keşif'!$H$3)</f>
        <v/>
      </c>
      <c r="E271" s="23">
        <f>IF(OR(B271="",D271=""),"",D271-B271)</f>
        <v/>
      </c>
      <c r="F271" s="24">
        <f>IF(E271="","",IF(E271&gt;PursantajTol,"Finansman yükü: maliyet ödemeden önde",IF(E271&lt;-PursantajTol,"Lehte: ödeme maliyetten önde","Uyumlu")))</f>
        <v/>
      </c>
    </row>
    <row r="272">
      <c r="A272" s="5" t="n"/>
      <c r="B272" s="22" t="n"/>
      <c r="C272" s="20">
        <f>IF(A272="","",SUMIF('Keşif'!$B$5:$B$504,A272,'Keşif'!$H$5:$H$504))</f>
        <v/>
      </c>
      <c r="D272" s="23">
        <f>IF(OR(A272="",'Keşif'!$H$3=0),"",C272/'Keşif'!$H$3)</f>
        <v/>
      </c>
      <c r="E272" s="23">
        <f>IF(OR(B272="",D272=""),"",D272-B272)</f>
        <v/>
      </c>
      <c r="F272" s="24">
        <f>IF(E272="","",IF(E272&gt;PursantajTol,"Finansman yükü: maliyet ödemeden önde",IF(E272&lt;-PursantajTol,"Lehte: ödeme maliyetten önde","Uyumlu")))</f>
        <v/>
      </c>
    </row>
    <row r="273">
      <c r="A273" s="5" t="n"/>
      <c r="B273" s="22" t="n"/>
      <c r="C273" s="20">
        <f>IF(A273="","",SUMIF('Keşif'!$B$5:$B$504,A273,'Keşif'!$H$5:$H$504))</f>
        <v/>
      </c>
      <c r="D273" s="23">
        <f>IF(OR(A273="",'Keşif'!$H$3=0),"",C273/'Keşif'!$H$3)</f>
        <v/>
      </c>
      <c r="E273" s="23">
        <f>IF(OR(B273="",D273=""),"",D273-B273)</f>
        <v/>
      </c>
      <c r="F273" s="24">
        <f>IF(E273="","",IF(E273&gt;PursantajTol,"Finansman yükü: maliyet ödemeden önde",IF(E273&lt;-PursantajTol,"Lehte: ödeme maliyetten önde","Uyumlu")))</f>
        <v/>
      </c>
    </row>
    <row r="274">
      <c r="A274" s="5" t="n"/>
      <c r="B274" s="22" t="n"/>
      <c r="C274" s="20">
        <f>IF(A274="","",SUMIF('Keşif'!$B$5:$B$504,A274,'Keşif'!$H$5:$H$504))</f>
        <v/>
      </c>
      <c r="D274" s="23">
        <f>IF(OR(A274="",'Keşif'!$H$3=0),"",C274/'Keşif'!$H$3)</f>
        <v/>
      </c>
      <c r="E274" s="23">
        <f>IF(OR(B274="",D274=""),"",D274-B274)</f>
        <v/>
      </c>
      <c r="F274" s="24">
        <f>IF(E274="","",IF(E274&gt;PursantajTol,"Finansman yükü: maliyet ödemeden önde",IF(E274&lt;-PursantajTol,"Lehte: ödeme maliyetten önde","Uyumlu")))</f>
        <v/>
      </c>
    </row>
    <row r="275">
      <c r="A275" s="5" t="n"/>
      <c r="B275" s="22" t="n"/>
      <c r="C275" s="20">
        <f>IF(A275="","",SUMIF('Keşif'!$B$5:$B$504,A275,'Keşif'!$H$5:$H$504))</f>
        <v/>
      </c>
      <c r="D275" s="23">
        <f>IF(OR(A275="",'Keşif'!$H$3=0),"",C275/'Keşif'!$H$3)</f>
        <v/>
      </c>
      <c r="E275" s="23">
        <f>IF(OR(B275="",D275=""),"",D275-B275)</f>
        <v/>
      </c>
      <c r="F275" s="24">
        <f>IF(E275="","",IF(E275&gt;PursantajTol,"Finansman yükü: maliyet ödemeden önde",IF(E275&lt;-PursantajTol,"Lehte: ödeme maliyetten önde","Uyumlu")))</f>
        <v/>
      </c>
    </row>
    <row r="276">
      <c r="A276" s="5" t="n"/>
      <c r="B276" s="22" t="n"/>
      <c r="C276" s="20">
        <f>IF(A276="","",SUMIF('Keşif'!$B$5:$B$504,A276,'Keşif'!$H$5:$H$504))</f>
        <v/>
      </c>
      <c r="D276" s="23">
        <f>IF(OR(A276="",'Keşif'!$H$3=0),"",C276/'Keşif'!$H$3)</f>
        <v/>
      </c>
      <c r="E276" s="23">
        <f>IF(OR(B276="",D276=""),"",D276-B276)</f>
        <v/>
      </c>
      <c r="F276" s="24">
        <f>IF(E276="","",IF(E276&gt;PursantajTol,"Finansman yükü: maliyet ödemeden önde",IF(E276&lt;-PursantajTol,"Lehte: ödeme maliyetten önde","Uyumlu")))</f>
        <v/>
      </c>
    </row>
    <row r="277">
      <c r="A277" s="5" t="n"/>
      <c r="B277" s="22" t="n"/>
      <c r="C277" s="20">
        <f>IF(A277="","",SUMIF('Keşif'!$B$5:$B$504,A277,'Keşif'!$H$5:$H$504))</f>
        <v/>
      </c>
      <c r="D277" s="23">
        <f>IF(OR(A277="",'Keşif'!$H$3=0),"",C277/'Keşif'!$H$3)</f>
        <v/>
      </c>
      <c r="E277" s="23">
        <f>IF(OR(B277="",D277=""),"",D277-B277)</f>
        <v/>
      </c>
      <c r="F277" s="24">
        <f>IF(E277="","",IF(E277&gt;PursantajTol,"Finansman yükü: maliyet ödemeden önde",IF(E277&lt;-PursantajTol,"Lehte: ödeme maliyetten önde","Uyumlu")))</f>
        <v/>
      </c>
    </row>
    <row r="278">
      <c r="A278" s="5" t="n"/>
      <c r="B278" s="22" t="n"/>
      <c r="C278" s="20">
        <f>IF(A278="","",SUMIF('Keşif'!$B$5:$B$504,A278,'Keşif'!$H$5:$H$504))</f>
        <v/>
      </c>
      <c r="D278" s="23">
        <f>IF(OR(A278="",'Keşif'!$H$3=0),"",C278/'Keşif'!$H$3)</f>
        <v/>
      </c>
      <c r="E278" s="23">
        <f>IF(OR(B278="",D278=""),"",D278-B278)</f>
        <v/>
      </c>
      <c r="F278" s="24">
        <f>IF(E278="","",IF(E278&gt;PursantajTol,"Finansman yükü: maliyet ödemeden önde",IF(E278&lt;-PursantajTol,"Lehte: ödeme maliyetten önde","Uyumlu")))</f>
        <v/>
      </c>
    </row>
    <row r="279">
      <c r="A279" s="5" t="n"/>
      <c r="B279" s="22" t="n"/>
      <c r="C279" s="20">
        <f>IF(A279="","",SUMIF('Keşif'!$B$5:$B$504,A279,'Keşif'!$H$5:$H$504))</f>
        <v/>
      </c>
      <c r="D279" s="23">
        <f>IF(OR(A279="",'Keşif'!$H$3=0),"",C279/'Keşif'!$H$3)</f>
        <v/>
      </c>
      <c r="E279" s="23">
        <f>IF(OR(B279="",D279=""),"",D279-B279)</f>
        <v/>
      </c>
      <c r="F279" s="24">
        <f>IF(E279="","",IF(E279&gt;PursantajTol,"Finansman yükü: maliyet ödemeden önde",IF(E279&lt;-PursantajTol,"Lehte: ödeme maliyetten önde","Uyumlu")))</f>
        <v/>
      </c>
    </row>
    <row r="280">
      <c r="A280" s="5" t="n"/>
      <c r="B280" s="22" t="n"/>
      <c r="C280" s="20">
        <f>IF(A280="","",SUMIF('Keşif'!$B$5:$B$504,A280,'Keşif'!$H$5:$H$504))</f>
        <v/>
      </c>
      <c r="D280" s="23">
        <f>IF(OR(A280="",'Keşif'!$H$3=0),"",C280/'Keşif'!$H$3)</f>
        <v/>
      </c>
      <c r="E280" s="23">
        <f>IF(OR(B280="",D280=""),"",D280-B280)</f>
        <v/>
      </c>
      <c r="F280" s="24">
        <f>IF(E280="","",IF(E280&gt;PursantajTol,"Finansman yükü: maliyet ödemeden önde",IF(E280&lt;-PursantajTol,"Lehte: ödeme maliyetten önde","Uyumlu")))</f>
        <v/>
      </c>
    </row>
    <row r="281">
      <c r="A281" s="5" t="n"/>
      <c r="B281" s="22" t="n"/>
      <c r="C281" s="20">
        <f>IF(A281="","",SUMIF('Keşif'!$B$5:$B$504,A281,'Keşif'!$H$5:$H$504))</f>
        <v/>
      </c>
      <c r="D281" s="23">
        <f>IF(OR(A281="",'Keşif'!$H$3=0),"",C281/'Keşif'!$H$3)</f>
        <v/>
      </c>
      <c r="E281" s="23">
        <f>IF(OR(B281="",D281=""),"",D281-B281)</f>
        <v/>
      </c>
      <c r="F281" s="24">
        <f>IF(E281="","",IF(E281&gt;PursantajTol,"Finansman yükü: maliyet ödemeden önde",IF(E281&lt;-PursantajTol,"Lehte: ödeme maliyetten önde","Uyumlu")))</f>
        <v/>
      </c>
    </row>
    <row r="282">
      <c r="A282" s="5" t="n"/>
      <c r="B282" s="22" t="n"/>
      <c r="C282" s="20">
        <f>IF(A282="","",SUMIF('Keşif'!$B$5:$B$504,A282,'Keşif'!$H$5:$H$504))</f>
        <v/>
      </c>
      <c r="D282" s="23">
        <f>IF(OR(A282="",'Keşif'!$H$3=0),"",C282/'Keşif'!$H$3)</f>
        <v/>
      </c>
      <c r="E282" s="23">
        <f>IF(OR(B282="",D282=""),"",D282-B282)</f>
        <v/>
      </c>
      <c r="F282" s="24">
        <f>IF(E282="","",IF(E282&gt;PursantajTol,"Finansman yükü: maliyet ödemeden önde",IF(E282&lt;-PursantajTol,"Lehte: ödeme maliyetten önde","Uyumlu")))</f>
        <v/>
      </c>
    </row>
    <row r="283">
      <c r="A283" s="5" t="n"/>
      <c r="B283" s="22" t="n"/>
      <c r="C283" s="20">
        <f>IF(A283="","",SUMIF('Keşif'!$B$5:$B$504,A283,'Keşif'!$H$5:$H$504))</f>
        <v/>
      </c>
      <c r="D283" s="23">
        <f>IF(OR(A283="",'Keşif'!$H$3=0),"",C283/'Keşif'!$H$3)</f>
        <v/>
      </c>
      <c r="E283" s="23">
        <f>IF(OR(B283="",D283=""),"",D283-B283)</f>
        <v/>
      </c>
      <c r="F283" s="24">
        <f>IF(E283="","",IF(E283&gt;PursantajTol,"Finansman yükü: maliyet ödemeden önde",IF(E283&lt;-PursantajTol,"Lehte: ödeme maliyetten önde","Uyumlu")))</f>
        <v/>
      </c>
    </row>
    <row r="284">
      <c r="A284" s="5" t="n"/>
      <c r="B284" s="22" t="n"/>
      <c r="C284" s="20">
        <f>IF(A284="","",SUMIF('Keşif'!$B$5:$B$504,A284,'Keşif'!$H$5:$H$504))</f>
        <v/>
      </c>
      <c r="D284" s="23">
        <f>IF(OR(A284="",'Keşif'!$H$3=0),"",C284/'Keşif'!$H$3)</f>
        <v/>
      </c>
      <c r="E284" s="23">
        <f>IF(OR(B284="",D284=""),"",D284-B284)</f>
        <v/>
      </c>
      <c r="F284" s="24">
        <f>IF(E284="","",IF(E284&gt;PursantajTol,"Finansman yükü: maliyet ödemeden önde",IF(E284&lt;-PursantajTol,"Lehte: ödeme maliyetten önde","Uyumlu")))</f>
        <v/>
      </c>
    </row>
    <row r="285">
      <c r="A285" s="5" t="n"/>
      <c r="B285" s="22" t="n"/>
      <c r="C285" s="20">
        <f>IF(A285="","",SUMIF('Keşif'!$B$5:$B$504,A285,'Keşif'!$H$5:$H$504))</f>
        <v/>
      </c>
      <c r="D285" s="23">
        <f>IF(OR(A285="",'Keşif'!$H$3=0),"",C285/'Keşif'!$H$3)</f>
        <v/>
      </c>
      <c r="E285" s="23">
        <f>IF(OR(B285="",D285=""),"",D285-B285)</f>
        <v/>
      </c>
      <c r="F285" s="24">
        <f>IF(E285="","",IF(E285&gt;PursantajTol,"Finansman yükü: maliyet ödemeden önde",IF(E285&lt;-PursantajTol,"Lehte: ödeme maliyetten önde","Uyumlu")))</f>
        <v/>
      </c>
    </row>
    <row r="286">
      <c r="A286" s="5" t="n"/>
      <c r="B286" s="22" t="n"/>
      <c r="C286" s="20">
        <f>IF(A286="","",SUMIF('Keşif'!$B$5:$B$504,A286,'Keşif'!$H$5:$H$504))</f>
        <v/>
      </c>
      <c r="D286" s="23">
        <f>IF(OR(A286="",'Keşif'!$H$3=0),"",C286/'Keşif'!$H$3)</f>
        <v/>
      </c>
      <c r="E286" s="23">
        <f>IF(OR(B286="",D286=""),"",D286-B286)</f>
        <v/>
      </c>
      <c r="F286" s="24">
        <f>IF(E286="","",IF(E286&gt;PursantajTol,"Finansman yükü: maliyet ödemeden önde",IF(E286&lt;-PursantajTol,"Lehte: ödeme maliyetten önde","Uyumlu")))</f>
        <v/>
      </c>
    </row>
    <row r="287">
      <c r="A287" s="5" t="n"/>
      <c r="B287" s="22" t="n"/>
      <c r="C287" s="20">
        <f>IF(A287="","",SUMIF('Keşif'!$B$5:$B$504,A287,'Keşif'!$H$5:$H$504))</f>
        <v/>
      </c>
      <c r="D287" s="23">
        <f>IF(OR(A287="",'Keşif'!$H$3=0),"",C287/'Keşif'!$H$3)</f>
        <v/>
      </c>
      <c r="E287" s="23">
        <f>IF(OR(B287="",D287=""),"",D287-B287)</f>
        <v/>
      </c>
      <c r="F287" s="24">
        <f>IF(E287="","",IF(E287&gt;PursantajTol,"Finansman yükü: maliyet ödemeden önde",IF(E287&lt;-PursantajTol,"Lehte: ödeme maliyetten önde","Uyumlu")))</f>
        <v/>
      </c>
    </row>
    <row r="288">
      <c r="A288" s="5" t="n"/>
      <c r="B288" s="22" t="n"/>
      <c r="C288" s="20">
        <f>IF(A288="","",SUMIF('Keşif'!$B$5:$B$504,A288,'Keşif'!$H$5:$H$504))</f>
        <v/>
      </c>
      <c r="D288" s="23">
        <f>IF(OR(A288="",'Keşif'!$H$3=0),"",C288/'Keşif'!$H$3)</f>
        <v/>
      </c>
      <c r="E288" s="23">
        <f>IF(OR(B288="",D288=""),"",D288-B288)</f>
        <v/>
      </c>
      <c r="F288" s="24">
        <f>IF(E288="","",IF(E288&gt;PursantajTol,"Finansman yükü: maliyet ödemeden önde",IF(E288&lt;-PursantajTol,"Lehte: ödeme maliyetten önde","Uyumlu")))</f>
        <v/>
      </c>
    </row>
    <row r="289">
      <c r="A289" s="5" t="n"/>
      <c r="B289" s="22" t="n"/>
      <c r="C289" s="20">
        <f>IF(A289="","",SUMIF('Keşif'!$B$5:$B$504,A289,'Keşif'!$H$5:$H$504))</f>
        <v/>
      </c>
      <c r="D289" s="23">
        <f>IF(OR(A289="",'Keşif'!$H$3=0),"",C289/'Keşif'!$H$3)</f>
        <v/>
      </c>
      <c r="E289" s="23">
        <f>IF(OR(B289="",D289=""),"",D289-B289)</f>
        <v/>
      </c>
      <c r="F289" s="24">
        <f>IF(E289="","",IF(E289&gt;PursantajTol,"Finansman yükü: maliyet ödemeden önde",IF(E289&lt;-PursantajTol,"Lehte: ödeme maliyetten önde","Uyumlu")))</f>
        <v/>
      </c>
    </row>
    <row r="290">
      <c r="A290" s="5" t="n"/>
      <c r="B290" s="22" t="n"/>
      <c r="C290" s="20">
        <f>IF(A290="","",SUMIF('Keşif'!$B$5:$B$504,A290,'Keşif'!$H$5:$H$504))</f>
        <v/>
      </c>
      <c r="D290" s="23">
        <f>IF(OR(A290="",'Keşif'!$H$3=0),"",C290/'Keşif'!$H$3)</f>
        <v/>
      </c>
      <c r="E290" s="23">
        <f>IF(OR(B290="",D290=""),"",D290-B290)</f>
        <v/>
      </c>
      <c r="F290" s="24">
        <f>IF(E290="","",IF(E290&gt;PursantajTol,"Finansman yükü: maliyet ödemeden önde",IF(E290&lt;-PursantajTol,"Lehte: ödeme maliyetten önde","Uyumlu")))</f>
        <v/>
      </c>
    </row>
    <row r="291">
      <c r="A291" s="5" t="n"/>
      <c r="B291" s="22" t="n"/>
      <c r="C291" s="20">
        <f>IF(A291="","",SUMIF('Keşif'!$B$5:$B$504,A291,'Keşif'!$H$5:$H$504))</f>
        <v/>
      </c>
      <c r="D291" s="23">
        <f>IF(OR(A291="",'Keşif'!$H$3=0),"",C291/'Keşif'!$H$3)</f>
        <v/>
      </c>
      <c r="E291" s="23">
        <f>IF(OR(B291="",D291=""),"",D291-B291)</f>
        <v/>
      </c>
      <c r="F291" s="24">
        <f>IF(E291="","",IF(E291&gt;PursantajTol,"Finansman yükü: maliyet ödemeden önde",IF(E291&lt;-PursantajTol,"Lehte: ödeme maliyetten önde","Uyumlu")))</f>
        <v/>
      </c>
    </row>
    <row r="292">
      <c r="A292" s="5" t="n"/>
      <c r="B292" s="22" t="n"/>
      <c r="C292" s="20">
        <f>IF(A292="","",SUMIF('Keşif'!$B$5:$B$504,A292,'Keşif'!$H$5:$H$504))</f>
        <v/>
      </c>
      <c r="D292" s="23">
        <f>IF(OR(A292="",'Keşif'!$H$3=0),"",C292/'Keşif'!$H$3)</f>
        <v/>
      </c>
      <c r="E292" s="23">
        <f>IF(OR(B292="",D292=""),"",D292-B292)</f>
        <v/>
      </c>
      <c r="F292" s="24">
        <f>IF(E292="","",IF(E292&gt;PursantajTol,"Finansman yükü: maliyet ödemeden önde",IF(E292&lt;-PursantajTol,"Lehte: ödeme maliyetten önde","Uyumlu")))</f>
        <v/>
      </c>
    </row>
    <row r="293">
      <c r="A293" s="5" t="n"/>
      <c r="B293" s="22" t="n"/>
      <c r="C293" s="20">
        <f>IF(A293="","",SUMIF('Keşif'!$B$5:$B$504,A293,'Keşif'!$H$5:$H$504))</f>
        <v/>
      </c>
      <c r="D293" s="23">
        <f>IF(OR(A293="",'Keşif'!$H$3=0),"",C293/'Keşif'!$H$3)</f>
        <v/>
      </c>
      <c r="E293" s="23">
        <f>IF(OR(B293="",D293=""),"",D293-B293)</f>
        <v/>
      </c>
      <c r="F293" s="24">
        <f>IF(E293="","",IF(E293&gt;PursantajTol,"Finansman yükü: maliyet ödemeden önde",IF(E293&lt;-PursantajTol,"Lehte: ödeme maliyetten önde","Uyumlu")))</f>
        <v/>
      </c>
    </row>
    <row r="294">
      <c r="A294" s="5" t="n"/>
      <c r="B294" s="22" t="n"/>
      <c r="C294" s="20">
        <f>IF(A294="","",SUMIF('Keşif'!$B$5:$B$504,A294,'Keşif'!$H$5:$H$504))</f>
        <v/>
      </c>
      <c r="D294" s="23">
        <f>IF(OR(A294="",'Keşif'!$H$3=0),"",C294/'Keşif'!$H$3)</f>
        <v/>
      </c>
      <c r="E294" s="23">
        <f>IF(OR(B294="",D294=""),"",D294-B294)</f>
        <v/>
      </c>
      <c r="F294" s="24">
        <f>IF(E294="","",IF(E294&gt;PursantajTol,"Finansman yükü: maliyet ödemeden önde",IF(E294&lt;-PursantajTol,"Lehte: ödeme maliyetten önde","Uyumlu")))</f>
        <v/>
      </c>
    </row>
    <row r="295">
      <c r="A295" s="5" t="n"/>
      <c r="B295" s="22" t="n"/>
      <c r="C295" s="20">
        <f>IF(A295="","",SUMIF('Keşif'!$B$5:$B$504,A295,'Keşif'!$H$5:$H$504))</f>
        <v/>
      </c>
      <c r="D295" s="23">
        <f>IF(OR(A295="",'Keşif'!$H$3=0),"",C295/'Keşif'!$H$3)</f>
        <v/>
      </c>
      <c r="E295" s="23">
        <f>IF(OR(B295="",D295=""),"",D295-B295)</f>
        <v/>
      </c>
      <c r="F295" s="24">
        <f>IF(E295="","",IF(E295&gt;PursantajTol,"Finansman yükü: maliyet ödemeden önde",IF(E295&lt;-PursantajTol,"Lehte: ödeme maliyetten önde","Uyumlu")))</f>
        <v/>
      </c>
    </row>
    <row r="296">
      <c r="A296" s="5" t="n"/>
      <c r="B296" s="22" t="n"/>
      <c r="C296" s="20">
        <f>IF(A296="","",SUMIF('Keşif'!$B$5:$B$504,A296,'Keşif'!$H$5:$H$504))</f>
        <v/>
      </c>
      <c r="D296" s="23">
        <f>IF(OR(A296="",'Keşif'!$H$3=0),"",C296/'Keşif'!$H$3)</f>
        <v/>
      </c>
      <c r="E296" s="23">
        <f>IF(OR(B296="",D296=""),"",D296-B296)</f>
        <v/>
      </c>
      <c r="F296" s="24">
        <f>IF(E296="","",IF(E296&gt;PursantajTol,"Finansman yükü: maliyet ödemeden önde",IF(E296&lt;-PursantajTol,"Lehte: ödeme maliyetten önde","Uyumlu")))</f>
        <v/>
      </c>
    </row>
    <row r="297">
      <c r="A297" s="5" t="n"/>
      <c r="B297" s="22" t="n"/>
      <c r="C297" s="20">
        <f>IF(A297="","",SUMIF('Keşif'!$B$5:$B$504,A297,'Keşif'!$H$5:$H$504))</f>
        <v/>
      </c>
      <c r="D297" s="23">
        <f>IF(OR(A297="",'Keşif'!$H$3=0),"",C297/'Keşif'!$H$3)</f>
        <v/>
      </c>
      <c r="E297" s="23">
        <f>IF(OR(B297="",D297=""),"",D297-B297)</f>
        <v/>
      </c>
      <c r="F297" s="24">
        <f>IF(E297="","",IF(E297&gt;PursantajTol,"Finansman yükü: maliyet ödemeden önde",IF(E297&lt;-PursantajTol,"Lehte: ödeme maliyetten önde","Uyumlu")))</f>
        <v/>
      </c>
    </row>
    <row r="298">
      <c r="A298" s="5" t="n"/>
      <c r="B298" s="22" t="n"/>
      <c r="C298" s="20">
        <f>IF(A298="","",SUMIF('Keşif'!$B$5:$B$504,A298,'Keşif'!$H$5:$H$504))</f>
        <v/>
      </c>
      <c r="D298" s="23">
        <f>IF(OR(A298="",'Keşif'!$H$3=0),"",C298/'Keşif'!$H$3)</f>
        <v/>
      </c>
      <c r="E298" s="23">
        <f>IF(OR(B298="",D298=""),"",D298-B298)</f>
        <v/>
      </c>
      <c r="F298" s="24">
        <f>IF(E298="","",IF(E298&gt;PursantajTol,"Finansman yükü: maliyet ödemeden önde",IF(E298&lt;-PursantajTol,"Lehte: ödeme maliyetten önde","Uyumlu")))</f>
        <v/>
      </c>
    </row>
    <row r="299">
      <c r="A299" s="5" t="n"/>
      <c r="B299" s="22" t="n"/>
      <c r="C299" s="20">
        <f>IF(A299="","",SUMIF('Keşif'!$B$5:$B$504,A299,'Keşif'!$H$5:$H$504))</f>
        <v/>
      </c>
      <c r="D299" s="23">
        <f>IF(OR(A299="",'Keşif'!$H$3=0),"",C299/'Keşif'!$H$3)</f>
        <v/>
      </c>
      <c r="E299" s="23">
        <f>IF(OR(B299="",D299=""),"",D299-B299)</f>
        <v/>
      </c>
      <c r="F299" s="24">
        <f>IF(E299="","",IF(E299&gt;PursantajTol,"Finansman yükü: maliyet ödemeden önde",IF(E299&lt;-PursantajTol,"Lehte: ödeme maliyetten önde","Uyumlu")))</f>
        <v/>
      </c>
    </row>
    <row r="300">
      <c r="A300" s="5" t="n"/>
      <c r="B300" s="22" t="n"/>
      <c r="C300" s="20">
        <f>IF(A300="","",SUMIF('Keşif'!$B$5:$B$504,A300,'Keşif'!$H$5:$H$504))</f>
        <v/>
      </c>
      <c r="D300" s="23">
        <f>IF(OR(A300="",'Keşif'!$H$3=0),"",C300/'Keşif'!$H$3)</f>
        <v/>
      </c>
      <c r="E300" s="23">
        <f>IF(OR(B300="",D300=""),"",D300-B300)</f>
        <v/>
      </c>
      <c r="F300" s="24">
        <f>IF(E300="","",IF(E300&gt;PursantajTol,"Finansman yükü: maliyet ödemeden önde",IF(E300&lt;-PursantajTol,"Lehte: ödeme maliyetten önde","Uyumlu")))</f>
        <v/>
      </c>
    </row>
    <row r="301">
      <c r="A301" s="5" t="n"/>
      <c r="B301" s="22" t="n"/>
      <c r="C301" s="20">
        <f>IF(A301="","",SUMIF('Keşif'!$B$5:$B$504,A301,'Keşif'!$H$5:$H$504))</f>
        <v/>
      </c>
      <c r="D301" s="23">
        <f>IF(OR(A301="",'Keşif'!$H$3=0),"",C301/'Keşif'!$H$3)</f>
        <v/>
      </c>
      <c r="E301" s="23">
        <f>IF(OR(B301="",D301=""),"",D301-B301)</f>
        <v/>
      </c>
      <c r="F301" s="24">
        <f>IF(E301="","",IF(E301&gt;PursantajTol,"Finansman yükü: maliyet ödemeden önde",IF(E301&lt;-PursantajTol,"Lehte: ödeme maliyetten önde","Uyumlu")))</f>
        <v/>
      </c>
    </row>
    <row r="302">
      <c r="A302" s="5" t="n"/>
      <c r="B302" s="22" t="n"/>
      <c r="C302" s="20">
        <f>IF(A302="","",SUMIF('Keşif'!$B$5:$B$504,A302,'Keşif'!$H$5:$H$504))</f>
        <v/>
      </c>
      <c r="D302" s="23">
        <f>IF(OR(A302="",'Keşif'!$H$3=0),"",C302/'Keşif'!$H$3)</f>
        <v/>
      </c>
      <c r="E302" s="23">
        <f>IF(OR(B302="",D302=""),"",D302-B302)</f>
        <v/>
      </c>
      <c r="F302" s="24">
        <f>IF(E302="","",IF(E302&gt;PursantajTol,"Finansman yükü: maliyet ödemeden önde",IF(E302&lt;-PursantajTol,"Lehte: ödeme maliyetten önde","Uyumlu")))</f>
        <v/>
      </c>
    </row>
    <row r="303">
      <c r="A303" s="5" t="n"/>
      <c r="B303" s="22" t="n"/>
      <c r="C303" s="20">
        <f>IF(A303="","",SUMIF('Keşif'!$B$5:$B$504,A303,'Keşif'!$H$5:$H$504))</f>
        <v/>
      </c>
      <c r="D303" s="23">
        <f>IF(OR(A303="",'Keşif'!$H$3=0),"",C303/'Keşif'!$H$3)</f>
        <v/>
      </c>
      <c r="E303" s="23">
        <f>IF(OR(B303="",D303=""),"",D303-B303)</f>
        <v/>
      </c>
      <c r="F303" s="24">
        <f>IF(E303="","",IF(E303&gt;PursantajTol,"Finansman yükü: maliyet ödemeden önde",IF(E303&lt;-PursantajTol,"Lehte: ödeme maliyetten önde","Uyumlu")))</f>
        <v/>
      </c>
    </row>
    <row r="304">
      <c r="A304" s="5" t="n"/>
      <c r="B304" s="22" t="n"/>
      <c r="C304" s="20">
        <f>IF(A304="","",SUMIF('Keşif'!$B$5:$B$504,A304,'Keşif'!$H$5:$H$504))</f>
        <v/>
      </c>
      <c r="D304" s="23">
        <f>IF(OR(A304="",'Keşif'!$H$3=0),"",C304/'Keşif'!$H$3)</f>
        <v/>
      </c>
      <c r="E304" s="23">
        <f>IF(OR(B304="",D304=""),"",D304-B304)</f>
        <v/>
      </c>
      <c r="F304" s="24">
        <f>IF(E304="","",IF(E304&gt;PursantajTol,"Finansman yükü: maliyet ödemeden önde",IF(E304&lt;-PursantajTol,"Lehte: ödeme maliyetten önde","Uyumlu")))</f>
        <v/>
      </c>
    </row>
    <row r="305">
      <c r="A305" s="5" t="n"/>
      <c r="B305" s="22" t="n"/>
      <c r="C305" s="20">
        <f>IF(A305="","",SUMIF('Keşif'!$B$5:$B$504,A305,'Keşif'!$H$5:$H$504))</f>
        <v/>
      </c>
      <c r="D305" s="23">
        <f>IF(OR(A305="",'Keşif'!$H$3=0),"",C305/'Keşif'!$H$3)</f>
        <v/>
      </c>
      <c r="E305" s="23">
        <f>IF(OR(B305="",D305=""),"",D305-B305)</f>
        <v/>
      </c>
      <c r="F305" s="24">
        <f>IF(E305="","",IF(E305&gt;PursantajTol,"Finansman yükü: maliyet ödemeden önde",IF(E305&lt;-PursantajTol,"Lehte: ödeme maliyetten önde","Uyumlu")))</f>
        <v/>
      </c>
    </row>
    <row r="306">
      <c r="A306" s="5" t="n"/>
      <c r="B306" s="22" t="n"/>
      <c r="C306" s="20">
        <f>IF(A306="","",SUMIF('Keşif'!$B$5:$B$504,A306,'Keşif'!$H$5:$H$504))</f>
        <v/>
      </c>
      <c r="D306" s="23">
        <f>IF(OR(A306="",'Keşif'!$H$3=0),"",C306/'Keşif'!$H$3)</f>
        <v/>
      </c>
      <c r="E306" s="23">
        <f>IF(OR(B306="",D306=""),"",D306-B306)</f>
        <v/>
      </c>
      <c r="F306" s="24">
        <f>IF(E306="","",IF(E306&gt;PursantajTol,"Finansman yükü: maliyet ödemeden önde",IF(E306&lt;-PursantajTol,"Lehte: ödeme maliyetten önde","Uyumlu")))</f>
        <v/>
      </c>
    </row>
    <row r="307">
      <c r="A307" s="5" t="n"/>
      <c r="B307" s="22" t="n"/>
      <c r="C307" s="20">
        <f>IF(A307="","",SUMIF('Keşif'!$B$5:$B$504,A307,'Keşif'!$H$5:$H$504))</f>
        <v/>
      </c>
      <c r="D307" s="23">
        <f>IF(OR(A307="",'Keşif'!$H$3=0),"",C307/'Keşif'!$H$3)</f>
        <v/>
      </c>
      <c r="E307" s="23">
        <f>IF(OR(B307="",D307=""),"",D307-B307)</f>
        <v/>
      </c>
      <c r="F307" s="24">
        <f>IF(E307="","",IF(E307&gt;PursantajTol,"Finansman yükü: maliyet ödemeden önde",IF(E307&lt;-PursantajTol,"Lehte: ödeme maliyetten önde","Uyumlu")))</f>
        <v/>
      </c>
    </row>
    <row r="308">
      <c r="A308" s="5" t="n"/>
      <c r="B308" s="22" t="n"/>
      <c r="C308" s="20">
        <f>IF(A308="","",SUMIF('Keşif'!$B$5:$B$504,A308,'Keşif'!$H$5:$H$504))</f>
        <v/>
      </c>
      <c r="D308" s="23">
        <f>IF(OR(A308="",'Keşif'!$H$3=0),"",C308/'Keşif'!$H$3)</f>
        <v/>
      </c>
      <c r="E308" s="23">
        <f>IF(OR(B308="",D308=""),"",D308-B308)</f>
        <v/>
      </c>
      <c r="F308" s="24">
        <f>IF(E308="","",IF(E308&gt;PursantajTol,"Finansman yükü: maliyet ödemeden önde",IF(E308&lt;-PursantajTol,"Lehte: ödeme maliyetten önde","Uyumlu")))</f>
        <v/>
      </c>
    </row>
    <row r="309">
      <c r="A309" s="5" t="n"/>
      <c r="B309" s="22" t="n"/>
      <c r="C309" s="20">
        <f>IF(A309="","",SUMIF('Keşif'!$B$5:$B$504,A309,'Keşif'!$H$5:$H$504))</f>
        <v/>
      </c>
      <c r="D309" s="23">
        <f>IF(OR(A309="",'Keşif'!$H$3=0),"",C309/'Keşif'!$H$3)</f>
        <v/>
      </c>
      <c r="E309" s="23">
        <f>IF(OR(B309="",D309=""),"",D309-B309)</f>
        <v/>
      </c>
      <c r="F309" s="24">
        <f>IF(E309="","",IF(E309&gt;PursantajTol,"Finansman yükü: maliyet ödemeden önde",IF(E309&lt;-PursantajTol,"Lehte: ödeme maliyetten önde","Uyumlu")))</f>
        <v/>
      </c>
    </row>
    <row r="310">
      <c r="A310" s="5" t="n"/>
      <c r="B310" s="22" t="n"/>
      <c r="C310" s="20">
        <f>IF(A310="","",SUMIF('Keşif'!$B$5:$B$504,A310,'Keşif'!$H$5:$H$504))</f>
        <v/>
      </c>
      <c r="D310" s="23">
        <f>IF(OR(A310="",'Keşif'!$H$3=0),"",C310/'Keşif'!$H$3)</f>
        <v/>
      </c>
      <c r="E310" s="23">
        <f>IF(OR(B310="",D310=""),"",D310-B310)</f>
        <v/>
      </c>
      <c r="F310" s="24">
        <f>IF(E310="","",IF(E310&gt;PursantajTol,"Finansman yükü: maliyet ödemeden önde",IF(E310&lt;-PursantajTol,"Lehte: ödeme maliyetten önde","Uyumlu")))</f>
        <v/>
      </c>
    </row>
    <row r="311">
      <c r="A311" s="5" t="n"/>
      <c r="B311" s="22" t="n"/>
      <c r="C311" s="20">
        <f>IF(A311="","",SUMIF('Keşif'!$B$5:$B$504,A311,'Keşif'!$H$5:$H$504))</f>
        <v/>
      </c>
      <c r="D311" s="23">
        <f>IF(OR(A311="",'Keşif'!$H$3=0),"",C311/'Keşif'!$H$3)</f>
        <v/>
      </c>
      <c r="E311" s="23">
        <f>IF(OR(B311="",D311=""),"",D311-B311)</f>
        <v/>
      </c>
      <c r="F311" s="24">
        <f>IF(E311="","",IF(E311&gt;PursantajTol,"Finansman yükü: maliyet ödemeden önde",IF(E311&lt;-PursantajTol,"Lehte: ödeme maliyetten önde","Uyumlu")))</f>
        <v/>
      </c>
    </row>
    <row r="312">
      <c r="A312" s="5" t="n"/>
      <c r="B312" s="22" t="n"/>
      <c r="C312" s="20">
        <f>IF(A312="","",SUMIF('Keşif'!$B$5:$B$504,A312,'Keşif'!$H$5:$H$504))</f>
        <v/>
      </c>
      <c r="D312" s="23">
        <f>IF(OR(A312="",'Keşif'!$H$3=0),"",C312/'Keşif'!$H$3)</f>
        <v/>
      </c>
      <c r="E312" s="23">
        <f>IF(OR(B312="",D312=""),"",D312-B312)</f>
        <v/>
      </c>
      <c r="F312" s="24">
        <f>IF(E312="","",IF(E312&gt;PursantajTol,"Finansman yükü: maliyet ödemeden önde",IF(E312&lt;-PursantajTol,"Lehte: ödeme maliyetten önde","Uyumlu")))</f>
        <v/>
      </c>
    </row>
    <row r="313">
      <c r="A313" s="5" t="n"/>
      <c r="B313" s="22" t="n"/>
      <c r="C313" s="20">
        <f>IF(A313="","",SUMIF('Keşif'!$B$5:$B$504,A313,'Keşif'!$H$5:$H$504))</f>
        <v/>
      </c>
      <c r="D313" s="23">
        <f>IF(OR(A313="",'Keşif'!$H$3=0),"",C313/'Keşif'!$H$3)</f>
        <v/>
      </c>
      <c r="E313" s="23">
        <f>IF(OR(B313="",D313=""),"",D313-B313)</f>
        <v/>
      </c>
      <c r="F313" s="24">
        <f>IF(E313="","",IF(E313&gt;PursantajTol,"Finansman yükü: maliyet ödemeden önde",IF(E313&lt;-PursantajTol,"Lehte: ödeme maliyetten önde","Uyumlu")))</f>
        <v/>
      </c>
    </row>
    <row r="314">
      <c r="A314" s="5" t="n"/>
      <c r="B314" s="22" t="n"/>
      <c r="C314" s="20">
        <f>IF(A314="","",SUMIF('Keşif'!$B$5:$B$504,A314,'Keşif'!$H$5:$H$504))</f>
        <v/>
      </c>
      <c r="D314" s="23">
        <f>IF(OR(A314="",'Keşif'!$H$3=0),"",C314/'Keşif'!$H$3)</f>
        <v/>
      </c>
      <c r="E314" s="23">
        <f>IF(OR(B314="",D314=""),"",D314-B314)</f>
        <v/>
      </c>
      <c r="F314" s="24">
        <f>IF(E314="","",IF(E314&gt;PursantajTol,"Finansman yükü: maliyet ödemeden önde",IF(E314&lt;-PursantajTol,"Lehte: ödeme maliyetten önde","Uyumlu")))</f>
        <v/>
      </c>
    </row>
    <row r="315">
      <c r="A315" s="5" t="n"/>
      <c r="B315" s="22" t="n"/>
      <c r="C315" s="20">
        <f>IF(A315="","",SUMIF('Keşif'!$B$5:$B$504,A315,'Keşif'!$H$5:$H$504))</f>
        <v/>
      </c>
      <c r="D315" s="23">
        <f>IF(OR(A315="",'Keşif'!$H$3=0),"",C315/'Keşif'!$H$3)</f>
        <v/>
      </c>
      <c r="E315" s="23">
        <f>IF(OR(B315="",D315=""),"",D315-B315)</f>
        <v/>
      </c>
      <c r="F315" s="24">
        <f>IF(E315="","",IF(E315&gt;PursantajTol,"Finansman yükü: maliyet ödemeden önde",IF(E315&lt;-PursantajTol,"Lehte: ödeme maliyetten önde","Uyumlu")))</f>
        <v/>
      </c>
    </row>
    <row r="316">
      <c r="A316" s="5" t="n"/>
      <c r="B316" s="22" t="n"/>
      <c r="C316" s="20">
        <f>IF(A316="","",SUMIF('Keşif'!$B$5:$B$504,A316,'Keşif'!$H$5:$H$504))</f>
        <v/>
      </c>
      <c r="D316" s="23">
        <f>IF(OR(A316="",'Keşif'!$H$3=0),"",C316/'Keşif'!$H$3)</f>
        <v/>
      </c>
      <c r="E316" s="23">
        <f>IF(OR(B316="",D316=""),"",D316-B316)</f>
        <v/>
      </c>
      <c r="F316" s="24">
        <f>IF(E316="","",IF(E316&gt;PursantajTol,"Finansman yükü: maliyet ödemeden önde",IF(E316&lt;-PursantajTol,"Lehte: ödeme maliyetten önde","Uyumlu")))</f>
        <v/>
      </c>
    </row>
    <row r="317">
      <c r="A317" s="5" t="n"/>
      <c r="B317" s="22" t="n"/>
      <c r="C317" s="20">
        <f>IF(A317="","",SUMIF('Keşif'!$B$5:$B$504,A317,'Keşif'!$H$5:$H$504))</f>
        <v/>
      </c>
      <c r="D317" s="23">
        <f>IF(OR(A317="",'Keşif'!$H$3=0),"",C317/'Keşif'!$H$3)</f>
        <v/>
      </c>
      <c r="E317" s="23">
        <f>IF(OR(B317="",D317=""),"",D317-B317)</f>
        <v/>
      </c>
      <c r="F317" s="24">
        <f>IF(E317="","",IF(E317&gt;PursantajTol,"Finansman yükü: maliyet ödemeden önde",IF(E317&lt;-PursantajTol,"Lehte: ödeme maliyetten önde","Uyumlu")))</f>
        <v/>
      </c>
    </row>
    <row r="318">
      <c r="A318" s="5" t="n"/>
      <c r="B318" s="22" t="n"/>
      <c r="C318" s="20">
        <f>IF(A318="","",SUMIF('Keşif'!$B$5:$B$504,A318,'Keşif'!$H$5:$H$504))</f>
        <v/>
      </c>
      <c r="D318" s="23">
        <f>IF(OR(A318="",'Keşif'!$H$3=0),"",C318/'Keşif'!$H$3)</f>
        <v/>
      </c>
      <c r="E318" s="23">
        <f>IF(OR(B318="",D318=""),"",D318-B318)</f>
        <v/>
      </c>
      <c r="F318" s="24">
        <f>IF(E318="","",IF(E318&gt;PursantajTol,"Finansman yükü: maliyet ödemeden önde",IF(E318&lt;-PursantajTol,"Lehte: ödeme maliyetten önde","Uyumlu")))</f>
        <v/>
      </c>
    </row>
    <row r="319">
      <c r="A319" s="5" t="n"/>
      <c r="B319" s="22" t="n"/>
      <c r="C319" s="20">
        <f>IF(A319="","",SUMIF('Keşif'!$B$5:$B$504,A319,'Keşif'!$H$5:$H$504))</f>
        <v/>
      </c>
      <c r="D319" s="23">
        <f>IF(OR(A319="",'Keşif'!$H$3=0),"",C319/'Keşif'!$H$3)</f>
        <v/>
      </c>
      <c r="E319" s="23">
        <f>IF(OR(B319="",D319=""),"",D319-B319)</f>
        <v/>
      </c>
      <c r="F319" s="24">
        <f>IF(E319="","",IF(E319&gt;PursantajTol,"Finansman yükü: maliyet ödemeden önde",IF(E319&lt;-PursantajTol,"Lehte: ödeme maliyetten önde","Uyumlu")))</f>
        <v/>
      </c>
    </row>
    <row r="320">
      <c r="A320" s="5" t="n"/>
      <c r="B320" s="22" t="n"/>
      <c r="C320" s="20">
        <f>IF(A320="","",SUMIF('Keşif'!$B$5:$B$504,A320,'Keşif'!$H$5:$H$504))</f>
        <v/>
      </c>
      <c r="D320" s="23">
        <f>IF(OR(A320="",'Keşif'!$H$3=0),"",C320/'Keşif'!$H$3)</f>
        <v/>
      </c>
      <c r="E320" s="23">
        <f>IF(OR(B320="",D320=""),"",D320-B320)</f>
        <v/>
      </c>
      <c r="F320" s="24">
        <f>IF(E320="","",IF(E320&gt;PursantajTol,"Finansman yükü: maliyet ödemeden önde",IF(E320&lt;-PursantajTol,"Lehte: ödeme maliyetten önde","Uyumlu")))</f>
        <v/>
      </c>
    </row>
    <row r="321">
      <c r="A321" s="5" t="n"/>
      <c r="B321" s="22" t="n"/>
      <c r="C321" s="20">
        <f>IF(A321="","",SUMIF('Keşif'!$B$5:$B$504,A321,'Keşif'!$H$5:$H$504))</f>
        <v/>
      </c>
      <c r="D321" s="23">
        <f>IF(OR(A321="",'Keşif'!$H$3=0),"",C321/'Keşif'!$H$3)</f>
        <v/>
      </c>
      <c r="E321" s="23">
        <f>IF(OR(B321="",D321=""),"",D321-B321)</f>
        <v/>
      </c>
      <c r="F321" s="24">
        <f>IF(E321="","",IF(E321&gt;PursantajTol,"Finansman yükü: maliyet ödemeden önde",IF(E321&lt;-PursantajTol,"Lehte: ödeme maliyetten önde","Uyumlu")))</f>
        <v/>
      </c>
    </row>
    <row r="322">
      <c r="A322" s="5" t="n"/>
      <c r="B322" s="22" t="n"/>
      <c r="C322" s="20">
        <f>IF(A322="","",SUMIF('Keşif'!$B$5:$B$504,A322,'Keşif'!$H$5:$H$504))</f>
        <v/>
      </c>
      <c r="D322" s="23">
        <f>IF(OR(A322="",'Keşif'!$H$3=0),"",C322/'Keşif'!$H$3)</f>
        <v/>
      </c>
      <c r="E322" s="23">
        <f>IF(OR(B322="",D322=""),"",D322-B322)</f>
        <v/>
      </c>
      <c r="F322" s="24">
        <f>IF(E322="","",IF(E322&gt;PursantajTol,"Finansman yükü: maliyet ödemeden önde",IF(E322&lt;-PursantajTol,"Lehte: ödeme maliyetten önde","Uyumlu")))</f>
        <v/>
      </c>
    </row>
    <row r="323">
      <c r="A323" s="5" t="n"/>
      <c r="B323" s="22" t="n"/>
      <c r="C323" s="20">
        <f>IF(A323="","",SUMIF('Keşif'!$B$5:$B$504,A323,'Keşif'!$H$5:$H$504))</f>
        <v/>
      </c>
      <c r="D323" s="23">
        <f>IF(OR(A323="",'Keşif'!$H$3=0),"",C323/'Keşif'!$H$3)</f>
        <v/>
      </c>
      <c r="E323" s="23">
        <f>IF(OR(B323="",D323=""),"",D323-B323)</f>
        <v/>
      </c>
      <c r="F323" s="24">
        <f>IF(E323="","",IF(E323&gt;PursantajTol,"Finansman yükü: maliyet ödemeden önde",IF(E323&lt;-PursantajTol,"Lehte: ödeme maliyetten önde","Uyumlu")))</f>
        <v/>
      </c>
    </row>
    <row r="324">
      <c r="A324" s="5" t="n"/>
      <c r="B324" s="22" t="n"/>
      <c r="C324" s="20">
        <f>IF(A324="","",SUMIF('Keşif'!$B$5:$B$504,A324,'Keşif'!$H$5:$H$504))</f>
        <v/>
      </c>
      <c r="D324" s="23">
        <f>IF(OR(A324="",'Keşif'!$H$3=0),"",C324/'Keşif'!$H$3)</f>
        <v/>
      </c>
      <c r="E324" s="23">
        <f>IF(OR(B324="",D324=""),"",D324-B324)</f>
        <v/>
      </c>
      <c r="F324" s="24">
        <f>IF(E324="","",IF(E324&gt;PursantajTol,"Finansman yükü: maliyet ödemeden önde",IF(E324&lt;-PursantajTol,"Lehte: ödeme maliyetten önde","Uyumlu")))</f>
        <v/>
      </c>
    </row>
    <row r="325">
      <c r="A325" s="5" t="n"/>
      <c r="B325" s="22" t="n"/>
      <c r="C325" s="20">
        <f>IF(A325="","",SUMIF('Keşif'!$B$5:$B$504,A325,'Keşif'!$H$5:$H$504))</f>
        <v/>
      </c>
      <c r="D325" s="23">
        <f>IF(OR(A325="",'Keşif'!$H$3=0),"",C325/'Keşif'!$H$3)</f>
        <v/>
      </c>
      <c r="E325" s="23">
        <f>IF(OR(B325="",D325=""),"",D325-B325)</f>
        <v/>
      </c>
      <c r="F325" s="24">
        <f>IF(E325="","",IF(E325&gt;PursantajTol,"Finansman yükü: maliyet ödemeden önde",IF(E325&lt;-PursantajTol,"Lehte: ödeme maliyetten önde","Uyumlu")))</f>
        <v/>
      </c>
    </row>
    <row r="326">
      <c r="A326" s="5" t="n"/>
      <c r="B326" s="22" t="n"/>
      <c r="C326" s="20">
        <f>IF(A326="","",SUMIF('Keşif'!$B$5:$B$504,A326,'Keşif'!$H$5:$H$504))</f>
        <v/>
      </c>
      <c r="D326" s="23">
        <f>IF(OR(A326="",'Keşif'!$H$3=0),"",C326/'Keşif'!$H$3)</f>
        <v/>
      </c>
      <c r="E326" s="23">
        <f>IF(OR(B326="",D326=""),"",D326-B326)</f>
        <v/>
      </c>
      <c r="F326" s="24">
        <f>IF(E326="","",IF(E326&gt;PursantajTol,"Finansman yükü: maliyet ödemeden önde",IF(E326&lt;-PursantajTol,"Lehte: ödeme maliyetten önde","Uyumlu")))</f>
        <v/>
      </c>
    </row>
    <row r="327">
      <c r="A327" s="5" t="n"/>
      <c r="B327" s="22" t="n"/>
      <c r="C327" s="20">
        <f>IF(A327="","",SUMIF('Keşif'!$B$5:$B$504,A327,'Keşif'!$H$5:$H$504))</f>
        <v/>
      </c>
      <c r="D327" s="23">
        <f>IF(OR(A327="",'Keşif'!$H$3=0),"",C327/'Keşif'!$H$3)</f>
        <v/>
      </c>
      <c r="E327" s="23">
        <f>IF(OR(B327="",D327=""),"",D327-B327)</f>
        <v/>
      </c>
      <c r="F327" s="24">
        <f>IF(E327="","",IF(E327&gt;PursantajTol,"Finansman yükü: maliyet ödemeden önde",IF(E327&lt;-PursantajTol,"Lehte: ödeme maliyetten önde","Uyumlu")))</f>
        <v/>
      </c>
    </row>
    <row r="328">
      <c r="A328" s="5" t="n"/>
      <c r="B328" s="22" t="n"/>
      <c r="C328" s="20">
        <f>IF(A328="","",SUMIF('Keşif'!$B$5:$B$504,A328,'Keşif'!$H$5:$H$504))</f>
        <v/>
      </c>
      <c r="D328" s="23">
        <f>IF(OR(A328="",'Keşif'!$H$3=0),"",C328/'Keşif'!$H$3)</f>
        <v/>
      </c>
      <c r="E328" s="23">
        <f>IF(OR(B328="",D328=""),"",D328-B328)</f>
        <v/>
      </c>
      <c r="F328" s="24">
        <f>IF(E328="","",IF(E328&gt;PursantajTol,"Finansman yükü: maliyet ödemeden önde",IF(E328&lt;-PursantajTol,"Lehte: ödeme maliyetten önde","Uyumlu")))</f>
        <v/>
      </c>
    </row>
    <row r="329">
      <c r="A329" s="5" t="n"/>
      <c r="B329" s="22" t="n"/>
      <c r="C329" s="20">
        <f>IF(A329="","",SUMIF('Keşif'!$B$5:$B$504,A329,'Keşif'!$H$5:$H$504))</f>
        <v/>
      </c>
      <c r="D329" s="23">
        <f>IF(OR(A329="",'Keşif'!$H$3=0),"",C329/'Keşif'!$H$3)</f>
        <v/>
      </c>
      <c r="E329" s="23">
        <f>IF(OR(B329="",D329=""),"",D329-B329)</f>
        <v/>
      </c>
      <c r="F329" s="24">
        <f>IF(E329="","",IF(E329&gt;PursantajTol,"Finansman yükü: maliyet ödemeden önde",IF(E329&lt;-PursantajTol,"Lehte: ödeme maliyetten önde","Uyumlu")))</f>
        <v/>
      </c>
    </row>
    <row r="330">
      <c r="A330" s="5" t="n"/>
      <c r="B330" s="22" t="n"/>
      <c r="C330" s="20">
        <f>IF(A330="","",SUMIF('Keşif'!$B$5:$B$504,A330,'Keşif'!$H$5:$H$504))</f>
        <v/>
      </c>
      <c r="D330" s="23">
        <f>IF(OR(A330="",'Keşif'!$H$3=0),"",C330/'Keşif'!$H$3)</f>
        <v/>
      </c>
      <c r="E330" s="23">
        <f>IF(OR(B330="",D330=""),"",D330-B330)</f>
        <v/>
      </c>
      <c r="F330" s="24">
        <f>IF(E330="","",IF(E330&gt;PursantajTol,"Finansman yükü: maliyet ödemeden önde",IF(E330&lt;-PursantajTol,"Lehte: ödeme maliyetten önde","Uyumlu")))</f>
        <v/>
      </c>
    </row>
    <row r="331">
      <c r="A331" s="5" t="n"/>
      <c r="B331" s="22" t="n"/>
      <c r="C331" s="20">
        <f>IF(A331="","",SUMIF('Keşif'!$B$5:$B$504,A331,'Keşif'!$H$5:$H$504))</f>
        <v/>
      </c>
      <c r="D331" s="23">
        <f>IF(OR(A331="",'Keşif'!$H$3=0),"",C331/'Keşif'!$H$3)</f>
        <v/>
      </c>
      <c r="E331" s="23">
        <f>IF(OR(B331="",D331=""),"",D331-B331)</f>
        <v/>
      </c>
      <c r="F331" s="24">
        <f>IF(E331="","",IF(E331&gt;PursantajTol,"Finansman yükü: maliyet ödemeden önde",IF(E331&lt;-PursantajTol,"Lehte: ödeme maliyetten önde","Uyumlu")))</f>
        <v/>
      </c>
    </row>
    <row r="332">
      <c r="A332" s="5" t="n"/>
      <c r="B332" s="22" t="n"/>
      <c r="C332" s="20">
        <f>IF(A332="","",SUMIF('Keşif'!$B$5:$B$504,A332,'Keşif'!$H$5:$H$504))</f>
        <v/>
      </c>
      <c r="D332" s="23">
        <f>IF(OR(A332="",'Keşif'!$H$3=0),"",C332/'Keşif'!$H$3)</f>
        <v/>
      </c>
      <c r="E332" s="23">
        <f>IF(OR(B332="",D332=""),"",D332-B332)</f>
        <v/>
      </c>
      <c r="F332" s="24">
        <f>IF(E332="","",IF(E332&gt;PursantajTol,"Finansman yükü: maliyet ödemeden önde",IF(E332&lt;-PursantajTol,"Lehte: ödeme maliyetten önde","Uyumlu")))</f>
        <v/>
      </c>
    </row>
    <row r="333">
      <c r="A333" s="5" t="n"/>
      <c r="B333" s="22" t="n"/>
      <c r="C333" s="20">
        <f>IF(A333="","",SUMIF('Keşif'!$B$5:$B$504,A333,'Keşif'!$H$5:$H$504))</f>
        <v/>
      </c>
      <c r="D333" s="23">
        <f>IF(OR(A333="",'Keşif'!$H$3=0),"",C333/'Keşif'!$H$3)</f>
        <v/>
      </c>
      <c r="E333" s="23">
        <f>IF(OR(B333="",D333=""),"",D333-B333)</f>
        <v/>
      </c>
      <c r="F333" s="24">
        <f>IF(E333="","",IF(E333&gt;PursantajTol,"Finansman yükü: maliyet ödemeden önde",IF(E333&lt;-PursantajTol,"Lehte: ödeme maliyetten önde","Uyumlu")))</f>
        <v/>
      </c>
    </row>
    <row r="334">
      <c r="A334" s="5" t="n"/>
      <c r="B334" s="22" t="n"/>
      <c r="C334" s="20">
        <f>IF(A334="","",SUMIF('Keşif'!$B$5:$B$504,A334,'Keşif'!$H$5:$H$504))</f>
        <v/>
      </c>
      <c r="D334" s="23">
        <f>IF(OR(A334="",'Keşif'!$H$3=0),"",C334/'Keşif'!$H$3)</f>
        <v/>
      </c>
      <c r="E334" s="23">
        <f>IF(OR(B334="",D334=""),"",D334-B334)</f>
        <v/>
      </c>
      <c r="F334" s="24">
        <f>IF(E334="","",IF(E334&gt;PursantajTol,"Finansman yükü: maliyet ödemeden önde",IF(E334&lt;-PursantajTol,"Lehte: ödeme maliyetten önde","Uyumlu")))</f>
        <v/>
      </c>
    </row>
    <row r="335">
      <c r="A335" s="5" t="n"/>
      <c r="B335" s="22" t="n"/>
      <c r="C335" s="20">
        <f>IF(A335="","",SUMIF('Keşif'!$B$5:$B$504,A335,'Keşif'!$H$5:$H$504))</f>
        <v/>
      </c>
      <c r="D335" s="23">
        <f>IF(OR(A335="",'Keşif'!$H$3=0),"",C335/'Keşif'!$H$3)</f>
        <v/>
      </c>
      <c r="E335" s="23">
        <f>IF(OR(B335="",D335=""),"",D335-B335)</f>
        <v/>
      </c>
      <c r="F335" s="24">
        <f>IF(E335="","",IF(E335&gt;PursantajTol,"Finansman yükü: maliyet ödemeden önde",IF(E335&lt;-PursantajTol,"Lehte: ödeme maliyetten önde","Uyumlu")))</f>
        <v/>
      </c>
    </row>
    <row r="336">
      <c r="A336" s="5" t="n"/>
      <c r="B336" s="22" t="n"/>
      <c r="C336" s="20">
        <f>IF(A336="","",SUMIF('Keşif'!$B$5:$B$504,A336,'Keşif'!$H$5:$H$504))</f>
        <v/>
      </c>
      <c r="D336" s="23">
        <f>IF(OR(A336="",'Keşif'!$H$3=0),"",C336/'Keşif'!$H$3)</f>
        <v/>
      </c>
      <c r="E336" s="23">
        <f>IF(OR(B336="",D336=""),"",D336-B336)</f>
        <v/>
      </c>
      <c r="F336" s="24">
        <f>IF(E336="","",IF(E336&gt;PursantajTol,"Finansman yükü: maliyet ödemeden önde",IF(E336&lt;-PursantajTol,"Lehte: ödeme maliyetten önde","Uyumlu")))</f>
        <v/>
      </c>
    </row>
    <row r="337">
      <c r="A337" s="5" t="n"/>
      <c r="B337" s="22" t="n"/>
      <c r="C337" s="20">
        <f>IF(A337="","",SUMIF('Keşif'!$B$5:$B$504,A337,'Keşif'!$H$5:$H$504))</f>
        <v/>
      </c>
      <c r="D337" s="23">
        <f>IF(OR(A337="",'Keşif'!$H$3=0),"",C337/'Keşif'!$H$3)</f>
        <v/>
      </c>
      <c r="E337" s="23">
        <f>IF(OR(B337="",D337=""),"",D337-B337)</f>
        <v/>
      </c>
      <c r="F337" s="24">
        <f>IF(E337="","",IF(E337&gt;PursantajTol,"Finansman yükü: maliyet ödemeden önde",IF(E337&lt;-PursantajTol,"Lehte: ödeme maliyetten önde","Uyumlu")))</f>
        <v/>
      </c>
    </row>
    <row r="338">
      <c r="A338" s="5" t="n"/>
      <c r="B338" s="22" t="n"/>
      <c r="C338" s="20">
        <f>IF(A338="","",SUMIF('Keşif'!$B$5:$B$504,A338,'Keşif'!$H$5:$H$504))</f>
        <v/>
      </c>
      <c r="D338" s="23">
        <f>IF(OR(A338="",'Keşif'!$H$3=0),"",C338/'Keşif'!$H$3)</f>
        <v/>
      </c>
      <c r="E338" s="23">
        <f>IF(OR(B338="",D338=""),"",D338-B338)</f>
        <v/>
      </c>
      <c r="F338" s="24">
        <f>IF(E338="","",IF(E338&gt;PursantajTol,"Finansman yükü: maliyet ödemeden önde",IF(E338&lt;-PursantajTol,"Lehte: ödeme maliyetten önde","Uyumlu")))</f>
        <v/>
      </c>
    </row>
    <row r="339">
      <c r="A339" s="5" t="n"/>
      <c r="B339" s="22" t="n"/>
      <c r="C339" s="20">
        <f>IF(A339="","",SUMIF('Keşif'!$B$5:$B$504,A339,'Keşif'!$H$5:$H$504))</f>
        <v/>
      </c>
      <c r="D339" s="23">
        <f>IF(OR(A339="",'Keşif'!$H$3=0),"",C339/'Keşif'!$H$3)</f>
        <v/>
      </c>
      <c r="E339" s="23">
        <f>IF(OR(B339="",D339=""),"",D339-B339)</f>
        <v/>
      </c>
      <c r="F339" s="24">
        <f>IF(E339="","",IF(E339&gt;PursantajTol,"Finansman yükü: maliyet ödemeden önde",IF(E339&lt;-PursantajTol,"Lehte: ödeme maliyetten önde","Uyumlu")))</f>
        <v/>
      </c>
    </row>
    <row r="340">
      <c r="A340" s="5" t="n"/>
      <c r="B340" s="22" t="n"/>
      <c r="C340" s="20">
        <f>IF(A340="","",SUMIF('Keşif'!$B$5:$B$504,A340,'Keşif'!$H$5:$H$504))</f>
        <v/>
      </c>
      <c r="D340" s="23">
        <f>IF(OR(A340="",'Keşif'!$H$3=0),"",C340/'Keşif'!$H$3)</f>
        <v/>
      </c>
      <c r="E340" s="23">
        <f>IF(OR(B340="",D340=""),"",D340-B340)</f>
        <v/>
      </c>
      <c r="F340" s="24">
        <f>IF(E340="","",IF(E340&gt;PursantajTol,"Finansman yükü: maliyet ödemeden önde",IF(E340&lt;-PursantajTol,"Lehte: ödeme maliyetten önde","Uyumlu")))</f>
        <v/>
      </c>
    </row>
    <row r="341">
      <c r="A341" s="5" t="n"/>
      <c r="B341" s="22" t="n"/>
      <c r="C341" s="20">
        <f>IF(A341="","",SUMIF('Keşif'!$B$5:$B$504,A341,'Keşif'!$H$5:$H$504))</f>
        <v/>
      </c>
      <c r="D341" s="23">
        <f>IF(OR(A341="",'Keşif'!$H$3=0),"",C341/'Keşif'!$H$3)</f>
        <v/>
      </c>
      <c r="E341" s="23">
        <f>IF(OR(B341="",D341=""),"",D341-B341)</f>
        <v/>
      </c>
      <c r="F341" s="24">
        <f>IF(E341="","",IF(E341&gt;PursantajTol,"Finansman yükü: maliyet ödemeden önde",IF(E341&lt;-PursantajTol,"Lehte: ödeme maliyetten önde","Uyumlu")))</f>
        <v/>
      </c>
    </row>
    <row r="342">
      <c r="A342" s="5" t="n"/>
      <c r="B342" s="22" t="n"/>
      <c r="C342" s="20">
        <f>IF(A342="","",SUMIF('Keşif'!$B$5:$B$504,A342,'Keşif'!$H$5:$H$504))</f>
        <v/>
      </c>
      <c r="D342" s="23">
        <f>IF(OR(A342="",'Keşif'!$H$3=0),"",C342/'Keşif'!$H$3)</f>
        <v/>
      </c>
      <c r="E342" s="23">
        <f>IF(OR(B342="",D342=""),"",D342-B342)</f>
        <v/>
      </c>
      <c r="F342" s="24">
        <f>IF(E342="","",IF(E342&gt;PursantajTol,"Finansman yükü: maliyet ödemeden önde",IF(E342&lt;-PursantajTol,"Lehte: ödeme maliyetten önde","Uyumlu")))</f>
        <v/>
      </c>
    </row>
    <row r="343">
      <c r="A343" s="5" t="n"/>
      <c r="B343" s="22" t="n"/>
      <c r="C343" s="20">
        <f>IF(A343="","",SUMIF('Keşif'!$B$5:$B$504,A343,'Keşif'!$H$5:$H$504))</f>
        <v/>
      </c>
      <c r="D343" s="23">
        <f>IF(OR(A343="",'Keşif'!$H$3=0),"",C343/'Keşif'!$H$3)</f>
        <v/>
      </c>
      <c r="E343" s="23">
        <f>IF(OR(B343="",D343=""),"",D343-B343)</f>
        <v/>
      </c>
      <c r="F343" s="24">
        <f>IF(E343="","",IF(E343&gt;PursantajTol,"Finansman yükü: maliyet ödemeden önde",IF(E343&lt;-PursantajTol,"Lehte: ödeme maliyetten önde","Uyumlu")))</f>
        <v/>
      </c>
    </row>
    <row r="344">
      <c r="A344" s="5" t="n"/>
      <c r="B344" s="22" t="n"/>
      <c r="C344" s="20">
        <f>IF(A344="","",SUMIF('Keşif'!$B$5:$B$504,A344,'Keşif'!$H$5:$H$504))</f>
        <v/>
      </c>
      <c r="D344" s="23">
        <f>IF(OR(A344="",'Keşif'!$H$3=0),"",C344/'Keşif'!$H$3)</f>
        <v/>
      </c>
      <c r="E344" s="23">
        <f>IF(OR(B344="",D344=""),"",D344-B344)</f>
        <v/>
      </c>
      <c r="F344" s="24">
        <f>IF(E344="","",IF(E344&gt;PursantajTol,"Finansman yükü: maliyet ödemeden önde",IF(E344&lt;-PursantajTol,"Lehte: ödeme maliyetten önde","Uyumlu")))</f>
        <v/>
      </c>
    </row>
    <row r="345">
      <c r="A345" s="5" t="n"/>
      <c r="B345" s="22" t="n"/>
      <c r="C345" s="20">
        <f>IF(A345="","",SUMIF('Keşif'!$B$5:$B$504,A345,'Keşif'!$H$5:$H$504))</f>
        <v/>
      </c>
      <c r="D345" s="23">
        <f>IF(OR(A345="",'Keşif'!$H$3=0),"",C345/'Keşif'!$H$3)</f>
        <v/>
      </c>
      <c r="E345" s="23">
        <f>IF(OR(B345="",D345=""),"",D345-B345)</f>
        <v/>
      </c>
      <c r="F345" s="24">
        <f>IF(E345="","",IF(E345&gt;PursantajTol,"Finansman yükü: maliyet ödemeden önde",IF(E345&lt;-PursantajTol,"Lehte: ödeme maliyetten önde","Uyumlu")))</f>
        <v/>
      </c>
    </row>
    <row r="346">
      <c r="A346" s="5" t="n"/>
      <c r="B346" s="22" t="n"/>
      <c r="C346" s="20">
        <f>IF(A346="","",SUMIF('Keşif'!$B$5:$B$504,A346,'Keşif'!$H$5:$H$504))</f>
        <v/>
      </c>
      <c r="D346" s="23">
        <f>IF(OR(A346="",'Keşif'!$H$3=0),"",C346/'Keşif'!$H$3)</f>
        <v/>
      </c>
      <c r="E346" s="23">
        <f>IF(OR(B346="",D346=""),"",D346-B346)</f>
        <v/>
      </c>
      <c r="F346" s="24">
        <f>IF(E346="","",IF(E346&gt;PursantajTol,"Finansman yükü: maliyet ödemeden önde",IF(E346&lt;-PursantajTol,"Lehte: ödeme maliyetten önde","Uyumlu")))</f>
        <v/>
      </c>
    </row>
    <row r="347">
      <c r="A347" s="5" t="n"/>
      <c r="B347" s="22" t="n"/>
      <c r="C347" s="20">
        <f>IF(A347="","",SUMIF('Keşif'!$B$5:$B$504,A347,'Keşif'!$H$5:$H$504))</f>
        <v/>
      </c>
      <c r="D347" s="23">
        <f>IF(OR(A347="",'Keşif'!$H$3=0),"",C347/'Keşif'!$H$3)</f>
        <v/>
      </c>
      <c r="E347" s="23">
        <f>IF(OR(B347="",D347=""),"",D347-B347)</f>
        <v/>
      </c>
      <c r="F347" s="24">
        <f>IF(E347="","",IF(E347&gt;PursantajTol,"Finansman yükü: maliyet ödemeden önde",IF(E347&lt;-PursantajTol,"Lehte: ödeme maliyetten önde","Uyumlu")))</f>
        <v/>
      </c>
    </row>
    <row r="348">
      <c r="A348" s="5" t="n"/>
      <c r="B348" s="22" t="n"/>
      <c r="C348" s="20">
        <f>IF(A348="","",SUMIF('Keşif'!$B$5:$B$504,A348,'Keşif'!$H$5:$H$504))</f>
        <v/>
      </c>
      <c r="D348" s="23">
        <f>IF(OR(A348="",'Keşif'!$H$3=0),"",C348/'Keşif'!$H$3)</f>
        <v/>
      </c>
      <c r="E348" s="23">
        <f>IF(OR(B348="",D348=""),"",D348-B348)</f>
        <v/>
      </c>
      <c r="F348" s="24">
        <f>IF(E348="","",IF(E348&gt;PursantajTol,"Finansman yükü: maliyet ödemeden önde",IF(E348&lt;-PursantajTol,"Lehte: ödeme maliyetten önde","Uyumlu")))</f>
        <v/>
      </c>
    </row>
    <row r="349">
      <c r="A349" s="5" t="n"/>
      <c r="B349" s="22" t="n"/>
      <c r="C349" s="20">
        <f>IF(A349="","",SUMIF('Keşif'!$B$5:$B$504,A349,'Keşif'!$H$5:$H$504))</f>
        <v/>
      </c>
      <c r="D349" s="23">
        <f>IF(OR(A349="",'Keşif'!$H$3=0),"",C349/'Keşif'!$H$3)</f>
        <v/>
      </c>
      <c r="E349" s="23">
        <f>IF(OR(B349="",D349=""),"",D349-B349)</f>
        <v/>
      </c>
      <c r="F349" s="24">
        <f>IF(E349="","",IF(E349&gt;PursantajTol,"Finansman yükü: maliyet ödemeden önde",IF(E349&lt;-PursantajTol,"Lehte: ödeme maliyetten önde","Uyumlu")))</f>
        <v/>
      </c>
    </row>
    <row r="350">
      <c r="A350" s="5" t="n"/>
      <c r="B350" s="22" t="n"/>
      <c r="C350" s="20">
        <f>IF(A350="","",SUMIF('Keşif'!$B$5:$B$504,A350,'Keşif'!$H$5:$H$504))</f>
        <v/>
      </c>
      <c r="D350" s="23">
        <f>IF(OR(A350="",'Keşif'!$H$3=0),"",C350/'Keşif'!$H$3)</f>
        <v/>
      </c>
      <c r="E350" s="23">
        <f>IF(OR(B350="",D350=""),"",D350-B350)</f>
        <v/>
      </c>
      <c r="F350" s="24">
        <f>IF(E350="","",IF(E350&gt;PursantajTol,"Finansman yükü: maliyet ödemeden önde",IF(E350&lt;-PursantajTol,"Lehte: ödeme maliyetten önde","Uyumlu")))</f>
        <v/>
      </c>
    </row>
    <row r="351">
      <c r="A351" s="5" t="n"/>
      <c r="B351" s="22" t="n"/>
      <c r="C351" s="20">
        <f>IF(A351="","",SUMIF('Keşif'!$B$5:$B$504,A351,'Keşif'!$H$5:$H$504))</f>
        <v/>
      </c>
      <c r="D351" s="23">
        <f>IF(OR(A351="",'Keşif'!$H$3=0),"",C351/'Keşif'!$H$3)</f>
        <v/>
      </c>
      <c r="E351" s="23">
        <f>IF(OR(B351="",D351=""),"",D351-B351)</f>
        <v/>
      </c>
      <c r="F351" s="24">
        <f>IF(E351="","",IF(E351&gt;PursantajTol,"Finansman yükü: maliyet ödemeden önde",IF(E351&lt;-PursantajTol,"Lehte: ödeme maliyetten önde","Uyumlu")))</f>
        <v/>
      </c>
    </row>
    <row r="352">
      <c r="A352" s="5" t="n"/>
      <c r="B352" s="22" t="n"/>
      <c r="C352" s="20">
        <f>IF(A352="","",SUMIF('Keşif'!$B$5:$B$504,A352,'Keşif'!$H$5:$H$504))</f>
        <v/>
      </c>
      <c r="D352" s="23">
        <f>IF(OR(A352="",'Keşif'!$H$3=0),"",C352/'Keşif'!$H$3)</f>
        <v/>
      </c>
      <c r="E352" s="23">
        <f>IF(OR(B352="",D352=""),"",D352-B352)</f>
        <v/>
      </c>
      <c r="F352" s="24">
        <f>IF(E352="","",IF(E352&gt;PursantajTol,"Finansman yükü: maliyet ödemeden önde",IF(E352&lt;-PursantajTol,"Lehte: ödeme maliyetten önde","Uyumlu")))</f>
        <v/>
      </c>
    </row>
    <row r="353">
      <c r="A353" s="5" t="n"/>
      <c r="B353" s="22" t="n"/>
      <c r="C353" s="20">
        <f>IF(A353="","",SUMIF('Keşif'!$B$5:$B$504,A353,'Keşif'!$H$5:$H$504))</f>
        <v/>
      </c>
      <c r="D353" s="23">
        <f>IF(OR(A353="",'Keşif'!$H$3=0),"",C353/'Keşif'!$H$3)</f>
        <v/>
      </c>
      <c r="E353" s="23">
        <f>IF(OR(B353="",D353=""),"",D353-B353)</f>
        <v/>
      </c>
      <c r="F353" s="24">
        <f>IF(E353="","",IF(E353&gt;PursantajTol,"Finansman yükü: maliyet ödemeden önde",IF(E353&lt;-PursantajTol,"Lehte: ödeme maliyetten önde","Uyumlu")))</f>
        <v/>
      </c>
    </row>
    <row r="354">
      <c r="A354" s="5" t="n"/>
      <c r="B354" s="22" t="n"/>
      <c r="C354" s="20">
        <f>IF(A354="","",SUMIF('Keşif'!$B$5:$B$504,A354,'Keşif'!$H$5:$H$504))</f>
        <v/>
      </c>
      <c r="D354" s="23">
        <f>IF(OR(A354="",'Keşif'!$H$3=0),"",C354/'Keşif'!$H$3)</f>
        <v/>
      </c>
      <c r="E354" s="23">
        <f>IF(OR(B354="",D354=""),"",D354-B354)</f>
        <v/>
      </c>
      <c r="F354" s="24">
        <f>IF(E354="","",IF(E354&gt;PursantajTol,"Finansman yükü: maliyet ödemeden önde",IF(E354&lt;-PursantajTol,"Lehte: ödeme maliyetten önde","Uyumlu")))</f>
        <v/>
      </c>
    </row>
    <row r="355">
      <c r="A355" s="5" t="n"/>
      <c r="B355" s="22" t="n"/>
      <c r="C355" s="20">
        <f>IF(A355="","",SUMIF('Keşif'!$B$5:$B$504,A355,'Keşif'!$H$5:$H$504))</f>
        <v/>
      </c>
      <c r="D355" s="23">
        <f>IF(OR(A355="",'Keşif'!$H$3=0),"",C355/'Keşif'!$H$3)</f>
        <v/>
      </c>
      <c r="E355" s="23">
        <f>IF(OR(B355="",D355=""),"",D355-B355)</f>
        <v/>
      </c>
      <c r="F355" s="24">
        <f>IF(E355="","",IF(E355&gt;PursantajTol,"Finansman yükü: maliyet ödemeden önde",IF(E355&lt;-PursantajTol,"Lehte: ödeme maliyetten önde","Uyumlu")))</f>
        <v/>
      </c>
    </row>
    <row r="356">
      <c r="A356" s="5" t="n"/>
      <c r="B356" s="22" t="n"/>
      <c r="C356" s="20">
        <f>IF(A356="","",SUMIF('Keşif'!$B$5:$B$504,A356,'Keşif'!$H$5:$H$504))</f>
        <v/>
      </c>
      <c r="D356" s="23">
        <f>IF(OR(A356="",'Keşif'!$H$3=0),"",C356/'Keşif'!$H$3)</f>
        <v/>
      </c>
      <c r="E356" s="23">
        <f>IF(OR(B356="",D356=""),"",D356-B356)</f>
        <v/>
      </c>
      <c r="F356" s="24">
        <f>IF(E356="","",IF(E356&gt;PursantajTol,"Finansman yükü: maliyet ödemeden önde",IF(E356&lt;-PursantajTol,"Lehte: ödeme maliyetten önde","Uyumlu")))</f>
        <v/>
      </c>
    </row>
    <row r="357">
      <c r="A357" s="5" t="n"/>
      <c r="B357" s="22" t="n"/>
      <c r="C357" s="20">
        <f>IF(A357="","",SUMIF('Keşif'!$B$5:$B$504,A357,'Keşif'!$H$5:$H$504))</f>
        <v/>
      </c>
      <c r="D357" s="23">
        <f>IF(OR(A357="",'Keşif'!$H$3=0),"",C357/'Keşif'!$H$3)</f>
        <v/>
      </c>
      <c r="E357" s="23">
        <f>IF(OR(B357="",D357=""),"",D357-B357)</f>
        <v/>
      </c>
      <c r="F357" s="24">
        <f>IF(E357="","",IF(E357&gt;PursantajTol,"Finansman yükü: maliyet ödemeden önde",IF(E357&lt;-PursantajTol,"Lehte: ödeme maliyetten önde","Uyumlu")))</f>
        <v/>
      </c>
    </row>
    <row r="358">
      <c r="A358" s="5" t="n"/>
      <c r="B358" s="22" t="n"/>
      <c r="C358" s="20">
        <f>IF(A358="","",SUMIF('Keşif'!$B$5:$B$504,A358,'Keşif'!$H$5:$H$504))</f>
        <v/>
      </c>
      <c r="D358" s="23">
        <f>IF(OR(A358="",'Keşif'!$H$3=0),"",C358/'Keşif'!$H$3)</f>
        <v/>
      </c>
      <c r="E358" s="23">
        <f>IF(OR(B358="",D358=""),"",D358-B358)</f>
        <v/>
      </c>
      <c r="F358" s="24">
        <f>IF(E358="","",IF(E358&gt;PursantajTol,"Finansman yükü: maliyet ödemeden önde",IF(E358&lt;-PursantajTol,"Lehte: ödeme maliyetten önde","Uyumlu")))</f>
        <v/>
      </c>
    </row>
    <row r="359">
      <c r="A359" s="5" t="n"/>
      <c r="B359" s="22" t="n"/>
      <c r="C359" s="20">
        <f>IF(A359="","",SUMIF('Keşif'!$B$5:$B$504,A359,'Keşif'!$H$5:$H$504))</f>
        <v/>
      </c>
      <c r="D359" s="23">
        <f>IF(OR(A359="",'Keşif'!$H$3=0),"",C359/'Keşif'!$H$3)</f>
        <v/>
      </c>
      <c r="E359" s="23">
        <f>IF(OR(B359="",D359=""),"",D359-B359)</f>
        <v/>
      </c>
      <c r="F359" s="24">
        <f>IF(E359="","",IF(E359&gt;PursantajTol,"Finansman yükü: maliyet ödemeden önde",IF(E359&lt;-PursantajTol,"Lehte: ödeme maliyetten önde","Uyumlu")))</f>
        <v/>
      </c>
    </row>
    <row r="360">
      <c r="A360" s="5" t="n"/>
      <c r="B360" s="22" t="n"/>
      <c r="C360" s="20">
        <f>IF(A360="","",SUMIF('Keşif'!$B$5:$B$504,A360,'Keşif'!$H$5:$H$504))</f>
        <v/>
      </c>
      <c r="D360" s="23">
        <f>IF(OR(A360="",'Keşif'!$H$3=0),"",C360/'Keşif'!$H$3)</f>
        <v/>
      </c>
      <c r="E360" s="23">
        <f>IF(OR(B360="",D360=""),"",D360-B360)</f>
        <v/>
      </c>
      <c r="F360" s="24">
        <f>IF(E360="","",IF(E360&gt;PursantajTol,"Finansman yükü: maliyet ödemeden önde",IF(E360&lt;-PursantajTol,"Lehte: ödeme maliyetten önde","Uyumlu")))</f>
        <v/>
      </c>
    </row>
    <row r="361">
      <c r="A361" s="5" t="n"/>
      <c r="B361" s="22" t="n"/>
      <c r="C361" s="20">
        <f>IF(A361="","",SUMIF('Keşif'!$B$5:$B$504,A361,'Keşif'!$H$5:$H$504))</f>
        <v/>
      </c>
      <c r="D361" s="23">
        <f>IF(OR(A361="",'Keşif'!$H$3=0),"",C361/'Keşif'!$H$3)</f>
        <v/>
      </c>
      <c r="E361" s="23">
        <f>IF(OR(B361="",D361=""),"",D361-B361)</f>
        <v/>
      </c>
      <c r="F361" s="24">
        <f>IF(E361="","",IF(E361&gt;PursantajTol,"Finansman yükü: maliyet ödemeden önde",IF(E361&lt;-PursantajTol,"Lehte: ödeme maliyetten önde","Uyumlu")))</f>
        <v/>
      </c>
    </row>
    <row r="362">
      <c r="A362" s="5" t="n"/>
      <c r="B362" s="22" t="n"/>
      <c r="C362" s="20">
        <f>IF(A362="","",SUMIF('Keşif'!$B$5:$B$504,A362,'Keşif'!$H$5:$H$504))</f>
        <v/>
      </c>
      <c r="D362" s="23">
        <f>IF(OR(A362="",'Keşif'!$H$3=0),"",C362/'Keşif'!$H$3)</f>
        <v/>
      </c>
      <c r="E362" s="23">
        <f>IF(OR(B362="",D362=""),"",D362-B362)</f>
        <v/>
      </c>
      <c r="F362" s="24">
        <f>IF(E362="","",IF(E362&gt;PursantajTol,"Finansman yükü: maliyet ödemeden önde",IF(E362&lt;-PursantajTol,"Lehte: ödeme maliyetten önde","Uyumlu")))</f>
        <v/>
      </c>
    </row>
    <row r="363">
      <c r="A363" s="5" t="n"/>
      <c r="B363" s="22" t="n"/>
      <c r="C363" s="20">
        <f>IF(A363="","",SUMIF('Keşif'!$B$5:$B$504,A363,'Keşif'!$H$5:$H$504))</f>
        <v/>
      </c>
      <c r="D363" s="23">
        <f>IF(OR(A363="",'Keşif'!$H$3=0),"",C363/'Keşif'!$H$3)</f>
        <v/>
      </c>
      <c r="E363" s="23">
        <f>IF(OR(B363="",D363=""),"",D363-B363)</f>
        <v/>
      </c>
      <c r="F363" s="24">
        <f>IF(E363="","",IF(E363&gt;PursantajTol,"Finansman yükü: maliyet ödemeden önde",IF(E363&lt;-PursantajTol,"Lehte: ödeme maliyetten önde","Uyumlu")))</f>
        <v/>
      </c>
    </row>
    <row r="364">
      <c r="A364" s="5" t="n"/>
      <c r="B364" s="22" t="n"/>
      <c r="C364" s="20">
        <f>IF(A364="","",SUMIF('Keşif'!$B$5:$B$504,A364,'Keşif'!$H$5:$H$504))</f>
        <v/>
      </c>
      <c r="D364" s="23">
        <f>IF(OR(A364="",'Keşif'!$H$3=0),"",C364/'Keşif'!$H$3)</f>
        <v/>
      </c>
      <c r="E364" s="23">
        <f>IF(OR(B364="",D364=""),"",D364-B364)</f>
        <v/>
      </c>
      <c r="F364" s="24">
        <f>IF(E364="","",IF(E364&gt;PursantajTol,"Finansman yükü: maliyet ödemeden önde",IF(E364&lt;-PursantajTol,"Lehte: ödeme maliyetten önde","Uyumlu")))</f>
        <v/>
      </c>
    </row>
    <row r="365">
      <c r="A365" s="5" t="n"/>
      <c r="B365" s="22" t="n"/>
      <c r="C365" s="20">
        <f>IF(A365="","",SUMIF('Keşif'!$B$5:$B$504,A365,'Keşif'!$H$5:$H$504))</f>
        <v/>
      </c>
      <c r="D365" s="23">
        <f>IF(OR(A365="",'Keşif'!$H$3=0),"",C365/'Keşif'!$H$3)</f>
        <v/>
      </c>
      <c r="E365" s="23">
        <f>IF(OR(B365="",D365=""),"",D365-B365)</f>
        <v/>
      </c>
      <c r="F365" s="24">
        <f>IF(E365="","",IF(E365&gt;PursantajTol,"Finansman yükü: maliyet ödemeden önde",IF(E365&lt;-PursantajTol,"Lehte: ödeme maliyetten önde","Uyumlu")))</f>
        <v/>
      </c>
    </row>
    <row r="366">
      <c r="A366" s="5" t="n"/>
      <c r="B366" s="22" t="n"/>
      <c r="C366" s="20">
        <f>IF(A366="","",SUMIF('Keşif'!$B$5:$B$504,A366,'Keşif'!$H$5:$H$504))</f>
        <v/>
      </c>
      <c r="D366" s="23">
        <f>IF(OR(A366="",'Keşif'!$H$3=0),"",C366/'Keşif'!$H$3)</f>
        <v/>
      </c>
      <c r="E366" s="23">
        <f>IF(OR(B366="",D366=""),"",D366-B366)</f>
        <v/>
      </c>
      <c r="F366" s="24">
        <f>IF(E366="","",IF(E366&gt;PursantajTol,"Finansman yükü: maliyet ödemeden önde",IF(E366&lt;-PursantajTol,"Lehte: ödeme maliyetten önde","Uyumlu")))</f>
        <v/>
      </c>
    </row>
    <row r="367">
      <c r="A367" s="5" t="n"/>
      <c r="B367" s="22" t="n"/>
      <c r="C367" s="20">
        <f>IF(A367="","",SUMIF('Keşif'!$B$5:$B$504,A367,'Keşif'!$H$5:$H$504))</f>
        <v/>
      </c>
      <c r="D367" s="23">
        <f>IF(OR(A367="",'Keşif'!$H$3=0),"",C367/'Keşif'!$H$3)</f>
        <v/>
      </c>
      <c r="E367" s="23">
        <f>IF(OR(B367="",D367=""),"",D367-B367)</f>
        <v/>
      </c>
      <c r="F367" s="24">
        <f>IF(E367="","",IF(E367&gt;PursantajTol,"Finansman yükü: maliyet ödemeden önde",IF(E367&lt;-PursantajTol,"Lehte: ödeme maliyetten önde","Uyumlu")))</f>
        <v/>
      </c>
    </row>
    <row r="368">
      <c r="A368" s="5" t="n"/>
      <c r="B368" s="22" t="n"/>
      <c r="C368" s="20">
        <f>IF(A368="","",SUMIF('Keşif'!$B$5:$B$504,A368,'Keşif'!$H$5:$H$504))</f>
        <v/>
      </c>
      <c r="D368" s="23">
        <f>IF(OR(A368="",'Keşif'!$H$3=0),"",C368/'Keşif'!$H$3)</f>
        <v/>
      </c>
      <c r="E368" s="23">
        <f>IF(OR(B368="",D368=""),"",D368-B368)</f>
        <v/>
      </c>
      <c r="F368" s="24">
        <f>IF(E368="","",IF(E368&gt;PursantajTol,"Finansman yükü: maliyet ödemeden önde",IF(E368&lt;-PursantajTol,"Lehte: ödeme maliyetten önde","Uyumlu")))</f>
        <v/>
      </c>
    </row>
    <row r="369">
      <c r="A369" s="5" t="n"/>
      <c r="B369" s="22" t="n"/>
      <c r="C369" s="20">
        <f>IF(A369="","",SUMIF('Keşif'!$B$5:$B$504,A369,'Keşif'!$H$5:$H$504))</f>
        <v/>
      </c>
      <c r="D369" s="23">
        <f>IF(OR(A369="",'Keşif'!$H$3=0),"",C369/'Keşif'!$H$3)</f>
        <v/>
      </c>
      <c r="E369" s="23">
        <f>IF(OR(B369="",D369=""),"",D369-B369)</f>
        <v/>
      </c>
      <c r="F369" s="24">
        <f>IF(E369="","",IF(E369&gt;PursantajTol,"Finansman yükü: maliyet ödemeden önde",IF(E369&lt;-PursantajTol,"Lehte: ödeme maliyetten önde","Uyumlu")))</f>
        <v/>
      </c>
    </row>
    <row r="370">
      <c r="A370" s="5" t="n"/>
      <c r="B370" s="22" t="n"/>
      <c r="C370" s="20">
        <f>IF(A370="","",SUMIF('Keşif'!$B$5:$B$504,A370,'Keşif'!$H$5:$H$504))</f>
        <v/>
      </c>
      <c r="D370" s="23">
        <f>IF(OR(A370="",'Keşif'!$H$3=0),"",C370/'Keşif'!$H$3)</f>
        <v/>
      </c>
      <c r="E370" s="23">
        <f>IF(OR(B370="",D370=""),"",D370-B370)</f>
        <v/>
      </c>
      <c r="F370" s="24">
        <f>IF(E370="","",IF(E370&gt;PursantajTol,"Finansman yükü: maliyet ödemeden önde",IF(E370&lt;-PursantajTol,"Lehte: ödeme maliyetten önde","Uyumlu")))</f>
        <v/>
      </c>
    </row>
    <row r="371">
      <c r="A371" s="5" t="n"/>
      <c r="B371" s="22" t="n"/>
      <c r="C371" s="20">
        <f>IF(A371="","",SUMIF('Keşif'!$B$5:$B$504,A371,'Keşif'!$H$5:$H$504))</f>
        <v/>
      </c>
      <c r="D371" s="23">
        <f>IF(OR(A371="",'Keşif'!$H$3=0),"",C371/'Keşif'!$H$3)</f>
        <v/>
      </c>
      <c r="E371" s="23">
        <f>IF(OR(B371="",D371=""),"",D371-B371)</f>
        <v/>
      </c>
      <c r="F371" s="24">
        <f>IF(E371="","",IF(E371&gt;PursantajTol,"Finansman yükü: maliyet ödemeden önde",IF(E371&lt;-PursantajTol,"Lehte: ödeme maliyetten önde","Uyumlu")))</f>
        <v/>
      </c>
    </row>
    <row r="372">
      <c r="A372" s="5" t="n"/>
      <c r="B372" s="22" t="n"/>
      <c r="C372" s="20">
        <f>IF(A372="","",SUMIF('Keşif'!$B$5:$B$504,A372,'Keşif'!$H$5:$H$504))</f>
        <v/>
      </c>
      <c r="D372" s="23">
        <f>IF(OR(A372="",'Keşif'!$H$3=0),"",C372/'Keşif'!$H$3)</f>
        <v/>
      </c>
      <c r="E372" s="23">
        <f>IF(OR(B372="",D372=""),"",D372-B372)</f>
        <v/>
      </c>
      <c r="F372" s="24">
        <f>IF(E372="","",IF(E372&gt;PursantajTol,"Finansman yükü: maliyet ödemeden önde",IF(E372&lt;-PursantajTol,"Lehte: ödeme maliyetten önde","Uyumlu")))</f>
        <v/>
      </c>
    </row>
    <row r="373">
      <c r="A373" s="5" t="n"/>
      <c r="B373" s="22" t="n"/>
      <c r="C373" s="20">
        <f>IF(A373="","",SUMIF('Keşif'!$B$5:$B$504,A373,'Keşif'!$H$5:$H$504))</f>
        <v/>
      </c>
      <c r="D373" s="23">
        <f>IF(OR(A373="",'Keşif'!$H$3=0),"",C373/'Keşif'!$H$3)</f>
        <v/>
      </c>
      <c r="E373" s="23">
        <f>IF(OR(B373="",D373=""),"",D373-B373)</f>
        <v/>
      </c>
      <c r="F373" s="24">
        <f>IF(E373="","",IF(E373&gt;PursantajTol,"Finansman yükü: maliyet ödemeden önde",IF(E373&lt;-PursantajTol,"Lehte: ödeme maliyetten önde","Uyumlu")))</f>
        <v/>
      </c>
    </row>
    <row r="374">
      <c r="A374" s="5" t="n"/>
      <c r="B374" s="22" t="n"/>
      <c r="C374" s="20">
        <f>IF(A374="","",SUMIF('Keşif'!$B$5:$B$504,A374,'Keşif'!$H$5:$H$504))</f>
        <v/>
      </c>
      <c r="D374" s="23">
        <f>IF(OR(A374="",'Keşif'!$H$3=0),"",C374/'Keşif'!$H$3)</f>
        <v/>
      </c>
      <c r="E374" s="23">
        <f>IF(OR(B374="",D374=""),"",D374-B374)</f>
        <v/>
      </c>
      <c r="F374" s="24">
        <f>IF(E374="","",IF(E374&gt;PursantajTol,"Finansman yükü: maliyet ödemeden önde",IF(E374&lt;-PursantajTol,"Lehte: ödeme maliyetten önde","Uyumlu")))</f>
        <v/>
      </c>
    </row>
    <row r="375">
      <c r="A375" s="5" t="n"/>
      <c r="B375" s="22" t="n"/>
      <c r="C375" s="20">
        <f>IF(A375="","",SUMIF('Keşif'!$B$5:$B$504,A375,'Keşif'!$H$5:$H$504))</f>
        <v/>
      </c>
      <c r="D375" s="23">
        <f>IF(OR(A375="",'Keşif'!$H$3=0),"",C375/'Keşif'!$H$3)</f>
        <v/>
      </c>
      <c r="E375" s="23">
        <f>IF(OR(B375="",D375=""),"",D375-B375)</f>
        <v/>
      </c>
      <c r="F375" s="24">
        <f>IF(E375="","",IF(E375&gt;PursantajTol,"Finansman yükü: maliyet ödemeden önde",IF(E375&lt;-PursantajTol,"Lehte: ödeme maliyetten önde","Uyumlu")))</f>
        <v/>
      </c>
    </row>
    <row r="376">
      <c r="A376" s="5" t="n"/>
      <c r="B376" s="22" t="n"/>
      <c r="C376" s="20">
        <f>IF(A376="","",SUMIF('Keşif'!$B$5:$B$504,A376,'Keşif'!$H$5:$H$504))</f>
        <v/>
      </c>
      <c r="D376" s="23">
        <f>IF(OR(A376="",'Keşif'!$H$3=0),"",C376/'Keşif'!$H$3)</f>
        <v/>
      </c>
      <c r="E376" s="23">
        <f>IF(OR(B376="",D376=""),"",D376-B376)</f>
        <v/>
      </c>
      <c r="F376" s="24">
        <f>IF(E376="","",IF(E376&gt;PursantajTol,"Finansman yükü: maliyet ödemeden önde",IF(E376&lt;-PursantajTol,"Lehte: ödeme maliyetten önde","Uyumlu")))</f>
        <v/>
      </c>
    </row>
    <row r="377">
      <c r="A377" s="5" t="n"/>
      <c r="B377" s="22" t="n"/>
      <c r="C377" s="20">
        <f>IF(A377="","",SUMIF('Keşif'!$B$5:$B$504,A377,'Keşif'!$H$5:$H$504))</f>
        <v/>
      </c>
      <c r="D377" s="23">
        <f>IF(OR(A377="",'Keşif'!$H$3=0),"",C377/'Keşif'!$H$3)</f>
        <v/>
      </c>
      <c r="E377" s="23">
        <f>IF(OR(B377="",D377=""),"",D377-B377)</f>
        <v/>
      </c>
      <c r="F377" s="24">
        <f>IF(E377="","",IF(E377&gt;PursantajTol,"Finansman yükü: maliyet ödemeden önde",IF(E377&lt;-PursantajTol,"Lehte: ödeme maliyetten önde","Uyumlu")))</f>
        <v/>
      </c>
    </row>
    <row r="378">
      <c r="A378" s="5" t="n"/>
      <c r="B378" s="22" t="n"/>
      <c r="C378" s="20">
        <f>IF(A378="","",SUMIF('Keşif'!$B$5:$B$504,A378,'Keşif'!$H$5:$H$504))</f>
        <v/>
      </c>
      <c r="D378" s="23">
        <f>IF(OR(A378="",'Keşif'!$H$3=0),"",C378/'Keşif'!$H$3)</f>
        <v/>
      </c>
      <c r="E378" s="23">
        <f>IF(OR(B378="",D378=""),"",D378-B378)</f>
        <v/>
      </c>
      <c r="F378" s="24">
        <f>IF(E378="","",IF(E378&gt;PursantajTol,"Finansman yükü: maliyet ödemeden önde",IF(E378&lt;-PursantajTol,"Lehte: ödeme maliyetten önde","Uyumlu")))</f>
        <v/>
      </c>
    </row>
    <row r="379">
      <c r="A379" s="5" t="n"/>
      <c r="B379" s="22" t="n"/>
      <c r="C379" s="20">
        <f>IF(A379="","",SUMIF('Keşif'!$B$5:$B$504,A379,'Keşif'!$H$5:$H$504))</f>
        <v/>
      </c>
      <c r="D379" s="23">
        <f>IF(OR(A379="",'Keşif'!$H$3=0),"",C379/'Keşif'!$H$3)</f>
        <v/>
      </c>
      <c r="E379" s="23">
        <f>IF(OR(B379="",D379=""),"",D379-B379)</f>
        <v/>
      </c>
      <c r="F379" s="24">
        <f>IF(E379="","",IF(E379&gt;PursantajTol,"Finansman yükü: maliyet ödemeden önde",IF(E379&lt;-PursantajTol,"Lehte: ödeme maliyetten önde","Uyumlu")))</f>
        <v/>
      </c>
    </row>
    <row r="380">
      <c r="A380" s="5" t="n"/>
      <c r="B380" s="22" t="n"/>
      <c r="C380" s="20">
        <f>IF(A380="","",SUMIF('Keşif'!$B$5:$B$504,A380,'Keşif'!$H$5:$H$504))</f>
        <v/>
      </c>
      <c r="D380" s="23">
        <f>IF(OR(A380="",'Keşif'!$H$3=0),"",C380/'Keşif'!$H$3)</f>
        <v/>
      </c>
      <c r="E380" s="23">
        <f>IF(OR(B380="",D380=""),"",D380-B380)</f>
        <v/>
      </c>
      <c r="F380" s="24">
        <f>IF(E380="","",IF(E380&gt;PursantajTol,"Finansman yükü: maliyet ödemeden önde",IF(E380&lt;-PursantajTol,"Lehte: ödeme maliyetten önde","Uyumlu")))</f>
        <v/>
      </c>
    </row>
    <row r="381">
      <c r="A381" s="5" t="n"/>
      <c r="B381" s="22" t="n"/>
      <c r="C381" s="20">
        <f>IF(A381="","",SUMIF('Keşif'!$B$5:$B$504,A381,'Keşif'!$H$5:$H$504))</f>
        <v/>
      </c>
      <c r="D381" s="23">
        <f>IF(OR(A381="",'Keşif'!$H$3=0),"",C381/'Keşif'!$H$3)</f>
        <v/>
      </c>
      <c r="E381" s="23">
        <f>IF(OR(B381="",D381=""),"",D381-B381)</f>
        <v/>
      </c>
      <c r="F381" s="24">
        <f>IF(E381="","",IF(E381&gt;PursantajTol,"Finansman yükü: maliyet ödemeden önde",IF(E381&lt;-PursantajTol,"Lehte: ödeme maliyetten önde","Uyumlu")))</f>
        <v/>
      </c>
    </row>
    <row r="382">
      <c r="A382" s="5" t="n"/>
      <c r="B382" s="22" t="n"/>
      <c r="C382" s="20">
        <f>IF(A382="","",SUMIF('Keşif'!$B$5:$B$504,A382,'Keşif'!$H$5:$H$504))</f>
        <v/>
      </c>
      <c r="D382" s="23">
        <f>IF(OR(A382="",'Keşif'!$H$3=0),"",C382/'Keşif'!$H$3)</f>
        <v/>
      </c>
      <c r="E382" s="23">
        <f>IF(OR(B382="",D382=""),"",D382-B382)</f>
        <v/>
      </c>
      <c r="F382" s="24">
        <f>IF(E382="","",IF(E382&gt;PursantajTol,"Finansman yükü: maliyet ödemeden önde",IF(E382&lt;-PursantajTol,"Lehte: ödeme maliyetten önde","Uyumlu")))</f>
        <v/>
      </c>
    </row>
    <row r="383">
      <c r="A383" s="5" t="n"/>
      <c r="B383" s="22" t="n"/>
      <c r="C383" s="20">
        <f>IF(A383="","",SUMIF('Keşif'!$B$5:$B$504,A383,'Keşif'!$H$5:$H$504))</f>
        <v/>
      </c>
      <c r="D383" s="23">
        <f>IF(OR(A383="",'Keşif'!$H$3=0),"",C383/'Keşif'!$H$3)</f>
        <v/>
      </c>
      <c r="E383" s="23">
        <f>IF(OR(B383="",D383=""),"",D383-B383)</f>
        <v/>
      </c>
      <c r="F383" s="24">
        <f>IF(E383="","",IF(E383&gt;PursantajTol,"Finansman yükü: maliyet ödemeden önde",IF(E383&lt;-PursantajTol,"Lehte: ödeme maliyetten önde","Uyumlu")))</f>
        <v/>
      </c>
    </row>
    <row r="384">
      <c r="A384" s="5" t="n"/>
      <c r="B384" s="22" t="n"/>
      <c r="C384" s="20">
        <f>IF(A384="","",SUMIF('Keşif'!$B$5:$B$504,A384,'Keşif'!$H$5:$H$504))</f>
        <v/>
      </c>
      <c r="D384" s="23">
        <f>IF(OR(A384="",'Keşif'!$H$3=0),"",C384/'Keşif'!$H$3)</f>
        <v/>
      </c>
      <c r="E384" s="23">
        <f>IF(OR(B384="",D384=""),"",D384-B384)</f>
        <v/>
      </c>
      <c r="F384" s="24">
        <f>IF(E384="","",IF(E384&gt;PursantajTol,"Finansman yükü: maliyet ödemeden önde",IF(E384&lt;-PursantajTol,"Lehte: ödeme maliyetten önde","Uyumlu")))</f>
        <v/>
      </c>
    </row>
    <row r="385">
      <c r="A385" s="5" t="n"/>
      <c r="B385" s="22" t="n"/>
      <c r="C385" s="20">
        <f>IF(A385="","",SUMIF('Keşif'!$B$5:$B$504,A385,'Keşif'!$H$5:$H$504))</f>
        <v/>
      </c>
      <c r="D385" s="23">
        <f>IF(OR(A385="",'Keşif'!$H$3=0),"",C385/'Keşif'!$H$3)</f>
        <v/>
      </c>
      <c r="E385" s="23">
        <f>IF(OR(B385="",D385=""),"",D385-B385)</f>
        <v/>
      </c>
      <c r="F385" s="24">
        <f>IF(E385="","",IF(E385&gt;PursantajTol,"Finansman yükü: maliyet ödemeden önde",IF(E385&lt;-PursantajTol,"Lehte: ödeme maliyetten önde","Uyumlu")))</f>
        <v/>
      </c>
    </row>
    <row r="386">
      <c r="A386" s="5" t="n"/>
      <c r="B386" s="22" t="n"/>
      <c r="C386" s="20">
        <f>IF(A386="","",SUMIF('Keşif'!$B$5:$B$504,A386,'Keşif'!$H$5:$H$504))</f>
        <v/>
      </c>
      <c r="D386" s="23">
        <f>IF(OR(A386="",'Keşif'!$H$3=0),"",C386/'Keşif'!$H$3)</f>
        <v/>
      </c>
      <c r="E386" s="23">
        <f>IF(OR(B386="",D386=""),"",D386-B386)</f>
        <v/>
      </c>
      <c r="F386" s="24">
        <f>IF(E386="","",IF(E386&gt;PursantajTol,"Finansman yükü: maliyet ödemeden önde",IF(E386&lt;-PursantajTol,"Lehte: ödeme maliyetten önde","Uyumlu")))</f>
        <v/>
      </c>
    </row>
    <row r="387">
      <c r="A387" s="5" t="n"/>
      <c r="B387" s="22" t="n"/>
      <c r="C387" s="20">
        <f>IF(A387="","",SUMIF('Keşif'!$B$5:$B$504,A387,'Keşif'!$H$5:$H$504))</f>
        <v/>
      </c>
      <c r="D387" s="23">
        <f>IF(OR(A387="",'Keşif'!$H$3=0),"",C387/'Keşif'!$H$3)</f>
        <v/>
      </c>
      <c r="E387" s="23">
        <f>IF(OR(B387="",D387=""),"",D387-B387)</f>
        <v/>
      </c>
      <c r="F387" s="24">
        <f>IF(E387="","",IF(E387&gt;PursantajTol,"Finansman yükü: maliyet ödemeden önde",IF(E387&lt;-PursantajTol,"Lehte: ödeme maliyetten önde","Uyumlu")))</f>
        <v/>
      </c>
    </row>
    <row r="388">
      <c r="A388" s="5" t="n"/>
      <c r="B388" s="22" t="n"/>
      <c r="C388" s="20">
        <f>IF(A388="","",SUMIF('Keşif'!$B$5:$B$504,A388,'Keşif'!$H$5:$H$504))</f>
        <v/>
      </c>
      <c r="D388" s="23">
        <f>IF(OR(A388="",'Keşif'!$H$3=0),"",C388/'Keşif'!$H$3)</f>
        <v/>
      </c>
      <c r="E388" s="23">
        <f>IF(OR(B388="",D388=""),"",D388-B388)</f>
        <v/>
      </c>
      <c r="F388" s="24">
        <f>IF(E388="","",IF(E388&gt;PursantajTol,"Finansman yükü: maliyet ödemeden önde",IF(E388&lt;-PursantajTol,"Lehte: ödeme maliyetten önde","Uyumlu")))</f>
        <v/>
      </c>
    </row>
    <row r="389">
      <c r="A389" s="5" t="n"/>
      <c r="B389" s="22" t="n"/>
      <c r="C389" s="20">
        <f>IF(A389="","",SUMIF('Keşif'!$B$5:$B$504,A389,'Keşif'!$H$5:$H$504))</f>
        <v/>
      </c>
      <c r="D389" s="23">
        <f>IF(OR(A389="",'Keşif'!$H$3=0),"",C389/'Keşif'!$H$3)</f>
        <v/>
      </c>
      <c r="E389" s="23">
        <f>IF(OR(B389="",D389=""),"",D389-B389)</f>
        <v/>
      </c>
      <c r="F389" s="24">
        <f>IF(E389="","",IF(E389&gt;PursantajTol,"Finansman yükü: maliyet ödemeden önde",IF(E389&lt;-PursantajTol,"Lehte: ödeme maliyetten önde","Uyumlu")))</f>
        <v/>
      </c>
    </row>
    <row r="390">
      <c r="A390" s="5" t="n"/>
      <c r="B390" s="22" t="n"/>
      <c r="C390" s="20">
        <f>IF(A390="","",SUMIF('Keşif'!$B$5:$B$504,A390,'Keşif'!$H$5:$H$504))</f>
        <v/>
      </c>
      <c r="D390" s="23">
        <f>IF(OR(A390="",'Keşif'!$H$3=0),"",C390/'Keşif'!$H$3)</f>
        <v/>
      </c>
      <c r="E390" s="23">
        <f>IF(OR(B390="",D390=""),"",D390-B390)</f>
        <v/>
      </c>
      <c r="F390" s="24">
        <f>IF(E390="","",IF(E390&gt;PursantajTol,"Finansman yükü: maliyet ödemeden önde",IF(E390&lt;-PursantajTol,"Lehte: ödeme maliyetten önde","Uyumlu")))</f>
        <v/>
      </c>
    </row>
    <row r="391">
      <c r="A391" s="5" t="n"/>
      <c r="B391" s="22" t="n"/>
      <c r="C391" s="20">
        <f>IF(A391="","",SUMIF('Keşif'!$B$5:$B$504,A391,'Keşif'!$H$5:$H$504))</f>
        <v/>
      </c>
      <c r="D391" s="23">
        <f>IF(OR(A391="",'Keşif'!$H$3=0),"",C391/'Keşif'!$H$3)</f>
        <v/>
      </c>
      <c r="E391" s="23">
        <f>IF(OR(B391="",D391=""),"",D391-B391)</f>
        <v/>
      </c>
      <c r="F391" s="24">
        <f>IF(E391="","",IF(E391&gt;PursantajTol,"Finansman yükü: maliyet ödemeden önde",IF(E391&lt;-PursantajTol,"Lehte: ödeme maliyetten önde","Uyumlu")))</f>
        <v/>
      </c>
    </row>
    <row r="392">
      <c r="A392" s="5" t="n"/>
      <c r="B392" s="22" t="n"/>
      <c r="C392" s="20">
        <f>IF(A392="","",SUMIF('Keşif'!$B$5:$B$504,A392,'Keşif'!$H$5:$H$504))</f>
        <v/>
      </c>
      <c r="D392" s="23">
        <f>IF(OR(A392="",'Keşif'!$H$3=0),"",C392/'Keşif'!$H$3)</f>
        <v/>
      </c>
      <c r="E392" s="23">
        <f>IF(OR(B392="",D392=""),"",D392-B392)</f>
        <v/>
      </c>
      <c r="F392" s="24">
        <f>IF(E392="","",IF(E392&gt;PursantajTol,"Finansman yükü: maliyet ödemeden önde",IF(E392&lt;-PursantajTol,"Lehte: ödeme maliyetten önde","Uyumlu")))</f>
        <v/>
      </c>
    </row>
    <row r="393">
      <c r="A393" s="5" t="n"/>
      <c r="B393" s="22" t="n"/>
      <c r="C393" s="20">
        <f>IF(A393="","",SUMIF('Keşif'!$B$5:$B$504,A393,'Keşif'!$H$5:$H$504))</f>
        <v/>
      </c>
      <c r="D393" s="23">
        <f>IF(OR(A393="",'Keşif'!$H$3=0),"",C393/'Keşif'!$H$3)</f>
        <v/>
      </c>
      <c r="E393" s="23">
        <f>IF(OR(B393="",D393=""),"",D393-B393)</f>
        <v/>
      </c>
      <c r="F393" s="24">
        <f>IF(E393="","",IF(E393&gt;PursantajTol,"Finansman yükü: maliyet ödemeden önde",IF(E393&lt;-PursantajTol,"Lehte: ödeme maliyetten önde","Uyumlu")))</f>
        <v/>
      </c>
    </row>
    <row r="394">
      <c r="A394" s="5" t="n"/>
      <c r="B394" s="22" t="n"/>
      <c r="C394" s="20">
        <f>IF(A394="","",SUMIF('Keşif'!$B$5:$B$504,A394,'Keşif'!$H$5:$H$504))</f>
        <v/>
      </c>
      <c r="D394" s="23">
        <f>IF(OR(A394="",'Keşif'!$H$3=0),"",C394/'Keşif'!$H$3)</f>
        <v/>
      </c>
      <c r="E394" s="23">
        <f>IF(OR(B394="",D394=""),"",D394-B394)</f>
        <v/>
      </c>
      <c r="F394" s="24">
        <f>IF(E394="","",IF(E394&gt;PursantajTol,"Finansman yükü: maliyet ödemeden önde",IF(E394&lt;-PursantajTol,"Lehte: ödeme maliyetten önde","Uyumlu")))</f>
        <v/>
      </c>
    </row>
    <row r="395">
      <c r="A395" s="5" t="n"/>
      <c r="B395" s="22" t="n"/>
      <c r="C395" s="20">
        <f>IF(A395="","",SUMIF('Keşif'!$B$5:$B$504,A395,'Keşif'!$H$5:$H$504))</f>
        <v/>
      </c>
      <c r="D395" s="23">
        <f>IF(OR(A395="",'Keşif'!$H$3=0),"",C395/'Keşif'!$H$3)</f>
        <v/>
      </c>
      <c r="E395" s="23">
        <f>IF(OR(B395="",D395=""),"",D395-B395)</f>
        <v/>
      </c>
      <c r="F395" s="24">
        <f>IF(E395="","",IF(E395&gt;PursantajTol,"Finansman yükü: maliyet ödemeden önde",IF(E395&lt;-PursantajTol,"Lehte: ödeme maliyetten önde","Uyumlu")))</f>
        <v/>
      </c>
    </row>
    <row r="396">
      <c r="A396" s="5" t="n"/>
      <c r="B396" s="22" t="n"/>
      <c r="C396" s="20">
        <f>IF(A396="","",SUMIF('Keşif'!$B$5:$B$504,A396,'Keşif'!$H$5:$H$504))</f>
        <v/>
      </c>
      <c r="D396" s="23">
        <f>IF(OR(A396="",'Keşif'!$H$3=0),"",C396/'Keşif'!$H$3)</f>
        <v/>
      </c>
      <c r="E396" s="23">
        <f>IF(OR(B396="",D396=""),"",D396-B396)</f>
        <v/>
      </c>
      <c r="F396" s="24">
        <f>IF(E396="","",IF(E396&gt;PursantajTol,"Finansman yükü: maliyet ödemeden önde",IF(E396&lt;-PursantajTol,"Lehte: ödeme maliyetten önde","Uyumlu")))</f>
        <v/>
      </c>
    </row>
    <row r="397">
      <c r="A397" s="5" t="n"/>
      <c r="B397" s="22" t="n"/>
      <c r="C397" s="20">
        <f>IF(A397="","",SUMIF('Keşif'!$B$5:$B$504,A397,'Keşif'!$H$5:$H$504))</f>
        <v/>
      </c>
      <c r="D397" s="23">
        <f>IF(OR(A397="",'Keşif'!$H$3=0),"",C397/'Keşif'!$H$3)</f>
        <v/>
      </c>
      <c r="E397" s="23">
        <f>IF(OR(B397="",D397=""),"",D397-B397)</f>
        <v/>
      </c>
      <c r="F397" s="24">
        <f>IF(E397="","",IF(E397&gt;PursantajTol,"Finansman yükü: maliyet ödemeden önde",IF(E397&lt;-PursantajTol,"Lehte: ödeme maliyetten önde","Uyumlu")))</f>
        <v/>
      </c>
    </row>
    <row r="398">
      <c r="A398" s="5" t="n"/>
      <c r="B398" s="22" t="n"/>
      <c r="C398" s="20">
        <f>IF(A398="","",SUMIF('Keşif'!$B$5:$B$504,A398,'Keşif'!$H$5:$H$504))</f>
        <v/>
      </c>
      <c r="D398" s="23">
        <f>IF(OR(A398="",'Keşif'!$H$3=0),"",C398/'Keşif'!$H$3)</f>
        <v/>
      </c>
      <c r="E398" s="23">
        <f>IF(OR(B398="",D398=""),"",D398-B398)</f>
        <v/>
      </c>
      <c r="F398" s="24">
        <f>IF(E398="","",IF(E398&gt;PursantajTol,"Finansman yükü: maliyet ödemeden önde",IF(E398&lt;-PursantajTol,"Lehte: ödeme maliyetten önde","Uyumlu")))</f>
        <v/>
      </c>
    </row>
    <row r="399">
      <c r="A399" s="5" t="n"/>
      <c r="B399" s="22" t="n"/>
      <c r="C399" s="20">
        <f>IF(A399="","",SUMIF('Keşif'!$B$5:$B$504,A399,'Keşif'!$H$5:$H$504))</f>
        <v/>
      </c>
      <c r="D399" s="23">
        <f>IF(OR(A399="",'Keşif'!$H$3=0),"",C399/'Keşif'!$H$3)</f>
        <v/>
      </c>
      <c r="E399" s="23">
        <f>IF(OR(B399="",D399=""),"",D399-B399)</f>
        <v/>
      </c>
      <c r="F399" s="24">
        <f>IF(E399="","",IF(E399&gt;PursantajTol,"Finansman yükü: maliyet ödemeden önde",IF(E399&lt;-PursantajTol,"Lehte: ödeme maliyetten önde","Uyumlu")))</f>
        <v/>
      </c>
    </row>
    <row r="400">
      <c r="A400" s="5" t="n"/>
      <c r="B400" s="22" t="n"/>
      <c r="C400" s="20">
        <f>IF(A400="","",SUMIF('Keşif'!$B$5:$B$504,A400,'Keşif'!$H$5:$H$504))</f>
        <v/>
      </c>
      <c r="D400" s="23">
        <f>IF(OR(A400="",'Keşif'!$H$3=0),"",C400/'Keşif'!$H$3)</f>
        <v/>
      </c>
      <c r="E400" s="23">
        <f>IF(OR(B400="",D400=""),"",D400-B400)</f>
        <v/>
      </c>
      <c r="F400" s="24">
        <f>IF(E400="","",IF(E400&gt;PursantajTol,"Finansman yükü: maliyet ödemeden önde",IF(E400&lt;-PursantajTol,"Lehte: ödeme maliyetten önde","Uyumlu")))</f>
        <v/>
      </c>
    </row>
    <row r="401">
      <c r="A401" s="5" t="n"/>
      <c r="B401" s="22" t="n"/>
      <c r="C401" s="20">
        <f>IF(A401="","",SUMIF('Keşif'!$B$5:$B$504,A401,'Keşif'!$H$5:$H$504))</f>
        <v/>
      </c>
      <c r="D401" s="23">
        <f>IF(OR(A401="",'Keşif'!$H$3=0),"",C401/'Keşif'!$H$3)</f>
        <v/>
      </c>
      <c r="E401" s="23">
        <f>IF(OR(B401="",D401=""),"",D401-B401)</f>
        <v/>
      </c>
      <c r="F401" s="24">
        <f>IF(E401="","",IF(E401&gt;PursantajTol,"Finansman yükü: maliyet ödemeden önde",IF(E401&lt;-PursantajTol,"Lehte: ödeme maliyetten önde","Uyumlu")))</f>
        <v/>
      </c>
    </row>
    <row r="402">
      <c r="A402" s="5" t="n"/>
      <c r="B402" s="22" t="n"/>
      <c r="C402" s="20">
        <f>IF(A402="","",SUMIF('Keşif'!$B$5:$B$504,A402,'Keşif'!$H$5:$H$504))</f>
        <v/>
      </c>
      <c r="D402" s="23">
        <f>IF(OR(A402="",'Keşif'!$H$3=0),"",C402/'Keşif'!$H$3)</f>
        <v/>
      </c>
      <c r="E402" s="23">
        <f>IF(OR(B402="",D402=""),"",D402-B402)</f>
        <v/>
      </c>
      <c r="F402" s="24">
        <f>IF(E402="","",IF(E402&gt;PursantajTol,"Finansman yükü: maliyet ödemeden önde",IF(E402&lt;-PursantajTol,"Lehte: ödeme maliyetten önde","Uyumlu")))</f>
        <v/>
      </c>
    </row>
    <row r="403">
      <c r="A403" s="5" t="n"/>
      <c r="B403" s="22" t="n"/>
      <c r="C403" s="20">
        <f>IF(A403="","",SUMIF('Keşif'!$B$5:$B$504,A403,'Keşif'!$H$5:$H$504))</f>
        <v/>
      </c>
      <c r="D403" s="23">
        <f>IF(OR(A403="",'Keşif'!$H$3=0),"",C403/'Keşif'!$H$3)</f>
        <v/>
      </c>
      <c r="E403" s="23">
        <f>IF(OR(B403="",D403=""),"",D403-B403)</f>
        <v/>
      </c>
      <c r="F403" s="24">
        <f>IF(E403="","",IF(E403&gt;PursantajTol,"Finansman yükü: maliyet ödemeden önde",IF(E403&lt;-PursantajTol,"Lehte: ödeme maliyetten önde","Uyumlu")))</f>
        <v/>
      </c>
    </row>
    <row r="404">
      <c r="A404" s="5" t="n"/>
      <c r="B404" s="22" t="n"/>
      <c r="C404" s="20">
        <f>IF(A404="","",SUMIF('Keşif'!$B$5:$B$504,A404,'Keşif'!$H$5:$H$504))</f>
        <v/>
      </c>
      <c r="D404" s="23">
        <f>IF(OR(A404="",'Keşif'!$H$3=0),"",C404/'Keşif'!$H$3)</f>
        <v/>
      </c>
      <c r="E404" s="23">
        <f>IF(OR(B404="",D404=""),"",D404-B404)</f>
        <v/>
      </c>
      <c r="F404" s="24">
        <f>IF(E404="","",IF(E404&gt;PursantajTol,"Finansman yükü: maliyet ödemeden önde",IF(E404&lt;-PursantajTol,"Lehte: ödeme maliyetten önde","Uyumlu")))</f>
        <v/>
      </c>
    </row>
    <row r="405">
      <c r="A405" s="5" t="n"/>
      <c r="B405" s="22" t="n"/>
      <c r="C405" s="20">
        <f>IF(A405="","",SUMIF('Keşif'!$B$5:$B$504,A405,'Keşif'!$H$5:$H$504))</f>
        <v/>
      </c>
      <c r="D405" s="23">
        <f>IF(OR(A405="",'Keşif'!$H$3=0),"",C405/'Keşif'!$H$3)</f>
        <v/>
      </c>
      <c r="E405" s="23">
        <f>IF(OR(B405="",D405=""),"",D405-B405)</f>
        <v/>
      </c>
      <c r="F405" s="24">
        <f>IF(E405="","",IF(E405&gt;PursantajTol,"Finansman yükü: maliyet ödemeden önde",IF(E405&lt;-PursantajTol,"Lehte: ödeme maliyetten önde","Uyumlu")))</f>
        <v/>
      </c>
    </row>
    <row r="406">
      <c r="A406" s="5" t="n"/>
      <c r="B406" s="22" t="n"/>
      <c r="C406" s="20">
        <f>IF(A406="","",SUMIF('Keşif'!$B$5:$B$504,A406,'Keşif'!$H$5:$H$504))</f>
        <v/>
      </c>
      <c r="D406" s="23">
        <f>IF(OR(A406="",'Keşif'!$H$3=0),"",C406/'Keşif'!$H$3)</f>
        <v/>
      </c>
      <c r="E406" s="23">
        <f>IF(OR(B406="",D406=""),"",D406-B406)</f>
        <v/>
      </c>
      <c r="F406" s="24">
        <f>IF(E406="","",IF(E406&gt;PursantajTol,"Finansman yükü: maliyet ödemeden önde",IF(E406&lt;-PursantajTol,"Lehte: ödeme maliyetten önde","Uyumlu")))</f>
        <v/>
      </c>
    </row>
    <row r="407">
      <c r="A407" s="5" t="n"/>
      <c r="B407" s="22" t="n"/>
      <c r="C407" s="20">
        <f>IF(A407="","",SUMIF('Keşif'!$B$5:$B$504,A407,'Keşif'!$H$5:$H$504))</f>
        <v/>
      </c>
      <c r="D407" s="23">
        <f>IF(OR(A407="",'Keşif'!$H$3=0),"",C407/'Keşif'!$H$3)</f>
        <v/>
      </c>
      <c r="E407" s="23">
        <f>IF(OR(B407="",D407=""),"",D407-B407)</f>
        <v/>
      </c>
      <c r="F407" s="24">
        <f>IF(E407="","",IF(E407&gt;PursantajTol,"Finansman yükü: maliyet ödemeden önde",IF(E407&lt;-PursantajTol,"Lehte: ödeme maliyetten önde","Uyumlu")))</f>
        <v/>
      </c>
    </row>
    <row r="408">
      <c r="A408" s="5" t="n"/>
      <c r="B408" s="22" t="n"/>
      <c r="C408" s="20">
        <f>IF(A408="","",SUMIF('Keşif'!$B$5:$B$504,A408,'Keşif'!$H$5:$H$504))</f>
        <v/>
      </c>
      <c r="D408" s="23">
        <f>IF(OR(A408="",'Keşif'!$H$3=0),"",C408/'Keşif'!$H$3)</f>
        <v/>
      </c>
      <c r="E408" s="23">
        <f>IF(OR(B408="",D408=""),"",D408-B408)</f>
        <v/>
      </c>
      <c r="F408" s="24">
        <f>IF(E408="","",IF(E408&gt;PursantajTol,"Finansman yükü: maliyet ödemeden önde",IF(E408&lt;-PursantajTol,"Lehte: ödeme maliyetten önde","Uyumlu")))</f>
        <v/>
      </c>
    </row>
    <row r="409">
      <c r="A409" s="5" t="n"/>
      <c r="B409" s="22" t="n"/>
      <c r="C409" s="20">
        <f>IF(A409="","",SUMIF('Keşif'!$B$5:$B$504,A409,'Keşif'!$H$5:$H$504))</f>
        <v/>
      </c>
      <c r="D409" s="23">
        <f>IF(OR(A409="",'Keşif'!$H$3=0),"",C409/'Keşif'!$H$3)</f>
        <v/>
      </c>
      <c r="E409" s="23">
        <f>IF(OR(B409="",D409=""),"",D409-B409)</f>
        <v/>
      </c>
      <c r="F409" s="24">
        <f>IF(E409="","",IF(E409&gt;PursantajTol,"Finansman yükü: maliyet ödemeden önde",IF(E409&lt;-PursantajTol,"Lehte: ödeme maliyetten önde","Uyumlu")))</f>
        <v/>
      </c>
    </row>
    <row r="410">
      <c r="A410" s="5" t="n"/>
      <c r="B410" s="22" t="n"/>
      <c r="C410" s="20">
        <f>IF(A410="","",SUMIF('Keşif'!$B$5:$B$504,A410,'Keşif'!$H$5:$H$504))</f>
        <v/>
      </c>
      <c r="D410" s="23">
        <f>IF(OR(A410="",'Keşif'!$H$3=0),"",C410/'Keşif'!$H$3)</f>
        <v/>
      </c>
      <c r="E410" s="23">
        <f>IF(OR(B410="",D410=""),"",D410-B410)</f>
        <v/>
      </c>
      <c r="F410" s="24">
        <f>IF(E410="","",IF(E410&gt;PursantajTol,"Finansman yükü: maliyet ödemeden önde",IF(E410&lt;-PursantajTol,"Lehte: ödeme maliyetten önde","Uyumlu")))</f>
        <v/>
      </c>
    </row>
    <row r="411">
      <c r="A411" s="5" t="n"/>
      <c r="B411" s="22" t="n"/>
      <c r="C411" s="20">
        <f>IF(A411="","",SUMIF('Keşif'!$B$5:$B$504,A411,'Keşif'!$H$5:$H$504))</f>
        <v/>
      </c>
      <c r="D411" s="23">
        <f>IF(OR(A411="",'Keşif'!$H$3=0),"",C411/'Keşif'!$H$3)</f>
        <v/>
      </c>
      <c r="E411" s="23">
        <f>IF(OR(B411="",D411=""),"",D411-B411)</f>
        <v/>
      </c>
      <c r="F411" s="24">
        <f>IF(E411="","",IF(E411&gt;PursantajTol,"Finansman yükü: maliyet ödemeden önde",IF(E411&lt;-PursantajTol,"Lehte: ödeme maliyetten önde","Uyumlu")))</f>
        <v/>
      </c>
    </row>
    <row r="412">
      <c r="A412" s="5" t="n"/>
      <c r="B412" s="22" t="n"/>
      <c r="C412" s="20">
        <f>IF(A412="","",SUMIF('Keşif'!$B$5:$B$504,A412,'Keşif'!$H$5:$H$504))</f>
        <v/>
      </c>
      <c r="D412" s="23">
        <f>IF(OR(A412="",'Keşif'!$H$3=0),"",C412/'Keşif'!$H$3)</f>
        <v/>
      </c>
      <c r="E412" s="23">
        <f>IF(OR(B412="",D412=""),"",D412-B412)</f>
        <v/>
      </c>
      <c r="F412" s="24">
        <f>IF(E412="","",IF(E412&gt;PursantajTol,"Finansman yükü: maliyet ödemeden önde",IF(E412&lt;-PursantajTol,"Lehte: ödeme maliyetten önde","Uyumlu")))</f>
        <v/>
      </c>
    </row>
    <row r="413">
      <c r="A413" s="5" t="n"/>
      <c r="B413" s="22" t="n"/>
      <c r="C413" s="20">
        <f>IF(A413="","",SUMIF('Keşif'!$B$5:$B$504,A413,'Keşif'!$H$5:$H$504))</f>
        <v/>
      </c>
      <c r="D413" s="23">
        <f>IF(OR(A413="",'Keşif'!$H$3=0),"",C413/'Keşif'!$H$3)</f>
        <v/>
      </c>
      <c r="E413" s="23">
        <f>IF(OR(B413="",D413=""),"",D413-B413)</f>
        <v/>
      </c>
      <c r="F413" s="24">
        <f>IF(E413="","",IF(E413&gt;PursantajTol,"Finansman yükü: maliyet ödemeden önde",IF(E413&lt;-PursantajTol,"Lehte: ödeme maliyetten önde","Uyumlu")))</f>
        <v/>
      </c>
    </row>
    <row r="414">
      <c r="A414" s="5" t="n"/>
      <c r="B414" s="22" t="n"/>
      <c r="C414" s="20">
        <f>IF(A414="","",SUMIF('Keşif'!$B$5:$B$504,A414,'Keşif'!$H$5:$H$504))</f>
        <v/>
      </c>
      <c r="D414" s="23">
        <f>IF(OR(A414="",'Keşif'!$H$3=0),"",C414/'Keşif'!$H$3)</f>
        <v/>
      </c>
      <c r="E414" s="23">
        <f>IF(OR(B414="",D414=""),"",D414-B414)</f>
        <v/>
      </c>
      <c r="F414" s="24">
        <f>IF(E414="","",IF(E414&gt;PursantajTol,"Finansman yükü: maliyet ödemeden önde",IF(E414&lt;-PursantajTol,"Lehte: ödeme maliyetten önde","Uyumlu")))</f>
        <v/>
      </c>
    </row>
    <row r="415">
      <c r="A415" s="5" t="n"/>
      <c r="B415" s="22" t="n"/>
      <c r="C415" s="20">
        <f>IF(A415="","",SUMIF('Keşif'!$B$5:$B$504,A415,'Keşif'!$H$5:$H$504))</f>
        <v/>
      </c>
      <c r="D415" s="23">
        <f>IF(OR(A415="",'Keşif'!$H$3=0),"",C415/'Keşif'!$H$3)</f>
        <v/>
      </c>
      <c r="E415" s="23">
        <f>IF(OR(B415="",D415=""),"",D415-B415)</f>
        <v/>
      </c>
      <c r="F415" s="24">
        <f>IF(E415="","",IF(E415&gt;PursantajTol,"Finansman yükü: maliyet ödemeden önde",IF(E415&lt;-PursantajTol,"Lehte: ödeme maliyetten önde","Uyumlu")))</f>
        <v/>
      </c>
    </row>
    <row r="416">
      <c r="A416" s="5" t="n"/>
      <c r="B416" s="22" t="n"/>
      <c r="C416" s="20">
        <f>IF(A416="","",SUMIF('Keşif'!$B$5:$B$504,A416,'Keşif'!$H$5:$H$504))</f>
        <v/>
      </c>
      <c r="D416" s="23">
        <f>IF(OR(A416="",'Keşif'!$H$3=0),"",C416/'Keşif'!$H$3)</f>
        <v/>
      </c>
      <c r="E416" s="23">
        <f>IF(OR(B416="",D416=""),"",D416-B416)</f>
        <v/>
      </c>
      <c r="F416" s="24">
        <f>IF(E416="","",IF(E416&gt;PursantajTol,"Finansman yükü: maliyet ödemeden önde",IF(E416&lt;-PursantajTol,"Lehte: ödeme maliyetten önde","Uyumlu")))</f>
        <v/>
      </c>
    </row>
    <row r="417">
      <c r="A417" s="5" t="n"/>
      <c r="B417" s="22" t="n"/>
      <c r="C417" s="20">
        <f>IF(A417="","",SUMIF('Keşif'!$B$5:$B$504,A417,'Keşif'!$H$5:$H$504))</f>
        <v/>
      </c>
      <c r="D417" s="23">
        <f>IF(OR(A417="",'Keşif'!$H$3=0),"",C417/'Keşif'!$H$3)</f>
        <v/>
      </c>
      <c r="E417" s="23">
        <f>IF(OR(B417="",D417=""),"",D417-B417)</f>
        <v/>
      </c>
      <c r="F417" s="24">
        <f>IF(E417="","",IF(E417&gt;PursantajTol,"Finansman yükü: maliyet ödemeden önde",IF(E417&lt;-PursantajTol,"Lehte: ödeme maliyetten önde","Uyumlu")))</f>
        <v/>
      </c>
    </row>
    <row r="418">
      <c r="A418" s="5" t="n"/>
      <c r="B418" s="22" t="n"/>
      <c r="C418" s="20">
        <f>IF(A418="","",SUMIF('Keşif'!$B$5:$B$504,A418,'Keşif'!$H$5:$H$504))</f>
        <v/>
      </c>
      <c r="D418" s="23">
        <f>IF(OR(A418="",'Keşif'!$H$3=0),"",C418/'Keşif'!$H$3)</f>
        <v/>
      </c>
      <c r="E418" s="23">
        <f>IF(OR(B418="",D418=""),"",D418-B418)</f>
        <v/>
      </c>
      <c r="F418" s="24">
        <f>IF(E418="","",IF(E418&gt;PursantajTol,"Finansman yükü: maliyet ödemeden önde",IF(E418&lt;-PursantajTol,"Lehte: ödeme maliyetten önde","Uyumlu")))</f>
        <v/>
      </c>
    </row>
    <row r="419">
      <c r="A419" s="5" t="n"/>
      <c r="B419" s="22" t="n"/>
      <c r="C419" s="20">
        <f>IF(A419="","",SUMIF('Keşif'!$B$5:$B$504,A419,'Keşif'!$H$5:$H$504))</f>
        <v/>
      </c>
      <c r="D419" s="23">
        <f>IF(OR(A419="",'Keşif'!$H$3=0),"",C419/'Keşif'!$H$3)</f>
        <v/>
      </c>
      <c r="E419" s="23">
        <f>IF(OR(B419="",D419=""),"",D419-B419)</f>
        <v/>
      </c>
      <c r="F419" s="24">
        <f>IF(E419="","",IF(E419&gt;PursantajTol,"Finansman yükü: maliyet ödemeden önde",IF(E419&lt;-PursantajTol,"Lehte: ödeme maliyetten önde","Uyumlu")))</f>
        <v/>
      </c>
    </row>
    <row r="420">
      <c r="A420" s="5" t="n"/>
      <c r="B420" s="22" t="n"/>
      <c r="C420" s="20">
        <f>IF(A420="","",SUMIF('Keşif'!$B$5:$B$504,A420,'Keşif'!$H$5:$H$504))</f>
        <v/>
      </c>
      <c r="D420" s="23">
        <f>IF(OR(A420="",'Keşif'!$H$3=0),"",C420/'Keşif'!$H$3)</f>
        <v/>
      </c>
      <c r="E420" s="23">
        <f>IF(OR(B420="",D420=""),"",D420-B420)</f>
        <v/>
      </c>
      <c r="F420" s="24">
        <f>IF(E420="","",IF(E420&gt;PursantajTol,"Finansman yükü: maliyet ödemeden önde",IF(E420&lt;-PursantajTol,"Lehte: ödeme maliyetten önde","Uyumlu")))</f>
        <v/>
      </c>
    </row>
    <row r="421">
      <c r="A421" s="5" t="n"/>
      <c r="B421" s="22" t="n"/>
      <c r="C421" s="20">
        <f>IF(A421="","",SUMIF('Keşif'!$B$5:$B$504,A421,'Keşif'!$H$5:$H$504))</f>
        <v/>
      </c>
      <c r="D421" s="23">
        <f>IF(OR(A421="",'Keşif'!$H$3=0),"",C421/'Keşif'!$H$3)</f>
        <v/>
      </c>
      <c r="E421" s="23">
        <f>IF(OR(B421="",D421=""),"",D421-B421)</f>
        <v/>
      </c>
      <c r="F421" s="24">
        <f>IF(E421="","",IF(E421&gt;PursantajTol,"Finansman yükü: maliyet ödemeden önde",IF(E421&lt;-PursantajTol,"Lehte: ödeme maliyetten önde","Uyumlu")))</f>
        <v/>
      </c>
    </row>
    <row r="422">
      <c r="A422" s="5" t="n"/>
      <c r="B422" s="22" t="n"/>
      <c r="C422" s="20">
        <f>IF(A422="","",SUMIF('Keşif'!$B$5:$B$504,A422,'Keşif'!$H$5:$H$504))</f>
        <v/>
      </c>
      <c r="D422" s="23">
        <f>IF(OR(A422="",'Keşif'!$H$3=0),"",C422/'Keşif'!$H$3)</f>
        <v/>
      </c>
      <c r="E422" s="23">
        <f>IF(OR(B422="",D422=""),"",D422-B422)</f>
        <v/>
      </c>
      <c r="F422" s="24">
        <f>IF(E422="","",IF(E422&gt;PursantajTol,"Finansman yükü: maliyet ödemeden önde",IF(E422&lt;-PursantajTol,"Lehte: ödeme maliyetten önde","Uyumlu")))</f>
        <v/>
      </c>
    </row>
    <row r="423">
      <c r="A423" s="5" t="n"/>
      <c r="B423" s="22" t="n"/>
      <c r="C423" s="20">
        <f>IF(A423="","",SUMIF('Keşif'!$B$5:$B$504,A423,'Keşif'!$H$5:$H$504))</f>
        <v/>
      </c>
      <c r="D423" s="23">
        <f>IF(OR(A423="",'Keşif'!$H$3=0),"",C423/'Keşif'!$H$3)</f>
        <v/>
      </c>
      <c r="E423" s="23">
        <f>IF(OR(B423="",D423=""),"",D423-B423)</f>
        <v/>
      </c>
      <c r="F423" s="24">
        <f>IF(E423="","",IF(E423&gt;PursantajTol,"Finansman yükü: maliyet ödemeden önde",IF(E423&lt;-PursantajTol,"Lehte: ödeme maliyetten önde","Uyumlu")))</f>
        <v/>
      </c>
    </row>
    <row r="424">
      <c r="A424" s="5" t="n"/>
      <c r="B424" s="22" t="n"/>
      <c r="C424" s="20">
        <f>IF(A424="","",SUMIF('Keşif'!$B$5:$B$504,A424,'Keşif'!$H$5:$H$504))</f>
        <v/>
      </c>
      <c r="D424" s="23">
        <f>IF(OR(A424="",'Keşif'!$H$3=0),"",C424/'Keşif'!$H$3)</f>
        <v/>
      </c>
      <c r="E424" s="23">
        <f>IF(OR(B424="",D424=""),"",D424-B424)</f>
        <v/>
      </c>
      <c r="F424" s="24">
        <f>IF(E424="","",IF(E424&gt;PursantajTol,"Finansman yükü: maliyet ödemeden önde",IF(E424&lt;-PursantajTol,"Lehte: ödeme maliyetten önde","Uyumlu")))</f>
        <v/>
      </c>
    </row>
    <row r="425">
      <c r="A425" s="5" t="n"/>
      <c r="B425" s="22" t="n"/>
      <c r="C425" s="20">
        <f>IF(A425="","",SUMIF('Keşif'!$B$5:$B$504,A425,'Keşif'!$H$5:$H$504))</f>
        <v/>
      </c>
      <c r="D425" s="23">
        <f>IF(OR(A425="",'Keşif'!$H$3=0),"",C425/'Keşif'!$H$3)</f>
        <v/>
      </c>
      <c r="E425" s="23">
        <f>IF(OR(B425="",D425=""),"",D425-B425)</f>
        <v/>
      </c>
      <c r="F425" s="24">
        <f>IF(E425="","",IF(E425&gt;PursantajTol,"Finansman yükü: maliyet ödemeden önde",IF(E425&lt;-PursantajTol,"Lehte: ödeme maliyetten önde","Uyumlu")))</f>
        <v/>
      </c>
    </row>
    <row r="426">
      <c r="A426" s="5" t="n"/>
      <c r="B426" s="22" t="n"/>
      <c r="C426" s="20">
        <f>IF(A426="","",SUMIF('Keşif'!$B$5:$B$504,A426,'Keşif'!$H$5:$H$504))</f>
        <v/>
      </c>
      <c r="D426" s="23">
        <f>IF(OR(A426="",'Keşif'!$H$3=0),"",C426/'Keşif'!$H$3)</f>
        <v/>
      </c>
      <c r="E426" s="23">
        <f>IF(OR(B426="",D426=""),"",D426-B426)</f>
        <v/>
      </c>
      <c r="F426" s="24">
        <f>IF(E426="","",IF(E426&gt;PursantajTol,"Finansman yükü: maliyet ödemeden önde",IF(E426&lt;-PursantajTol,"Lehte: ödeme maliyetten önde","Uyumlu")))</f>
        <v/>
      </c>
    </row>
    <row r="427">
      <c r="A427" s="5" t="n"/>
      <c r="B427" s="22" t="n"/>
      <c r="C427" s="20">
        <f>IF(A427="","",SUMIF('Keşif'!$B$5:$B$504,A427,'Keşif'!$H$5:$H$504))</f>
        <v/>
      </c>
      <c r="D427" s="23">
        <f>IF(OR(A427="",'Keşif'!$H$3=0),"",C427/'Keşif'!$H$3)</f>
        <v/>
      </c>
      <c r="E427" s="23">
        <f>IF(OR(B427="",D427=""),"",D427-B427)</f>
        <v/>
      </c>
      <c r="F427" s="24">
        <f>IF(E427="","",IF(E427&gt;PursantajTol,"Finansman yükü: maliyet ödemeden önde",IF(E427&lt;-PursantajTol,"Lehte: ödeme maliyetten önde","Uyumlu")))</f>
        <v/>
      </c>
    </row>
    <row r="428">
      <c r="A428" s="5" t="n"/>
      <c r="B428" s="22" t="n"/>
      <c r="C428" s="20">
        <f>IF(A428="","",SUMIF('Keşif'!$B$5:$B$504,A428,'Keşif'!$H$5:$H$504))</f>
        <v/>
      </c>
      <c r="D428" s="23">
        <f>IF(OR(A428="",'Keşif'!$H$3=0),"",C428/'Keşif'!$H$3)</f>
        <v/>
      </c>
      <c r="E428" s="23">
        <f>IF(OR(B428="",D428=""),"",D428-B428)</f>
        <v/>
      </c>
      <c r="F428" s="24">
        <f>IF(E428="","",IF(E428&gt;PursantajTol,"Finansman yükü: maliyet ödemeden önde",IF(E428&lt;-PursantajTol,"Lehte: ödeme maliyetten önde","Uyumlu")))</f>
        <v/>
      </c>
    </row>
    <row r="429">
      <c r="A429" s="5" t="n"/>
      <c r="B429" s="22" t="n"/>
      <c r="C429" s="20">
        <f>IF(A429="","",SUMIF('Keşif'!$B$5:$B$504,A429,'Keşif'!$H$5:$H$504))</f>
        <v/>
      </c>
      <c r="D429" s="23">
        <f>IF(OR(A429="",'Keşif'!$H$3=0),"",C429/'Keşif'!$H$3)</f>
        <v/>
      </c>
      <c r="E429" s="23">
        <f>IF(OR(B429="",D429=""),"",D429-B429)</f>
        <v/>
      </c>
      <c r="F429" s="24">
        <f>IF(E429="","",IF(E429&gt;PursantajTol,"Finansman yükü: maliyet ödemeden önde",IF(E429&lt;-PursantajTol,"Lehte: ödeme maliyetten önde","Uyumlu")))</f>
        <v/>
      </c>
    </row>
    <row r="430">
      <c r="A430" s="5" t="n"/>
      <c r="B430" s="22" t="n"/>
      <c r="C430" s="20">
        <f>IF(A430="","",SUMIF('Keşif'!$B$5:$B$504,A430,'Keşif'!$H$5:$H$504))</f>
        <v/>
      </c>
      <c r="D430" s="23">
        <f>IF(OR(A430="",'Keşif'!$H$3=0),"",C430/'Keşif'!$H$3)</f>
        <v/>
      </c>
      <c r="E430" s="23">
        <f>IF(OR(B430="",D430=""),"",D430-B430)</f>
        <v/>
      </c>
      <c r="F430" s="24">
        <f>IF(E430="","",IF(E430&gt;PursantajTol,"Finansman yükü: maliyet ödemeden önde",IF(E430&lt;-PursantajTol,"Lehte: ödeme maliyetten önde","Uyumlu")))</f>
        <v/>
      </c>
    </row>
    <row r="431">
      <c r="A431" s="5" t="n"/>
      <c r="B431" s="22" t="n"/>
      <c r="C431" s="20">
        <f>IF(A431="","",SUMIF('Keşif'!$B$5:$B$504,A431,'Keşif'!$H$5:$H$504))</f>
        <v/>
      </c>
      <c r="D431" s="23">
        <f>IF(OR(A431="",'Keşif'!$H$3=0),"",C431/'Keşif'!$H$3)</f>
        <v/>
      </c>
      <c r="E431" s="23">
        <f>IF(OR(B431="",D431=""),"",D431-B431)</f>
        <v/>
      </c>
      <c r="F431" s="24">
        <f>IF(E431="","",IF(E431&gt;PursantajTol,"Finansman yükü: maliyet ödemeden önde",IF(E431&lt;-PursantajTol,"Lehte: ödeme maliyetten önde","Uyumlu")))</f>
        <v/>
      </c>
    </row>
    <row r="432">
      <c r="A432" s="5" t="n"/>
      <c r="B432" s="22" t="n"/>
      <c r="C432" s="20">
        <f>IF(A432="","",SUMIF('Keşif'!$B$5:$B$504,A432,'Keşif'!$H$5:$H$504))</f>
        <v/>
      </c>
      <c r="D432" s="23">
        <f>IF(OR(A432="",'Keşif'!$H$3=0),"",C432/'Keşif'!$H$3)</f>
        <v/>
      </c>
      <c r="E432" s="23">
        <f>IF(OR(B432="",D432=""),"",D432-B432)</f>
        <v/>
      </c>
      <c r="F432" s="24">
        <f>IF(E432="","",IF(E432&gt;PursantajTol,"Finansman yükü: maliyet ödemeden önde",IF(E432&lt;-PursantajTol,"Lehte: ödeme maliyetten önde","Uyumlu")))</f>
        <v/>
      </c>
    </row>
    <row r="433">
      <c r="A433" s="5" t="n"/>
      <c r="B433" s="22" t="n"/>
      <c r="C433" s="20">
        <f>IF(A433="","",SUMIF('Keşif'!$B$5:$B$504,A433,'Keşif'!$H$5:$H$504))</f>
        <v/>
      </c>
      <c r="D433" s="23">
        <f>IF(OR(A433="",'Keşif'!$H$3=0),"",C433/'Keşif'!$H$3)</f>
        <v/>
      </c>
      <c r="E433" s="23">
        <f>IF(OR(B433="",D433=""),"",D433-B433)</f>
        <v/>
      </c>
      <c r="F433" s="24">
        <f>IF(E433="","",IF(E433&gt;PursantajTol,"Finansman yükü: maliyet ödemeden önde",IF(E433&lt;-PursantajTol,"Lehte: ödeme maliyetten önde","Uyumlu")))</f>
        <v/>
      </c>
    </row>
    <row r="434">
      <c r="A434" s="5" t="n"/>
      <c r="B434" s="22" t="n"/>
      <c r="C434" s="20">
        <f>IF(A434="","",SUMIF('Keşif'!$B$5:$B$504,A434,'Keşif'!$H$5:$H$504))</f>
        <v/>
      </c>
      <c r="D434" s="23">
        <f>IF(OR(A434="",'Keşif'!$H$3=0),"",C434/'Keşif'!$H$3)</f>
        <v/>
      </c>
      <c r="E434" s="23">
        <f>IF(OR(B434="",D434=""),"",D434-B434)</f>
        <v/>
      </c>
      <c r="F434" s="24">
        <f>IF(E434="","",IF(E434&gt;PursantajTol,"Finansman yükü: maliyet ödemeden önde",IF(E434&lt;-PursantajTol,"Lehte: ödeme maliyetten önde","Uyumlu")))</f>
        <v/>
      </c>
    </row>
    <row r="435">
      <c r="A435" s="5" t="n"/>
      <c r="B435" s="22" t="n"/>
      <c r="C435" s="20">
        <f>IF(A435="","",SUMIF('Keşif'!$B$5:$B$504,A435,'Keşif'!$H$5:$H$504))</f>
        <v/>
      </c>
      <c r="D435" s="23">
        <f>IF(OR(A435="",'Keşif'!$H$3=0),"",C435/'Keşif'!$H$3)</f>
        <v/>
      </c>
      <c r="E435" s="23">
        <f>IF(OR(B435="",D435=""),"",D435-B435)</f>
        <v/>
      </c>
      <c r="F435" s="24">
        <f>IF(E435="","",IF(E435&gt;PursantajTol,"Finansman yükü: maliyet ödemeden önde",IF(E435&lt;-PursantajTol,"Lehte: ödeme maliyetten önde","Uyumlu")))</f>
        <v/>
      </c>
    </row>
    <row r="436">
      <c r="A436" s="5" t="n"/>
      <c r="B436" s="22" t="n"/>
      <c r="C436" s="20">
        <f>IF(A436="","",SUMIF('Keşif'!$B$5:$B$504,A436,'Keşif'!$H$5:$H$504))</f>
        <v/>
      </c>
      <c r="D436" s="23">
        <f>IF(OR(A436="",'Keşif'!$H$3=0),"",C436/'Keşif'!$H$3)</f>
        <v/>
      </c>
      <c r="E436" s="23">
        <f>IF(OR(B436="",D436=""),"",D436-B436)</f>
        <v/>
      </c>
      <c r="F436" s="24">
        <f>IF(E436="","",IF(E436&gt;PursantajTol,"Finansman yükü: maliyet ödemeden önde",IF(E436&lt;-PursantajTol,"Lehte: ödeme maliyetten önde","Uyumlu")))</f>
        <v/>
      </c>
    </row>
    <row r="437">
      <c r="A437" s="5" t="n"/>
      <c r="B437" s="22" t="n"/>
      <c r="C437" s="20">
        <f>IF(A437="","",SUMIF('Keşif'!$B$5:$B$504,A437,'Keşif'!$H$5:$H$504))</f>
        <v/>
      </c>
      <c r="D437" s="23">
        <f>IF(OR(A437="",'Keşif'!$H$3=0),"",C437/'Keşif'!$H$3)</f>
        <v/>
      </c>
      <c r="E437" s="23">
        <f>IF(OR(B437="",D437=""),"",D437-B437)</f>
        <v/>
      </c>
      <c r="F437" s="24">
        <f>IF(E437="","",IF(E437&gt;PursantajTol,"Finansman yükü: maliyet ödemeden önde",IF(E437&lt;-PursantajTol,"Lehte: ödeme maliyetten önde","Uyumlu")))</f>
        <v/>
      </c>
    </row>
    <row r="438">
      <c r="A438" s="5" t="n"/>
      <c r="B438" s="22" t="n"/>
      <c r="C438" s="20">
        <f>IF(A438="","",SUMIF('Keşif'!$B$5:$B$504,A438,'Keşif'!$H$5:$H$504))</f>
        <v/>
      </c>
      <c r="D438" s="23">
        <f>IF(OR(A438="",'Keşif'!$H$3=0),"",C438/'Keşif'!$H$3)</f>
        <v/>
      </c>
      <c r="E438" s="23">
        <f>IF(OR(B438="",D438=""),"",D438-B438)</f>
        <v/>
      </c>
      <c r="F438" s="24">
        <f>IF(E438="","",IF(E438&gt;PursantajTol,"Finansman yükü: maliyet ödemeden önde",IF(E438&lt;-PursantajTol,"Lehte: ödeme maliyetten önde","Uyumlu")))</f>
        <v/>
      </c>
    </row>
    <row r="439">
      <c r="A439" s="5" t="n"/>
      <c r="B439" s="22" t="n"/>
      <c r="C439" s="20">
        <f>IF(A439="","",SUMIF('Keşif'!$B$5:$B$504,A439,'Keşif'!$H$5:$H$504))</f>
        <v/>
      </c>
      <c r="D439" s="23">
        <f>IF(OR(A439="",'Keşif'!$H$3=0),"",C439/'Keşif'!$H$3)</f>
        <v/>
      </c>
      <c r="E439" s="23">
        <f>IF(OR(B439="",D439=""),"",D439-B439)</f>
        <v/>
      </c>
      <c r="F439" s="24">
        <f>IF(E439="","",IF(E439&gt;PursantajTol,"Finansman yükü: maliyet ödemeden önde",IF(E439&lt;-PursantajTol,"Lehte: ödeme maliyetten önde","Uyumlu")))</f>
        <v/>
      </c>
    </row>
    <row r="440">
      <c r="A440" s="5" t="n"/>
      <c r="B440" s="22" t="n"/>
      <c r="C440" s="20">
        <f>IF(A440="","",SUMIF('Keşif'!$B$5:$B$504,A440,'Keşif'!$H$5:$H$504))</f>
        <v/>
      </c>
      <c r="D440" s="23">
        <f>IF(OR(A440="",'Keşif'!$H$3=0),"",C440/'Keşif'!$H$3)</f>
        <v/>
      </c>
      <c r="E440" s="23">
        <f>IF(OR(B440="",D440=""),"",D440-B440)</f>
        <v/>
      </c>
      <c r="F440" s="24">
        <f>IF(E440="","",IF(E440&gt;PursantajTol,"Finansman yükü: maliyet ödemeden önde",IF(E440&lt;-PursantajTol,"Lehte: ödeme maliyetten önde","Uyumlu")))</f>
        <v/>
      </c>
    </row>
    <row r="441">
      <c r="A441" s="5" t="n"/>
      <c r="B441" s="22" t="n"/>
      <c r="C441" s="20">
        <f>IF(A441="","",SUMIF('Keşif'!$B$5:$B$504,A441,'Keşif'!$H$5:$H$504))</f>
        <v/>
      </c>
      <c r="D441" s="23">
        <f>IF(OR(A441="",'Keşif'!$H$3=0),"",C441/'Keşif'!$H$3)</f>
        <v/>
      </c>
      <c r="E441" s="23">
        <f>IF(OR(B441="",D441=""),"",D441-B441)</f>
        <v/>
      </c>
      <c r="F441" s="24">
        <f>IF(E441="","",IF(E441&gt;PursantajTol,"Finansman yükü: maliyet ödemeden önde",IF(E441&lt;-PursantajTol,"Lehte: ödeme maliyetten önde","Uyumlu")))</f>
        <v/>
      </c>
    </row>
    <row r="442">
      <c r="A442" s="5" t="n"/>
      <c r="B442" s="22" t="n"/>
      <c r="C442" s="20">
        <f>IF(A442="","",SUMIF('Keşif'!$B$5:$B$504,A442,'Keşif'!$H$5:$H$504))</f>
        <v/>
      </c>
      <c r="D442" s="23">
        <f>IF(OR(A442="",'Keşif'!$H$3=0),"",C442/'Keşif'!$H$3)</f>
        <v/>
      </c>
      <c r="E442" s="23">
        <f>IF(OR(B442="",D442=""),"",D442-B442)</f>
        <v/>
      </c>
      <c r="F442" s="24">
        <f>IF(E442="","",IF(E442&gt;PursantajTol,"Finansman yükü: maliyet ödemeden önde",IF(E442&lt;-PursantajTol,"Lehte: ödeme maliyetten önde","Uyumlu")))</f>
        <v/>
      </c>
    </row>
    <row r="443">
      <c r="A443" s="5" t="n"/>
      <c r="B443" s="22" t="n"/>
      <c r="C443" s="20">
        <f>IF(A443="","",SUMIF('Keşif'!$B$5:$B$504,A443,'Keşif'!$H$5:$H$504))</f>
        <v/>
      </c>
      <c r="D443" s="23">
        <f>IF(OR(A443="",'Keşif'!$H$3=0),"",C443/'Keşif'!$H$3)</f>
        <v/>
      </c>
      <c r="E443" s="23">
        <f>IF(OR(B443="",D443=""),"",D443-B443)</f>
        <v/>
      </c>
      <c r="F443" s="24">
        <f>IF(E443="","",IF(E443&gt;PursantajTol,"Finansman yükü: maliyet ödemeden önde",IF(E443&lt;-PursantajTol,"Lehte: ödeme maliyetten önde","Uyumlu")))</f>
        <v/>
      </c>
    </row>
    <row r="444">
      <c r="A444" s="5" t="n"/>
      <c r="B444" s="22" t="n"/>
      <c r="C444" s="20">
        <f>IF(A444="","",SUMIF('Keşif'!$B$5:$B$504,A444,'Keşif'!$H$5:$H$504))</f>
        <v/>
      </c>
      <c r="D444" s="23">
        <f>IF(OR(A444="",'Keşif'!$H$3=0),"",C444/'Keşif'!$H$3)</f>
        <v/>
      </c>
      <c r="E444" s="23">
        <f>IF(OR(B444="",D444=""),"",D444-B444)</f>
        <v/>
      </c>
      <c r="F444" s="24">
        <f>IF(E444="","",IF(E444&gt;PursantajTol,"Finansman yükü: maliyet ödemeden önde",IF(E444&lt;-PursantajTol,"Lehte: ödeme maliyetten önde","Uyumlu")))</f>
        <v/>
      </c>
    </row>
    <row r="445">
      <c r="A445" s="5" t="n"/>
      <c r="B445" s="22" t="n"/>
      <c r="C445" s="20">
        <f>IF(A445="","",SUMIF('Keşif'!$B$5:$B$504,A445,'Keşif'!$H$5:$H$504))</f>
        <v/>
      </c>
      <c r="D445" s="23">
        <f>IF(OR(A445="",'Keşif'!$H$3=0),"",C445/'Keşif'!$H$3)</f>
        <v/>
      </c>
      <c r="E445" s="23">
        <f>IF(OR(B445="",D445=""),"",D445-B445)</f>
        <v/>
      </c>
      <c r="F445" s="24">
        <f>IF(E445="","",IF(E445&gt;PursantajTol,"Finansman yükü: maliyet ödemeden önde",IF(E445&lt;-PursantajTol,"Lehte: ödeme maliyetten önde","Uyumlu")))</f>
        <v/>
      </c>
    </row>
    <row r="446">
      <c r="A446" s="5" t="n"/>
      <c r="B446" s="22" t="n"/>
      <c r="C446" s="20">
        <f>IF(A446="","",SUMIF('Keşif'!$B$5:$B$504,A446,'Keşif'!$H$5:$H$504))</f>
        <v/>
      </c>
      <c r="D446" s="23">
        <f>IF(OR(A446="",'Keşif'!$H$3=0),"",C446/'Keşif'!$H$3)</f>
        <v/>
      </c>
      <c r="E446" s="23">
        <f>IF(OR(B446="",D446=""),"",D446-B446)</f>
        <v/>
      </c>
      <c r="F446" s="24">
        <f>IF(E446="","",IF(E446&gt;PursantajTol,"Finansman yükü: maliyet ödemeden önde",IF(E446&lt;-PursantajTol,"Lehte: ödeme maliyetten önde","Uyumlu")))</f>
        <v/>
      </c>
    </row>
    <row r="447">
      <c r="A447" s="5" t="n"/>
      <c r="B447" s="22" t="n"/>
      <c r="C447" s="20">
        <f>IF(A447="","",SUMIF('Keşif'!$B$5:$B$504,A447,'Keşif'!$H$5:$H$504))</f>
        <v/>
      </c>
      <c r="D447" s="23">
        <f>IF(OR(A447="",'Keşif'!$H$3=0),"",C447/'Keşif'!$H$3)</f>
        <v/>
      </c>
      <c r="E447" s="23">
        <f>IF(OR(B447="",D447=""),"",D447-B447)</f>
        <v/>
      </c>
      <c r="F447" s="24">
        <f>IF(E447="","",IF(E447&gt;PursantajTol,"Finansman yükü: maliyet ödemeden önde",IF(E447&lt;-PursantajTol,"Lehte: ödeme maliyetten önde","Uyumlu")))</f>
        <v/>
      </c>
    </row>
    <row r="448">
      <c r="A448" s="5" t="n"/>
      <c r="B448" s="22" t="n"/>
      <c r="C448" s="20">
        <f>IF(A448="","",SUMIF('Keşif'!$B$5:$B$504,A448,'Keşif'!$H$5:$H$504))</f>
        <v/>
      </c>
      <c r="D448" s="23">
        <f>IF(OR(A448="",'Keşif'!$H$3=0),"",C448/'Keşif'!$H$3)</f>
        <v/>
      </c>
      <c r="E448" s="23">
        <f>IF(OR(B448="",D448=""),"",D448-B448)</f>
        <v/>
      </c>
      <c r="F448" s="24">
        <f>IF(E448="","",IF(E448&gt;PursantajTol,"Finansman yükü: maliyet ödemeden önde",IF(E448&lt;-PursantajTol,"Lehte: ödeme maliyetten önde","Uyumlu")))</f>
        <v/>
      </c>
    </row>
    <row r="449">
      <c r="A449" s="5" t="n"/>
      <c r="B449" s="22" t="n"/>
      <c r="C449" s="20">
        <f>IF(A449="","",SUMIF('Keşif'!$B$5:$B$504,A449,'Keşif'!$H$5:$H$504))</f>
        <v/>
      </c>
      <c r="D449" s="23">
        <f>IF(OR(A449="",'Keşif'!$H$3=0),"",C449/'Keşif'!$H$3)</f>
        <v/>
      </c>
      <c r="E449" s="23">
        <f>IF(OR(B449="",D449=""),"",D449-B449)</f>
        <v/>
      </c>
      <c r="F449" s="24">
        <f>IF(E449="","",IF(E449&gt;PursantajTol,"Finansman yükü: maliyet ödemeden önde",IF(E449&lt;-PursantajTol,"Lehte: ödeme maliyetten önde","Uyumlu")))</f>
        <v/>
      </c>
    </row>
    <row r="450">
      <c r="A450" s="5" t="n"/>
      <c r="B450" s="22" t="n"/>
      <c r="C450" s="20">
        <f>IF(A450="","",SUMIF('Keşif'!$B$5:$B$504,A450,'Keşif'!$H$5:$H$504))</f>
        <v/>
      </c>
      <c r="D450" s="23">
        <f>IF(OR(A450="",'Keşif'!$H$3=0),"",C450/'Keşif'!$H$3)</f>
        <v/>
      </c>
      <c r="E450" s="23">
        <f>IF(OR(B450="",D450=""),"",D450-B450)</f>
        <v/>
      </c>
      <c r="F450" s="24">
        <f>IF(E450="","",IF(E450&gt;PursantajTol,"Finansman yükü: maliyet ödemeden önde",IF(E450&lt;-PursantajTol,"Lehte: ödeme maliyetten önde","Uyumlu")))</f>
        <v/>
      </c>
    </row>
    <row r="451">
      <c r="A451" s="5" t="n"/>
      <c r="B451" s="22" t="n"/>
      <c r="C451" s="20">
        <f>IF(A451="","",SUMIF('Keşif'!$B$5:$B$504,A451,'Keşif'!$H$5:$H$504))</f>
        <v/>
      </c>
      <c r="D451" s="23">
        <f>IF(OR(A451="",'Keşif'!$H$3=0),"",C451/'Keşif'!$H$3)</f>
        <v/>
      </c>
      <c r="E451" s="23">
        <f>IF(OR(B451="",D451=""),"",D451-B451)</f>
        <v/>
      </c>
      <c r="F451" s="24">
        <f>IF(E451="","",IF(E451&gt;PursantajTol,"Finansman yükü: maliyet ödemeden önde",IF(E451&lt;-PursantajTol,"Lehte: ödeme maliyetten önde","Uyumlu")))</f>
        <v/>
      </c>
    </row>
    <row r="452">
      <c r="A452" s="5" t="n"/>
      <c r="B452" s="22" t="n"/>
      <c r="C452" s="20">
        <f>IF(A452="","",SUMIF('Keşif'!$B$5:$B$504,A452,'Keşif'!$H$5:$H$504))</f>
        <v/>
      </c>
      <c r="D452" s="23">
        <f>IF(OR(A452="",'Keşif'!$H$3=0),"",C452/'Keşif'!$H$3)</f>
        <v/>
      </c>
      <c r="E452" s="23">
        <f>IF(OR(B452="",D452=""),"",D452-B452)</f>
        <v/>
      </c>
      <c r="F452" s="24">
        <f>IF(E452="","",IF(E452&gt;PursantajTol,"Finansman yükü: maliyet ödemeden önde",IF(E452&lt;-PursantajTol,"Lehte: ödeme maliyetten önde","Uyumlu")))</f>
        <v/>
      </c>
    </row>
    <row r="453">
      <c r="A453" s="5" t="n"/>
      <c r="B453" s="22" t="n"/>
      <c r="C453" s="20">
        <f>IF(A453="","",SUMIF('Keşif'!$B$5:$B$504,A453,'Keşif'!$H$5:$H$504))</f>
        <v/>
      </c>
      <c r="D453" s="23">
        <f>IF(OR(A453="",'Keşif'!$H$3=0),"",C453/'Keşif'!$H$3)</f>
        <v/>
      </c>
      <c r="E453" s="23">
        <f>IF(OR(B453="",D453=""),"",D453-B453)</f>
        <v/>
      </c>
      <c r="F453" s="24">
        <f>IF(E453="","",IF(E453&gt;PursantajTol,"Finansman yükü: maliyet ödemeden önde",IF(E453&lt;-PursantajTol,"Lehte: ödeme maliyetten önde","Uyumlu")))</f>
        <v/>
      </c>
    </row>
    <row r="454">
      <c r="A454" s="5" t="n"/>
      <c r="B454" s="22" t="n"/>
      <c r="C454" s="20">
        <f>IF(A454="","",SUMIF('Keşif'!$B$5:$B$504,A454,'Keşif'!$H$5:$H$504))</f>
        <v/>
      </c>
      <c r="D454" s="23">
        <f>IF(OR(A454="",'Keşif'!$H$3=0),"",C454/'Keşif'!$H$3)</f>
        <v/>
      </c>
      <c r="E454" s="23">
        <f>IF(OR(B454="",D454=""),"",D454-B454)</f>
        <v/>
      </c>
      <c r="F454" s="24">
        <f>IF(E454="","",IF(E454&gt;PursantajTol,"Finansman yükü: maliyet ödemeden önde",IF(E454&lt;-PursantajTol,"Lehte: ödeme maliyetten önde","Uyumlu")))</f>
        <v/>
      </c>
    </row>
    <row r="455">
      <c r="A455" s="5" t="n"/>
      <c r="B455" s="22" t="n"/>
      <c r="C455" s="20">
        <f>IF(A455="","",SUMIF('Keşif'!$B$5:$B$504,A455,'Keşif'!$H$5:$H$504))</f>
        <v/>
      </c>
      <c r="D455" s="23">
        <f>IF(OR(A455="",'Keşif'!$H$3=0),"",C455/'Keşif'!$H$3)</f>
        <v/>
      </c>
      <c r="E455" s="23">
        <f>IF(OR(B455="",D455=""),"",D455-B455)</f>
        <v/>
      </c>
      <c r="F455" s="24">
        <f>IF(E455="","",IF(E455&gt;PursantajTol,"Finansman yükü: maliyet ödemeden önde",IF(E455&lt;-PursantajTol,"Lehte: ödeme maliyetten önde","Uyumlu")))</f>
        <v/>
      </c>
    </row>
    <row r="456">
      <c r="A456" s="5" t="n"/>
      <c r="B456" s="22" t="n"/>
      <c r="C456" s="20">
        <f>IF(A456="","",SUMIF('Keşif'!$B$5:$B$504,A456,'Keşif'!$H$5:$H$504))</f>
        <v/>
      </c>
      <c r="D456" s="23">
        <f>IF(OR(A456="",'Keşif'!$H$3=0),"",C456/'Keşif'!$H$3)</f>
        <v/>
      </c>
      <c r="E456" s="23">
        <f>IF(OR(B456="",D456=""),"",D456-B456)</f>
        <v/>
      </c>
      <c r="F456" s="24">
        <f>IF(E456="","",IF(E456&gt;PursantajTol,"Finansman yükü: maliyet ödemeden önde",IF(E456&lt;-PursantajTol,"Lehte: ödeme maliyetten önde","Uyumlu")))</f>
        <v/>
      </c>
    </row>
    <row r="457">
      <c r="A457" s="5" t="n"/>
      <c r="B457" s="22" t="n"/>
      <c r="C457" s="20">
        <f>IF(A457="","",SUMIF('Keşif'!$B$5:$B$504,A457,'Keşif'!$H$5:$H$504))</f>
        <v/>
      </c>
      <c r="D457" s="23">
        <f>IF(OR(A457="",'Keşif'!$H$3=0),"",C457/'Keşif'!$H$3)</f>
        <v/>
      </c>
      <c r="E457" s="23">
        <f>IF(OR(B457="",D457=""),"",D457-B457)</f>
        <v/>
      </c>
      <c r="F457" s="24">
        <f>IF(E457="","",IF(E457&gt;PursantajTol,"Finansman yükü: maliyet ödemeden önde",IF(E457&lt;-PursantajTol,"Lehte: ödeme maliyetten önde","Uyumlu")))</f>
        <v/>
      </c>
    </row>
    <row r="458">
      <c r="A458" s="5" t="n"/>
      <c r="B458" s="22" t="n"/>
      <c r="C458" s="20">
        <f>IF(A458="","",SUMIF('Keşif'!$B$5:$B$504,A458,'Keşif'!$H$5:$H$504))</f>
        <v/>
      </c>
      <c r="D458" s="23">
        <f>IF(OR(A458="",'Keşif'!$H$3=0),"",C458/'Keşif'!$H$3)</f>
        <v/>
      </c>
      <c r="E458" s="23">
        <f>IF(OR(B458="",D458=""),"",D458-B458)</f>
        <v/>
      </c>
      <c r="F458" s="24">
        <f>IF(E458="","",IF(E458&gt;PursantajTol,"Finansman yükü: maliyet ödemeden önde",IF(E458&lt;-PursantajTol,"Lehte: ödeme maliyetten önde","Uyumlu")))</f>
        <v/>
      </c>
    </row>
    <row r="459">
      <c r="A459" s="5" t="n"/>
      <c r="B459" s="22" t="n"/>
      <c r="C459" s="20">
        <f>IF(A459="","",SUMIF('Keşif'!$B$5:$B$504,A459,'Keşif'!$H$5:$H$504))</f>
        <v/>
      </c>
      <c r="D459" s="23">
        <f>IF(OR(A459="",'Keşif'!$H$3=0),"",C459/'Keşif'!$H$3)</f>
        <v/>
      </c>
      <c r="E459" s="23">
        <f>IF(OR(B459="",D459=""),"",D459-B459)</f>
        <v/>
      </c>
      <c r="F459" s="24">
        <f>IF(E459="","",IF(E459&gt;PursantajTol,"Finansman yükü: maliyet ödemeden önde",IF(E459&lt;-PursantajTol,"Lehte: ödeme maliyetten önde","Uyumlu")))</f>
        <v/>
      </c>
    </row>
    <row r="460">
      <c r="A460" s="5" t="n"/>
      <c r="B460" s="22" t="n"/>
      <c r="C460" s="20">
        <f>IF(A460="","",SUMIF('Keşif'!$B$5:$B$504,A460,'Keşif'!$H$5:$H$504))</f>
        <v/>
      </c>
      <c r="D460" s="23">
        <f>IF(OR(A460="",'Keşif'!$H$3=0),"",C460/'Keşif'!$H$3)</f>
        <v/>
      </c>
      <c r="E460" s="23">
        <f>IF(OR(B460="",D460=""),"",D460-B460)</f>
        <v/>
      </c>
      <c r="F460" s="24">
        <f>IF(E460="","",IF(E460&gt;PursantajTol,"Finansman yükü: maliyet ödemeden önde",IF(E460&lt;-PursantajTol,"Lehte: ödeme maliyetten önde","Uyumlu")))</f>
        <v/>
      </c>
    </row>
    <row r="461">
      <c r="A461" s="5" t="n"/>
      <c r="B461" s="22" t="n"/>
      <c r="C461" s="20">
        <f>IF(A461="","",SUMIF('Keşif'!$B$5:$B$504,A461,'Keşif'!$H$5:$H$504))</f>
        <v/>
      </c>
      <c r="D461" s="23">
        <f>IF(OR(A461="",'Keşif'!$H$3=0),"",C461/'Keşif'!$H$3)</f>
        <v/>
      </c>
      <c r="E461" s="23">
        <f>IF(OR(B461="",D461=""),"",D461-B461)</f>
        <v/>
      </c>
      <c r="F461" s="24">
        <f>IF(E461="","",IF(E461&gt;PursantajTol,"Finansman yükü: maliyet ödemeden önde",IF(E461&lt;-PursantajTol,"Lehte: ödeme maliyetten önde","Uyumlu")))</f>
        <v/>
      </c>
    </row>
    <row r="462">
      <c r="A462" s="5" t="n"/>
      <c r="B462" s="22" t="n"/>
      <c r="C462" s="20">
        <f>IF(A462="","",SUMIF('Keşif'!$B$5:$B$504,A462,'Keşif'!$H$5:$H$504))</f>
        <v/>
      </c>
      <c r="D462" s="23">
        <f>IF(OR(A462="",'Keşif'!$H$3=0),"",C462/'Keşif'!$H$3)</f>
        <v/>
      </c>
      <c r="E462" s="23">
        <f>IF(OR(B462="",D462=""),"",D462-B462)</f>
        <v/>
      </c>
      <c r="F462" s="24">
        <f>IF(E462="","",IF(E462&gt;PursantajTol,"Finansman yükü: maliyet ödemeden önde",IF(E462&lt;-PursantajTol,"Lehte: ödeme maliyetten önde","Uyumlu")))</f>
        <v/>
      </c>
    </row>
    <row r="463">
      <c r="A463" s="5" t="n"/>
      <c r="B463" s="22" t="n"/>
      <c r="C463" s="20">
        <f>IF(A463="","",SUMIF('Keşif'!$B$5:$B$504,A463,'Keşif'!$H$5:$H$504))</f>
        <v/>
      </c>
      <c r="D463" s="23">
        <f>IF(OR(A463="",'Keşif'!$H$3=0),"",C463/'Keşif'!$H$3)</f>
        <v/>
      </c>
      <c r="E463" s="23">
        <f>IF(OR(B463="",D463=""),"",D463-B463)</f>
        <v/>
      </c>
      <c r="F463" s="24">
        <f>IF(E463="","",IF(E463&gt;PursantajTol,"Finansman yükü: maliyet ödemeden önde",IF(E463&lt;-PursantajTol,"Lehte: ödeme maliyetten önde","Uyumlu")))</f>
        <v/>
      </c>
    </row>
    <row r="464">
      <c r="A464" s="5" t="n"/>
      <c r="B464" s="22" t="n"/>
      <c r="C464" s="20">
        <f>IF(A464="","",SUMIF('Keşif'!$B$5:$B$504,A464,'Keşif'!$H$5:$H$504))</f>
        <v/>
      </c>
      <c r="D464" s="23">
        <f>IF(OR(A464="",'Keşif'!$H$3=0),"",C464/'Keşif'!$H$3)</f>
        <v/>
      </c>
      <c r="E464" s="23">
        <f>IF(OR(B464="",D464=""),"",D464-B464)</f>
        <v/>
      </c>
      <c r="F464" s="24">
        <f>IF(E464="","",IF(E464&gt;PursantajTol,"Finansman yükü: maliyet ödemeden önde",IF(E464&lt;-PursantajTol,"Lehte: ödeme maliyetten önde","Uyumlu")))</f>
        <v/>
      </c>
    </row>
    <row r="465">
      <c r="A465" s="5" t="n"/>
      <c r="B465" s="22" t="n"/>
      <c r="C465" s="20">
        <f>IF(A465="","",SUMIF('Keşif'!$B$5:$B$504,A465,'Keşif'!$H$5:$H$504))</f>
        <v/>
      </c>
      <c r="D465" s="23">
        <f>IF(OR(A465="",'Keşif'!$H$3=0),"",C465/'Keşif'!$H$3)</f>
        <v/>
      </c>
      <c r="E465" s="23">
        <f>IF(OR(B465="",D465=""),"",D465-B465)</f>
        <v/>
      </c>
      <c r="F465" s="24">
        <f>IF(E465="","",IF(E465&gt;PursantajTol,"Finansman yükü: maliyet ödemeden önde",IF(E465&lt;-PursantajTol,"Lehte: ödeme maliyetten önde","Uyumlu")))</f>
        <v/>
      </c>
    </row>
    <row r="466">
      <c r="A466" s="5" t="n"/>
      <c r="B466" s="22" t="n"/>
      <c r="C466" s="20">
        <f>IF(A466="","",SUMIF('Keşif'!$B$5:$B$504,A466,'Keşif'!$H$5:$H$504))</f>
        <v/>
      </c>
      <c r="D466" s="23">
        <f>IF(OR(A466="",'Keşif'!$H$3=0),"",C466/'Keşif'!$H$3)</f>
        <v/>
      </c>
      <c r="E466" s="23">
        <f>IF(OR(B466="",D466=""),"",D466-B466)</f>
        <v/>
      </c>
      <c r="F466" s="24">
        <f>IF(E466="","",IF(E466&gt;PursantajTol,"Finansman yükü: maliyet ödemeden önde",IF(E466&lt;-PursantajTol,"Lehte: ödeme maliyetten önde","Uyumlu")))</f>
        <v/>
      </c>
    </row>
    <row r="467">
      <c r="A467" s="5" t="n"/>
      <c r="B467" s="22" t="n"/>
      <c r="C467" s="20">
        <f>IF(A467="","",SUMIF('Keşif'!$B$5:$B$504,A467,'Keşif'!$H$5:$H$504))</f>
        <v/>
      </c>
      <c r="D467" s="23">
        <f>IF(OR(A467="",'Keşif'!$H$3=0),"",C467/'Keşif'!$H$3)</f>
        <v/>
      </c>
      <c r="E467" s="23">
        <f>IF(OR(B467="",D467=""),"",D467-B467)</f>
        <v/>
      </c>
      <c r="F467" s="24">
        <f>IF(E467="","",IF(E467&gt;PursantajTol,"Finansman yükü: maliyet ödemeden önde",IF(E467&lt;-PursantajTol,"Lehte: ödeme maliyetten önde","Uyumlu")))</f>
        <v/>
      </c>
    </row>
    <row r="468">
      <c r="A468" s="5" t="n"/>
      <c r="B468" s="22" t="n"/>
      <c r="C468" s="20">
        <f>IF(A468="","",SUMIF('Keşif'!$B$5:$B$504,A468,'Keşif'!$H$5:$H$504))</f>
        <v/>
      </c>
      <c r="D468" s="23">
        <f>IF(OR(A468="",'Keşif'!$H$3=0),"",C468/'Keşif'!$H$3)</f>
        <v/>
      </c>
      <c r="E468" s="23">
        <f>IF(OR(B468="",D468=""),"",D468-B468)</f>
        <v/>
      </c>
      <c r="F468" s="24">
        <f>IF(E468="","",IF(E468&gt;PursantajTol,"Finansman yükü: maliyet ödemeden önde",IF(E468&lt;-PursantajTol,"Lehte: ödeme maliyetten önde","Uyumlu")))</f>
        <v/>
      </c>
    </row>
    <row r="469">
      <c r="A469" s="5" t="n"/>
      <c r="B469" s="22" t="n"/>
      <c r="C469" s="20">
        <f>IF(A469="","",SUMIF('Keşif'!$B$5:$B$504,A469,'Keşif'!$H$5:$H$504))</f>
        <v/>
      </c>
      <c r="D469" s="23">
        <f>IF(OR(A469="",'Keşif'!$H$3=0),"",C469/'Keşif'!$H$3)</f>
        <v/>
      </c>
      <c r="E469" s="23">
        <f>IF(OR(B469="",D469=""),"",D469-B469)</f>
        <v/>
      </c>
      <c r="F469" s="24">
        <f>IF(E469="","",IF(E469&gt;PursantajTol,"Finansman yükü: maliyet ödemeden önde",IF(E469&lt;-PursantajTol,"Lehte: ödeme maliyetten önde","Uyumlu")))</f>
        <v/>
      </c>
    </row>
    <row r="470">
      <c r="A470" s="5" t="n"/>
      <c r="B470" s="22" t="n"/>
      <c r="C470" s="20">
        <f>IF(A470="","",SUMIF('Keşif'!$B$5:$B$504,A470,'Keşif'!$H$5:$H$504))</f>
        <v/>
      </c>
      <c r="D470" s="23">
        <f>IF(OR(A470="",'Keşif'!$H$3=0),"",C470/'Keşif'!$H$3)</f>
        <v/>
      </c>
      <c r="E470" s="23">
        <f>IF(OR(B470="",D470=""),"",D470-B470)</f>
        <v/>
      </c>
      <c r="F470" s="24">
        <f>IF(E470="","",IF(E470&gt;PursantajTol,"Finansman yükü: maliyet ödemeden önde",IF(E470&lt;-PursantajTol,"Lehte: ödeme maliyetten önde","Uyumlu")))</f>
        <v/>
      </c>
    </row>
    <row r="471">
      <c r="A471" s="5" t="n"/>
      <c r="B471" s="22" t="n"/>
      <c r="C471" s="20">
        <f>IF(A471="","",SUMIF('Keşif'!$B$5:$B$504,A471,'Keşif'!$H$5:$H$504))</f>
        <v/>
      </c>
      <c r="D471" s="23">
        <f>IF(OR(A471="",'Keşif'!$H$3=0),"",C471/'Keşif'!$H$3)</f>
        <v/>
      </c>
      <c r="E471" s="23">
        <f>IF(OR(B471="",D471=""),"",D471-B471)</f>
        <v/>
      </c>
      <c r="F471" s="24">
        <f>IF(E471="","",IF(E471&gt;PursantajTol,"Finansman yükü: maliyet ödemeden önde",IF(E471&lt;-PursantajTol,"Lehte: ödeme maliyetten önde","Uyumlu")))</f>
        <v/>
      </c>
    </row>
    <row r="472">
      <c r="A472" s="5" t="n"/>
      <c r="B472" s="22" t="n"/>
      <c r="C472" s="20">
        <f>IF(A472="","",SUMIF('Keşif'!$B$5:$B$504,A472,'Keşif'!$H$5:$H$504))</f>
        <v/>
      </c>
      <c r="D472" s="23">
        <f>IF(OR(A472="",'Keşif'!$H$3=0),"",C472/'Keşif'!$H$3)</f>
        <v/>
      </c>
      <c r="E472" s="23">
        <f>IF(OR(B472="",D472=""),"",D472-B472)</f>
        <v/>
      </c>
      <c r="F472" s="24">
        <f>IF(E472="","",IF(E472&gt;PursantajTol,"Finansman yükü: maliyet ödemeden önde",IF(E472&lt;-PursantajTol,"Lehte: ödeme maliyetten önde","Uyumlu")))</f>
        <v/>
      </c>
    </row>
    <row r="473">
      <c r="A473" s="5" t="n"/>
      <c r="B473" s="22" t="n"/>
      <c r="C473" s="20">
        <f>IF(A473="","",SUMIF('Keşif'!$B$5:$B$504,A473,'Keşif'!$H$5:$H$504))</f>
        <v/>
      </c>
      <c r="D473" s="23">
        <f>IF(OR(A473="",'Keşif'!$H$3=0),"",C473/'Keşif'!$H$3)</f>
        <v/>
      </c>
      <c r="E473" s="23">
        <f>IF(OR(B473="",D473=""),"",D473-B473)</f>
        <v/>
      </c>
      <c r="F473" s="24">
        <f>IF(E473="","",IF(E473&gt;PursantajTol,"Finansman yükü: maliyet ödemeden önde",IF(E473&lt;-PursantajTol,"Lehte: ödeme maliyetten önde","Uyumlu")))</f>
        <v/>
      </c>
    </row>
    <row r="474">
      <c r="A474" s="5" t="n"/>
      <c r="B474" s="22" t="n"/>
      <c r="C474" s="20">
        <f>IF(A474="","",SUMIF('Keşif'!$B$5:$B$504,A474,'Keşif'!$H$5:$H$504))</f>
        <v/>
      </c>
      <c r="D474" s="23">
        <f>IF(OR(A474="",'Keşif'!$H$3=0),"",C474/'Keşif'!$H$3)</f>
        <v/>
      </c>
      <c r="E474" s="23">
        <f>IF(OR(B474="",D474=""),"",D474-B474)</f>
        <v/>
      </c>
      <c r="F474" s="24">
        <f>IF(E474="","",IF(E474&gt;PursantajTol,"Finansman yükü: maliyet ödemeden önde",IF(E474&lt;-PursantajTol,"Lehte: ödeme maliyetten önde","Uyumlu")))</f>
        <v/>
      </c>
    </row>
    <row r="475">
      <c r="A475" s="5" t="n"/>
      <c r="B475" s="22" t="n"/>
      <c r="C475" s="20">
        <f>IF(A475="","",SUMIF('Keşif'!$B$5:$B$504,A475,'Keşif'!$H$5:$H$504))</f>
        <v/>
      </c>
      <c r="D475" s="23">
        <f>IF(OR(A475="",'Keşif'!$H$3=0),"",C475/'Keşif'!$H$3)</f>
        <v/>
      </c>
      <c r="E475" s="23">
        <f>IF(OR(B475="",D475=""),"",D475-B475)</f>
        <v/>
      </c>
      <c r="F475" s="24">
        <f>IF(E475="","",IF(E475&gt;PursantajTol,"Finansman yükü: maliyet ödemeden önde",IF(E475&lt;-PursantajTol,"Lehte: ödeme maliyetten önde","Uyumlu")))</f>
        <v/>
      </c>
    </row>
    <row r="476">
      <c r="A476" s="5" t="n"/>
      <c r="B476" s="22" t="n"/>
      <c r="C476" s="20">
        <f>IF(A476="","",SUMIF('Keşif'!$B$5:$B$504,A476,'Keşif'!$H$5:$H$504))</f>
        <v/>
      </c>
      <c r="D476" s="23">
        <f>IF(OR(A476="",'Keşif'!$H$3=0),"",C476/'Keşif'!$H$3)</f>
        <v/>
      </c>
      <c r="E476" s="23">
        <f>IF(OR(B476="",D476=""),"",D476-B476)</f>
        <v/>
      </c>
      <c r="F476" s="24">
        <f>IF(E476="","",IF(E476&gt;PursantajTol,"Finansman yükü: maliyet ödemeden önde",IF(E476&lt;-PursantajTol,"Lehte: ödeme maliyetten önde","Uyumlu")))</f>
        <v/>
      </c>
    </row>
    <row r="477">
      <c r="A477" s="5" t="n"/>
      <c r="B477" s="22" t="n"/>
      <c r="C477" s="20">
        <f>IF(A477="","",SUMIF('Keşif'!$B$5:$B$504,A477,'Keşif'!$H$5:$H$504))</f>
        <v/>
      </c>
      <c r="D477" s="23">
        <f>IF(OR(A477="",'Keşif'!$H$3=0),"",C477/'Keşif'!$H$3)</f>
        <v/>
      </c>
      <c r="E477" s="23">
        <f>IF(OR(B477="",D477=""),"",D477-B477)</f>
        <v/>
      </c>
      <c r="F477" s="24">
        <f>IF(E477="","",IF(E477&gt;PursantajTol,"Finansman yükü: maliyet ödemeden önde",IF(E477&lt;-PursantajTol,"Lehte: ödeme maliyetten önde","Uyumlu")))</f>
        <v/>
      </c>
    </row>
    <row r="478">
      <c r="A478" s="5" t="n"/>
      <c r="B478" s="22" t="n"/>
      <c r="C478" s="20">
        <f>IF(A478="","",SUMIF('Keşif'!$B$5:$B$504,A478,'Keşif'!$H$5:$H$504))</f>
        <v/>
      </c>
      <c r="D478" s="23">
        <f>IF(OR(A478="",'Keşif'!$H$3=0),"",C478/'Keşif'!$H$3)</f>
        <v/>
      </c>
      <c r="E478" s="23">
        <f>IF(OR(B478="",D478=""),"",D478-B478)</f>
        <v/>
      </c>
      <c r="F478" s="24">
        <f>IF(E478="","",IF(E478&gt;PursantajTol,"Finansman yükü: maliyet ödemeden önde",IF(E478&lt;-PursantajTol,"Lehte: ödeme maliyetten önde","Uyumlu")))</f>
        <v/>
      </c>
    </row>
    <row r="479">
      <c r="A479" s="5" t="n"/>
      <c r="B479" s="22" t="n"/>
      <c r="C479" s="20">
        <f>IF(A479="","",SUMIF('Keşif'!$B$5:$B$504,A479,'Keşif'!$H$5:$H$504))</f>
        <v/>
      </c>
      <c r="D479" s="23">
        <f>IF(OR(A479="",'Keşif'!$H$3=0),"",C479/'Keşif'!$H$3)</f>
        <v/>
      </c>
      <c r="E479" s="23">
        <f>IF(OR(B479="",D479=""),"",D479-B479)</f>
        <v/>
      </c>
      <c r="F479" s="24">
        <f>IF(E479="","",IF(E479&gt;PursantajTol,"Finansman yükü: maliyet ödemeden önde",IF(E479&lt;-PursantajTol,"Lehte: ödeme maliyetten önde","Uyumlu")))</f>
        <v/>
      </c>
    </row>
    <row r="480">
      <c r="A480" s="5" t="n"/>
      <c r="B480" s="22" t="n"/>
      <c r="C480" s="20">
        <f>IF(A480="","",SUMIF('Keşif'!$B$5:$B$504,A480,'Keşif'!$H$5:$H$504))</f>
        <v/>
      </c>
      <c r="D480" s="23">
        <f>IF(OR(A480="",'Keşif'!$H$3=0),"",C480/'Keşif'!$H$3)</f>
        <v/>
      </c>
      <c r="E480" s="23">
        <f>IF(OR(B480="",D480=""),"",D480-B480)</f>
        <v/>
      </c>
      <c r="F480" s="24">
        <f>IF(E480="","",IF(E480&gt;PursantajTol,"Finansman yükü: maliyet ödemeden önde",IF(E480&lt;-PursantajTol,"Lehte: ödeme maliyetten önde","Uyumlu")))</f>
        <v/>
      </c>
    </row>
    <row r="481">
      <c r="A481" s="5" t="n"/>
      <c r="B481" s="22" t="n"/>
      <c r="C481" s="20">
        <f>IF(A481="","",SUMIF('Keşif'!$B$5:$B$504,A481,'Keşif'!$H$5:$H$504))</f>
        <v/>
      </c>
      <c r="D481" s="23">
        <f>IF(OR(A481="",'Keşif'!$H$3=0),"",C481/'Keşif'!$H$3)</f>
        <v/>
      </c>
      <c r="E481" s="23">
        <f>IF(OR(B481="",D481=""),"",D481-B481)</f>
        <v/>
      </c>
      <c r="F481" s="24">
        <f>IF(E481="","",IF(E481&gt;PursantajTol,"Finansman yükü: maliyet ödemeden önde",IF(E481&lt;-PursantajTol,"Lehte: ödeme maliyetten önde","Uyumlu")))</f>
        <v/>
      </c>
    </row>
    <row r="482">
      <c r="A482" s="5" t="n"/>
      <c r="B482" s="22" t="n"/>
      <c r="C482" s="20">
        <f>IF(A482="","",SUMIF('Keşif'!$B$5:$B$504,A482,'Keşif'!$H$5:$H$504))</f>
        <v/>
      </c>
      <c r="D482" s="23">
        <f>IF(OR(A482="",'Keşif'!$H$3=0),"",C482/'Keşif'!$H$3)</f>
        <v/>
      </c>
      <c r="E482" s="23">
        <f>IF(OR(B482="",D482=""),"",D482-B482)</f>
        <v/>
      </c>
      <c r="F482" s="24">
        <f>IF(E482="","",IF(E482&gt;PursantajTol,"Finansman yükü: maliyet ödemeden önde",IF(E482&lt;-PursantajTol,"Lehte: ödeme maliyetten önde","Uyumlu")))</f>
        <v/>
      </c>
    </row>
    <row r="483">
      <c r="A483" s="5" t="n"/>
      <c r="B483" s="22" t="n"/>
      <c r="C483" s="20">
        <f>IF(A483="","",SUMIF('Keşif'!$B$5:$B$504,A483,'Keşif'!$H$5:$H$504))</f>
        <v/>
      </c>
      <c r="D483" s="23">
        <f>IF(OR(A483="",'Keşif'!$H$3=0),"",C483/'Keşif'!$H$3)</f>
        <v/>
      </c>
      <c r="E483" s="23">
        <f>IF(OR(B483="",D483=""),"",D483-B483)</f>
        <v/>
      </c>
      <c r="F483" s="24">
        <f>IF(E483="","",IF(E483&gt;PursantajTol,"Finansman yükü: maliyet ödemeden önde",IF(E483&lt;-PursantajTol,"Lehte: ödeme maliyetten önde","Uyumlu")))</f>
        <v/>
      </c>
    </row>
    <row r="484">
      <c r="A484" s="5" t="n"/>
      <c r="B484" s="22" t="n"/>
      <c r="C484" s="20">
        <f>IF(A484="","",SUMIF('Keşif'!$B$5:$B$504,A484,'Keşif'!$H$5:$H$504))</f>
        <v/>
      </c>
      <c r="D484" s="23">
        <f>IF(OR(A484="",'Keşif'!$H$3=0),"",C484/'Keşif'!$H$3)</f>
        <v/>
      </c>
      <c r="E484" s="23">
        <f>IF(OR(B484="",D484=""),"",D484-B484)</f>
        <v/>
      </c>
      <c r="F484" s="24">
        <f>IF(E484="","",IF(E484&gt;PursantajTol,"Finansman yükü: maliyet ödemeden önde",IF(E484&lt;-PursantajTol,"Lehte: ödeme maliyetten önde","Uyumlu")))</f>
        <v/>
      </c>
    </row>
    <row r="485">
      <c r="A485" s="5" t="n"/>
      <c r="B485" s="22" t="n"/>
      <c r="C485" s="20">
        <f>IF(A485="","",SUMIF('Keşif'!$B$5:$B$504,A485,'Keşif'!$H$5:$H$504))</f>
        <v/>
      </c>
      <c r="D485" s="23">
        <f>IF(OR(A485="",'Keşif'!$H$3=0),"",C485/'Keşif'!$H$3)</f>
        <v/>
      </c>
      <c r="E485" s="23">
        <f>IF(OR(B485="",D485=""),"",D485-B485)</f>
        <v/>
      </c>
      <c r="F485" s="24">
        <f>IF(E485="","",IF(E485&gt;PursantajTol,"Finansman yükü: maliyet ödemeden önde",IF(E485&lt;-PursantajTol,"Lehte: ödeme maliyetten önde","Uyumlu")))</f>
        <v/>
      </c>
    </row>
    <row r="486">
      <c r="A486" s="5" t="n"/>
      <c r="B486" s="22" t="n"/>
      <c r="C486" s="20">
        <f>IF(A486="","",SUMIF('Keşif'!$B$5:$B$504,A486,'Keşif'!$H$5:$H$504))</f>
        <v/>
      </c>
      <c r="D486" s="23">
        <f>IF(OR(A486="",'Keşif'!$H$3=0),"",C486/'Keşif'!$H$3)</f>
        <v/>
      </c>
      <c r="E486" s="23">
        <f>IF(OR(B486="",D486=""),"",D486-B486)</f>
        <v/>
      </c>
      <c r="F486" s="24">
        <f>IF(E486="","",IF(E486&gt;PursantajTol,"Finansman yükü: maliyet ödemeden önde",IF(E486&lt;-PursantajTol,"Lehte: ödeme maliyetten önde","Uyumlu")))</f>
        <v/>
      </c>
    </row>
    <row r="487">
      <c r="A487" s="5" t="n"/>
      <c r="B487" s="22" t="n"/>
      <c r="C487" s="20">
        <f>IF(A487="","",SUMIF('Keşif'!$B$5:$B$504,A487,'Keşif'!$H$5:$H$504))</f>
        <v/>
      </c>
      <c r="D487" s="23">
        <f>IF(OR(A487="",'Keşif'!$H$3=0),"",C487/'Keşif'!$H$3)</f>
        <v/>
      </c>
      <c r="E487" s="23">
        <f>IF(OR(B487="",D487=""),"",D487-B487)</f>
        <v/>
      </c>
      <c r="F487" s="24">
        <f>IF(E487="","",IF(E487&gt;PursantajTol,"Finansman yükü: maliyet ödemeden önde",IF(E487&lt;-PursantajTol,"Lehte: ödeme maliyetten önde","Uyumlu")))</f>
        <v/>
      </c>
    </row>
    <row r="488">
      <c r="A488" s="5" t="n"/>
      <c r="B488" s="22" t="n"/>
      <c r="C488" s="20">
        <f>IF(A488="","",SUMIF('Keşif'!$B$5:$B$504,A488,'Keşif'!$H$5:$H$504))</f>
        <v/>
      </c>
      <c r="D488" s="23">
        <f>IF(OR(A488="",'Keşif'!$H$3=0),"",C488/'Keşif'!$H$3)</f>
        <v/>
      </c>
      <c r="E488" s="23">
        <f>IF(OR(B488="",D488=""),"",D488-B488)</f>
        <v/>
      </c>
      <c r="F488" s="24">
        <f>IF(E488="","",IF(E488&gt;PursantajTol,"Finansman yükü: maliyet ödemeden önde",IF(E488&lt;-PursantajTol,"Lehte: ödeme maliyetten önde","Uyumlu")))</f>
        <v/>
      </c>
    </row>
    <row r="489">
      <c r="A489" s="5" t="n"/>
      <c r="B489" s="22" t="n"/>
      <c r="C489" s="20">
        <f>IF(A489="","",SUMIF('Keşif'!$B$5:$B$504,A489,'Keşif'!$H$5:$H$504))</f>
        <v/>
      </c>
      <c r="D489" s="23">
        <f>IF(OR(A489="",'Keşif'!$H$3=0),"",C489/'Keşif'!$H$3)</f>
        <v/>
      </c>
      <c r="E489" s="23">
        <f>IF(OR(B489="",D489=""),"",D489-B489)</f>
        <v/>
      </c>
      <c r="F489" s="24">
        <f>IF(E489="","",IF(E489&gt;PursantajTol,"Finansman yükü: maliyet ödemeden önde",IF(E489&lt;-PursantajTol,"Lehte: ödeme maliyetten önde","Uyumlu")))</f>
        <v/>
      </c>
    </row>
    <row r="490">
      <c r="A490" s="5" t="n"/>
      <c r="B490" s="22" t="n"/>
      <c r="C490" s="20">
        <f>IF(A490="","",SUMIF('Keşif'!$B$5:$B$504,A490,'Keşif'!$H$5:$H$504))</f>
        <v/>
      </c>
      <c r="D490" s="23">
        <f>IF(OR(A490="",'Keşif'!$H$3=0),"",C490/'Keşif'!$H$3)</f>
        <v/>
      </c>
      <c r="E490" s="23">
        <f>IF(OR(B490="",D490=""),"",D490-B490)</f>
        <v/>
      </c>
      <c r="F490" s="24">
        <f>IF(E490="","",IF(E490&gt;PursantajTol,"Finansman yükü: maliyet ödemeden önde",IF(E490&lt;-PursantajTol,"Lehte: ödeme maliyetten önde","Uyumlu")))</f>
        <v/>
      </c>
    </row>
    <row r="491">
      <c r="A491" s="5" t="n"/>
      <c r="B491" s="22" t="n"/>
      <c r="C491" s="20">
        <f>IF(A491="","",SUMIF('Keşif'!$B$5:$B$504,A491,'Keşif'!$H$5:$H$504))</f>
        <v/>
      </c>
      <c r="D491" s="23">
        <f>IF(OR(A491="",'Keşif'!$H$3=0),"",C491/'Keşif'!$H$3)</f>
        <v/>
      </c>
      <c r="E491" s="23">
        <f>IF(OR(B491="",D491=""),"",D491-B491)</f>
        <v/>
      </c>
      <c r="F491" s="24">
        <f>IF(E491="","",IF(E491&gt;PursantajTol,"Finansman yükü: maliyet ödemeden önde",IF(E491&lt;-PursantajTol,"Lehte: ödeme maliyetten önde","Uyumlu")))</f>
        <v/>
      </c>
    </row>
    <row r="492">
      <c r="A492" s="5" t="n"/>
      <c r="B492" s="22" t="n"/>
      <c r="C492" s="20">
        <f>IF(A492="","",SUMIF('Keşif'!$B$5:$B$504,A492,'Keşif'!$H$5:$H$504))</f>
        <v/>
      </c>
      <c r="D492" s="23">
        <f>IF(OR(A492="",'Keşif'!$H$3=0),"",C492/'Keşif'!$H$3)</f>
        <v/>
      </c>
      <c r="E492" s="23">
        <f>IF(OR(B492="",D492=""),"",D492-B492)</f>
        <v/>
      </c>
      <c r="F492" s="24">
        <f>IF(E492="","",IF(E492&gt;PursantajTol,"Finansman yükü: maliyet ödemeden önde",IF(E492&lt;-PursantajTol,"Lehte: ödeme maliyetten önde","Uyumlu")))</f>
        <v/>
      </c>
    </row>
    <row r="493">
      <c r="A493" s="5" t="n"/>
      <c r="B493" s="22" t="n"/>
      <c r="C493" s="20">
        <f>IF(A493="","",SUMIF('Keşif'!$B$5:$B$504,A493,'Keşif'!$H$5:$H$504))</f>
        <v/>
      </c>
      <c r="D493" s="23">
        <f>IF(OR(A493="",'Keşif'!$H$3=0),"",C493/'Keşif'!$H$3)</f>
        <v/>
      </c>
      <c r="E493" s="23">
        <f>IF(OR(B493="",D493=""),"",D493-B493)</f>
        <v/>
      </c>
      <c r="F493" s="24">
        <f>IF(E493="","",IF(E493&gt;PursantajTol,"Finansman yükü: maliyet ödemeden önde",IF(E493&lt;-PursantajTol,"Lehte: ödeme maliyetten önde","Uyumlu")))</f>
        <v/>
      </c>
    </row>
    <row r="494">
      <c r="A494" s="5" t="n"/>
      <c r="B494" s="22" t="n"/>
      <c r="C494" s="20">
        <f>IF(A494="","",SUMIF('Keşif'!$B$5:$B$504,A494,'Keşif'!$H$5:$H$504))</f>
        <v/>
      </c>
      <c r="D494" s="23">
        <f>IF(OR(A494="",'Keşif'!$H$3=0),"",C494/'Keşif'!$H$3)</f>
        <v/>
      </c>
      <c r="E494" s="23">
        <f>IF(OR(B494="",D494=""),"",D494-B494)</f>
        <v/>
      </c>
      <c r="F494" s="24">
        <f>IF(E494="","",IF(E494&gt;PursantajTol,"Finansman yükü: maliyet ödemeden önde",IF(E494&lt;-PursantajTol,"Lehte: ödeme maliyetten önde","Uyumlu")))</f>
        <v/>
      </c>
    </row>
    <row r="495">
      <c r="A495" s="5" t="n"/>
      <c r="B495" s="22" t="n"/>
      <c r="C495" s="20">
        <f>IF(A495="","",SUMIF('Keşif'!$B$5:$B$504,A495,'Keşif'!$H$5:$H$504))</f>
        <v/>
      </c>
      <c r="D495" s="23">
        <f>IF(OR(A495="",'Keşif'!$H$3=0),"",C495/'Keşif'!$H$3)</f>
        <v/>
      </c>
      <c r="E495" s="23">
        <f>IF(OR(B495="",D495=""),"",D495-B495)</f>
        <v/>
      </c>
      <c r="F495" s="24">
        <f>IF(E495="","",IF(E495&gt;PursantajTol,"Finansman yükü: maliyet ödemeden önde",IF(E495&lt;-PursantajTol,"Lehte: ödeme maliyetten önde","Uyumlu")))</f>
        <v/>
      </c>
    </row>
    <row r="496">
      <c r="A496" s="5" t="n"/>
      <c r="B496" s="22" t="n"/>
      <c r="C496" s="20">
        <f>IF(A496="","",SUMIF('Keşif'!$B$5:$B$504,A496,'Keşif'!$H$5:$H$504))</f>
        <v/>
      </c>
      <c r="D496" s="23">
        <f>IF(OR(A496="",'Keşif'!$H$3=0),"",C496/'Keşif'!$H$3)</f>
        <v/>
      </c>
      <c r="E496" s="23">
        <f>IF(OR(B496="",D496=""),"",D496-B496)</f>
        <v/>
      </c>
      <c r="F496" s="24">
        <f>IF(E496="","",IF(E496&gt;PursantajTol,"Finansman yükü: maliyet ödemeden önde",IF(E496&lt;-PursantajTol,"Lehte: ödeme maliyetten önde","Uyumlu")))</f>
        <v/>
      </c>
    </row>
    <row r="497">
      <c r="A497" s="5" t="n"/>
      <c r="B497" s="22" t="n"/>
      <c r="C497" s="20">
        <f>IF(A497="","",SUMIF('Keşif'!$B$5:$B$504,A497,'Keşif'!$H$5:$H$504))</f>
        <v/>
      </c>
      <c r="D497" s="23">
        <f>IF(OR(A497="",'Keşif'!$H$3=0),"",C497/'Keşif'!$H$3)</f>
        <v/>
      </c>
      <c r="E497" s="23">
        <f>IF(OR(B497="",D497=""),"",D497-B497)</f>
        <v/>
      </c>
      <c r="F497" s="24">
        <f>IF(E497="","",IF(E497&gt;PursantajTol,"Finansman yükü: maliyet ödemeden önde",IF(E497&lt;-PursantajTol,"Lehte: ödeme maliyetten önde","Uyumlu")))</f>
        <v/>
      </c>
    </row>
    <row r="498">
      <c r="A498" s="5" t="n"/>
      <c r="B498" s="22" t="n"/>
      <c r="C498" s="20">
        <f>IF(A498="","",SUMIF('Keşif'!$B$5:$B$504,A498,'Keşif'!$H$5:$H$504))</f>
        <v/>
      </c>
      <c r="D498" s="23">
        <f>IF(OR(A498="",'Keşif'!$H$3=0),"",C498/'Keşif'!$H$3)</f>
        <v/>
      </c>
      <c r="E498" s="23">
        <f>IF(OR(B498="",D498=""),"",D498-B498)</f>
        <v/>
      </c>
      <c r="F498" s="24">
        <f>IF(E498="","",IF(E498&gt;PursantajTol,"Finansman yükü: maliyet ödemeden önde",IF(E498&lt;-PursantajTol,"Lehte: ödeme maliyetten önde","Uyumlu")))</f>
        <v/>
      </c>
    </row>
    <row r="499">
      <c r="A499" s="5" t="n"/>
      <c r="B499" s="22" t="n"/>
      <c r="C499" s="20">
        <f>IF(A499="","",SUMIF('Keşif'!$B$5:$B$504,A499,'Keşif'!$H$5:$H$504))</f>
        <v/>
      </c>
      <c r="D499" s="23">
        <f>IF(OR(A499="",'Keşif'!$H$3=0),"",C499/'Keşif'!$H$3)</f>
        <v/>
      </c>
      <c r="E499" s="23">
        <f>IF(OR(B499="",D499=""),"",D499-B499)</f>
        <v/>
      </c>
      <c r="F499" s="24">
        <f>IF(E499="","",IF(E499&gt;PursantajTol,"Finansman yükü: maliyet ödemeden önde",IF(E499&lt;-PursantajTol,"Lehte: ödeme maliyetten önde","Uyumlu")))</f>
        <v/>
      </c>
    </row>
    <row r="500">
      <c r="A500" s="5" t="n"/>
      <c r="B500" s="22" t="n"/>
      <c r="C500" s="20">
        <f>IF(A500="","",SUMIF('Keşif'!$B$5:$B$504,A500,'Keşif'!$H$5:$H$504))</f>
        <v/>
      </c>
      <c r="D500" s="23">
        <f>IF(OR(A500="",'Keşif'!$H$3=0),"",C500/'Keşif'!$H$3)</f>
        <v/>
      </c>
      <c r="E500" s="23">
        <f>IF(OR(B500="",D500=""),"",D500-B500)</f>
        <v/>
      </c>
      <c r="F500" s="24">
        <f>IF(E500="","",IF(E500&gt;PursantajTol,"Finansman yükü: maliyet ödemeden önde",IF(E500&lt;-PursantajTol,"Lehte: ödeme maliyetten önde","Uyumlu")))</f>
        <v/>
      </c>
    </row>
    <row r="501">
      <c r="A501" s="5" t="n"/>
      <c r="B501" s="22" t="n"/>
      <c r="C501" s="20">
        <f>IF(A501="","",SUMIF('Keşif'!$B$5:$B$504,A501,'Keşif'!$H$5:$H$504))</f>
        <v/>
      </c>
      <c r="D501" s="23">
        <f>IF(OR(A501="",'Keşif'!$H$3=0),"",C501/'Keşif'!$H$3)</f>
        <v/>
      </c>
      <c r="E501" s="23">
        <f>IF(OR(B501="",D501=""),"",D501-B501)</f>
        <v/>
      </c>
      <c r="F501" s="24">
        <f>IF(E501="","",IF(E501&gt;PursantajTol,"Finansman yükü: maliyet ödemeden önde",IF(E501&lt;-PursantajTol,"Lehte: ödeme maliyetten önde","Uyumlu")))</f>
        <v/>
      </c>
    </row>
    <row r="502">
      <c r="A502" s="5" t="n"/>
      <c r="B502" s="22" t="n"/>
      <c r="C502" s="20">
        <f>IF(A502="","",SUMIF('Keşif'!$B$5:$B$504,A502,'Keşif'!$H$5:$H$504))</f>
        <v/>
      </c>
      <c r="D502" s="23">
        <f>IF(OR(A502="",'Keşif'!$H$3=0),"",C502/'Keşif'!$H$3)</f>
        <v/>
      </c>
      <c r="E502" s="23">
        <f>IF(OR(B502="",D502=""),"",D502-B502)</f>
        <v/>
      </c>
      <c r="F502" s="24">
        <f>IF(E502="","",IF(E502&gt;PursantajTol,"Finansman yükü: maliyet ödemeden önde",IF(E502&lt;-PursantajTol,"Lehte: ödeme maliyetten önde","Uyumlu")))</f>
        <v/>
      </c>
    </row>
    <row r="503">
      <c r="A503" s="5" t="n"/>
      <c r="B503" s="22" t="n"/>
      <c r="C503" s="20">
        <f>IF(A503="","",SUMIF('Keşif'!$B$5:$B$504,A503,'Keşif'!$H$5:$H$504))</f>
        <v/>
      </c>
      <c r="D503" s="23">
        <f>IF(OR(A503="",'Keşif'!$H$3=0),"",C503/'Keşif'!$H$3)</f>
        <v/>
      </c>
      <c r="E503" s="23">
        <f>IF(OR(B503="",D503=""),"",D503-B503)</f>
        <v/>
      </c>
      <c r="F503" s="24">
        <f>IF(E503="","",IF(E503&gt;PursantajTol,"Finansman yükü: maliyet ödemeden önde",IF(E503&lt;-PursantajTol,"Lehte: ödeme maliyetten önde","Uyumlu")))</f>
        <v/>
      </c>
    </row>
    <row r="504">
      <c r="A504" s="5" t="n"/>
      <c r="B504" s="22" t="n"/>
      <c r="C504" s="20">
        <f>IF(A504="","",SUMIF('Keşif'!$B$5:$B$504,A504,'Keşif'!$H$5:$H$504))</f>
        <v/>
      </c>
      <c r="D504" s="23">
        <f>IF(OR(A504="",'Keşif'!$H$3=0),"",C504/'Keşif'!$H$3)</f>
        <v/>
      </c>
      <c r="E504" s="23">
        <f>IF(OR(B504="",D504=""),"",D504-B504)</f>
        <v/>
      </c>
      <c r="F504" s="24">
        <f>IF(E504="","",IF(E504&gt;PursantajTol,"Finansman yükü: maliyet ödemeden önde",IF(E504&lt;-PursantajTol,"Lehte: ödeme maliyetten önde","Uyumlu")))</f>
        <v/>
      </c>
    </row>
  </sheetData>
  <autoFilter ref="A4:F504"/>
  <mergeCells count="2">
    <mergeCell ref="A2:F2"/>
    <mergeCell ref="A1:F1"/>
  </mergeCells>
  <conditionalFormatting sqref="F5:F504">
    <cfRule type="expression" priority="1" dxfId="2">
      <formula>ISNUMBER(SEARCH("Finansman",F5))</formula>
    </cfRule>
    <cfRule type="expression" priority="2" dxfId="0">
      <formula>ISNUMBER(SEARCH("Lehte",F5))</formula>
    </cfRule>
    <cfRule type="expression" priority="3" dxfId="0">
      <formula>ISNUMBER(SEARCH("Uyumlu",F5))</formula>
    </cfRule>
  </conditionalFormatting>
  <conditionalFormatting sqref="B3">
    <cfRule type="expression" priority="4" dxfId="2">
      <formula>AND(B3&lt;&gt;0,ABS(B3-1)&gt;0.001)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16" customWidth="1" min="4" max="4"/>
    <col width="50" customWidth="1" min="5" max="5"/>
  </cols>
  <sheetData>
    <row r="1" ht="28" customHeight="1">
      <c r="A1" s="1" t="inlineStr">
        <is>
          <t>YETERLİLİK KONTROLÜ</t>
        </is>
      </c>
    </row>
    <row r="2" ht="30" customHeight="1">
      <c r="A2" s="2" t="inlineStr">
        <is>
          <t>İdari şartnamedeki katılım ve yeterlilik koşullarının firma profiliyle karşılaştırması.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Koşul</t>
        </is>
      </c>
      <c r="C4" s="17" t="inlineStr">
        <is>
          <t>Şartname Maddesi</t>
        </is>
      </c>
      <c r="D4" s="17" t="inlineStr">
        <is>
          <t>Firma Durumu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ISNUMBER(SEARCH("Eksik",D5))</formula>
    </cfRule>
    <cfRule type="expression" priority="2" dxfId="1">
      <formula>ISNUMBER(SEARCH("Belirsiz",D5))</formula>
    </cfRule>
    <cfRule type="expression" priority="3" dxfId="0">
      <formula>ISNUMBER(SEARCH("Karşılıyor",D5))</formula>
    </cfRule>
  </conditionalFormatting>
  <dataValidations count="1">
    <dataValidation sqref="D5:D504" showDropDown="0" showInputMessage="0" showErrorMessage="0" allowBlank="1" type="list">
      <formula1>"Karşılıyor,Eksik,Belirsiz"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18" customWidth="1" min="4" max="4"/>
    <col width="50" customWidth="1" min="5" max="5"/>
  </cols>
  <sheetData>
    <row r="1" ht="28" customHeight="1">
      <c r="A1" s="1" t="inlineStr">
        <is>
          <t>TEKNİK DEĞERLENDİRME</t>
        </is>
      </c>
    </row>
    <row r="2" ht="30" customHeight="1">
      <c r="A2" s="2" t="inlineStr">
        <is>
          <t>Teknik şartname gereksinimleri, karşılanamayan ve rekabeti kısıtlayan maddeler.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Gereksinim</t>
        </is>
      </c>
      <c r="C4" s="17" t="inlineStr">
        <is>
          <t>Şartname Maddesi</t>
        </is>
      </c>
      <c r="D4" s="17" t="inlineStr">
        <is>
          <t>Durum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ISNUMBER(SEARCH("Karşılanamıyor",D5))</formula>
    </cfRule>
    <cfRule type="expression" priority="2" dxfId="3">
      <formula>ISNUMBER(SEARCH("Kısıtlayıcı",D5))</formula>
    </cfRule>
    <cfRule type="expression" priority="3" dxfId="1">
      <formula>ISNUMBER(SEARCH("Belirsiz",D5))</formula>
    </cfRule>
  </conditionalFormatting>
  <dataValidations count="1">
    <dataValidation sqref="D5:D504" showDropDown="0" showInputMessage="0" showErrorMessage="0" allowBlank="1" type="list">
      <formula1>"Karşılanıyor,Karşılanamıyor,Belirsiz,Kısıtlayıcı"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8" customWidth="1" min="4" max="4"/>
    <col width="56" customWidth="1" min="5" max="5"/>
  </cols>
  <sheetData>
    <row r="1" ht="28" customHeight="1">
      <c r="A1" s="1" t="inlineStr">
        <is>
          <t>MALİ DEĞERLENDİRME</t>
        </is>
      </c>
    </row>
    <row r="2" ht="30" customHeight="1">
      <c r="A2" s="2" t="inlineStr">
        <is>
          <t>Teminat, ödeme, avans, fiyat farkı, ceza ve kârlılık kalemleri.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Kalem</t>
        </is>
      </c>
      <c r="C4" s="17" t="inlineStr">
        <is>
          <t>Değer</t>
        </is>
      </c>
      <c r="D4" s="17" t="inlineStr">
        <is>
          <t>Kaynak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2" customWidth="1" min="4" max="4"/>
    <col width="50" customWidth="1" min="5" max="5"/>
  </cols>
  <sheetData>
    <row r="1" ht="28" customHeight="1">
      <c r="A1" s="1" t="inlineStr">
        <is>
          <t>RİSK LİSTESİ</t>
        </is>
      </c>
    </row>
    <row r="2" ht="30" customHeight="1">
      <c r="A2" s="2" t="inlineStr">
        <is>
          <t>Risk denetçisinin derecelendirdiği riskler ve önlemler.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Risk</t>
        </is>
      </c>
      <c r="C4" s="17" t="inlineStr">
        <is>
          <t>Kaynak</t>
        </is>
      </c>
      <c r="D4" s="17" t="inlineStr">
        <is>
          <t>Seviye</t>
        </is>
      </c>
      <c r="E4" s="17" t="inlineStr">
        <is>
          <t>Önlem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ISNUMBER(SEARCH("Yüksek",D5))</formula>
    </cfRule>
    <cfRule type="expression" priority="2" dxfId="1">
      <formula>ISNUMBER(SEARCH("Orta",D5))</formula>
    </cfRule>
    <cfRule type="expression" priority="3" dxfId="0">
      <formula>ISNUMBER(SEARCH("Düşük",D5))</formula>
    </cfRule>
  </conditionalFormatting>
  <dataValidations count="1">
    <dataValidation sqref="D5:D504" showDropDown="0" showInputMessage="0" showErrorMessage="0" allowBlank="1" type="list">
      <formula1>"Düşük,Orta,Yüksek"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8" customWidth="1" min="4" max="4"/>
    <col width="13" customWidth="1" min="5" max="5"/>
    <col width="14" customWidth="1" min="6" max="6"/>
    <col width="17" customWidth="1" min="7" max="7"/>
    <col width="17" customWidth="1" min="8" max="8"/>
    <col width="15" customWidth="1" min="9" max="9"/>
    <col width="36" customWidth="1" min="10" max="10"/>
  </cols>
  <sheetData>
    <row r="1" ht="28" customHeight="1">
      <c r="A1" s="1" t="inlineStr">
        <is>
          <t>KİŞİSEL HESAP</t>
        </is>
      </c>
    </row>
    <row r="2" ht="30" customHeight="1">
      <c r="A2" s="2" t="inlineStr">
        <is>
          <t>Kullanıcının kendi hesap kurallarıyla bulunan tutarın sistem tahminiyle karşılaştırması (kisisel_hesap.py çıktısı).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  <c r="F3" s="15" t="n"/>
      <c r="G3" s="16">
        <f>SUM(G5:G504)</f>
        <v/>
      </c>
      <c r="H3" s="16">
        <f>SUM(H5:H504)</f>
        <v/>
      </c>
      <c r="I3" s="16">
        <f>SUM(I5:I504)</f>
        <v/>
      </c>
      <c r="J3" s="15" t="n"/>
    </row>
    <row r="4" ht="32" customHeight="1">
      <c r="A4" s="17" t="inlineStr">
        <is>
          <t>Sıra</t>
        </is>
      </c>
      <c r="B4" s="17" t="inlineStr">
        <is>
          <t>Poz No</t>
        </is>
      </c>
      <c r="C4" s="17" t="inlineStr">
        <is>
          <t>Tanım</t>
        </is>
      </c>
      <c r="D4" s="17" t="inlineStr">
        <is>
          <t>Birim</t>
        </is>
      </c>
      <c r="E4" s="17" t="inlineStr">
        <is>
          <t>Miktar</t>
        </is>
      </c>
      <c r="F4" s="17" t="inlineStr">
        <is>
          <t>Birim Fiyat</t>
        </is>
      </c>
      <c r="G4" s="17" t="inlineStr">
        <is>
          <t>Sistem Tutarı</t>
        </is>
      </c>
      <c r="H4" s="17" t="inlineStr">
        <is>
          <t>Kişisel Tutar</t>
        </is>
      </c>
      <c r="I4" s="17" t="inlineStr">
        <is>
          <t>Fark</t>
        </is>
      </c>
      <c r="J4" s="17" t="inlineStr">
        <is>
          <t>Uygulanan Kurallar</t>
        </is>
      </c>
    </row>
    <row r="5">
      <c r="A5" s="5" t="n"/>
      <c r="B5" s="5" t="n"/>
      <c r="C5" s="5" t="n"/>
      <c r="D5" s="5" t="n"/>
      <c r="E5" s="19" t="n"/>
      <c r="F5" s="18" t="n"/>
      <c r="G5" s="18" t="n"/>
      <c r="H5" s="18" t="n"/>
      <c r="I5" s="20">
        <f>IF(OR(G5="",H5=""),"",H5-G5)</f>
        <v/>
      </c>
      <c r="J5" s="5" t="n"/>
    </row>
    <row r="6">
      <c r="A6" s="5" t="n"/>
      <c r="B6" s="5" t="n"/>
      <c r="C6" s="5" t="n"/>
      <c r="D6" s="5" t="n"/>
      <c r="E6" s="19" t="n"/>
      <c r="F6" s="18" t="n"/>
      <c r="G6" s="18" t="n"/>
      <c r="H6" s="18" t="n"/>
      <c r="I6" s="20">
        <f>IF(OR(G6="",H6=""),"",H6-G6)</f>
        <v/>
      </c>
      <c r="J6" s="5" t="n"/>
    </row>
    <row r="7">
      <c r="A7" s="5" t="n"/>
      <c r="B7" s="5" t="n"/>
      <c r="C7" s="5" t="n"/>
      <c r="D7" s="5" t="n"/>
      <c r="E7" s="19" t="n"/>
      <c r="F7" s="18" t="n"/>
      <c r="G7" s="18" t="n"/>
      <c r="H7" s="18" t="n"/>
      <c r="I7" s="20">
        <f>IF(OR(G7="",H7=""),"",H7-G7)</f>
        <v/>
      </c>
      <c r="J7" s="5" t="n"/>
    </row>
    <row r="8">
      <c r="A8" s="5" t="n"/>
      <c r="B8" s="5" t="n"/>
      <c r="C8" s="5" t="n"/>
      <c r="D8" s="5" t="n"/>
      <c r="E8" s="19" t="n"/>
      <c r="F8" s="18" t="n"/>
      <c r="G8" s="18" t="n"/>
      <c r="H8" s="18" t="n"/>
      <c r="I8" s="20">
        <f>IF(OR(G8="",H8=""),"",H8-G8)</f>
        <v/>
      </c>
      <c r="J8" s="5" t="n"/>
    </row>
    <row r="9">
      <c r="A9" s="5" t="n"/>
      <c r="B9" s="5" t="n"/>
      <c r="C9" s="5" t="n"/>
      <c r="D9" s="5" t="n"/>
      <c r="E9" s="19" t="n"/>
      <c r="F9" s="18" t="n"/>
      <c r="G9" s="18" t="n"/>
      <c r="H9" s="18" t="n"/>
      <c r="I9" s="20">
        <f>IF(OR(G9="",H9=""),"",H9-G9)</f>
        <v/>
      </c>
      <c r="J9" s="5" t="n"/>
    </row>
    <row r="10">
      <c r="A10" s="5" t="n"/>
      <c r="B10" s="5" t="n"/>
      <c r="C10" s="5" t="n"/>
      <c r="D10" s="5" t="n"/>
      <c r="E10" s="19" t="n"/>
      <c r="F10" s="18" t="n"/>
      <c r="G10" s="18" t="n"/>
      <c r="H10" s="18" t="n"/>
      <c r="I10" s="20">
        <f>IF(OR(G10="",H10=""),"",H10-G10)</f>
        <v/>
      </c>
      <c r="J10" s="5" t="n"/>
    </row>
    <row r="11">
      <c r="A11" s="5" t="n"/>
      <c r="B11" s="5" t="n"/>
      <c r="C11" s="5" t="n"/>
      <c r="D11" s="5" t="n"/>
      <c r="E11" s="19" t="n"/>
      <c r="F11" s="18" t="n"/>
      <c r="G11" s="18" t="n"/>
      <c r="H11" s="18" t="n"/>
      <c r="I11" s="20">
        <f>IF(OR(G11="",H11=""),"",H11-G11)</f>
        <v/>
      </c>
      <c r="J11" s="5" t="n"/>
    </row>
    <row r="12">
      <c r="A12" s="5" t="n"/>
      <c r="B12" s="5" t="n"/>
      <c r="C12" s="5" t="n"/>
      <c r="D12" s="5" t="n"/>
      <c r="E12" s="19" t="n"/>
      <c r="F12" s="18" t="n"/>
      <c r="G12" s="18" t="n"/>
      <c r="H12" s="18" t="n"/>
      <c r="I12" s="20">
        <f>IF(OR(G12="",H12=""),"",H12-G12)</f>
        <v/>
      </c>
      <c r="J12" s="5" t="n"/>
    </row>
    <row r="13">
      <c r="A13" s="5" t="n"/>
      <c r="B13" s="5" t="n"/>
      <c r="C13" s="5" t="n"/>
      <c r="D13" s="5" t="n"/>
      <c r="E13" s="19" t="n"/>
      <c r="F13" s="18" t="n"/>
      <c r="G13" s="18" t="n"/>
      <c r="H13" s="18" t="n"/>
      <c r="I13" s="20">
        <f>IF(OR(G13="",H13=""),"",H13-G13)</f>
        <v/>
      </c>
      <c r="J13" s="5" t="n"/>
    </row>
    <row r="14">
      <c r="A14" s="5" t="n"/>
      <c r="B14" s="5" t="n"/>
      <c r="C14" s="5" t="n"/>
      <c r="D14" s="5" t="n"/>
      <c r="E14" s="19" t="n"/>
      <c r="F14" s="18" t="n"/>
      <c r="G14" s="18" t="n"/>
      <c r="H14" s="18" t="n"/>
      <c r="I14" s="20">
        <f>IF(OR(G14="",H14=""),"",H14-G14)</f>
        <v/>
      </c>
      <c r="J14" s="5" t="n"/>
    </row>
    <row r="15">
      <c r="A15" s="5" t="n"/>
      <c r="B15" s="5" t="n"/>
      <c r="C15" s="5" t="n"/>
      <c r="D15" s="5" t="n"/>
      <c r="E15" s="19" t="n"/>
      <c r="F15" s="18" t="n"/>
      <c r="G15" s="18" t="n"/>
      <c r="H15" s="18" t="n"/>
      <c r="I15" s="20">
        <f>IF(OR(G15="",H15=""),"",H15-G15)</f>
        <v/>
      </c>
      <c r="J15" s="5" t="n"/>
    </row>
    <row r="16">
      <c r="A16" s="5" t="n"/>
      <c r="B16" s="5" t="n"/>
      <c r="C16" s="5" t="n"/>
      <c r="D16" s="5" t="n"/>
      <c r="E16" s="19" t="n"/>
      <c r="F16" s="18" t="n"/>
      <c r="G16" s="18" t="n"/>
      <c r="H16" s="18" t="n"/>
      <c r="I16" s="20">
        <f>IF(OR(G16="",H16=""),"",H16-G16)</f>
        <v/>
      </c>
      <c r="J16" s="5" t="n"/>
    </row>
    <row r="17">
      <c r="A17" s="5" t="n"/>
      <c r="B17" s="5" t="n"/>
      <c r="C17" s="5" t="n"/>
      <c r="D17" s="5" t="n"/>
      <c r="E17" s="19" t="n"/>
      <c r="F17" s="18" t="n"/>
      <c r="G17" s="18" t="n"/>
      <c r="H17" s="18" t="n"/>
      <c r="I17" s="20">
        <f>IF(OR(G17="",H17=""),"",H17-G17)</f>
        <v/>
      </c>
      <c r="J17" s="5" t="n"/>
    </row>
    <row r="18">
      <c r="A18" s="5" t="n"/>
      <c r="B18" s="5" t="n"/>
      <c r="C18" s="5" t="n"/>
      <c r="D18" s="5" t="n"/>
      <c r="E18" s="19" t="n"/>
      <c r="F18" s="18" t="n"/>
      <c r="G18" s="18" t="n"/>
      <c r="H18" s="18" t="n"/>
      <c r="I18" s="20">
        <f>IF(OR(G18="",H18=""),"",H18-G18)</f>
        <v/>
      </c>
      <c r="J18" s="5" t="n"/>
    </row>
    <row r="19">
      <c r="A19" s="5" t="n"/>
      <c r="B19" s="5" t="n"/>
      <c r="C19" s="5" t="n"/>
      <c r="D19" s="5" t="n"/>
      <c r="E19" s="19" t="n"/>
      <c r="F19" s="18" t="n"/>
      <c r="G19" s="18" t="n"/>
      <c r="H19" s="18" t="n"/>
      <c r="I19" s="20">
        <f>IF(OR(G19="",H19=""),"",H19-G19)</f>
        <v/>
      </c>
      <c r="J19" s="5" t="n"/>
    </row>
    <row r="20">
      <c r="A20" s="5" t="n"/>
      <c r="B20" s="5" t="n"/>
      <c r="C20" s="5" t="n"/>
      <c r="D20" s="5" t="n"/>
      <c r="E20" s="19" t="n"/>
      <c r="F20" s="18" t="n"/>
      <c r="G20" s="18" t="n"/>
      <c r="H20" s="18" t="n"/>
      <c r="I20" s="20">
        <f>IF(OR(G20="",H20=""),"",H20-G20)</f>
        <v/>
      </c>
      <c r="J20" s="5" t="n"/>
    </row>
    <row r="21">
      <c r="A21" s="5" t="n"/>
      <c r="B21" s="5" t="n"/>
      <c r="C21" s="5" t="n"/>
      <c r="D21" s="5" t="n"/>
      <c r="E21" s="19" t="n"/>
      <c r="F21" s="18" t="n"/>
      <c r="G21" s="18" t="n"/>
      <c r="H21" s="18" t="n"/>
      <c r="I21" s="20">
        <f>IF(OR(G21="",H21=""),"",H21-G21)</f>
        <v/>
      </c>
      <c r="J21" s="5" t="n"/>
    </row>
    <row r="22">
      <c r="A22" s="5" t="n"/>
      <c r="B22" s="5" t="n"/>
      <c r="C22" s="5" t="n"/>
      <c r="D22" s="5" t="n"/>
      <c r="E22" s="19" t="n"/>
      <c r="F22" s="18" t="n"/>
      <c r="G22" s="18" t="n"/>
      <c r="H22" s="18" t="n"/>
      <c r="I22" s="20">
        <f>IF(OR(G22="",H22=""),"",H22-G22)</f>
        <v/>
      </c>
      <c r="J22" s="5" t="n"/>
    </row>
    <row r="23">
      <c r="A23" s="5" t="n"/>
      <c r="B23" s="5" t="n"/>
      <c r="C23" s="5" t="n"/>
      <c r="D23" s="5" t="n"/>
      <c r="E23" s="19" t="n"/>
      <c r="F23" s="18" t="n"/>
      <c r="G23" s="18" t="n"/>
      <c r="H23" s="18" t="n"/>
      <c r="I23" s="20">
        <f>IF(OR(G23="",H23=""),"",H23-G23)</f>
        <v/>
      </c>
      <c r="J23" s="5" t="n"/>
    </row>
    <row r="24">
      <c r="A24" s="5" t="n"/>
      <c r="B24" s="5" t="n"/>
      <c r="C24" s="5" t="n"/>
      <c r="D24" s="5" t="n"/>
      <c r="E24" s="19" t="n"/>
      <c r="F24" s="18" t="n"/>
      <c r="G24" s="18" t="n"/>
      <c r="H24" s="18" t="n"/>
      <c r="I24" s="20">
        <f>IF(OR(G24="",H24=""),"",H24-G24)</f>
        <v/>
      </c>
      <c r="J24" s="5" t="n"/>
    </row>
    <row r="25">
      <c r="A25" s="5" t="n"/>
      <c r="B25" s="5" t="n"/>
      <c r="C25" s="5" t="n"/>
      <c r="D25" s="5" t="n"/>
      <c r="E25" s="19" t="n"/>
      <c r="F25" s="18" t="n"/>
      <c r="G25" s="18" t="n"/>
      <c r="H25" s="18" t="n"/>
      <c r="I25" s="20">
        <f>IF(OR(G25="",H25=""),"",H25-G25)</f>
        <v/>
      </c>
      <c r="J25" s="5" t="n"/>
    </row>
    <row r="26">
      <c r="A26" s="5" t="n"/>
      <c r="B26" s="5" t="n"/>
      <c r="C26" s="5" t="n"/>
      <c r="D26" s="5" t="n"/>
      <c r="E26" s="19" t="n"/>
      <c r="F26" s="18" t="n"/>
      <c r="G26" s="18" t="n"/>
      <c r="H26" s="18" t="n"/>
      <c r="I26" s="20">
        <f>IF(OR(G26="",H26=""),"",H26-G26)</f>
        <v/>
      </c>
      <c r="J26" s="5" t="n"/>
    </row>
    <row r="27">
      <c r="A27" s="5" t="n"/>
      <c r="B27" s="5" t="n"/>
      <c r="C27" s="5" t="n"/>
      <c r="D27" s="5" t="n"/>
      <c r="E27" s="19" t="n"/>
      <c r="F27" s="18" t="n"/>
      <c r="G27" s="18" t="n"/>
      <c r="H27" s="18" t="n"/>
      <c r="I27" s="20">
        <f>IF(OR(G27="",H27=""),"",H27-G27)</f>
        <v/>
      </c>
      <c r="J27" s="5" t="n"/>
    </row>
    <row r="28">
      <c r="A28" s="5" t="n"/>
      <c r="B28" s="5" t="n"/>
      <c r="C28" s="5" t="n"/>
      <c r="D28" s="5" t="n"/>
      <c r="E28" s="19" t="n"/>
      <c r="F28" s="18" t="n"/>
      <c r="G28" s="18" t="n"/>
      <c r="H28" s="18" t="n"/>
      <c r="I28" s="20">
        <f>IF(OR(G28="",H28=""),"",H28-G28)</f>
        <v/>
      </c>
      <c r="J28" s="5" t="n"/>
    </row>
    <row r="29">
      <c r="A29" s="5" t="n"/>
      <c r="B29" s="5" t="n"/>
      <c r="C29" s="5" t="n"/>
      <c r="D29" s="5" t="n"/>
      <c r="E29" s="19" t="n"/>
      <c r="F29" s="18" t="n"/>
      <c r="G29" s="18" t="n"/>
      <c r="H29" s="18" t="n"/>
      <c r="I29" s="20">
        <f>IF(OR(G29="",H29=""),"",H29-G29)</f>
        <v/>
      </c>
      <c r="J29" s="5" t="n"/>
    </row>
    <row r="30">
      <c r="A30" s="5" t="n"/>
      <c r="B30" s="5" t="n"/>
      <c r="C30" s="5" t="n"/>
      <c r="D30" s="5" t="n"/>
      <c r="E30" s="19" t="n"/>
      <c r="F30" s="18" t="n"/>
      <c r="G30" s="18" t="n"/>
      <c r="H30" s="18" t="n"/>
      <c r="I30" s="20">
        <f>IF(OR(G30="",H30=""),"",H30-G30)</f>
        <v/>
      </c>
      <c r="J30" s="5" t="n"/>
    </row>
    <row r="31">
      <c r="A31" s="5" t="n"/>
      <c r="B31" s="5" t="n"/>
      <c r="C31" s="5" t="n"/>
      <c r="D31" s="5" t="n"/>
      <c r="E31" s="19" t="n"/>
      <c r="F31" s="18" t="n"/>
      <c r="G31" s="18" t="n"/>
      <c r="H31" s="18" t="n"/>
      <c r="I31" s="20">
        <f>IF(OR(G31="",H31=""),"",H31-G31)</f>
        <v/>
      </c>
      <c r="J31" s="5" t="n"/>
    </row>
    <row r="32">
      <c r="A32" s="5" t="n"/>
      <c r="B32" s="5" t="n"/>
      <c r="C32" s="5" t="n"/>
      <c r="D32" s="5" t="n"/>
      <c r="E32" s="19" t="n"/>
      <c r="F32" s="18" t="n"/>
      <c r="G32" s="18" t="n"/>
      <c r="H32" s="18" t="n"/>
      <c r="I32" s="20">
        <f>IF(OR(G32="",H32=""),"",H32-G32)</f>
        <v/>
      </c>
      <c r="J32" s="5" t="n"/>
    </row>
    <row r="33">
      <c r="A33" s="5" t="n"/>
      <c r="B33" s="5" t="n"/>
      <c r="C33" s="5" t="n"/>
      <c r="D33" s="5" t="n"/>
      <c r="E33" s="19" t="n"/>
      <c r="F33" s="18" t="n"/>
      <c r="G33" s="18" t="n"/>
      <c r="H33" s="18" t="n"/>
      <c r="I33" s="20">
        <f>IF(OR(G33="",H33=""),"",H33-G33)</f>
        <v/>
      </c>
      <c r="J33" s="5" t="n"/>
    </row>
    <row r="34">
      <c r="A34" s="5" t="n"/>
      <c r="B34" s="5" t="n"/>
      <c r="C34" s="5" t="n"/>
      <c r="D34" s="5" t="n"/>
      <c r="E34" s="19" t="n"/>
      <c r="F34" s="18" t="n"/>
      <c r="G34" s="18" t="n"/>
      <c r="H34" s="18" t="n"/>
      <c r="I34" s="20">
        <f>IF(OR(G34="",H34=""),"",H34-G34)</f>
        <v/>
      </c>
      <c r="J34" s="5" t="n"/>
    </row>
    <row r="35">
      <c r="A35" s="5" t="n"/>
      <c r="B35" s="5" t="n"/>
      <c r="C35" s="5" t="n"/>
      <c r="D35" s="5" t="n"/>
      <c r="E35" s="19" t="n"/>
      <c r="F35" s="18" t="n"/>
      <c r="G35" s="18" t="n"/>
      <c r="H35" s="18" t="n"/>
      <c r="I35" s="20">
        <f>IF(OR(G35="",H35=""),"",H35-G35)</f>
        <v/>
      </c>
      <c r="J35" s="5" t="n"/>
    </row>
    <row r="36">
      <c r="A36" s="5" t="n"/>
      <c r="B36" s="5" t="n"/>
      <c r="C36" s="5" t="n"/>
      <c r="D36" s="5" t="n"/>
      <c r="E36" s="19" t="n"/>
      <c r="F36" s="18" t="n"/>
      <c r="G36" s="18" t="n"/>
      <c r="H36" s="18" t="n"/>
      <c r="I36" s="20">
        <f>IF(OR(G36="",H36=""),"",H36-G36)</f>
        <v/>
      </c>
      <c r="J36" s="5" t="n"/>
    </row>
    <row r="37">
      <c r="A37" s="5" t="n"/>
      <c r="B37" s="5" t="n"/>
      <c r="C37" s="5" t="n"/>
      <c r="D37" s="5" t="n"/>
      <c r="E37" s="19" t="n"/>
      <c r="F37" s="18" t="n"/>
      <c r="G37" s="18" t="n"/>
      <c r="H37" s="18" t="n"/>
      <c r="I37" s="20">
        <f>IF(OR(G37="",H37=""),"",H37-G37)</f>
        <v/>
      </c>
      <c r="J37" s="5" t="n"/>
    </row>
    <row r="38">
      <c r="A38" s="5" t="n"/>
      <c r="B38" s="5" t="n"/>
      <c r="C38" s="5" t="n"/>
      <c r="D38" s="5" t="n"/>
      <c r="E38" s="19" t="n"/>
      <c r="F38" s="18" t="n"/>
      <c r="G38" s="18" t="n"/>
      <c r="H38" s="18" t="n"/>
      <c r="I38" s="20">
        <f>IF(OR(G38="",H38=""),"",H38-G38)</f>
        <v/>
      </c>
      <c r="J38" s="5" t="n"/>
    </row>
    <row r="39">
      <c r="A39" s="5" t="n"/>
      <c r="B39" s="5" t="n"/>
      <c r="C39" s="5" t="n"/>
      <c r="D39" s="5" t="n"/>
      <c r="E39" s="19" t="n"/>
      <c r="F39" s="18" t="n"/>
      <c r="G39" s="18" t="n"/>
      <c r="H39" s="18" t="n"/>
      <c r="I39" s="20">
        <f>IF(OR(G39="",H39=""),"",H39-G39)</f>
        <v/>
      </c>
      <c r="J39" s="5" t="n"/>
    </row>
    <row r="40">
      <c r="A40" s="5" t="n"/>
      <c r="B40" s="5" t="n"/>
      <c r="C40" s="5" t="n"/>
      <c r="D40" s="5" t="n"/>
      <c r="E40" s="19" t="n"/>
      <c r="F40" s="18" t="n"/>
      <c r="G40" s="18" t="n"/>
      <c r="H40" s="18" t="n"/>
      <c r="I40" s="20">
        <f>IF(OR(G40="",H40=""),"",H40-G40)</f>
        <v/>
      </c>
      <c r="J40" s="5" t="n"/>
    </row>
    <row r="41">
      <c r="A41" s="5" t="n"/>
      <c r="B41" s="5" t="n"/>
      <c r="C41" s="5" t="n"/>
      <c r="D41" s="5" t="n"/>
      <c r="E41" s="19" t="n"/>
      <c r="F41" s="18" t="n"/>
      <c r="G41" s="18" t="n"/>
      <c r="H41" s="18" t="n"/>
      <c r="I41" s="20">
        <f>IF(OR(G41="",H41=""),"",H41-G41)</f>
        <v/>
      </c>
      <c r="J41" s="5" t="n"/>
    </row>
    <row r="42">
      <c r="A42" s="5" t="n"/>
      <c r="B42" s="5" t="n"/>
      <c r="C42" s="5" t="n"/>
      <c r="D42" s="5" t="n"/>
      <c r="E42" s="19" t="n"/>
      <c r="F42" s="18" t="n"/>
      <c r="G42" s="18" t="n"/>
      <c r="H42" s="18" t="n"/>
      <c r="I42" s="20">
        <f>IF(OR(G42="",H42=""),"",H42-G42)</f>
        <v/>
      </c>
      <c r="J42" s="5" t="n"/>
    </row>
    <row r="43">
      <c r="A43" s="5" t="n"/>
      <c r="B43" s="5" t="n"/>
      <c r="C43" s="5" t="n"/>
      <c r="D43" s="5" t="n"/>
      <c r="E43" s="19" t="n"/>
      <c r="F43" s="18" t="n"/>
      <c r="G43" s="18" t="n"/>
      <c r="H43" s="18" t="n"/>
      <c r="I43" s="20">
        <f>IF(OR(G43="",H43=""),"",H43-G43)</f>
        <v/>
      </c>
      <c r="J43" s="5" t="n"/>
    </row>
    <row r="44">
      <c r="A44" s="5" t="n"/>
      <c r="B44" s="5" t="n"/>
      <c r="C44" s="5" t="n"/>
      <c r="D44" s="5" t="n"/>
      <c r="E44" s="19" t="n"/>
      <c r="F44" s="18" t="n"/>
      <c r="G44" s="18" t="n"/>
      <c r="H44" s="18" t="n"/>
      <c r="I44" s="20">
        <f>IF(OR(G44="",H44=""),"",H44-G44)</f>
        <v/>
      </c>
      <c r="J44" s="5" t="n"/>
    </row>
    <row r="45">
      <c r="A45" s="5" t="n"/>
      <c r="B45" s="5" t="n"/>
      <c r="C45" s="5" t="n"/>
      <c r="D45" s="5" t="n"/>
      <c r="E45" s="19" t="n"/>
      <c r="F45" s="18" t="n"/>
      <c r="G45" s="18" t="n"/>
      <c r="H45" s="18" t="n"/>
      <c r="I45" s="20">
        <f>IF(OR(G45="",H45=""),"",H45-G45)</f>
        <v/>
      </c>
      <c r="J45" s="5" t="n"/>
    </row>
    <row r="46">
      <c r="A46" s="5" t="n"/>
      <c r="B46" s="5" t="n"/>
      <c r="C46" s="5" t="n"/>
      <c r="D46" s="5" t="n"/>
      <c r="E46" s="19" t="n"/>
      <c r="F46" s="18" t="n"/>
      <c r="G46" s="18" t="n"/>
      <c r="H46" s="18" t="n"/>
      <c r="I46" s="20">
        <f>IF(OR(G46="",H46=""),"",H46-G46)</f>
        <v/>
      </c>
      <c r="J46" s="5" t="n"/>
    </row>
    <row r="47">
      <c r="A47" s="5" t="n"/>
      <c r="B47" s="5" t="n"/>
      <c r="C47" s="5" t="n"/>
      <c r="D47" s="5" t="n"/>
      <c r="E47" s="19" t="n"/>
      <c r="F47" s="18" t="n"/>
      <c r="G47" s="18" t="n"/>
      <c r="H47" s="18" t="n"/>
      <c r="I47" s="20">
        <f>IF(OR(G47="",H47=""),"",H47-G47)</f>
        <v/>
      </c>
      <c r="J47" s="5" t="n"/>
    </row>
    <row r="48">
      <c r="A48" s="5" t="n"/>
      <c r="B48" s="5" t="n"/>
      <c r="C48" s="5" t="n"/>
      <c r="D48" s="5" t="n"/>
      <c r="E48" s="19" t="n"/>
      <c r="F48" s="18" t="n"/>
      <c r="G48" s="18" t="n"/>
      <c r="H48" s="18" t="n"/>
      <c r="I48" s="20">
        <f>IF(OR(G48="",H48=""),"",H48-G48)</f>
        <v/>
      </c>
      <c r="J48" s="5" t="n"/>
    </row>
    <row r="49">
      <c r="A49" s="5" t="n"/>
      <c r="B49" s="5" t="n"/>
      <c r="C49" s="5" t="n"/>
      <c r="D49" s="5" t="n"/>
      <c r="E49" s="19" t="n"/>
      <c r="F49" s="18" t="n"/>
      <c r="G49" s="18" t="n"/>
      <c r="H49" s="18" t="n"/>
      <c r="I49" s="20">
        <f>IF(OR(G49="",H49=""),"",H49-G49)</f>
        <v/>
      </c>
      <c r="J49" s="5" t="n"/>
    </row>
    <row r="50">
      <c r="A50" s="5" t="n"/>
      <c r="B50" s="5" t="n"/>
      <c r="C50" s="5" t="n"/>
      <c r="D50" s="5" t="n"/>
      <c r="E50" s="19" t="n"/>
      <c r="F50" s="18" t="n"/>
      <c r="G50" s="18" t="n"/>
      <c r="H50" s="18" t="n"/>
      <c r="I50" s="20">
        <f>IF(OR(G50="",H50=""),"",H50-G50)</f>
        <v/>
      </c>
      <c r="J50" s="5" t="n"/>
    </row>
    <row r="51">
      <c r="A51" s="5" t="n"/>
      <c r="B51" s="5" t="n"/>
      <c r="C51" s="5" t="n"/>
      <c r="D51" s="5" t="n"/>
      <c r="E51" s="19" t="n"/>
      <c r="F51" s="18" t="n"/>
      <c r="G51" s="18" t="n"/>
      <c r="H51" s="18" t="n"/>
      <c r="I51" s="20">
        <f>IF(OR(G51="",H51=""),"",H51-G51)</f>
        <v/>
      </c>
      <c r="J51" s="5" t="n"/>
    </row>
    <row r="52">
      <c r="A52" s="5" t="n"/>
      <c r="B52" s="5" t="n"/>
      <c r="C52" s="5" t="n"/>
      <c r="D52" s="5" t="n"/>
      <c r="E52" s="19" t="n"/>
      <c r="F52" s="18" t="n"/>
      <c r="G52" s="18" t="n"/>
      <c r="H52" s="18" t="n"/>
      <c r="I52" s="20">
        <f>IF(OR(G52="",H52=""),"",H52-G52)</f>
        <v/>
      </c>
      <c r="J52" s="5" t="n"/>
    </row>
    <row r="53">
      <c r="A53" s="5" t="n"/>
      <c r="B53" s="5" t="n"/>
      <c r="C53" s="5" t="n"/>
      <c r="D53" s="5" t="n"/>
      <c r="E53" s="19" t="n"/>
      <c r="F53" s="18" t="n"/>
      <c r="G53" s="18" t="n"/>
      <c r="H53" s="18" t="n"/>
      <c r="I53" s="20">
        <f>IF(OR(G53="",H53=""),"",H53-G53)</f>
        <v/>
      </c>
      <c r="J53" s="5" t="n"/>
    </row>
    <row r="54">
      <c r="A54" s="5" t="n"/>
      <c r="B54" s="5" t="n"/>
      <c r="C54" s="5" t="n"/>
      <c r="D54" s="5" t="n"/>
      <c r="E54" s="19" t="n"/>
      <c r="F54" s="18" t="n"/>
      <c r="G54" s="18" t="n"/>
      <c r="H54" s="18" t="n"/>
      <c r="I54" s="20">
        <f>IF(OR(G54="",H54=""),"",H54-G54)</f>
        <v/>
      </c>
      <c r="J54" s="5" t="n"/>
    </row>
    <row r="55">
      <c r="A55" s="5" t="n"/>
      <c r="B55" s="5" t="n"/>
      <c r="C55" s="5" t="n"/>
      <c r="D55" s="5" t="n"/>
      <c r="E55" s="19" t="n"/>
      <c r="F55" s="18" t="n"/>
      <c r="G55" s="18" t="n"/>
      <c r="H55" s="18" t="n"/>
      <c r="I55" s="20">
        <f>IF(OR(G55="",H55=""),"",H55-G55)</f>
        <v/>
      </c>
      <c r="J55" s="5" t="n"/>
    </row>
    <row r="56">
      <c r="A56" s="5" t="n"/>
      <c r="B56" s="5" t="n"/>
      <c r="C56" s="5" t="n"/>
      <c r="D56" s="5" t="n"/>
      <c r="E56" s="19" t="n"/>
      <c r="F56" s="18" t="n"/>
      <c r="G56" s="18" t="n"/>
      <c r="H56" s="18" t="n"/>
      <c r="I56" s="20">
        <f>IF(OR(G56="",H56=""),"",H56-G56)</f>
        <v/>
      </c>
      <c r="J56" s="5" t="n"/>
    </row>
    <row r="57">
      <c r="A57" s="5" t="n"/>
      <c r="B57" s="5" t="n"/>
      <c r="C57" s="5" t="n"/>
      <c r="D57" s="5" t="n"/>
      <c r="E57" s="19" t="n"/>
      <c r="F57" s="18" t="n"/>
      <c r="G57" s="18" t="n"/>
      <c r="H57" s="18" t="n"/>
      <c r="I57" s="20">
        <f>IF(OR(G57="",H57=""),"",H57-G57)</f>
        <v/>
      </c>
      <c r="J57" s="5" t="n"/>
    </row>
    <row r="58">
      <c r="A58" s="5" t="n"/>
      <c r="B58" s="5" t="n"/>
      <c r="C58" s="5" t="n"/>
      <c r="D58" s="5" t="n"/>
      <c r="E58" s="19" t="n"/>
      <c r="F58" s="18" t="n"/>
      <c r="G58" s="18" t="n"/>
      <c r="H58" s="18" t="n"/>
      <c r="I58" s="20">
        <f>IF(OR(G58="",H58=""),"",H58-G58)</f>
        <v/>
      </c>
      <c r="J58" s="5" t="n"/>
    </row>
    <row r="59">
      <c r="A59" s="5" t="n"/>
      <c r="B59" s="5" t="n"/>
      <c r="C59" s="5" t="n"/>
      <c r="D59" s="5" t="n"/>
      <c r="E59" s="19" t="n"/>
      <c r="F59" s="18" t="n"/>
      <c r="G59" s="18" t="n"/>
      <c r="H59" s="18" t="n"/>
      <c r="I59" s="20">
        <f>IF(OR(G59="",H59=""),"",H59-G59)</f>
        <v/>
      </c>
      <c r="J59" s="5" t="n"/>
    </row>
    <row r="60">
      <c r="A60" s="5" t="n"/>
      <c r="B60" s="5" t="n"/>
      <c r="C60" s="5" t="n"/>
      <c r="D60" s="5" t="n"/>
      <c r="E60" s="19" t="n"/>
      <c r="F60" s="18" t="n"/>
      <c r="G60" s="18" t="n"/>
      <c r="H60" s="18" t="n"/>
      <c r="I60" s="20">
        <f>IF(OR(G60="",H60=""),"",H60-G60)</f>
        <v/>
      </c>
      <c r="J60" s="5" t="n"/>
    </row>
    <row r="61">
      <c r="A61" s="5" t="n"/>
      <c r="B61" s="5" t="n"/>
      <c r="C61" s="5" t="n"/>
      <c r="D61" s="5" t="n"/>
      <c r="E61" s="19" t="n"/>
      <c r="F61" s="18" t="n"/>
      <c r="G61" s="18" t="n"/>
      <c r="H61" s="18" t="n"/>
      <c r="I61" s="20">
        <f>IF(OR(G61="",H61=""),"",H61-G61)</f>
        <v/>
      </c>
      <c r="J61" s="5" t="n"/>
    </row>
    <row r="62">
      <c r="A62" s="5" t="n"/>
      <c r="B62" s="5" t="n"/>
      <c r="C62" s="5" t="n"/>
      <c r="D62" s="5" t="n"/>
      <c r="E62" s="19" t="n"/>
      <c r="F62" s="18" t="n"/>
      <c r="G62" s="18" t="n"/>
      <c r="H62" s="18" t="n"/>
      <c r="I62" s="20">
        <f>IF(OR(G62="",H62=""),"",H62-G62)</f>
        <v/>
      </c>
      <c r="J62" s="5" t="n"/>
    </row>
    <row r="63">
      <c r="A63" s="5" t="n"/>
      <c r="B63" s="5" t="n"/>
      <c r="C63" s="5" t="n"/>
      <c r="D63" s="5" t="n"/>
      <c r="E63" s="19" t="n"/>
      <c r="F63" s="18" t="n"/>
      <c r="G63" s="18" t="n"/>
      <c r="H63" s="18" t="n"/>
      <c r="I63" s="20">
        <f>IF(OR(G63="",H63=""),"",H63-G63)</f>
        <v/>
      </c>
      <c r="J63" s="5" t="n"/>
    </row>
    <row r="64">
      <c r="A64" s="5" t="n"/>
      <c r="B64" s="5" t="n"/>
      <c r="C64" s="5" t="n"/>
      <c r="D64" s="5" t="n"/>
      <c r="E64" s="19" t="n"/>
      <c r="F64" s="18" t="n"/>
      <c r="G64" s="18" t="n"/>
      <c r="H64" s="18" t="n"/>
      <c r="I64" s="20">
        <f>IF(OR(G64="",H64=""),"",H64-G64)</f>
        <v/>
      </c>
      <c r="J64" s="5" t="n"/>
    </row>
    <row r="65">
      <c r="A65" s="5" t="n"/>
      <c r="B65" s="5" t="n"/>
      <c r="C65" s="5" t="n"/>
      <c r="D65" s="5" t="n"/>
      <c r="E65" s="19" t="n"/>
      <c r="F65" s="18" t="n"/>
      <c r="G65" s="18" t="n"/>
      <c r="H65" s="18" t="n"/>
      <c r="I65" s="20">
        <f>IF(OR(G65="",H65=""),"",H65-G65)</f>
        <v/>
      </c>
      <c r="J65" s="5" t="n"/>
    </row>
    <row r="66">
      <c r="A66" s="5" t="n"/>
      <c r="B66" s="5" t="n"/>
      <c r="C66" s="5" t="n"/>
      <c r="D66" s="5" t="n"/>
      <c r="E66" s="19" t="n"/>
      <c r="F66" s="18" t="n"/>
      <c r="G66" s="18" t="n"/>
      <c r="H66" s="18" t="n"/>
      <c r="I66" s="20">
        <f>IF(OR(G66="",H66=""),"",H66-G66)</f>
        <v/>
      </c>
      <c r="J66" s="5" t="n"/>
    </row>
    <row r="67">
      <c r="A67" s="5" t="n"/>
      <c r="B67" s="5" t="n"/>
      <c r="C67" s="5" t="n"/>
      <c r="D67" s="5" t="n"/>
      <c r="E67" s="19" t="n"/>
      <c r="F67" s="18" t="n"/>
      <c r="G67" s="18" t="n"/>
      <c r="H67" s="18" t="n"/>
      <c r="I67" s="20">
        <f>IF(OR(G67="",H67=""),"",H67-G67)</f>
        <v/>
      </c>
      <c r="J67" s="5" t="n"/>
    </row>
    <row r="68">
      <c r="A68" s="5" t="n"/>
      <c r="B68" s="5" t="n"/>
      <c r="C68" s="5" t="n"/>
      <c r="D68" s="5" t="n"/>
      <c r="E68" s="19" t="n"/>
      <c r="F68" s="18" t="n"/>
      <c r="G68" s="18" t="n"/>
      <c r="H68" s="18" t="n"/>
      <c r="I68" s="20">
        <f>IF(OR(G68="",H68=""),"",H68-G68)</f>
        <v/>
      </c>
      <c r="J68" s="5" t="n"/>
    </row>
    <row r="69">
      <c r="A69" s="5" t="n"/>
      <c r="B69" s="5" t="n"/>
      <c r="C69" s="5" t="n"/>
      <c r="D69" s="5" t="n"/>
      <c r="E69" s="19" t="n"/>
      <c r="F69" s="18" t="n"/>
      <c r="G69" s="18" t="n"/>
      <c r="H69" s="18" t="n"/>
      <c r="I69" s="20">
        <f>IF(OR(G69="",H69=""),"",H69-G69)</f>
        <v/>
      </c>
      <c r="J69" s="5" t="n"/>
    </row>
    <row r="70">
      <c r="A70" s="5" t="n"/>
      <c r="B70" s="5" t="n"/>
      <c r="C70" s="5" t="n"/>
      <c r="D70" s="5" t="n"/>
      <c r="E70" s="19" t="n"/>
      <c r="F70" s="18" t="n"/>
      <c r="G70" s="18" t="n"/>
      <c r="H70" s="18" t="n"/>
      <c r="I70" s="20">
        <f>IF(OR(G70="",H70=""),"",H70-G70)</f>
        <v/>
      </c>
      <c r="J70" s="5" t="n"/>
    </row>
    <row r="71">
      <c r="A71" s="5" t="n"/>
      <c r="B71" s="5" t="n"/>
      <c r="C71" s="5" t="n"/>
      <c r="D71" s="5" t="n"/>
      <c r="E71" s="19" t="n"/>
      <c r="F71" s="18" t="n"/>
      <c r="G71" s="18" t="n"/>
      <c r="H71" s="18" t="n"/>
      <c r="I71" s="20">
        <f>IF(OR(G71="",H71=""),"",H71-G71)</f>
        <v/>
      </c>
      <c r="J71" s="5" t="n"/>
    </row>
    <row r="72">
      <c r="A72" s="5" t="n"/>
      <c r="B72" s="5" t="n"/>
      <c r="C72" s="5" t="n"/>
      <c r="D72" s="5" t="n"/>
      <c r="E72" s="19" t="n"/>
      <c r="F72" s="18" t="n"/>
      <c r="G72" s="18" t="n"/>
      <c r="H72" s="18" t="n"/>
      <c r="I72" s="20">
        <f>IF(OR(G72="",H72=""),"",H72-G72)</f>
        <v/>
      </c>
      <c r="J72" s="5" t="n"/>
    </row>
    <row r="73">
      <c r="A73" s="5" t="n"/>
      <c r="B73" s="5" t="n"/>
      <c r="C73" s="5" t="n"/>
      <c r="D73" s="5" t="n"/>
      <c r="E73" s="19" t="n"/>
      <c r="F73" s="18" t="n"/>
      <c r="G73" s="18" t="n"/>
      <c r="H73" s="18" t="n"/>
      <c r="I73" s="20">
        <f>IF(OR(G73="",H73=""),"",H73-G73)</f>
        <v/>
      </c>
      <c r="J73" s="5" t="n"/>
    </row>
    <row r="74">
      <c r="A74" s="5" t="n"/>
      <c r="B74" s="5" t="n"/>
      <c r="C74" s="5" t="n"/>
      <c r="D74" s="5" t="n"/>
      <c r="E74" s="19" t="n"/>
      <c r="F74" s="18" t="n"/>
      <c r="G74" s="18" t="n"/>
      <c r="H74" s="18" t="n"/>
      <c r="I74" s="20">
        <f>IF(OR(G74="",H74=""),"",H74-G74)</f>
        <v/>
      </c>
      <c r="J74" s="5" t="n"/>
    </row>
    <row r="75">
      <c r="A75" s="5" t="n"/>
      <c r="B75" s="5" t="n"/>
      <c r="C75" s="5" t="n"/>
      <c r="D75" s="5" t="n"/>
      <c r="E75" s="19" t="n"/>
      <c r="F75" s="18" t="n"/>
      <c r="G75" s="18" t="n"/>
      <c r="H75" s="18" t="n"/>
      <c r="I75" s="20">
        <f>IF(OR(G75="",H75=""),"",H75-G75)</f>
        <v/>
      </c>
      <c r="J75" s="5" t="n"/>
    </row>
    <row r="76">
      <c r="A76" s="5" t="n"/>
      <c r="B76" s="5" t="n"/>
      <c r="C76" s="5" t="n"/>
      <c r="D76" s="5" t="n"/>
      <c r="E76" s="19" t="n"/>
      <c r="F76" s="18" t="n"/>
      <c r="G76" s="18" t="n"/>
      <c r="H76" s="18" t="n"/>
      <c r="I76" s="20">
        <f>IF(OR(G76="",H76=""),"",H76-G76)</f>
        <v/>
      </c>
      <c r="J76" s="5" t="n"/>
    </row>
    <row r="77">
      <c r="A77" s="5" t="n"/>
      <c r="B77" s="5" t="n"/>
      <c r="C77" s="5" t="n"/>
      <c r="D77" s="5" t="n"/>
      <c r="E77" s="19" t="n"/>
      <c r="F77" s="18" t="n"/>
      <c r="G77" s="18" t="n"/>
      <c r="H77" s="18" t="n"/>
      <c r="I77" s="20">
        <f>IF(OR(G77="",H77=""),"",H77-G77)</f>
        <v/>
      </c>
      <c r="J77" s="5" t="n"/>
    </row>
    <row r="78">
      <c r="A78" s="5" t="n"/>
      <c r="B78" s="5" t="n"/>
      <c r="C78" s="5" t="n"/>
      <c r="D78" s="5" t="n"/>
      <c r="E78" s="19" t="n"/>
      <c r="F78" s="18" t="n"/>
      <c r="G78" s="18" t="n"/>
      <c r="H78" s="18" t="n"/>
      <c r="I78" s="20">
        <f>IF(OR(G78="",H78=""),"",H78-G78)</f>
        <v/>
      </c>
      <c r="J78" s="5" t="n"/>
    </row>
    <row r="79">
      <c r="A79" s="5" t="n"/>
      <c r="B79" s="5" t="n"/>
      <c r="C79" s="5" t="n"/>
      <c r="D79" s="5" t="n"/>
      <c r="E79" s="19" t="n"/>
      <c r="F79" s="18" t="n"/>
      <c r="G79" s="18" t="n"/>
      <c r="H79" s="18" t="n"/>
      <c r="I79" s="20">
        <f>IF(OR(G79="",H79=""),"",H79-G79)</f>
        <v/>
      </c>
      <c r="J79" s="5" t="n"/>
    </row>
    <row r="80">
      <c r="A80" s="5" t="n"/>
      <c r="B80" s="5" t="n"/>
      <c r="C80" s="5" t="n"/>
      <c r="D80" s="5" t="n"/>
      <c r="E80" s="19" t="n"/>
      <c r="F80" s="18" t="n"/>
      <c r="G80" s="18" t="n"/>
      <c r="H80" s="18" t="n"/>
      <c r="I80" s="20">
        <f>IF(OR(G80="",H80=""),"",H80-G80)</f>
        <v/>
      </c>
      <c r="J80" s="5" t="n"/>
    </row>
    <row r="81">
      <c r="A81" s="5" t="n"/>
      <c r="B81" s="5" t="n"/>
      <c r="C81" s="5" t="n"/>
      <c r="D81" s="5" t="n"/>
      <c r="E81" s="19" t="n"/>
      <c r="F81" s="18" t="n"/>
      <c r="G81" s="18" t="n"/>
      <c r="H81" s="18" t="n"/>
      <c r="I81" s="20">
        <f>IF(OR(G81="",H81=""),"",H81-G81)</f>
        <v/>
      </c>
      <c r="J81" s="5" t="n"/>
    </row>
    <row r="82">
      <c r="A82" s="5" t="n"/>
      <c r="B82" s="5" t="n"/>
      <c r="C82" s="5" t="n"/>
      <c r="D82" s="5" t="n"/>
      <c r="E82" s="19" t="n"/>
      <c r="F82" s="18" t="n"/>
      <c r="G82" s="18" t="n"/>
      <c r="H82" s="18" t="n"/>
      <c r="I82" s="20">
        <f>IF(OR(G82="",H82=""),"",H82-G82)</f>
        <v/>
      </c>
      <c r="J82" s="5" t="n"/>
    </row>
    <row r="83">
      <c r="A83" s="5" t="n"/>
      <c r="B83" s="5" t="n"/>
      <c r="C83" s="5" t="n"/>
      <c r="D83" s="5" t="n"/>
      <c r="E83" s="19" t="n"/>
      <c r="F83" s="18" t="n"/>
      <c r="G83" s="18" t="n"/>
      <c r="H83" s="18" t="n"/>
      <c r="I83" s="20">
        <f>IF(OR(G83="",H83=""),"",H83-G83)</f>
        <v/>
      </c>
      <c r="J83" s="5" t="n"/>
    </row>
    <row r="84">
      <c r="A84" s="5" t="n"/>
      <c r="B84" s="5" t="n"/>
      <c r="C84" s="5" t="n"/>
      <c r="D84" s="5" t="n"/>
      <c r="E84" s="19" t="n"/>
      <c r="F84" s="18" t="n"/>
      <c r="G84" s="18" t="n"/>
      <c r="H84" s="18" t="n"/>
      <c r="I84" s="20">
        <f>IF(OR(G84="",H84=""),"",H84-G84)</f>
        <v/>
      </c>
      <c r="J84" s="5" t="n"/>
    </row>
    <row r="85">
      <c r="A85" s="5" t="n"/>
      <c r="B85" s="5" t="n"/>
      <c r="C85" s="5" t="n"/>
      <c r="D85" s="5" t="n"/>
      <c r="E85" s="19" t="n"/>
      <c r="F85" s="18" t="n"/>
      <c r="G85" s="18" t="n"/>
      <c r="H85" s="18" t="n"/>
      <c r="I85" s="20">
        <f>IF(OR(G85="",H85=""),"",H85-G85)</f>
        <v/>
      </c>
      <c r="J85" s="5" t="n"/>
    </row>
    <row r="86">
      <c r="A86" s="5" t="n"/>
      <c r="B86" s="5" t="n"/>
      <c r="C86" s="5" t="n"/>
      <c r="D86" s="5" t="n"/>
      <c r="E86" s="19" t="n"/>
      <c r="F86" s="18" t="n"/>
      <c r="G86" s="18" t="n"/>
      <c r="H86" s="18" t="n"/>
      <c r="I86" s="20">
        <f>IF(OR(G86="",H86=""),"",H86-G86)</f>
        <v/>
      </c>
      <c r="J86" s="5" t="n"/>
    </row>
    <row r="87">
      <c r="A87" s="5" t="n"/>
      <c r="B87" s="5" t="n"/>
      <c r="C87" s="5" t="n"/>
      <c r="D87" s="5" t="n"/>
      <c r="E87" s="19" t="n"/>
      <c r="F87" s="18" t="n"/>
      <c r="G87" s="18" t="n"/>
      <c r="H87" s="18" t="n"/>
      <c r="I87" s="20">
        <f>IF(OR(G87="",H87=""),"",H87-G87)</f>
        <v/>
      </c>
      <c r="J87" s="5" t="n"/>
    </row>
    <row r="88">
      <c r="A88" s="5" t="n"/>
      <c r="B88" s="5" t="n"/>
      <c r="C88" s="5" t="n"/>
      <c r="D88" s="5" t="n"/>
      <c r="E88" s="19" t="n"/>
      <c r="F88" s="18" t="n"/>
      <c r="G88" s="18" t="n"/>
      <c r="H88" s="18" t="n"/>
      <c r="I88" s="20">
        <f>IF(OR(G88="",H88=""),"",H88-G88)</f>
        <v/>
      </c>
      <c r="J88" s="5" t="n"/>
    </row>
    <row r="89">
      <c r="A89" s="5" t="n"/>
      <c r="B89" s="5" t="n"/>
      <c r="C89" s="5" t="n"/>
      <c r="D89" s="5" t="n"/>
      <c r="E89" s="19" t="n"/>
      <c r="F89" s="18" t="n"/>
      <c r="G89" s="18" t="n"/>
      <c r="H89" s="18" t="n"/>
      <c r="I89" s="20">
        <f>IF(OR(G89="",H89=""),"",H89-G89)</f>
        <v/>
      </c>
      <c r="J89" s="5" t="n"/>
    </row>
    <row r="90">
      <c r="A90" s="5" t="n"/>
      <c r="B90" s="5" t="n"/>
      <c r="C90" s="5" t="n"/>
      <c r="D90" s="5" t="n"/>
      <c r="E90" s="19" t="n"/>
      <c r="F90" s="18" t="n"/>
      <c r="G90" s="18" t="n"/>
      <c r="H90" s="18" t="n"/>
      <c r="I90" s="20">
        <f>IF(OR(G90="",H90=""),"",H90-G90)</f>
        <v/>
      </c>
      <c r="J90" s="5" t="n"/>
    </row>
    <row r="91">
      <c r="A91" s="5" t="n"/>
      <c r="B91" s="5" t="n"/>
      <c r="C91" s="5" t="n"/>
      <c r="D91" s="5" t="n"/>
      <c r="E91" s="19" t="n"/>
      <c r="F91" s="18" t="n"/>
      <c r="G91" s="18" t="n"/>
      <c r="H91" s="18" t="n"/>
      <c r="I91" s="20">
        <f>IF(OR(G91="",H91=""),"",H91-G91)</f>
        <v/>
      </c>
      <c r="J91" s="5" t="n"/>
    </row>
    <row r="92">
      <c r="A92" s="5" t="n"/>
      <c r="B92" s="5" t="n"/>
      <c r="C92" s="5" t="n"/>
      <c r="D92" s="5" t="n"/>
      <c r="E92" s="19" t="n"/>
      <c r="F92" s="18" t="n"/>
      <c r="G92" s="18" t="n"/>
      <c r="H92" s="18" t="n"/>
      <c r="I92" s="20">
        <f>IF(OR(G92="",H92=""),"",H92-G92)</f>
        <v/>
      </c>
      <c r="J92" s="5" t="n"/>
    </row>
    <row r="93">
      <c r="A93" s="5" t="n"/>
      <c r="B93" s="5" t="n"/>
      <c r="C93" s="5" t="n"/>
      <c r="D93" s="5" t="n"/>
      <c r="E93" s="19" t="n"/>
      <c r="F93" s="18" t="n"/>
      <c r="G93" s="18" t="n"/>
      <c r="H93" s="18" t="n"/>
      <c r="I93" s="20">
        <f>IF(OR(G93="",H93=""),"",H93-G93)</f>
        <v/>
      </c>
      <c r="J93" s="5" t="n"/>
    </row>
    <row r="94">
      <c r="A94" s="5" t="n"/>
      <c r="B94" s="5" t="n"/>
      <c r="C94" s="5" t="n"/>
      <c r="D94" s="5" t="n"/>
      <c r="E94" s="19" t="n"/>
      <c r="F94" s="18" t="n"/>
      <c r="G94" s="18" t="n"/>
      <c r="H94" s="18" t="n"/>
      <c r="I94" s="20">
        <f>IF(OR(G94="",H94=""),"",H94-G94)</f>
        <v/>
      </c>
      <c r="J94" s="5" t="n"/>
    </row>
    <row r="95">
      <c r="A95" s="5" t="n"/>
      <c r="B95" s="5" t="n"/>
      <c r="C95" s="5" t="n"/>
      <c r="D95" s="5" t="n"/>
      <c r="E95" s="19" t="n"/>
      <c r="F95" s="18" t="n"/>
      <c r="G95" s="18" t="n"/>
      <c r="H95" s="18" t="n"/>
      <c r="I95" s="20">
        <f>IF(OR(G95="",H95=""),"",H95-G95)</f>
        <v/>
      </c>
      <c r="J95" s="5" t="n"/>
    </row>
    <row r="96">
      <c r="A96" s="5" t="n"/>
      <c r="B96" s="5" t="n"/>
      <c r="C96" s="5" t="n"/>
      <c r="D96" s="5" t="n"/>
      <c r="E96" s="19" t="n"/>
      <c r="F96" s="18" t="n"/>
      <c r="G96" s="18" t="n"/>
      <c r="H96" s="18" t="n"/>
      <c r="I96" s="20">
        <f>IF(OR(G96="",H96=""),"",H96-G96)</f>
        <v/>
      </c>
      <c r="J96" s="5" t="n"/>
    </row>
    <row r="97">
      <c r="A97" s="5" t="n"/>
      <c r="B97" s="5" t="n"/>
      <c r="C97" s="5" t="n"/>
      <c r="D97" s="5" t="n"/>
      <c r="E97" s="19" t="n"/>
      <c r="F97" s="18" t="n"/>
      <c r="G97" s="18" t="n"/>
      <c r="H97" s="18" t="n"/>
      <c r="I97" s="20">
        <f>IF(OR(G97="",H97=""),"",H97-G97)</f>
        <v/>
      </c>
      <c r="J97" s="5" t="n"/>
    </row>
    <row r="98">
      <c r="A98" s="5" t="n"/>
      <c r="B98" s="5" t="n"/>
      <c r="C98" s="5" t="n"/>
      <c r="D98" s="5" t="n"/>
      <c r="E98" s="19" t="n"/>
      <c r="F98" s="18" t="n"/>
      <c r="G98" s="18" t="n"/>
      <c r="H98" s="18" t="n"/>
      <c r="I98" s="20">
        <f>IF(OR(G98="",H98=""),"",H98-G98)</f>
        <v/>
      </c>
      <c r="J98" s="5" t="n"/>
    </row>
    <row r="99">
      <c r="A99" s="5" t="n"/>
      <c r="B99" s="5" t="n"/>
      <c r="C99" s="5" t="n"/>
      <c r="D99" s="5" t="n"/>
      <c r="E99" s="19" t="n"/>
      <c r="F99" s="18" t="n"/>
      <c r="G99" s="18" t="n"/>
      <c r="H99" s="18" t="n"/>
      <c r="I99" s="20">
        <f>IF(OR(G99="",H99=""),"",H99-G99)</f>
        <v/>
      </c>
      <c r="J99" s="5" t="n"/>
    </row>
    <row r="100">
      <c r="A100" s="5" t="n"/>
      <c r="B100" s="5" t="n"/>
      <c r="C100" s="5" t="n"/>
      <c r="D100" s="5" t="n"/>
      <c r="E100" s="19" t="n"/>
      <c r="F100" s="18" t="n"/>
      <c r="G100" s="18" t="n"/>
      <c r="H100" s="18" t="n"/>
      <c r="I100" s="20">
        <f>IF(OR(G100="",H100=""),"",H100-G100)</f>
        <v/>
      </c>
      <c r="J100" s="5" t="n"/>
    </row>
    <row r="101">
      <c r="A101" s="5" t="n"/>
      <c r="B101" s="5" t="n"/>
      <c r="C101" s="5" t="n"/>
      <c r="D101" s="5" t="n"/>
      <c r="E101" s="19" t="n"/>
      <c r="F101" s="18" t="n"/>
      <c r="G101" s="18" t="n"/>
      <c r="H101" s="18" t="n"/>
      <c r="I101" s="20">
        <f>IF(OR(G101="",H101=""),"",H101-G101)</f>
        <v/>
      </c>
      <c r="J101" s="5" t="n"/>
    </row>
    <row r="102">
      <c r="A102" s="5" t="n"/>
      <c r="B102" s="5" t="n"/>
      <c r="C102" s="5" t="n"/>
      <c r="D102" s="5" t="n"/>
      <c r="E102" s="19" t="n"/>
      <c r="F102" s="18" t="n"/>
      <c r="G102" s="18" t="n"/>
      <c r="H102" s="18" t="n"/>
      <c r="I102" s="20">
        <f>IF(OR(G102="",H102=""),"",H102-G102)</f>
        <v/>
      </c>
      <c r="J102" s="5" t="n"/>
    </row>
    <row r="103">
      <c r="A103" s="5" t="n"/>
      <c r="B103" s="5" t="n"/>
      <c r="C103" s="5" t="n"/>
      <c r="D103" s="5" t="n"/>
      <c r="E103" s="19" t="n"/>
      <c r="F103" s="18" t="n"/>
      <c r="G103" s="18" t="n"/>
      <c r="H103" s="18" t="n"/>
      <c r="I103" s="20">
        <f>IF(OR(G103="",H103=""),"",H103-G103)</f>
        <v/>
      </c>
      <c r="J103" s="5" t="n"/>
    </row>
    <row r="104">
      <c r="A104" s="5" t="n"/>
      <c r="B104" s="5" t="n"/>
      <c r="C104" s="5" t="n"/>
      <c r="D104" s="5" t="n"/>
      <c r="E104" s="19" t="n"/>
      <c r="F104" s="18" t="n"/>
      <c r="G104" s="18" t="n"/>
      <c r="H104" s="18" t="n"/>
      <c r="I104" s="20">
        <f>IF(OR(G104="",H104=""),"",H104-G104)</f>
        <v/>
      </c>
      <c r="J104" s="5" t="n"/>
    </row>
    <row r="105">
      <c r="A105" s="5" t="n"/>
      <c r="B105" s="5" t="n"/>
      <c r="C105" s="5" t="n"/>
      <c r="D105" s="5" t="n"/>
      <c r="E105" s="19" t="n"/>
      <c r="F105" s="18" t="n"/>
      <c r="G105" s="18" t="n"/>
      <c r="H105" s="18" t="n"/>
      <c r="I105" s="20">
        <f>IF(OR(G105="",H105=""),"",H105-G105)</f>
        <v/>
      </c>
      <c r="J105" s="5" t="n"/>
    </row>
    <row r="106">
      <c r="A106" s="5" t="n"/>
      <c r="B106" s="5" t="n"/>
      <c r="C106" s="5" t="n"/>
      <c r="D106" s="5" t="n"/>
      <c r="E106" s="19" t="n"/>
      <c r="F106" s="18" t="n"/>
      <c r="G106" s="18" t="n"/>
      <c r="H106" s="18" t="n"/>
      <c r="I106" s="20">
        <f>IF(OR(G106="",H106=""),"",H106-G106)</f>
        <v/>
      </c>
      <c r="J106" s="5" t="n"/>
    </row>
    <row r="107">
      <c r="A107" s="5" t="n"/>
      <c r="B107" s="5" t="n"/>
      <c r="C107" s="5" t="n"/>
      <c r="D107" s="5" t="n"/>
      <c r="E107" s="19" t="n"/>
      <c r="F107" s="18" t="n"/>
      <c r="G107" s="18" t="n"/>
      <c r="H107" s="18" t="n"/>
      <c r="I107" s="20">
        <f>IF(OR(G107="",H107=""),"",H107-G107)</f>
        <v/>
      </c>
      <c r="J107" s="5" t="n"/>
    </row>
    <row r="108">
      <c r="A108" s="5" t="n"/>
      <c r="B108" s="5" t="n"/>
      <c r="C108" s="5" t="n"/>
      <c r="D108" s="5" t="n"/>
      <c r="E108" s="19" t="n"/>
      <c r="F108" s="18" t="n"/>
      <c r="G108" s="18" t="n"/>
      <c r="H108" s="18" t="n"/>
      <c r="I108" s="20">
        <f>IF(OR(G108="",H108=""),"",H108-G108)</f>
        <v/>
      </c>
      <c r="J108" s="5" t="n"/>
    </row>
    <row r="109">
      <c r="A109" s="5" t="n"/>
      <c r="B109" s="5" t="n"/>
      <c r="C109" s="5" t="n"/>
      <c r="D109" s="5" t="n"/>
      <c r="E109" s="19" t="n"/>
      <c r="F109" s="18" t="n"/>
      <c r="G109" s="18" t="n"/>
      <c r="H109" s="18" t="n"/>
      <c r="I109" s="20">
        <f>IF(OR(G109="",H109=""),"",H109-G109)</f>
        <v/>
      </c>
      <c r="J109" s="5" t="n"/>
    </row>
    <row r="110">
      <c r="A110" s="5" t="n"/>
      <c r="B110" s="5" t="n"/>
      <c r="C110" s="5" t="n"/>
      <c r="D110" s="5" t="n"/>
      <c r="E110" s="19" t="n"/>
      <c r="F110" s="18" t="n"/>
      <c r="G110" s="18" t="n"/>
      <c r="H110" s="18" t="n"/>
      <c r="I110" s="20">
        <f>IF(OR(G110="",H110=""),"",H110-G110)</f>
        <v/>
      </c>
      <c r="J110" s="5" t="n"/>
    </row>
    <row r="111">
      <c r="A111" s="5" t="n"/>
      <c r="B111" s="5" t="n"/>
      <c r="C111" s="5" t="n"/>
      <c r="D111" s="5" t="n"/>
      <c r="E111" s="19" t="n"/>
      <c r="F111" s="18" t="n"/>
      <c r="G111" s="18" t="n"/>
      <c r="H111" s="18" t="n"/>
      <c r="I111" s="20">
        <f>IF(OR(G111="",H111=""),"",H111-G111)</f>
        <v/>
      </c>
      <c r="J111" s="5" t="n"/>
    </row>
    <row r="112">
      <c r="A112" s="5" t="n"/>
      <c r="B112" s="5" t="n"/>
      <c r="C112" s="5" t="n"/>
      <c r="D112" s="5" t="n"/>
      <c r="E112" s="19" t="n"/>
      <c r="F112" s="18" t="n"/>
      <c r="G112" s="18" t="n"/>
      <c r="H112" s="18" t="n"/>
      <c r="I112" s="20">
        <f>IF(OR(G112="",H112=""),"",H112-G112)</f>
        <v/>
      </c>
      <c r="J112" s="5" t="n"/>
    </row>
    <row r="113">
      <c r="A113" s="5" t="n"/>
      <c r="B113" s="5" t="n"/>
      <c r="C113" s="5" t="n"/>
      <c r="D113" s="5" t="n"/>
      <c r="E113" s="19" t="n"/>
      <c r="F113" s="18" t="n"/>
      <c r="G113" s="18" t="n"/>
      <c r="H113" s="18" t="n"/>
      <c r="I113" s="20">
        <f>IF(OR(G113="",H113=""),"",H113-G113)</f>
        <v/>
      </c>
      <c r="J113" s="5" t="n"/>
    </row>
    <row r="114">
      <c r="A114" s="5" t="n"/>
      <c r="B114" s="5" t="n"/>
      <c r="C114" s="5" t="n"/>
      <c r="D114" s="5" t="n"/>
      <c r="E114" s="19" t="n"/>
      <c r="F114" s="18" t="n"/>
      <c r="G114" s="18" t="n"/>
      <c r="H114" s="18" t="n"/>
      <c r="I114" s="20">
        <f>IF(OR(G114="",H114=""),"",H114-G114)</f>
        <v/>
      </c>
      <c r="J114" s="5" t="n"/>
    </row>
    <row r="115">
      <c r="A115" s="5" t="n"/>
      <c r="B115" s="5" t="n"/>
      <c r="C115" s="5" t="n"/>
      <c r="D115" s="5" t="n"/>
      <c r="E115" s="19" t="n"/>
      <c r="F115" s="18" t="n"/>
      <c r="G115" s="18" t="n"/>
      <c r="H115" s="18" t="n"/>
      <c r="I115" s="20">
        <f>IF(OR(G115="",H115=""),"",H115-G115)</f>
        <v/>
      </c>
      <c r="J115" s="5" t="n"/>
    </row>
    <row r="116">
      <c r="A116" s="5" t="n"/>
      <c r="B116" s="5" t="n"/>
      <c r="C116" s="5" t="n"/>
      <c r="D116" s="5" t="n"/>
      <c r="E116" s="19" t="n"/>
      <c r="F116" s="18" t="n"/>
      <c r="G116" s="18" t="n"/>
      <c r="H116" s="18" t="n"/>
      <c r="I116" s="20">
        <f>IF(OR(G116="",H116=""),"",H116-G116)</f>
        <v/>
      </c>
      <c r="J116" s="5" t="n"/>
    </row>
    <row r="117">
      <c r="A117" s="5" t="n"/>
      <c r="B117" s="5" t="n"/>
      <c r="C117" s="5" t="n"/>
      <c r="D117" s="5" t="n"/>
      <c r="E117" s="19" t="n"/>
      <c r="F117" s="18" t="n"/>
      <c r="G117" s="18" t="n"/>
      <c r="H117" s="18" t="n"/>
      <c r="I117" s="20">
        <f>IF(OR(G117="",H117=""),"",H117-G117)</f>
        <v/>
      </c>
      <c r="J117" s="5" t="n"/>
    </row>
    <row r="118">
      <c r="A118" s="5" t="n"/>
      <c r="B118" s="5" t="n"/>
      <c r="C118" s="5" t="n"/>
      <c r="D118" s="5" t="n"/>
      <c r="E118" s="19" t="n"/>
      <c r="F118" s="18" t="n"/>
      <c r="G118" s="18" t="n"/>
      <c r="H118" s="18" t="n"/>
      <c r="I118" s="20">
        <f>IF(OR(G118="",H118=""),"",H118-G118)</f>
        <v/>
      </c>
      <c r="J118" s="5" t="n"/>
    </row>
    <row r="119">
      <c r="A119" s="5" t="n"/>
      <c r="B119" s="5" t="n"/>
      <c r="C119" s="5" t="n"/>
      <c r="D119" s="5" t="n"/>
      <c r="E119" s="19" t="n"/>
      <c r="F119" s="18" t="n"/>
      <c r="G119" s="18" t="n"/>
      <c r="H119" s="18" t="n"/>
      <c r="I119" s="20">
        <f>IF(OR(G119="",H119=""),"",H119-G119)</f>
        <v/>
      </c>
      <c r="J119" s="5" t="n"/>
    </row>
    <row r="120">
      <c r="A120" s="5" t="n"/>
      <c r="B120" s="5" t="n"/>
      <c r="C120" s="5" t="n"/>
      <c r="D120" s="5" t="n"/>
      <c r="E120" s="19" t="n"/>
      <c r="F120" s="18" t="n"/>
      <c r="G120" s="18" t="n"/>
      <c r="H120" s="18" t="n"/>
      <c r="I120" s="20">
        <f>IF(OR(G120="",H120=""),"",H120-G120)</f>
        <v/>
      </c>
      <c r="J120" s="5" t="n"/>
    </row>
    <row r="121">
      <c r="A121" s="5" t="n"/>
      <c r="B121" s="5" t="n"/>
      <c r="C121" s="5" t="n"/>
      <c r="D121" s="5" t="n"/>
      <c r="E121" s="19" t="n"/>
      <c r="F121" s="18" t="n"/>
      <c r="G121" s="18" t="n"/>
      <c r="H121" s="18" t="n"/>
      <c r="I121" s="20">
        <f>IF(OR(G121="",H121=""),"",H121-G121)</f>
        <v/>
      </c>
      <c r="J121" s="5" t="n"/>
    </row>
    <row r="122">
      <c r="A122" s="5" t="n"/>
      <c r="B122" s="5" t="n"/>
      <c r="C122" s="5" t="n"/>
      <c r="D122" s="5" t="n"/>
      <c r="E122" s="19" t="n"/>
      <c r="F122" s="18" t="n"/>
      <c r="G122" s="18" t="n"/>
      <c r="H122" s="18" t="n"/>
      <c r="I122" s="20">
        <f>IF(OR(G122="",H122=""),"",H122-G122)</f>
        <v/>
      </c>
      <c r="J122" s="5" t="n"/>
    </row>
    <row r="123">
      <c r="A123" s="5" t="n"/>
      <c r="B123" s="5" t="n"/>
      <c r="C123" s="5" t="n"/>
      <c r="D123" s="5" t="n"/>
      <c r="E123" s="19" t="n"/>
      <c r="F123" s="18" t="n"/>
      <c r="G123" s="18" t="n"/>
      <c r="H123" s="18" t="n"/>
      <c r="I123" s="20">
        <f>IF(OR(G123="",H123=""),"",H123-G123)</f>
        <v/>
      </c>
      <c r="J123" s="5" t="n"/>
    </row>
    <row r="124">
      <c r="A124" s="5" t="n"/>
      <c r="B124" s="5" t="n"/>
      <c r="C124" s="5" t="n"/>
      <c r="D124" s="5" t="n"/>
      <c r="E124" s="19" t="n"/>
      <c r="F124" s="18" t="n"/>
      <c r="G124" s="18" t="n"/>
      <c r="H124" s="18" t="n"/>
      <c r="I124" s="20">
        <f>IF(OR(G124="",H124=""),"",H124-G124)</f>
        <v/>
      </c>
      <c r="J124" s="5" t="n"/>
    </row>
    <row r="125">
      <c r="A125" s="5" t="n"/>
      <c r="B125" s="5" t="n"/>
      <c r="C125" s="5" t="n"/>
      <c r="D125" s="5" t="n"/>
      <c r="E125" s="19" t="n"/>
      <c r="F125" s="18" t="n"/>
      <c r="G125" s="18" t="n"/>
      <c r="H125" s="18" t="n"/>
      <c r="I125" s="20">
        <f>IF(OR(G125="",H125=""),"",H125-G125)</f>
        <v/>
      </c>
      <c r="J125" s="5" t="n"/>
    </row>
    <row r="126">
      <c r="A126" s="5" t="n"/>
      <c r="B126" s="5" t="n"/>
      <c r="C126" s="5" t="n"/>
      <c r="D126" s="5" t="n"/>
      <c r="E126" s="19" t="n"/>
      <c r="F126" s="18" t="n"/>
      <c r="G126" s="18" t="n"/>
      <c r="H126" s="18" t="n"/>
      <c r="I126" s="20">
        <f>IF(OR(G126="",H126=""),"",H126-G126)</f>
        <v/>
      </c>
      <c r="J126" s="5" t="n"/>
    </row>
    <row r="127">
      <c r="A127" s="5" t="n"/>
      <c r="B127" s="5" t="n"/>
      <c r="C127" s="5" t="n"/>
      <c r="D127" s="5" t="n"/>
      <c r="E127" s="19" t="n"/>
      <c r="F127" s="18" t="n"/>
      <c r="G127" s="18" t="n"/>
      <c r="H127" s="18" t="n"/>
      <c r="I127" s="20">
        <f>IF(OR(G127="",H127=""),"",H127-G127)</f>
        <v/>
      </c>
      <c r="J127" s="5" t="n"/>
    </row>
    <row r="128">
      <c r="A128" s="5" t="n"/>
      <c r="B128" s="5" t="n"/>
      <c r="C128" s="5" t="n"/>
      <c r="D128" s="5" t="n"/>
      <c r="E128" s="19" t="n"/>
      <c r="F128" s="18" t="n"/>
      <c r="G128" s="18" t="n"/>
      <c r="H128" s="18" t="n"/>
      <c r="I128" s="20">
        <f>IF(OR(G128="",H128=""),"",H128-G128)</f>
        <v/>
      </c>
      <c r="J128" s="5" t="n"/>
    </row>
    <row r="129">
      <c r="A129" s="5" t="n"/>
      <c r="B129" s="5" t="n"/>
      <c r="C129" s="5" t="n"/>
      <c r="D129" s="5" t="n"/>
      <c r="E129" s="19" t="n"/>
      <c r="F129" s="18" t="n"/>
      <c r="G129" s="18" t="n"/>
      <c r="H129" s="18" t="n"/>
      <c r="I129" s="20">
        <f>IF(OR(G129="",H129=""),"",H129-G129)</f>
        <v/>
      </c>
      <c r="J129" s="5" t="n"/>
    </row>
    <row r="130">
      <c r="A130" s="5" t="n"/>
      <c r="B130" s="5" t="n"/>
      <c r="C130" s="5" t="n"/>
      <c r="D130" s="5" t="n"/>
      <c r="E130" s="19" t="n"/>
      <c r="F130" s="18" t="n"/>
      <c r="G130" s="18" t="n"/>
      <c r="H130" s="18" t="n"/>
      <c r="I130" s="20">
        <f>IF(OR(G130="",H130=""),"",H130-G130)</f>
        <v/>
      </c>
      <c r="J130" s="5" t="n"/>
    </row>
    <row r="131">
      <c r="A131" s="5" t="n"/>
      <c r="B131" s="5" t="n"/>
      <c r="C131" s="5" t="n"/>
      <c r="D131" s="5" t="n"/>
      <c r="E131" s="19" t="n"/>
      <c r="F131" s="18" t="n"/>
      <c r="G131" s="18" t="n"/>
      <c r="H131" s="18" t="n"/>
      <c r="I131" s="20">
        <f>IF(OR(G131="",H131=""),"",H131-G131)</f>
        <v/>
      </c>
      <c r="J131" s="5" t="n"/>
    </row>
    <row r="132">
      <c r="A132" s="5" t="n"/>
      <c r="B132" s="5" t="n"/>
      <c r="C132" s="5" t="n"/>
      <c r="D132" s="5" t="n"/>
      <c r="E132" s="19" t="n"/>
      <c r="F132" s="18" t="n"/>
      <c r="G132" s="18" t="n"/>
      <c r="H132" s="18" t="n"/>
      <c r="I132" s="20">
        <f>IF(OR(G132="",H132=""),"",H132-G132)</f>
        <v/>
      </c>
      <c r="J132" s="5" t="n"/>
    </row>
    <row r="133">
      <c r="A133" s="5" t="n"/>
      <c r="B133" s="5" t="n"/>
      <c r="C133" s="5" t="n"/>
      <c r="D133" s="5" t="n"/>
      <c r="E133" s="19" t="n"/>
      <c r="F133" s="18" t="n"/>
      <c r="G133" s="18" t="n"/>
      <c r="H133" s="18" t="n"/>
      <c r="I133" s="20">
        <f>IF(OR(G133="",H133=""),"",H133-G133)</f>
        <v/>
      </c>
      <c r="J133" s="5" t="n"/>
    </row>
    <row r="134">
      <c r="A134" s="5" t="n"/>
      <c r="B134" s="5" t="n"/>
      <c r="C134" s="5" t="n"/>
      <c r="D134" s="5" t="n"/>
      <c r="E134" s="19" t="n"/>
      <c r="F134" s="18" t="n"/>
      <c r="G134" s="18" t="n"/>
      <c r="H134" s="18" t="n"/>
      <c r="I134" s="20">
        <f>IF(OR(G134="",H134=""),"",H134-G134)</f>
        <v/>
      </c>
      <c r="J134" s="5" t="n"/>
    </row>
    <row r="135">
      <c r="A135" s="5" t="n"/>
      <c r="B135" s="5" t="n"/>
      <c r="C135" s="5" t="n"/>
      <c r="D135" s="5" t="n"/>
      <c r="E135" s="19" t="n"/>
      <c r="F135" s="18" t="n"/>
      <c r="G135" s="18" t="n"/>
      <c r="H135" s="18" t="n"/>
      <c r="I135" s="20">
        <f>IF(OR(G135="",H135=""),"",H135-G135)</f>
        <v/>
      </c>
      <c r="J135" s="5" t="n"/>
    </row>
    <row r="136">
      <c r="A136" s="5" t="n"/>
      <c r="B136" s="5" t="n"/>
      <c r="C136" s="5" t="n"/>
      <c r="D136" s="5" t="n"/>
      <c r="E136" s="19" t="n"/>
      <c r="F136" s="18" t="n"/>
      <c r="G136" s="18" t="n"/>
      <c r="H136" s="18" t="n"/>
      <c r="I136" s="20">
        <f>IF(OR(G136="",H136=""),"",H136-G136)</f>
        <v/>
      </c>
      <c r="J136" s="5" t="n"/>
    </row>
    <row r="137">
      <c r="A137" s="5" t="n"/>
      <c r="B137" s="5" t="n"/>
      <c r="C137" s="5" t="n"/>
      <c r="D137" s="5" t="n"/>
      <c r="E137" s="19" t="n"/>
      <c r="F137" s="18" t="n"/>
      <c r="G137" s="18" t="n"/>
      <c r="H137" s="18" t="n"/>
      <c r="I137" s="20">
        <f>IF(OR(G137="",H137=""),"",H137-G137)</f>
        <v/>
      </c>
      <c r="J137" s="5" t="n"/>
    </row>
    <row r="138">
      <c r="A138" s="5" t="n"/>
      <c r="B138" s="5" t="n"/>
      <c r="C138" s="5" t="n"/>
      <c r="D138" s="5" t="n"/>
      <c r="E138" s="19" t="n"/>
      <c r="F138" s="18" t="n"/>
      <c r="G138" s="18" t="n"/>
      <c r="H138" s="18" t="n"/>
      <c r="I138" s="20">
        <f>IF(OR(G138="",H138=""),"",H138-G138)</f>
        <v/>
      </c>
      <c r="J138" s="5" t="n"/>
    </row>
    <row r="139">
      <c r="A139" s="5" t="n"/>
      <c r="B139" s="5" t="n"/>
      <c r="C139" s="5" t="n"/>
      <c r="D139" s="5" t="n"/>
      <c r="E139" s="19" t="n"/>
      <c r="F139" s="18" t="n"/>
      <c r="G139" s="18" t="n"/>
      <c r="H139" s="18" t="n"/>
      <c r="I139" s="20">
        <f>IF(OR(G139="",H139=""),"",H139-G139)</f>
        <v/>
      </c>
      <c r="J139" s="5" t="n"/>
    </row>
    <row r="140">
      <c r="A140" s="5" t="n"/>
      <c r="B140" s="5" t="n"/>
      <c r="C140" s="5" t="n"/>
      <c r="D140" s="5" t="n"/>
      <c r="E140" s="19" t="n"/>
      <c r="F140" s="18" t="n"/>
      <c r="G140" s="18" t="n"/>
      <c r="H140" s="18" t="n"/>
      <c r="I140" s="20">
        <f>IF(OR(G140="",H140=""),"",H140-G140)</f>
        <v/>
      </c>
      <c r="J140" s="5" t="n"/>
    </row>
    <row r="141">
      <c r="A141" s="5" t="n"/>
      <c r="B141" s="5" t="n"/>
      <c r="C141" s="5" t="n"/>
      <c r="D141" s="5" t="n"/>
      <c r="E141" s="19" t="n"/>
      <c r="F141" s="18" t="n"/>
      <c r="G141" s="18" t="n"/>
      <c r="H141" s="18" t="n"/>
      <c r="I141" s="20">
        <f>IF(OR(G141="",H141=""),"",H141-G141)</f>
        <v/>
      </c>
      <c r="J141" s="5" t="n"/>
    </row>
    <row r="142">
      <c r="A142" s="5" t="n"/>
      <c r="B142" s="5" t="n"/>
      <c r="C142" s="5" t="n"/>
      <c r="D142" s="5" t="n"/>
      <c r="E142" s="19" t="n"/>
      <c r="F142" s="18" t="n"/>
      <c r="G142" s="18" t="n"/>
      <c r="H142" s="18" t="n"/>
      <c r="I142" s="20">
        <f>IF(OR(G142="",H142=""),"",H142-G142)</f>
        <v/>
      </c>
      <c r="J142" s="5" t="n"/>
    </row>
    <row r="143">
      <c r="A143" s="5" t="n"/>
      <c r="B143" s="5" t="n"/>
      <c r="C143" s="5" t="n"/>
      <c r="D143" s="5" t="n"/>
      <c r="E143" s="19" t="n"/>
      <c r="F143" s="18" t="n"/>
      <c r="G143" s="18" t="n"/>
      <c r="H143" s="18" t="n"/>
      <c r="I143" s="20">
        <f>IF(OR(G143="",H143=""),"",H143-G143)</f>
        <v/>
      </c>
      <c r="J143" s="5" t="n"/>
    </row>
    <row r="144">
      <c r="A144" s="5" t="n"/>
      <c r="B144" s="5" t="n"/>
      <c r="C144" s="5" t="n"/>
      <c r="D144" s="5" t="n"/>
      <c r="E144" s="19" t="n"/>
      <c r="F144" s="18" t="n"/>
      <c r="G144" s="18" t="n"/>
      <c r="H144" s="18" t="n"/>
      <c r="I144" s="20">
        <f>IF(OR(G144="",H144=""),"",H144-G144)</f>
        <v/>
      </c>
      <c r="J144" s="5" t="n"/>
    </row>
    <row r="145">
      <c r="A145" s="5" t="n"/>
      <c r="B145" s="5" t="n"/>
      <c r="C145" s="5" t="n"/>
      <c r="D145" s="5" t="n"/>
      <c r="E145" s="19" t="n"/>
      <c r="F145" s="18" t="n"/>
      <c r="G145" s="18" t="n"/>
      <c r="H145" s="18" t="n"/>
      <c r="I145" s="20">
        <f>IF(OR(G145="",H145=""),"",H145-G145)</f>
        <v/>
      </c>
      <c r="J145" s="5" t="n"/>
    </row>
    <row r="146">
      <c r="A146" s="5" t="n"/>
      <c r="B146" s="5" t="n"/>
      <c r="C146" s="5" t="n"/>
      <c r="D146" s="5" t="n"/>
      <c r="E146" s="19" t="n"/>
      <c r="F146" s="18" t="n"/>
      <c r="G146" s="18" t="n"/>
      <c r="H146" s="18" t="n"/>
      <c r="I146" s="20">
        <f>IF(OR(G146="",H146=""),"",H146-G146)</f>
        <v/>
      </c>
      <c r="J146" s="5" t="n"/>
    </row>
    <row r="147">
      <c r="A147" s="5" t="n"/>
      <c r="B147" s="5" t="n"/>
      <c r="C147" s="5" t="n"/>
      <c r="D147" s="5" t="n"/>
      <c r="E147" s="19" t="n"/>
      <c r="F147" s="18" t="n"/>
      <c r="G147" s="18" t="n"/>
      <c r="H147" s="18" t="n"/>
      <c r="I147" s="20">
        <f>IF(OR(G147="",H147=""),"",H147-G147)</f>
        <v/>
      </c>
      <c r="J147" s="5" t="n"/>
    </row>
    <row r="148">
      <c r="A148" s="5" t="n"/>
      <c r="B148" s="5" t="n"/>
      <c r="C148" s="5" t="n"/>
      <c r="D148" s="5" t="n"/>
      <c r="E148" s="19" t="n"/>
      <c r="F148" s="18" t="n"/>
      <c r="G148" s="18" t="n"/>
      <c r="H148" s="18" t="n"/>
      <c r="I148" s="20">
        <f>IF(OR(G148="",H148=""),"",H148-G148)</f>
        <v/>
      </c>
      <c r="J148" s="5" t="n"/>
    </row>
    <row r="149">
      <c r="A149" s="5" t="n"/>
      <c r="B149" s="5" t="n"/>
      <c r="C149" s="5" t="n"/>
      <c r="D149" s="5" t="n"/>
      <c r="E149" s="19" t="n"/>
      <c r="F149" s="18" t="n"/>
      <c r="G149" s="18" t="n"/>
      <c r="H149" s="18" t="n"/>
      <c r="I149" s="20">
        <f>IF(OR(G149="",H149=""),"",H149-G149)</f>
        <v/>
      </c>
      <c r="J149" s="5" t="n"/>
    </row>
    <row r="150">
      <c r="A150" s="5" t="n"/>
      <c r="B150" s="5" t="n"/>
      <c r="C150" s="5" t="n"/>
      <c r="D150" s="5" t="n"/>
      <c r="E150" s="19" t="n"/>
      <c r="F150" s="18" t="n"/>
      <c r="G150" s="18" t="n"/>
      <c r="H150" s="18" t="n"/>
      <c r="I150" s="20">
        <f>IF(OR(G150="",H150=""),"",H150-G150)</f>
        <v/>
      </c>
      <c r="J150" s="5" t="n"/>
    </row>
    <row r="151">
      <c r="A151" s="5" t="n"/>
      <c r="B151" s="5" t="n"/>
      <c r="C151" s="5" t="n"/>
      <c r="D151" s="5" t="n"/>
      <c r="E151" s="19" t="n"/>
      <c r="F151" s="18" t="n"/>
      <c r="G151" s="18" t="n"/>
      <c r="H151" s="18" t="n"/>
      <c r="I151" s="20">
        <f>IF(OR(G151="",H151=""),"",H151-G151)</f>
        <v/>
      </c>
      <c r="J151" s="5" t="n"/>
    </row>
    <row r="152">
      <c r="A152" s="5" t="n"/>
      <c r="B152" s="5" t="n"/>
      <c r="C152" s="5" t="n"/>
      <c r="D152" s="5" t="n"/>
      <c r="E152" s="19" t="n"/>
      <c r="F152" s="18" t="n"/>
      <c r="G152" s="18" t="n"/>
      <c r="H152" s="18" t="n"/>
      <c r="I152" s="20">
        <f>IF(OR(G152="",H152=""),"",H152-G152)</f>
        <v/>
      </c>
      <c r="J152" s="5" t="n"/>
    </row>
    <row r="153">
      <c r="A153" s="5" t="n"/>
      <c r="B153" s="5" t="n"/>
      <c r="C153" s="5" t="n"/>
      <c r="D153" s="5" t="n"/>
      <c r="E153" s="19" t="n"/>
      <c r="F153" s="18" t="n"/>
      <c r="G153" s="18" t="n"/>
      <c r="H153" s="18" t="n"/>
      <c r="I153" s="20">
        <f>IF(OR(G153="",H153=""),"",H153-G153)</f>
        <v/>
      </c>
      <c r="J153" s="5" t="n"/>
    </row>
    <row r="154">
      <c r="A154" s="5" t="n"/>
      <c r="B154" s="5" t="n"/>
      <c r="C154" s="5" t="n"/>
      <c r="D154" s="5" t="n"/>
      <c r="E154" s="19" t="n"/>
      <c r="F154" s="18" t="n"/>
      <c r="G154" s="18" t="n"/>
      <c r="H154" s="18" t="n"/>
      <c r="I154" s="20">
        <f>IF(OR(G154="",H154=""),"",H154-G154)</f>
        <v/>
      </c>
      <c r="J154" s="5" t="n"/>
    </row>
    <row r="155">
      <c r="A155" s="5" t="n"/>
      <c r="B155" s="5" t="n"/>
      <c r="C155" s="5" t="n"/>
      <c r="D155" s="5" t="n"/>
      <c r="E155" s="19" t="n"/>
      <c r="F155" s="18" t="n"/>
      <c r="G155" s="18" t="n"/>
      <c r="H155" s="18" t="n"/>
      <c r="I155" s="20">
        <f>IF(OR(G155="",H155=""),"",H155-G155)</f>
        <v/>
      </c>
      <c r="J155" s="5" t="n"/>
    </row>
    <row r="156">
      <c r="A156" s="5" t="n"/>
      <c r="B156" s="5" t="n"/>
      <c r="C156" s="5" t="n"/>
      <c r="D156" s="5" t="n"/>
      <c r="E156" s="19" t="n"/>
      <c r="F156" s="18" t="n"/>
      <c r="G156" s="18" t="n"/>
      <c r="H156" s="18" t="n"/>
      <c r="I156" s="20">
        <f>IF(OR(G156="",H156=""),"",H156-G156)</f>
        <v/>
      </c>
      <c r="J156" s="5" t="n"/>
    </row>
    <row r="157">
      <c r="A157" s="5" t="n"/>
      <c r="B157" s="5" t="n"/>
      <c r="C157" s="5" t="n"/>
      <c r="D157" s="5" t="n"/>
      <c r="E157" s="19" t="n"/>
      <c r="F157" s="18" t="n"/>
      <c r="G157" s="18" t="n"/>
      <c r="H157" s="18" t="n"/>
      <c r="I157" s="20">
        <f>IF(OR(G157="",H157=""),"",H157-G157)</f>
        <v/>
      </c>
      <c r="J157" s="5" t="n"/>
    </row>
    <row r="158">
      <c r="A158" s="5" t="n"/>
      <c r="B158" s="5" t="n"/>
      <c r="C158" s="5" t="n"/>
      <c r="D158" s="5" t="n"/>
      <c r="E158" s="19" t="n"/>
      <c r="F158" s="18" t="n"/>
      <c r="G158" s="18" t="n"/>
      <c r="H158" s="18" t="n"/>
      <c r="I158" s="20">
        <f>IF(OR(G158="",H158=""),"",H158-G158)</f>
        <v/>
      </c>
      <c r="J158" s="5" t="n"/>
    </row>
    <row r="159">
      <c r="A159" s="5" t="n"/>
      <c r="B159" s="5" t="n"/>
      <c r="C159" s="5" t="n"/>
      <c r="D159" s="5" t="n"/>
      <c r="E159" s="19" t="n"/>
      <c r="F159" s="18" t="n"/>
      <c r="G159" s="18" t="n"/>
      <c r="H159" s="18" t="n"/>
      <c r="I159" s="20">
        <f>IF(OR(G159="",H159=""),"",H159-G159)</f>
        <v/>
      </c>
      <c r="J159" s="5" t="n"/>
    </row>
    <row r="160">
      <c r="A160" s="5" t="n"/>
      <c r="B160" s="5" t="n"/>
      <c r="C160" s="5" t="n"/>
      <c r="D160" s="5" t="n"/>
      <c r="E160" s="19" t="n"/>
      <c r="F160" s="18" t="n"/>
      <c r="G160" s="18" t="n"/>
      <c r="H160" s="18" t="n"/>
      <c r="I160" s="20">
        <f>IF(OR(G160="",H160=""),"",H160-G160)</f>
        <v/>
      </c>
      <c r="J160" s="5" t="n"/>
    </row>
    <row r="161">
      <c r="A161" s="5" t="n"/>
      <c r="B161" s="5" t="n"/>
      <c r="C161" s="5" t="n"/>
      <c r="D161" s="5" t="n"/>
      <c r="E161" s="19" t="n"/>
      <c r="F161" s="18" t="n"/>
      <c r="G161" s="18" t="n"/>
      <c r="H161" s="18" t="n"/>
      <c r="I161" s="20">
        <f>IF(OR(G161="",H161=""),"",H161-G161)</f>
        <v/>
      </c>
      <c r="J161" s="5" t="n"/>
    </row>
    <row r="162">
      <c r="A162" s="5" t="n"/>
      <c r="B162" s="5" t="n"/>
      <c r="C162" s="5" t="n"/>
      <c r="D162" s="5" t="n"/>
      <c r="E162" s="19" t="n"/>
      <c r="F162" s="18" t="n"/>
      <c r="G162" s="18" t="n"/>
      <c r="H162" s="18" t="n"/>
      <c r="I162" s="20">
        <f>IF(OR(G162="",H162=""),"",H162-G162)</f>
        <v/>
      </c>
      <c r="J162" s="5" t="n"/>
    </row>
    <row r="163">
      <c r="A163" s="5" t="n"/>
      <c r="B163" s="5" t="n"/>
      <c r="C163" s="5" t="n"/>
      <c r="D163" s="5" t="n"/>
      <c r="E163" s="19" t="n"/>
      <c r="F163" s="18" t="n"/>
      <c r="G163" s="18" t="n"/>
      <c r="H163" s="18" t="n"/>
      <c r="I163" s="20">
        <f>IF(OR(G163="",H163=""),"",H163-G163)</f>
        <v/>
      </c>
      <c r="J163" s="5" t="n"/>
    </row>
    <row r="164">
      <c r="A164" s="5" t="n"/>
      <c r="B164" s="5" t="n"/>
      <c r="C164" s="5" t="n"/>
      <c r="D164" s="5" t="n"/>
      <c r="E164" s="19" t="n"/>
      <c r="F164" s="18" t="n"/>
      <c r="G164" s="18" t="n"/>
      <c r="H164" s="18" t="n"/>
      <c r="I164" s="20">
        <f>IF(OR(G164="",H164=""),"",H164-G164)</f>
        <v/>
      </c>
      <c r="J164" s="5" t="n"/>
    </row>
    <row r="165">
      <c r="A165" s="5" t="n"/>
      <c r="B165" s="5" t="n"/>
      <c r="C165" s="5" t="n"/>
      <c r="D165" s="5" t="n"/>
      <c r="E165" s="19" t="n"/>
      <c r="F165" s="18" t="n"/>
      <c r="G165" s="18" t="n"/>
      <c r="H165" s="18" t="n"/>
      <c r="I165" s="20">
        <f>IF(OR(G165="",H165=""),"",H165-G165)</f>
        <v/>
      </c>
      <c r="J165" s="5" t="n"/>
    </row>
    <row r="166">
      <c r="A166" s="5" t="n"/>
      <c r="B166" s="5" t="n"/>
      <c r="C166" s="5" t="n"/>
      <c r="D166" s="5" t="n"/>
      <c r="E166" s="19" t="n"/>
      <c r="F166" s="18" t="n"/>
      <c r="G166" s="18" t="n"/>
      <c r="H166" s="18" t="n"/>
      <c r="I166" s="20">
        <f>IF(OR(G166="",H166=""),"",H166-G166)</f>
        <v/>
      </c>
      <c r="J166" s="5" t="n"/>
    </row>
    <row r="167">
      <c r="A167" s="5" t="n"/>
      <c r="B167" s="5" t="n"/>
      <c r="C167" s="5" t="n"/>
      <c r="D167" s="5" t="n"/>
      <c r="E167" s="19" t="n"/>
      <c r="F167" s="18" t="n"/>
      <c r="G167" s="18" t="n"/>
      <c r="H167" s="18" t="n"/>
      <c r="I167" s="20">
        <f>IF(OR(G167="",H167=""),"",H167-G167)</f>
        <v/>
      </c>
      <c r="J167" s="5" t="n"/>
    </row>
    <row r="168">
      <c r="A168" s="5" t="n"/>
      <c r="B168" s="5" t="n"/>
      <c r="C168" s="5" t="n"/>
      <c r="D168" s="5" t="n"/>
      <c r="E168" s="19" t="n"/>
      <c r="F168" s="18" t="n"/>
      <c r="G168" s="18" t="n"/>
      <c r="H168" s="18" t="n"/>
      <c r="I168" s="20">
        <f>IF(OR(G168="",H168=""),"",H168-G168)</f>
        <v/>
      </c>
      <c r="J168" s="5" t="n"/>
    </row>
    <row r="169">
      <c r="A169" s="5" t="n"/>
      <c r="B169" s="5" t="n"/>
      <c r="C169" s="5" t="n"/>
      <c r="D169" s="5" t="n"/>
      <c r="E169" s="19" t="n"/>
      <c r="F169" s="18" t="n"/>
      <c r="G169" s="18" t="n"/>
      <c r="H169" s="18" t="n"/>
      <c r="I169" s="20">
        <f>IF(OR(G169="",H169=""),"",H169-G169)</f>
        <v/>
      </c>
      <c r="J169" s="5" t="n"/>
    </row>
    <row r="170">
      <c r="A170" s="5" t="n"/>
      <c r="B170" s="5" t="n"/>
      <c r="C170" s="5" t="n"/>
      <c r="D170" s="5" t="n"/>
      <c r="E170" s="19" t="n"/>
      <c r="F170" s="18" t="n"/>
      <c r="G170" s="18" t="n"/>
      <c r="H170" s="18" t="n"/>
      <c r="I170" s="20">
        <f>IF(OR(G170="",H170=""),"",H170-G170)</f>
        <v/>
      </c>
      <c r="J170" s="5" t="n"/>
    </row>
    <row r="171">
      <c r="A171" s="5" t="n"/>
      <c r="B171" s="5" t="n"/>
      <c r="C171" s="5" t="n"/>
      <c r="D171" s="5" t="n"/>
      <c r="E171" s="19" t="n"/>
      <c r="F171" s="18" t="n"/>
      <c r="G171" s="18" t="n"/>
      <c r="H171" s="18" t="n"/>
      <c r="I171" s="20">
        <f>IF(OR(G171="",H171=""),"",H171-G171)</f>
        <v/>
      </c>
      <c r="J171" s="5" t="n"/>
    </row>
    <row r="172">
      <c r="A172" s="5" t="n"/>
      <c r="B172" s="5" t="n"/>
      <c r="C172" s="5" t="n"/>
      <c r="D172" s="5" t="n"/>
      <c r="E172" s="19" t="n"/>
      <c r="F172" s="18" t="n"/>
      <c r="G172" s="18" t="n"/>
      <c r="H172" s="18" t="n"/>
      <c r="I172" s="20">
        <f>IF(OR(G172="",H172=""),"",H172-G172)</f>
        <v/>
      </c>
      <c r="J172" s="5" t="n"/>
    </row>
    <row r="173">
      <c r="A173" s="5" t="n"/>
      <c r="B173" s="5" t="n"/>
      <c r="C173" s="5" t="n"/>
      <c r="D173" s="5" t="n"/>
      <c r="E173" s="19" t="n"/>
      <c r="F173" s="18" t="n"/>
      <c r="G173" s="18" t="n"/>
      <c r="H173" s="18" t="n"/>
      <c r="I173" s="20">
        <f>IF(OR(G173="",H173=""),"",H173-G173)</f>
        <v/>
      </c>
      <c r="J173" s="5" t="n"/>
    </row>
    <row r="174">
      <c r="A174" s="5" t="n"/>
      <c r="B174" s="5" t="n"/>
      <c r="C174" s="5" t="n"/>
      <c r="D174" s="5" t="n"/>
      <c r="E174" s="19" t="n"/>
      <c r="F174" s="18" t="n"/>
      <c r="G174" s="18" t="n"/>
      <c r="H174" s="18" t="n"/>
      <c r="I174" s="20">
        <f>IF(OR(G174="",H174=""),"",H174-G174)</f>
        <v/>
      </c>
      <c r="J174" s="5" t="n"/>
    </row>
    <row r="175">
      <c r="A175" s="5" t="n"/>
      <c r="B175" s="5" t="n"/>
      <c r="C175" s="5" t="n"/>
      <c r="D175" s="5" t="n"/>
      <c r="E175" s="19" t="n"/>
      <c r="F175" s="18" t="n"/>
      <c r="G175" s="18" t="n"/>
      <c r="H175" s="18" t="n"/>
      <c r="I175" s="20">
        <f>IF(OR(G175="",H175=""),"",H175-G175)</f>
        <v/>
      </c>
      <c r="J175" s="5" t="n"/>
    </row>
    <row r="176">
      <c r="A176" s="5" t="n"/>
      <c r="B176" s="5" t="n"/>
      <c r="C176" s="5" t="n"/>
      <c r="D176" s="5" t="n"/>
      <c r="E176" s="19" t="n"/>
      <c r="F176" s="18" t="n"/>
      <c r="G176" s="18" t="n"/>
      <c r="H176" s="18" t="n"/>
      <c r="I176" s="20">
        <f>IF(OR(G176="",H176=""),"",H176-G176)</f>
        <v/>
      </c>
      <c r="J176" s="5" t="n"/>
    </row>
    <row r="177">
      <c r="A177" s="5" t="n"/>
      <c r="B177" s="5" t="n"/>
      <c r="C177" s="5" t="n"/>
      <c r="D177" s="5" t="n"/>
      <c r="E177" s="19" t="n"/>
      <c r="F177" s="18" t="n"/>
      <c r="G177" s="18" t="n"/>
      <c r="H177" s="18" t="n"/>
      <c r="I177" s="20">
        <f>IF(OR(G177="",H177=""),"",H177-G177)</f>
        <v/>
      </c>
      <c r="J177" s="5" t="n"/>
    </row>
    <row r="178">
      <c r="A178" s="5" t="n"/>
      <c r="B178" s="5" t="n"/>
      <c r="C178" s="5" t="n"/>
      <c r="D178" s="5" t="n"/>
      <c r="E178" s="19" t="n"/>
      <c r="F178" s="18" t="n"/>
      <c r="G178" s="18" t="n"/>
      <c r="H178" s="18" t="n"/>
      <c r="I178" s="20">
        <f>IF(OR(G178="",H178=""),"",H178-G178)</f>
        <v/>
      </c>
      <c r="J178" s="5" t="n"/>
    </row>
    <row r="179">
      <c r="A179" s="5" t="n"/>
      <c r="B179" s="5" t="n"/>
      <c r="C179" s="5" t="n"/>
      <c r="D179" s="5" t="n"/>
      <c r="E179" s="19" t="n"/>
      <c r="F179" s="18" t="n"/>
      <c r="G179" s="18" t="n"/>
      <c r="H179" s="18" t="n"/>
      <c r="I179" s="20">
        <f>IF(OR(G179="",H179=""),"",H179-G179)</f>
        <v/>
      </c>
      <c r="J179" s="5" t="n"/>
    </row>
    <row r="180">
      <c r="A180" s="5" t="n"/>
      <c r="B180" s="5" t="n"/>
      <c r="C180" s="5" t="n"/>
      <c r="D180" s="5" t="n"/>
      <c r="E180" s="19" t="n"/>
      <c r="F180" s="18" t="n"/>
      <c r="G180" s="18" t="n"/>
      <c r="H180" s="18" t="n"/>
      <c r="I180" s="20">
        <f>IF(OR(G180="",H180=""),"",H180-G180)</f>
        <v/>
      </c>
      <c r="J180" s="5" t="n"/>
    </row>
    <row r="181">
      <c r="A181" s="5" t="n"/>
      <c r="B181" s="5" t="n"/>
      <c r="C181" s="5" t="n"/>
      <c r="D181" s="5" t="n"/>
      <c r="E181" s="19" t="n"/>
      <c r="F181" s="18" t="n"/>
      <c r="G181" s="18" t="n"/>
      <c r="H181" s="18" t="n"/>
      <c r="I181" s="20">
        <f>IF(OR(G181="",H181=""),"",H181-G181)</f>
        <v/>
      </c>
      <c r="J181" s="5" t="n"/>
    </row>
    <row r="182">
      <c r="A182" s="5" t="n"/>
      <c r="B182" s="5" t="n"/>
      <c r="C182" s="5" t="n"/>
      <c r="D182" s="5" t="n"/>
      <c r="E182" s="19" t="n"/>
      <c r="F182" s="18" t="n"/>
      <c r="G182" s="18" t="n"/>
      <c r="H182" s="18" t="n"/>
      <c r="I182" s="20">
        <f>IF(OR(G182="",H182=""),"",H182-G182)</f>
        <v/>
      </c>
      <c r="J182" s="5" t="n"/>
    </row>
    <row r="183">
      <c r="A183" s="5" t="n"/>
      <c r="B183" s="5" t="n"/>
      <c r="C183" s="5" t="n"/>
      <c r="D183" s="5" t="n"/>
      <c r="E183" s="19" t="n"/>
      <c r="F183" s="18" t="n"/>
      <c r="G183" s="18" t="n"/>
      <c r="H183" s="18" t="n"/>
      <c r="I183" s="20">
        <f>IF(OR(G183="",H183=""),"",H183-G183)</f>
        <v/>
      </c>
      <c r="J183" s="5" t="n"/>
    </row>
    <row r="184">
      <c r="A184" s="5" t="n"/>
      <c r="B184" s="5" t="n"/>
      <c r="C184" s="5" t="n"/>
      <c r="D184" s="5" t="n"/>
      <c r="E184" s="19" t="n"/>
      <c r="F184" s="18" t="n"/>
      <c r="G184" s="18" t="n"/>
      <c r="H184" s="18" t="n"/>
      <c r="I184" s="20">
        <f>IF(OR(G184="",H184=""),"",H184-G184)</f>
        <v/>
      </c>
      <c r="J184" s="5" t="n"/>
    </row>
    <row r="185">
      <c r="A185" s="5" t="n"/>
      <c r="B185" s="5" t="n"/>
      <c r="C185" s="5" t="n"/>
      <c r="D185" s="5" t="n"/>
      <c r="E185" s="19" t="n"/>
      <c r="F185" s="18" t="n"/>
      <c r="G185" s="18" t="n"/>
      <c r="H185" s="18" t="n"/>
      <c r="I185" s="20">
        <f>IF(OR(G185="",H185=""),"",H185-G185)</f>
        <v/>
      </c>
      <c r="J185" s="5" t="n"/>
    </row>
    <row r="186">
      <c r="A186" s="5" t="n"/>
      <c r="B186" s="5" t="n"/>
      <c r="C186" s="5" t="n"/>
      <c r="D186" s="5" t="n"/>
      <c r="E186" s="19" t="n"/>
      <c r="F186" s="18" t="n"/>
      <c r="G186" s="18" t="n"/>
      <c r="H186" s="18" t="n"/>
      <c r="I186" s="20">
        <f>IF(OR(G186="",H186=""),"",H186-G186)</f>
        <v/>
      </c>
      <c r="J186" s="5" t="n"/>
    </row>
    <row r="187">
      <c r="A187" s="5" t="n"/>
      <c r="B187" s="5" t="n"/>
      <c r="C187" s="5" t="n"/>
      <c r="D187" s="5" t="n"/>
      <c r="E187" s="19" t="n"/>
      <c r="F187" s="18" t="n"/>
      <c r="G187" s="18" t="n"/>
      <c r="H187" s="18" t="n"/>
      <c r="I187" s="20">
        <f>IF(OR(G187="",H187=""),"",H187-G187)</f>
        <v/>
      </c>
      <c r="J187" s="5" t="n"/>
    </row>
    <row r="188">
      <c r="A188" s="5" t="n"/>
      <c r="B188" s="5" t="n"/>
      <c r="C188" s="5" t="n"/>
      <c r="D188" s="5" t="n"/>
      <c r="E188" s="19" t="n"/>
      <c r="F188" s="18" t="n"/>
      <c r="G188" s="18" t="n"/>
      <c r="H188" s="18" t="n"/>
      <c r="I188" s="20">
        <f>IF(OR(G188="",H188=""),"",H188-G188)</f>
        <v/>
      </c>
      <c r="J188" s="5" t="n"/>
    </row>
    <row r="189">
      <c r="A189" s="5" t="n"/>
      <c r="B189" s="5" t="n"/>
      <c r="C189" s="5" t="n"/>
      <c r="D189" s="5" t="n"/>
      <c r="E189" s="19" t="n"/>
      <c r="F189" s="18" t="n"/>
      <c r="G189" s="18" t="n"/>
      <c r="H189" s="18" t="n"/>
      <c r="I189" s="20">
        <f>IF(OR(G189="",H189=""),"",H189-G189)</f>
        <v/>
      </c>
      <c r="J189" s="5" t="n"/>
    </row>
    <row r="190">
      <c r="A190" s="5" t="n"/>
      <c r="B190" s="5" t="n"/>
      <c r="C190" s="5" t="n"/>
      <c r="D190" s="5" t="n"/>
      <c r="E190" s="19" t="n"/>
      <c r="F190" s="18" t="n"/>
      <c r="G190" s="18" t="n"/>
      <c r="H190" s="18" t="n"/>
      <c r="I190" s="20">
        <f>IF(OR(G190="",H190=""),"",H190-G190)</f>
        <v/>
      </c>
      <c r="J190" s="5" t="n"/>
    </row>
    <row r="191">
      <c r="A191" s="5" t="n"/>
      <c r="B191" s="5" t="n"/>
      <c r="C191" s="5" t="n"/>
      <c r="D191" s="5" t="n"/>
      <c r="E191" s="19" t="n"/>
      <c r="F191" s="18" t="n"/>
      <c r="G191" s="18" t="n"/>
      <c r="H191" s="18" t="n"/>
      <c r="I191" s="20">
        <f>IF(OR(G191="",H191=""),"",H191-G191)</f>
        <v/>
      </c>
      <c r="J191" s="5" t="n"/>
    </row>
    <row r="192">
      <c r="A192" s="5" t="n"/>
      <c r="B192" s="5" t="n"/>
      <c r="C192" s="5" t="n"/>
      <c r="D192" s="5" t="n"/>
      <c r="E192" s="19" t="n"/>
      <c r="F192" s="18" t="n"/>
      <c r="G192" s="18" t="n"/>
      <c r="H192" s="18" t="n"/>
      <c r="I192" s="20">
        <f>IF(OR(G192="",H192=""),"",H192-G192)</f>
        <v/>
      </c>
      <c r="J192" s="5" t="n"/>
    </row>
    <row r="193">
      <c r="A193" s="5" t="n"/>
      <c r="B193" s="5" t="n"/>
      <c r="C193" s="5" t="n"/>
      <c r="D193" s="5" t="n"/>
      <c r="E193" s="19" t="n"/>
      <c r="F193" s="18" t="n"/>
      <c r="G193" s="18" t="n"/>
      <c r="H193" s="18" t="n"/>
      <c r="I193" s="20">
        <f>IF(OR(G193="",H193=""),"",H193-G193)</f>
        <v/>
      </c>
      <c r="J193" s="5" t="n"/>
    </row>
    <row r="194">
      <c r="A194" s="5" t="n"/>
      <c r="B194" s="5" t="n"/>
      <c r="C194" s="5" t="n"/>
      <c r="D194" s="5" t="n"/>
      <c r="E194" s="19" t="n"/>
      <c r="F194" s="18" t="n"/>
      <c r="G194" s="18" t="n"/>
      <c r="H194" s="18" t="n"/>
      <c r="I194" s="20">
        <f>IF(OR(G194="",H194=""),"",H194-G194)</f>
        <v/>
      </c>
      <c r="J194" s="5" t="n"/>
    </row>
    <row r="195">
      <c r="A195" s="5" t="n"/>
      <c r="B195" s="5" t="n"/>
      <c r="C195" s="5" t="n"/>
      <c r="D195" s="5" t="n"/>
      <c r="E195" s="19" t="n"/>
      <c r="F195" s="18" t="n"/>
      <c r="G195" s="18" t="n"/>
      <c r="H195" s="18" t="n"/>
      <c r="I195" s="20">
        <f>IF(OR(G195="",H195=""),"",H195-G195)</f>
        <v/>
      </c>
      <c r="J195" s="5" t="n"/>
    </row>
    <row r="196">
      <c r="A196" s="5" t="n"/>
      <c r="B196" s="5" t="n"/>
      <c r="C196" s="5" t="n"/>
      <c r="D196" s="5" t="n"/>
      <c r="E196" s="19" t="n"/>
      <c r="F196" s="18" t="n"/>
      <c r="G196" s="18" t="n"/>
      <c r="H196" s="18" t="n"/>
      <c r="I196" s="20">
        <f>IF(OR(G196="",H196=""),"",H196-G196)</f>
        <v/>
      </c>
      <c r="J196" s="5" t="n"/>
    </row>
    <row r="197">
      <c r="A197" s="5" t="n"/>
      <c r="B197" s="5" t="n"/>
      <c r="C197" s="5" t="n"/>
      <c r="D197" s="5" t="n"/>
      <c r="E197" s="19" t="n"/>
      <c r="F197" s="18" t="n"/>
      <c r="G197" s="18" t="n"/>
      <c r="H197" s="18" t="n"/>
      <c r="I197" s="20">
        <f>IF(OR(G197="",H197=""),"",H197-G197)</f>
        <v/>
      </c>
      <c r="J197" s="5" t="n"/>
    </row>
    <row r="198">
      <c r="A198" s="5" t="n"/>
      <c r="B198" s="5" t="n"/>
      <c r="C198" s="5" t="n"/>
      <c r="D198" s="5" t="n"/>
      <c r="E198" s="19" t="n"/>
      <c r="F198" s="18" t="n"/>
      <c r="G198" s="18" t="n"/>
      <c r="H198" s="18" t="n"/>
      <c r="I198" s="20">
        <f>IF(OR(G198="",H198=""),"",H198-G198)</f>
        <v/>
      </c>
      <c r="J198" s="5" t="n"/>
    </row>
    <row r="199">
      <c r="A199" s="5" t="n"/>
      <c r="B199" s="5" t="n"/>
      <c r="C199" s="5" t="n"/>
      <c r="D199" s="5" t="n"/>
      <c r="E199" s="19" t="n"/>
      <c r="F199" s="18" t="n"/>
      <c r="G199" s="18" t="n"/>
      <c r="H199" s="18" t="n"/>
      <c r="I199" s="20">
        <f>IF(OR(G199="",H199=""),"",H199-G199)</f>
        <v/>
      </c>
      <c r="J199" s="5" t="n"/>
    </row>
    <row r="200">
      <c r="A200" s="5" t="n"/>
      <c r="B200" s="5" t="n"/>
      <c r="C200" s="5" t="n"/>
      <c r="D200" s="5" t="n"/>
      <c r="E200" s="19" t="n"/>
      <c r="F200" s="18" t="n"/>
      <c r="G200" s="18" t="n"/>
      <c r="H200" s="18" t="n"/>
      <c r="I200" s="20">
        <f>IF(OR(G200="",H200=""),"",H200-G200)</f>
        <v/>
      </c>
      <c r="J200" s="5" t="n"/>
    </row>
    <row r="201">
      <c r="A201" s="5" t="n"/>
      <c r="B201" s="5" t="n"/>
      <c r="C201" s="5" t="n"/>
      <c r="D201" s="5" t="n"/>
      <c r="E201" s="19" t="n"/>
      <c r="F201" s="18" t="n"/>
      <c r="G201" s="18" t="n"/>
      <c r="H201" s="18" t="n"/>
      <c r="I201" s="20">
        <f>IF(OR(G201="",H201=""),"",H201-G201)</f>
        <v/>
      </c>
      <c r="J201" s="5" t="n"/>
    </row>
    <row r="202">
      <c r="A202" s="5" t="n"/>
      <c r="B202" s="5" t="n"/>
      <c r="C202" s="5" t="n"/>
      <c r="D202" s="5" t="n"/>
      <c r="E202" s="19" t="n"/>
      <c r="F202" s="18" t="n"/>
      <c r="G202" s="18" t="n"/>
      <c r="H202" s="18" t="n"/>
      <c r="I202" s="20">
        <f>IF(OR(G202="",H202=""),"",H202-G202)</f>
        <v/>
      </c>
      <c r="J202" s="5" t="n"/>
    </row>
    <row r="203">
      <c r="A203" s="5" t="n"/>
      <c r="B203" s="5" t="n"/>
      <c r="C203" s="5" t="n"/>
      <c r="D203" s="5" t="n"/>
      <c r="E203" s="19" t="n"/>
      <c r="F203" s="18" t="n"/>
      <c r="G203" s="18" t="n"/>
      <c r="H203" s="18" t="n"/>
      <c r="I203" s="20">
        <f>IF(OR(G203="",H203=""),"",H203-G203)</f>
        <v/>
      </c>
      <c r="J203" s="5" t="n"/>
    </row>
    <row r="204">
      <c r="A204" s="5" t="n"/>
      <c r="B204" s="5" t="n"/>
      <c r="C204" s="5" t="n"/>
      <c r="D204" s="5" t="n"/>
      <c r="E204" s="19" t="n"/>
      <c r="F204" s="18" t="n"/>
      <c r="G204" s="18" t="n"/>
      <c r="H204" s="18" t="n"/>
      <c r="I204" s="20">
        <f>IF(OR(G204="",H204=""),"",H204-G204)</f>
        <v/>
      </c>
      <c r="J204" s="5" t="n"/>
    </row>
    <row r="205">
      <c r="A205" s="5" t="n"/>
      <c r="B205" s="5" t="n"/>
      <c r="C205" s="5" t="n"/>
      <c r="D205" s="5" t="n"/>
      <c r="E205" s="19" t="n"/>
      <c r="F205" s="18" t="n"/>
      <c r="G205" s="18" t="n"/>
      <c r="H205" s="18" t="n"/>
      <c r="I205" s="20">
        <f>IF(OR(G205="",H205=""),"",H205-G205)</f>
        <v/>
      </c>
      <c r="J205" s="5" t="n"/>
    </row>
    <row r="206">
      <c r="A206" s="5" t="n"/>
      <c r="B206" s="5" t="n"/>
      <c r="C206" s="5" t="n"/>
      <c r="D206" s="5" t="n"/>
      <c r="E206" s="19" t="n"/>
      <c r="F206" s="18" t="n"/>
      <c r="G206" s="18" t="n"/>
      <c r="H206" s="18" t="n"/>
      <c r="I206" s="20">
        <f>IF(OR(G206="",H206=""),"",H206-G206)</f>
        <v/>
      </c>
      <c r="J206" s="5" t="n"/>
    </row>
    <row r="207">
      <c r="A207" s="5" t="n"/>
      <c r="B207" s="5" t="n"/>
      <c r="C207" s="5" t="n"/>
      <c r="D207" s="5" t="n"/>
      <c r="E207" s="19" t="n"/>
      <c r="F207" s="18" t="n"/>
      <c r="G207" s="18" t="n"/>
      <c r="H207" s="18" t="n"/>
      <c r="I207" s="20">
        <f>IF(OR(G207="",H207=""),"",H207-G207)</f>
        <v/>
      </c>
      <c r="J207" s="5" t="n"/>
    </row>
    <row r="208">
      <c r="A208" s="5" t="n"/>
      <c r="B208" s="5" t="n"/>
      <c r="C208" s="5" t="n"/>
      <c r="D208" s="5" t="n"/>
      <c r="E208" s="19" t="n"/>
      <c r="F208" s="18" t="n"/>
      <c r="G208" s="18" t="n"/>
      <c r="H208" s="18" t="n"/>
      <c r="I208" s="20">
        <f>IF(OR(G208="",H208=""),"",H208-G208)</f>
        <v/>
      </c>
      <c r="J208" s="5" t="n"/>
    </row>
    <row r="209">
      <c r="A209" s="5" t="n"/>
      <c r="B209" s="5" t="n"/>
      <c r="C209" s="5" t="n"/>
      <c r="D209" s="5" t="n"/>
      <c r="E209" s="19" t="n"/>
      <c r="F209" s="18" t="n"/>
      <c r="G209" s="18" t="n"/>
      <c r="H209" s="18" t="n"/>
      <c r="I209" s="20">
        <f>IF(OR(G209="",H209=""),"",H209-G209)</f>
        <v/>
      </c>
      <c r="J209" s="5" t="n"/>
    </row>
    <row r="210">
      <c r="A210" s="5" t="n"/>
      <c r="B210" s="5" t="n"/>
      <c r="C210" s="5" t="n"/>
      <c r="D210" s="5" t="n"/>
      <c r="E210" s="19" t="n"/>
      <c r="F210" s="18" t="n"/>
      <c r="G210" s="18" t="n"/>
      <c r="H210" s="18" t="n"/>
      <c r="I210" s="20">
        <f>IF(OR(G210="",H210=""),"",H210-G210)</f>
        <v/>
      </c>
      <c r="J210" s="5" t="n"/>
    </row>
    <row r="211">
      <c r="A211" s="5" t="n"/>
      <c r="B211" s="5" t="n"/>
      <c r="C211" s="5" t="n"/>
      <c r="D211" s="5" t="n"/>
      <c r="E211" s="19" t="n"/>
      <c r="F211" s="18" t="n"/>
      <c r="G211" s="18" t="n"/>
      <c r="H211" s="18" t="n"/>
      <c r="I211" s="20">
        <f>IF(OR(G211="",H211=""),"",H211-G211)</f>
        <v/>
      </c>
      <c r="J211" s="5" t="n"/>
    </row>
    <row r="212">
      <c r="A212" s="5" t="n"/>
      <c r="B212" s="5" t="n"/>
      <c r="C212" s="5" t="n"/>
      <c r="D212" s="5" t="n"/>
      <c r="E212" s="19" t="n"/>
      <c r="F212" s="18" t="n"/>
      <c r="G212" s="18" t="n"/>
      <c r="H212" s="18" t="n"/>
      <c r="I212" s="20">
        <f>IF(OR(G212="",H212=""),"",H212-G212)</f>
        <v/>
      </c>
      <c r="J212" s="5" t="n"/>
    </row>
    <row r="213">
      <c r="A213" s="5" t="n"/>
      <c r="B213" s="5" t="n"/>
      <c r="C213" s="5" t="n"/>
      <c r="D213" s="5" t="n"/>
      <c r="E213" s="19" t="n"/>
      <c r="F213" s="18" t="n"/>
      <c r="G213" s="18" t="n"/>
      <c r="H213" s="18" t="n"/>
      <c r="I213" s="20">
        <f>IF(OR(G213="",H213=""),"",H213-G213)</f>
        <v/>
      </c>
      <c r="J213" s="5" t="n"/>
    </row>
    <row r="214">
      <c r="A214" s="5" t="n"/>
      <c r="B214" s="5" t="n"/>
      <c r="C214" s="5" t="n"/>
      <c r="D214" s="5" t="n"/>
      <c r="E214" s="19" t="n"/>
      <c r="F214" s="18" t="n"/>
      <c r="G214" s="18" t="n"/>
      <c r="H214" s="18" t="n"/>
      <c r="I214" s="20">
        <f>IF(OR(G214="",H214=""),"",H214-G214)</f>
        <v/>
      </c>
      <c r="J214" s="5" t="n"/>
    </row>
    <row r="215">
      <c r="A215" s="5" t="n"/>
      <c r="B215" s="5" t="n"/>
      <c r="C215" s="5" t="n"/>
      <c r="D215" s="5" t="n"/>
      <c r="E215" s="19" t="n"/>
      <c r="F215" s="18" t="n"/>
      <c r="G215" s="18" t="n"/>
      <c r="H215" s="18" t="n"/>
      <c r="I215" s="20">
        <f>IF(OR(G215="",H215=""),"",H215-G215)</f>
        <v/>
      </c>
      <c r="J215" s="5" t="n"/>
    </row>
    <row r="216">
      <c r="A216" s="5" t="n"/>
      <c r="B216" s="5" t="n"/>
      <c r="C216" s="5" t="n"/>
      <c r="D216" s="5" t="n"/>
      <c r="E216" s="19" t="n"/>
      <c r="F216" s="18" t="n"/>
      <c r="G216" s="18" t="n"/>
      <c r="H216" s="18" t="n"/>
      <c r="I216" s="20">
        <f>IF(OR(G216="",H216=""),"",H216-G216)</f>
        <v/>
      </c>
      <c r="J216" s="5" t="n"/>
    </row>
    <row r="217">
      <c r="A217" s="5" t="n"/>
      <c r="B217" s="5" t="n"/>
      <c r="C217" s="5" t="n"/>
      <c r="D217" s="5" t="n"/>
      <c r="E217" s="19" t="n"/>
      <c r="F217" s="18" t="n"/>
      <c r="G217" s="18" t="n"/>
      <c r="H217" s="18" t="n"/>
      <c r="I217" s="20">
        <f>IF(OR(G217="",H217=""),"",H217-G217)</f>
        <v/>
      </c>
      <c r="J217" s="5" t="n"/>
    </row>
    <row r="218">
      <c r="A218" s="5" t="n"/>
      <c r="B218" s="5" t="n"/>
      <c r="C218" s="5" t="n"/>
      <c r="D218" s="5" t="n"/>
      <c r="E218" s="19" t="n"/>
      <c r="F218" s="18" t="n"/>
      <c r="G218" s="18" t="n"/>
      <c r="H218" s="18" t="n"/>
      <c r="I218" s="20">
        <f>IF(OR(G218="",H218=""),"",H218-G218)</f>
        <v/>
      </c>
      <c r="J218" s="5" t="n"/>
    </row>
    <row r="219">
      <c r="A219" s="5" t="n"/>
      <c r="B219" s="5" t="n"/>
      <c r="C219" s="5" t="n"/>
      <c r="D219" s="5" t="n"/>
      <c r="E219" s="19" t="n"/>
      <c r="F219" s="18" t="n"/>
      <c r="G219" s="18" t="n"/>
      <c r="H219" s="18" t="n"/>
      <c r="I219" s="20">
        <f>IF(OR(G219="",H219=""),"",H219-G219)</f>
        <v/>
      </c>
      <c r="J219" s="5" t="n"/>
    </row>
    <row r="220">
      <c r="A220" s="5" t="n"/>
      <c r="B220" s="5" t="n"/>
      <c r="C220" s="5" t="n"/>
      <c r="D220" s="5" t="n"/>
      <c r="E220" s="19" t="n"/>
      <c r="F220" s="18" t="n"/>
      <c r="G220" s="18" t="n"/>
      <c r="H220" s="18" t="n"/>
      <c r="I220" s="20">
        <f>IF(OR(G220="",H220=""),"",H220-G220)</f>
        <v/>
      </c>
      <c r="J220" s="5" t="n"/>
    </row>
    <row r="221">
      <c r="A221" s="5" t="n"/>
      <c r="B221" s="5" t="n"/>
      <c r="C221" s="5" t="n"/>
      <c r="D221" s="5" t="n"/>
      <c r="E221" s="19" t="n"/>
      <c r="F221" s="18" t="n"/>
      <c r="G221" s="18" t="n"/>
      <c r="H221" s="18" t="n"/>
      <c r="I221" s="20">
        <f>IF(OR(G221="",H221=""),"",H221-G221)</f>
        <v/>
      </c>
      <c r="J221" s="5" t="n"/>
    </row>
    <row r="222">
      <c r="A222" s="5" t="n"/>
      <c r="B222" s="5" t="n"/>
      <c r="C222" s="5" t="n"/>
      <c r="D222" s="5" t="n"/>
      <c r="E222" s="19" t="n"/>
      <c r="F222" s="18" t="n"/>
      <c r="G222" s="18" t="n"/>
      <c r="H222" s="18" t="n"/>
      <c r="I222" s="20">
        <f>IF(OR(G222="",H222=""),"",H222-G222)</f>
        <v/>
      </c>
      <c r="J222" s="5" t="n"/>
    </row>
    <row r="223">
      <c r="A223" s="5" t="n"/>
      <c r="B223" s="5" t="n"/>
      <c r="C223" s="5" t="n"/>
      <c r="D223" s="5" t="n"/>
      <c r="E223" s="19" t="n"/>
      <c r="F223" s="18" t="n"/>
      <c r="G223" s="18" t="n"/>
      <c r="H223" s="18" t="n"/>
      <c r="I223" s="20">
        <f>IF(OR(G223="",H223=""),"",H223-G223)</f>
        <v/>
      </c>
      <c r="J223" s="5" t="n"/>
    </row>
    <row r="224">
      <c r="A224" s="5" t="n"/>
      <c r="B224" s="5" t="n"/>
      <c r="C224" s="5" t="n"/>
      <c r="D224" s="5" t="n"/>
      <c r="E224" s="19" t="n"/>
      <c r="F224" s="18" t="n"/>
      <c r="G224" s="18" t="n"/>
      <c r="H224" s="18" t="n"/>
      <c r="I224" s="20">
        <f>IF(OR(G224="",H224=""),"",H224-G224)</f>
        <v/>
      </c>
      <c r="J224" s="5" t="n"/>
    </row>
    <row r="225">
      <c r="A225" s="5" t="n"/>
      <c r="B225" s="5" t="n"/>
      <c r="C225" s="5" t="n"/>
      <c r="D225" s="5" t="n"/>
      <c r="E225" s="19" t="n"/>
      <c r="F225" s="18" t="n"/>
      <c r="G225" s="18" t="n"/>
      <c r="H225" s="18" t="n"/>
      <c r="I225" s="20">
        <f>IF(OR(G225="",H225=""),"",H225-G225)</f>
        <v/>
      </c>
      <c r="J225" s="5" t="n"/>
    </row>
    <row r="226">
      <c r="A226" s="5" t="n"/>
      <c r="B226" s="5" t="n"/>
      <c r="C226" s="5" t="n"/>
      <c r="D226" s="5" t="n"/>
      <c r="E226" s="19" t="n"/>
      <c r="F226" s="18" t="n"/>
      <c r="G226" s="18" t="n"/>
      <c r="H226" s="18" t="n"/>
      <c r="I226" s="20">
        <f>IF(OR(G226="",H226=""),"",H226-G226)</f>
        <v/>
      </c>
      <c r="J226" s="5" t="n"/>
    </row>
    <row r="227">
      <c r="A227" s="5" t="n"/>
      <c r="B227" s="5" t="n"/>
      <c r="C227" s="5" t="n"/>
      <c r="D227" s="5" t="n"/>
      <c r="E227" s="19" t="n"/>
      <c r="F227" s="18" t="n"/>
      <c r="G227" s="18" t="n"/>
      <c r="H227" s="18" t="n"/>
      <c r="I227" s="20">
        <f>IF(OR(G227="",H227=""),"",H227-G227)</f>
        <v/>
      </c>
      <c r="J227" s="5" t="n"/>
    </row>
    <row r="228">
      <c r="A228" s="5" t="n"/>
      <c r="B228" s="5" t="n"/>
      <c r="C228" s="5" t="n"/>
      <c r="D228" s="5" t="n"/>
      <c r="E228" s="19" t="n"/>
      <c r="F228" s="18" t="n"/>
      <c r="G228" s="18" t="n"/>
      <c r="H228" s="18" t="n"/>
      <c r="I228" s="20">
        <f>IF(OR(G228="",H228=""),"",H228-G228)</f>
        <v/>
      </c>
      <c r="J228" s="5" t="n"/>
    </row>
    <row r="229">
      <c r="A229" s="5" t="n"/>
      <c r="B229" s="5" t="n"/>
      <c r="C229" s="5" t="n"/>
      <c r="D229" s="5" t="n"/>
      <c r="E229" s="19" t="n"/>
      <c r="F229" s="18" t="n"/>
      <c r="G229" s="18" t="n"/>
      <c r="H229" s="18" t="n"/>
      <c r="I229" s="20">
        <f>IF(OR(G229="",H229=""),"",H229-G229)</f>
        <v/>
      </c>
      <c r="J229" s="5" t="n"/>
    </row>
    <row r="230">
      <c r="A230" s="5" t="n"/>
      <c r="B230" s="5" t="n"/>
      <c r="C230" s="5" t="n"/>
      <c r="D230" s="5" t="n"/>
      <c r="E230" s="19" t="n"/>
      <c r="F230" s="18" t="n"/>
      <c r="G230" s="18" t="n"/>
      <c r="H230" s="18" t="n"/>
      <c r="I230" s="20">
        <f>IF(OR(G230="",H230=""),"",H230-G230)</f>
        <v/>
      </c>
      <c r="J230" s="5" t="n"/>
    </row>
    <row r="231">
      <c r="A231" s="5" t="n"/>
      <c r="B231" s="5" t="n"/>
      <c r="C231" s="5" t="n"/>
      <c r="D231" s="5" t="n"/>
      <c r="E231" s="19" t="n"/>
      <c r="F231" s="18" t="n"/>
      <c r="G231" s="18" t="n"/>
      <c r="H231" s="18" t="n"/>
      <c r="I231" s="20">
        <f>IF(OR(G231="",H231=""),"",H231-G231)</f>
        <v/>
      </c>
      <c r="J231" s="5" t="n"/>
    </row>
    <row r="232">
      <c r="A232" s="5" t="n"/>
      <c r="B232" s="5" t="n"/>
      <c r="C232" s="5" t="n"/>
      <c r="D232" s="5" t="n"/>
      <c r="E232" s="19" t="n"/>
      <c r="F232" s="18" t="n"/>
      <c r="G232" s="18" t="n"/>
      <c r="H232" s="18" t="n"/>
      <c r="I232" s="20">
        <f>IF(OR(G232="",H232=""),"",H232-G232)</f>
        <v/>
      </c>
      <c r="J232" s="5" t="n"/>
    </row>
    <row r="233">
      <c r="A233" s="5" t="n"/>
      <c r="B233" s="5" t="n"/>
      <c r="C233" s="5" t="n"/>
      <c r="D233" s="5" t="n"/>
      <c r="E233" s="19" t="n"/>
      <c r="F233" s="18" t="n"/>
      <c r="G233" s="18" t="n"/>
      <c r="H233" s="18" t="n"/>
      <c r="I233" s="20">
        <f>IF(OR(G233="",H233=""),"",H233-G233)</f>
        <v/>
      </c>
      <c r="J233" s="5" t="n"/>
    </row>
    <row r="234">
      <c r="A234" s="5" t="n"/>
      <c r="B234" s="5" t="n"/>
      <c r="C234" s="5" t="n"/>
      <c r="D234" s="5" t="n"/>
      <c r="E234" s="19" t="n"/>
      <c r="F234" s="18" t="n"/>
      <c r="G234" s="18" t="n"/>
      <c r="H234" s="18" t="n"/>
      <c r="I234" s="20">
        <f>IF(OR(G234="",H234=""),"",H234-G234)</f>
        <v/>
      </c>
      <c r="J234" s="5" t="n"/>
    </row>
    <row r="235">
      <c r="A235" s="5" t="n"/>
      <c r="B235" s="5" t="n"/>
      <c r="C235" s="5" t="n"/>
      <c r="D235" s="5" t="n"/>
      <c r="E235" s="19" t="n"/>
      <c r="F235" s="18" t="n"/>
      <c r="G235" s="18" t="n"/>
      <c r="H235" s="18" t="n"/>
      <c r="I235" s="20">
        <f>IF(OR(G235="",H235=""),"",H235-G235)</f>
        <v/>
      </c>
      <c r="J235" s="5" t="n"/>
    </row>
    <row r="236">
      <c r="A236" s="5" t="n"/>
      <c r="B236" s="5" t="n"/>
      <c r="C236" s="5" t="n"/>
      <c r="D236" s="5" t="n"/>
      <c r="E236" s="19" t="n"/>
      <c r="F236" s="18" t="n"/>
      <c r="G236" s="18" t="n"/>
      <c r="H236" s="18" t="n"/>
      <c r="I236" s="20">
        <f>IF(OR(G236="",H236=""),"",H236-G236)</f>
        <v/>
      </c>
      <c r="J236" s="5" t="n"/>
    </row>
    <row r="237">
      <c r="A237" s="5" t="n"/>
      <c r="B237" s="5" t="n"/>
      <c r="C237" s="5" t="n"/>
      <c r="D237" s="5" t="n"/>
      <c r="E237" s="19" t="n"/>
      <c r="F237" s="18" t="n"/>
      <c r="G237" s="18" t="n"/>
      <c r="H237" s="18" t="n"/>
      <c r="I237" s="20">
        <f>IF(OR(G237="",H237=""),"",H237-G237)</f>
        <v/>
      </c>
      <c r="J237" s="5" t="n"/>
    </row>
    <row r="238">
      <c r="A238" s="5" t="n"/>
      <c r="B238" s="5" t="n"/>
      <c r="C238" s="5" t="n"/>
      <c r="D238" s="5" t="n"/>
      <c r="E238" s="19" t="n"/>
      <c r="F238" s="18" t="n"/>
      <c r="G238" s="18" t="n"/>
      <c r="H238" s="18" t="n"/>
      <c r="I238" s="20">
        <f>IF(OR(G238="",H238=""),"",H238-G238)</f>
        <v/>
      </c>
      <c r="J238" s="5" t="n"/>
    </row>
    <row r="239">
      <c r="A239" s="5" t="n"/>
      <c r="B239" s="5" t="n"/>
      <c r="C239" s="5" t="n"/>
      <c r="D239" s="5" t="n"/>
      <c r="E239" s="19" t="n"/>
      <c r="F239" s="18" t="n"/>
      <c r="G239" s="18" t="n"/>
      <c r="H239" s="18" t="n"/>
      <c r="I239" s="20">
        <f>IF(OR(G239="",H239=""),"",H239-G239)</f>
        <v/>
      </c>
      <c r="J239" s="5" t="n"/>
    </row>
    <row r="240">
      <c r="A240" s="5" t="n"/>
      <c r="B240" s="5" t="n"/>
      <c r="C240" s="5" t="n"/>
      <c r="D240" s="5" t="n"/>
      <c r="E240" s="19" t="n"/>
      <c r="F240" s="18" t="n"/>
      <c r="G240" s="18" t="n"/>
      <c r="H240" s="18" t="n"/>
      <c r="I240" s="20">
        <f>IF(OR(G240="",H240=""),"",H240-G240)</f>
        <v/>
      </c>
      <c r="J240" s="5" t="n"/>
    </row>
    <row r="241">
      <c r="A241" s="5" t="n"/>
      <c r="B241" s="5" t="n"/>
      <c r="C241" s="5" t="n"/>
      <c r="D241" s="5" t="n"/>
      <c r="E241" s="19" t="n"/>
      <c r="F241" s="18" t="n"/>
      <c r="G241" s="18" t="n"/>
      <c r="H241" s="18" t="n"/>
      <c r="I241" s="20">
        <f>IF(OR(G241="",H241=""),"",H241-G241)</f>
        <v/>
      </c>
      <c r="J241" s="5" t="n"/>
    </row>
    <row r="242">
      <c r="A242" s="5" t="n"/>
      <c r="B242" s="5" t="n"/>
      <c r="C242" s="5" t="n"/>
      <c r="D242" s="5" t="n"/>
      <c r="E242" s="19" t="n"/>
      <c r="F242" s="18" t="n"/>
      <c r="G242" s="18" t="n"/>
      <c r="H242" s="18" t="n"/>
      <c r="I242" s="20">
        <f>IF(OR(G242="",H242=""),"",H242-G242)</f>
        <v/>
      </c>
      <c r="J242" s="5" t="n"/>
    </row>
    <row r="243">
      <c r="A243" s="5" t="n"/>
      <c r="B243" s="5" t="n"/>
      <c r="C243" s="5" t="n"/>
      <c r="D243" s="5" t="n"/>
      <c r="E243" s="19" t="n"/>
      <c r="F243" s="18" t="n"/>
      <c r="G243" s="18" t="n"/>
      <c r="H243" s="18" t="n"/>
      <c r="I243" s="20">
        <f>IF(OR(G243="",H243=""),"",H243-G243)</f>
        <v/>
      </c>
      <c r="J243" s="5" t="n"/>
    </row>
    <row r="244">
      <c r="A244" s="5" t="n"/>
      <c r="B244" s="5" t="n"/>
      <c r="C244" s="5" t="n"/>
      <c r="D244" s="5" t="n"/>
      <c r="E244" s="19" t="n"/>
      <c r="F244" s="18" t="n"/>
      <c r="G244" s="18" t="n"/>
      <c r="H244" s="18" t="n"/>
      <c r="I244" s="20">
        <f>IF(OR(G244="",H244=""),"",H244-G244)</f>
        <v/>
      </c>
      <c r="J244" s="5" t="n"/>
    </row>
    <row r="245">
      <c r="A245" s="5" t="n"/>
      <c r="B245" s="5" t="n"/>
      <c r="C245" s="5" t="n"/>
      <c r="D245" s="5" t="n"/>
      <c r="E245" s="19" t="n"/>
      <c r="F245" s="18" t="n"/>
      <c r="G245" s="18" t="n"/>
      <c r="H245" s="18" t="n"/>
      <c r="I245" s="20">
        <f>IF(OR(G245="",H245=""),"",H245-G245)</f>
        <v/>
      </c>
      <c r="J245" s="5" t="n"/>
    </row>
    <row r="246">
      <c r="A246" s="5" t="n"/>
      <c r="B246" s="5" t="n"/>
      <c r="C246" s="5" t="n"/>
      <c r="D246" s="5" t="n"/>
      <c r="E246" s="19" t="n"/>
      <c r="F246" s="18" t="n"/>
      <c r="G246" s="18" t="n"/>
      <c r="H246" s="18" t="n"/>
      <c r="I246" s="20">
        <f>IF(OR(G246="",H246=""),"",H246-G246)</f>
        <v/>
      </c>
      <c r="J246" s="5" t="n"/>
    </row>
    <row r="247">
      <c r="A247" s="5" t="n"/>
      <c r="B247" s="5" t="n"/>
      <c r="C247" s="5" t="n"/>
      <c r="D247" s="5" t="n"/>
      <c r="E247" s="19" t="n"/>
      <c r="F247" s="18" t="n"/>
      <c r="G247" s="18" t="n"/>
      <c r="H247" s="18" t="n"/>
      <c r="I247" s="20">
        <f>IF(OR(G247="",H247=""),"",H247-G247)</f>
        <v/>
      </c>
      <c r="J247" s="5" t="n"/>
    </row>
    <row r="248">
      <c r="A248" s="5" t="n"/>
      <c r="B248" s="5" t="n"/>
      <c r="C248" s="5" t="n"/>
      <c r="D248" s="5" t="n"/>
      <c r="E248" s="19" t="n"/>
      <c r="F248" s="18" t="n"/>
      <c r="G248" s="18" t="n"/>
      <c r="H248" s="18" t="n"/>
      <c r="I248" s="20">
        <f>IF(OR(G248="",H248=""),"",H248-G248)</f>
        <v/>
      </c>
      <c r="J248" s="5" t="n"/>
    </row>
    <row r="249">
      <c r="A249" s="5" t="n"/>
      <c r="B249" s="5" t="n"/>
      <c r="C249" s="5" t="n"/>
      <c r="D249" s="5" t="n"/>
      <c r="E249" s="19" t="n"/>
      <c r="F249" s="18" t="n"/>
      <c r="G249" s="18" t="n"/>
      <c r="H249" s="18" t="n"/>
      <c r="I249" s="20">
        <f>IF(OR(G249="",H249=""),"",H249-G249)</f>
        <v/>
      </c>
      <c r="J249" s="5" t="n"/>
    </row>
    <row r="250">
      <c r="A250" s="5" t="n"/>
      <c r="B250" s="5" t="n"/>
      <c r="C250" s="5" t="n"/>
      <c r="D250" s="5" t="n"/>
      <c r="E250" s="19" t="n"/>
      <c r="F250" s="18" t="n"/>
      <c r="G250" s="18" t="n"/>
      <c r="H250" s="18" t="n"/>
      <c r="I250" s="20">
        <f>IF(OR(G250="",H250=""),"",H250-G250)</f>
        <v/>
      </c>
      <c r="J250" s="5" t="n"/>
    </row>
    <row r="251">
      <c r="A251" s="5" t="n"/>
      <c r="B251" s="5" t="n"/>
      <c r="C251" s="5" t="n"/>
      <c r="D251" s="5" t="n"/>
      <c r="E251" s="19" t="n"/>
      <c r="F251" s="18" t="n"/>
      <c r="G251" s="18" t="n"/>
      <c r="H251" s="18" t="n"/>
      <c r="I251" s="20">
        <f>IF(OR(G251="",H251=""),"",H251-G251)</f>
        <v/>
      </c>
      <c r="J251" s="5" t="n"/>
    </row>
    <row r="252">
      <c r="A252" s="5" t="n"/>
      <c r="B252" s="5" t="n"/>
      <c r="C252" s="5" t="n"/>
      <c r="D252" s="5" t="n"/>
      <c r="E252" s="19" t="n"/>
      <c r="F252" s="18" t="n"/>
      <c r="G252" s="18" t="n"/>
      <c r="H252" s="18" t="n"/>
      <c r="I252" s="20">
        <f>IF(OR(G252="",H252=""),"",H252-G252)</f>
        <v/>
      </c>
      <c r="J252" s="5" t="n"/>
    </row>
    <row r="253">
      <c r="A253" s="5" t="n"/>
      <c r="B253" s="5" t="n"/>
      <c r="C253" s="5" t="n"/>
      <c r="D253" s="5" t="n"/>
      <c r="E253" s="19" t="n"/>
      <c r="F253" s="18" t="n"/>
      <c r="G253" s="18" t="n"/>
      <c r="H253" s="18" t="n"/>
      <c r="I253" s="20">
        <f>IF(OR(G253="",H253=""),"",H253-G253)</f>
        <v/>
      </c>
      <c r="J253" s="5" t="n"/>
    </row>
    <row r="254">
      <c r="A254" s="5" t="n"/>
      <c r="B254" s="5" t="n"/>
      <c r="C254" s="5" t="n"/>
      <c r="D254" s="5" t="n"/>
      <c r="E254" s="19" t="n"/>
      <c r="F254" s="18" t="n"/>
      <c r="G254" s="18" t="n"/>
      <c r="H254" s="18" t="n"/>
      <c r="I254" s="20">
        <f>IF(OR(G254="",H254=""),"",H254-G254)</f>
        <v/>
      </c>
      <c r="J254" s="5" t="n"/>
    </row>
    <row r="255">
      <c r="A255" s="5" t="n"/>
      <c r="B255" s="5" t="n"/>
      <c r="C255" s="5" t="n"/>
      <c r="D255" s="5" t="n"/>
      <c r="E255" s="19" t="n"/>
      <c r="F255" s="18" t="n"/>
      <c r="G255" s="18" t="n"/>
      <c r="H255" s="18" t="n"/>
      <c r="I255" s="20">
        <f>IF(OR(G255="",H255=""),"",H255-G255)</f>
        <v/>
      </c>
      <c r="J255" s="5" t="n"/>
    </row>
    <row r="256">
      <c r="A256" s="5" t="n"/>
      <c r="B256" s="5" t="n"/>
      <c r="C256" s="5" t="n"/>
      <c r="D256" s="5" t="n"/>
      <c r="E256" s="19" t="n"/>
      <c r="F256" s="18" t="n"/>
      <c r="G256" s="18" t="n"/>
      <c r="H256" s="18" t="n"/>
      <c r="I256" s="20">
        <f>IF(OR(G256="",H256=""),"",H256-G256)</f>
        <v/>
      </c>
      <c r="J256" s="5" t="n"/>
    </row>
    <row r="257">
      <c r="A257" s="5" t="n"/>
      <c r="B257" s="5" t="n"/>
      <c r="C257" s="5" t="n"/>
      <c r="D257" s="5" t="n"/>
      <c r="E257" s="19" t="n"/>
      <c r="F257" s="18" t="n"/>
      <c r="G257" s="18" t="n"/>
      <c r="H257" s="18" t="n"/>
      <c r="I257" s="20">
        <f>IF(OR(G257="",H257=""),"",H257-G257)</f>
        <v/>
      </c>
      <c r="J257" s="5" t="n"/>
    </row>
    <row r="258">
      <c r="A258" s="5" t="n"/>
      <c r="B258" s="5" t="n"/>
      <c r="C258" s="5" t="n"/>
      <c r="D258" s="5" t="n"/>
      <c r="E258" s="19" t="n"/>
      <c r="F258" s="18" t="n"/>
      <c r="G258" s="18" t="n"/>
      <c r="H258" s="18" t="n"/>
      <c r="I258" s="20">
        <f>IF(OR(G258="",H258=""),"",H258-G258)</f>
        <v/>
      </c>
      <c r="J258" s="5" t="n"/>
    </row>
    <row r="259">
      <c r="A259" s="5" t="n"/>
      <c r="B259" s="5" t="n"/>
      <c r="C259" s="5" t="n"/>
      <c r="D259" s="5" t="n"/>
      <c r="E259" s="19" t="n"/>
      <c r="F259" s="18" t="n"/>
      <c r="G259" s="18" t="n"/>
      <c r="H259" s="18" t="n"/>
      <c r="I259" s="20">
        <f>IF(OR(G259="",H259=""),"",H259-G259)</f>
        <v/>
      </c>
      <c r="J259" s="5" t="n"/>
    </row>
    <row r="260">
      <c r="A260" s="5" t="n"/>
      <c r="B260" s="5" t="n"/>
      <c r="C260" s="5" t="n"/>
      <c r="D260" s="5" t="n"/>
      <c r="E260" s="19" t="n"/>
      <c r="F260" s="18" t="n"/>
      <c r="G260" s="18" t="n"/>
      <c r="H260" s="18" t="n"/>
      <c r="I260" s="20">
        <f>IF(OR(G260="",H260=""),"",H260-G260)</f>
        <v/>
      </c>
      <c r="J260" s="5" t="n"/>
    </row>
    <row r="261">
      <c r="A261" s="5" t="n"/>
      <c r="B261" s="5" t="n"/>
      <c r="C261" s="5" t="n"/>
      <c r="D261" s="5" t="n"/>
      <c r="E261" s="19" t="n"/>
      <c r="F261" s="18" t="n"/>
      <c r="G261" s="18" t="n"/>
      <c r="H261" s="18" t="n"/>
      <c r="I261" s="20">
        <f>IF(OR(G261="",H261=""),"",H261-G261)</f>
        <v/>
      </c>
      <c r="J261" s="5" t="n"/>
    </row>
    <row r="262">
      <c r="A262" s="5" t="n"/>
      <c r="B262" s="5" t="n"/>
      <c r="C262" s="5" t="n"/>
      <c r="D262" s="5" t="n"/>
      <c r="E262" s="19" t="n"/>
      <c r="F262" s="18" t="n"/>
      <c r="G262" s="18" t="n"/>
      <c r="H262" s="18" t="n"/>
      <c r="I262" s="20">
        <f>IF(OR(G262="",H262=""),"",H262-G262)</f>
        <v/>
      </c>
      <c r="J262" s="5" t="n"/>
    </row>
    <row r="263">
      <c r="A263" s="5" t="n"/>
      <c r="B263" s="5" t="n"/>
      <c r="C263" s="5" t="n"/>
      <c r="D263" s="5" t="n"/>
      <c r="E263" s="19" t="n"/>
      <c r="F263" s="18" t="n"/>
      <c r="G263" s="18" t="n"/>
      <c r="H263" s="18" t="n"/>
      <c r="I263" s="20">
        <f>IF(OR(G263="",H263=""),"",H263-G263)</f>
        <v/>
      </c>
      <c r="J263" s="5" t="n"/>
    </row>
    <row r="264">
      <c r="A264" s="5" t="n"/>
      <c r="B264" s="5" t="n"/>
      <c r="C264" s="5" t="n"/>
      <c r="D264" s="5" t="n"/>
      <c r="E264" s="19" t="n"/>
      <c r="F264" s="18" t="n"/>
      <c r="G264" s="18" t="n"/>
      <c r="H264" s="18" t="n"/>
      <c r="I264" s="20">
        <f>IF(OR(G264="",H264=""),"",H264-G264)</f>
        <v/>
      </c>
      <c r="J264" s="5" t="n"/>
    </row>
    <row r="265">
      <c r="A265" s="5" t="n"/>
      <c r="B265" s="5" t="n"/>
      <c r="C265" s="5" t="n"/>
      <c r="D265" s="5" t="n"/>
      <c r="E265" s="19" t="n"/>
      <c r="F265" s="18" t="n"/>
      <c r="G265" s="18" t="n"/>
      <c r="H265" s="18" t="n"/>
      <c r="I265" s="20">
        <f>IF(OR(G265="",H265=""),"",H265-G265)</f>
        <v/>
      </c>
      <c r="J265" s="5" t="n"/>
    </row>
    <row r="266">
      <c r="A266" s="5" t="n"/>
      <c r="B266" s="5" t="n"/>
      <c r="C266" s="5" t="n"/>
      <c r="D266" s="5" t="n"/>
      <c r="E266" s="19" t="n"/>
      <c r="F266" s="18" t="n"/>
      <c r="G266" s="18" t="n"/>
      <c r="H266" s="18" t="n"/>
      <c r="I266" s="20">
        <f>IF(OR(G266="",H266=""),"",H266-G266)</f>
        <v/>
      </c>
      <c r="J266" s="5" t="n"/>
    </row>
    <row r="267">
      <c r="A267" s="5" t="n"/>
      <c r="B267" s="5" t="n"/>
      <c r="C267" s="5" t="n"/>
      <c r="D267" s="5" t="n"/>
      <c r="E267" s="19" t="n"/>
      <c r="F267" s="18" t="n"/>
      <c r="G267" s="18" t="n"/>
      <c r="H267" s="18" t="n"/>
      <c r="I267" s="20">
        <f>IF(OR(G267="",H267=""),"",H267-G267)</f>
        <v/>
      </c>
      <c r="J267" s="5" t="n"/>
    </row>
    <row r="268">
      <c r="A268" s="5" t="n"/>
      <c r="B268" s="5" t="n"/>
      <c r="C268" s="5" t="n"/>
      <c r="D268" s="5" t="n"/>
      <c r="E268" s="19" t="n"/>
      <c r="F268" s="18" t="n"/>
      <c r="G268" s="18" t="n"/>
      <c r="H268" s="18" t="n"/>
      <c r="I268" s="20">
        <f>IF(OR(G268="",H268=""),"",H268-G268)</f>
        <v/>
      </c>
      <c r="J268" s="5" t="n"/>
    </row>
    <row r="269">
      <c r="A269" s="5" t="n"/>
      <c r="B269" s="5" t="n"/>
      <c r="C269" s="5" t="n"/>
      <c r="D269" s="5" t="n"/>
      <c r="E269" s="19" t="n"/>
      <c r="F269" s="18" t="n"/>
      <c r="G269" s="18" t="n"/>
      <c r="H269" s="18" t="n"/>
      <c r="I269" s="20">
        <f>IF(OR(G269="",H269=""),"",H269-G269)</f>
        <v/>
      </c>
      <c r="J269" s="5" t="n"/>
    </row>
    <row r="270">
      <c r="A270" s="5" t="n"/>
      <c r="B270" s="5" t="n"/>
      <c r="C270" s="5" t="n"/>
      <c r="D270" s="5" t="n"/>
      <c r="E270" s="19" t="n"/>
      <c r="F270" s="18" t="n"/>
      <c r="G270" s="18" t="n"/>
      <c r="H270" s="18" t="n"/>
      <c r="I270" s="20">
        <f>IF(OR(G270="",H270=""),"",H270-G270)</f>
        <v/>
      </c>
      <c r="J270" s="5" t="n"/>
    </row>
    <row r="271">
      <c r="A271" s="5" t="n"/>
      <c r="B271" s="5" t="n"/>
      <c r="C271" s="5" t="n"/>
      <c r="D271" s="5" t="n"/>
      <c r="E271" s="19" t="n"/>
      <c r="F271" s="18" t="n"/>
      <c r="G271" s="18" t="n"/>
      <c r="H271" s="18" t="n"/>
      <c r="I271" s="20">
        <f>IF(OR(G271="",H271=""),"",H271-G271)</f>
        <v/>
      </c>
      <c r="J271" s="5" t="n"/>
    </row>
    <row r="272">
      <c r="A272" s="5" t="n"/>
      <c r="B272" s="5" t="n"/>
      <c r="C272" s="5" t="n"/>
      <c r="D272" s="5" t="n"/>
      <c r="E272" s="19" t="n"/>
      <c r="F272" s="18" t="n"/>
      <c r="G272" s="18" t="n"/>
      <c r="H272" s="18" t="n"/>
      <c r="I272" s="20">
        <f>IF(OR(G272="",H272=""),"",H272-G272)</f>
        <v/>
      </c>
      <c r="J272" s="5" t="n"/>
    </row>
    <row r="273">
      <c r="A273" s="5" t="n"/>
      <c r="B273" s="5" t="n"/>
      <c r="C273" s="5" t="n"/>
      <c r="D273" s="5" t="n"/>
      <c r="E273" s="19" t="n"/>
      <c r="F273" s="18" t="n"/>
      <c r="G273" s="18" t="n"/>
      <c r="H273" s="18" t="n"/>
      <c r="I273" s="20">
        <f>IF(OR(G273="",H273=""),"",H273-G273)</f>
        <v/>
      </c>
      <c r="J273" s="5" t="n"/>
    </row>
    <row r="274">
      <c r="A274" s="5" t="n"/>
      <c r="B274" s="5" t="n"/>
      <c r="C274" s="5" t="n"/>
      <c r="D274" s="5" t="n"/>
      <c r="E274" s="19" t="n"/>
      <c r="F274" s="18" t="n"/>
      <c r="G274" s="18" t="n"/>
      <c r="H274" s="18" t="n"/>
      <c r="I274" s="20">
        <f>IF(OR(G274="",H274=""),"",H274-G274)</f>
        <v/>
      </c>
      <c r="J274" s="5" t="n"/>
    </row>
    <row r="275">
      <c r="A275" s="5" t="n"/>
      <c r="B275" s="5" t="n"/>
      <c r="C275" s="5" t="n"/>
      <c r="D275" s="5" t="n"/>
      <c r="E275" s="19" t="n"/>
      <c r="F275" s="18" t="n"/>
      <c r="G275" s="18" t="n"/>
      <c r="H275" s="18" t="n"/>
      <c r="I275" s="20">
        <f>IF(OR(G275="",H275=""),"",H275-G275)</f>
        <v/>
      </c>
      <c r="J275" s="5" t="n"/>
    </row>
    <row r="276">
      <c r="A276" s="5" t="n"/>
      <c r="B276" s="5" t="n"/>
      <c r="C276" s="5" t="n"/>
      <c r="D276" s="5" t="n"/>
      <c r="E276" s="19" t="n"/>
      <c r="F276" s="18" t="n"/>
      <c r="G276" s="18" t="n"/>
      <c r="H276" s="18" t="n"/>
      <c r="I276" s="20">
        <f>IF(OR(G276="",H276=""),"",H276-G276)</f>
        <v/>
      </c>
      <c r="J276" s="5" t="n"/>
    </row>
    <row r="277">
      <c r="A277" s="5" t="n"/>
      <c r="B277" s="5" t="n"/>
      <c r="C277" s="5" t="n"/>
      <c r="D277" s="5" t="n"/>
      <c r="E277" s="19" t="n"/>
      <c r="F277" s="18" t="n"/>
      <c r="G277" s="18" t="n"/>
      <c r="H277" s="18" t="n"/>
      <c r="I277" s="20">
        <f>IF(OR(G277="",H277=""),"",H277-G277)</f>
        <v/>
      </c>
      <c r="J277" s="5" t="n"/>
    </row>
    <row r="278">
      <c r="A278" s="5" t="n"/>
      <c r="B278" s="5" t="n"/>
      <c r="C278" s="5" t="n"/>
      <c r="D278" s="5" t="n"/>
      <c r="E278" s="19" t="n"/>
      <c r="F278" s="18" t="n"/>
      <c r="G278" s="18" t="n"/>
      <c r="H278" s="18" t="n"/>
      <c r="I278" s="20">
        <f>IF(OR(G278="",H278=""),"",H278-G278)</f>
        <v/>
      </c>
      <c r="J278" s="5" t="n"/>
    </row>
    <row r="279">
      <c r="A279" s="5" t="n"/>
      <c r="B279" s="5" t="n"/>
      <c r="C279" s="5" t="n"/>
      <c r="D279" s="5" t="n"/>
      <c r="E279" s="19" t="n"/>
      <c r="F279" s="18" t="n"/>
      <c r="G279" s="18" t="n"/>
      <c r="H279" s="18" t="n"/>
      <c r="I279" s="20">
        <f>IF(OR(G279="",H279=""),"",H279-G279)</f>
        <v/>
      </c>
      <c r="J279" s="5" t="n"/>
    </row>
    <row r="280">
      <c r="A280" s="5" t="n"/>
      <c r="B280" s="5" t="n"/>
      <c r="C280" s="5" t="n"/>
      <c r="D280" s="5" t="n"/>
      <c r="E280" s="19" t="n"/>
      <c r="F280" s="18" t="n"/>
      <c r="G280" s="18" t="n"/>
      <c r="H280" s="18" t="n"/>
      <c r="I280" s="20">
        <f>IF(OR(G280="",H280=""),"",H280-G280)</f>
        <v/>
      </c>
      <c r="J280" s="5" t="n"/>
    </row>
    <row r="281">
      <c r="A281" s="5" t="n"/>
      <c r="B281" s="5" t="n"/>
      <c r="C281" s="5" t="n"/>
      <c r="D281" s="5" t="n"/>
      <c r="E281" s="19" t="n"/>
      <c r="F281" s="18" t="n"/>
      <c r="G281" s="18" t="n"/>
      <c r="H281" s="18" t="n"/>
      <c r="I281" s="20">
        <f>IF(OR(G281="",H281=""),"",H281-G281)</f>
        <v/>
      </c>
      <c r="J281" s="5" t="n"/>
    </row>
    <row r="282">
      <c r="A282" s="5" t="n"/>
      <c r="B282" s="5" t="n"/>
      <c r="C282" s="5" t="n"/>
      <c r="D282" s="5" t="n"/>
      <c r="E282" s="19" t="n"/>
      <c r="F282" s="18" t="n"/>
      <c r="G282" s="18" t="n"/>
      <c r="H282" s="18" t="n"/>
      <c r="I282" s="20">
        <f>IF(OR(G282="",H282=""),"",H282-G282)</f>
        <v/>
      </c>
      <c r="J282" s="5" t="n"/>
    </row>
    <row r="283">
      <c r="A283" s="5" t="n"/>
      <c r="B283" s="5" t="n"/>
      <c r="C283" s="5" t="n"/>
      <c r="D283" s="5" t="n"/>
      <c r="E283" s="19" t="n"/>
      <c r="F283" s="18" t="n"/>
      <c r="G283" s="18" t="n"/>
      <c r="H283" s="18" t="n"/>
      <c r="I283" s="20">
        <f>IF(OR(G283="",H283=""),"",H283-G283)</f>
        <v/>
      </c>
      <c r="J283" s="5" t="n"/>
    </row>
    <row r="284">
      <c r="A284" s="5" t="n"/>
      <c r="B284" s="5" t="n"/>
      <c r="C284" s="5" t="n"/>
      <c r="D284" s="5" t="n"/>
      <c r="E284" s="19" t="n"/>
      <c r="F284" s="18" t="n"/>
      <c r="G284" s="18" t="n"/>
      <c r="H284" s="18" t="n"/>
      <c r="I284" s="20">
        <f>IF(OR(G284="",H284=""),"",H284-G284)</f>
        <v/>
      </c>
      <c r="J284" s="5" t="n"/>
    </row>
    <row r="285">
      <c r="A285" s="5" t="n"/>
      <c r="B285" s="5" t="n"/>
      <c r="C285" s="5" t="n"/>
      <c r="D285" s="5" t="n"/>
      <c r="E285" s="19" t="n"/>
      <c r="F285" s="18" t="n"/>
      <c r="G285" s="18" t="n"/>
      <c r="H285" s="18" t="n"/>
      <c r="I285" s="20">
        <f>IF(OR(G285="",H285=""),"",H285-G285)</f>
        <v/>
      </c>
      <c r="J285" s="5" t="n"/>
    </row>
    <row r="286">
      <c r="A286" s="5" t="n"/>
      <c r="B286" s="5" t="n"/>
      <c r="C286" s="5" t="n"/>
      <c r="D286" s="5" t="n"/>
      <c r="E286" s="19" t="n"/>
      <c r="F286" s="18" t="n"/>
      <c r="G286" s="18" t="n"/>
      <c r="H286" s="18" t="n"/>
      <c r="I286" s="20">
        <f>IF(OR(G286="",H286=""),"",H286-G286)</f>
        <v/>
      </c>
      <c r="J286" s="5" t="n"/>
    </row>
    <row r="287">
      <c r="A287" s="5" t="n"/>
      <c r="B287" s="5" t="n"/>
      <c r="C287" s="5" t="n"/>
      <c r="D287" s="5" t="n"/>
      <c r="E287" s="19" t="n"/>
      <c r="F287" s="18" t="n"/>
      <c r="G287" s="18" t="n"/>
      <c r="H287" s="18" t="n"/>
      <c r="I287" s="20">
        <f>IF(OR(G287="",H287=""),"",H287-G287)</f>
        <v/>
      </c>
      <c r="J287" s="5" t="n"/>
    </row>
    <row r="288">
      <c r="A288" s="5" t="n"/>
      <c r="B288" s="5" t="n"/>
      <c r="C288" s="5" t="n"/>
      <c r="D288" s="5" t="n"/>
      <c r="E288" s="19" t="n"/>
      <c r="F288" s="18" t="n"/>
      <c r="G288" s="18" t="n"/>
      <c r="H288" s="18" t="n"/>
      <c r="I288" s="20">
        <f>IF(OR(G288="",H288=""),"",H288-G288)</f>
        <v/>
      </c>
      <c r="J288" s="5" t="n"/>
    </row>
    <row r="289">
      <c r="A289" s="5" t="n"/>
      <c r="B289" s="5" t="n"/>
      <c r="C289" s="5" t="n"/>
      <c r="D289" s="5" t="n"/>
      <c r="E289" s="19" t="n"/>
      <c r="F289" s="18" t="n"/>
      <c r="G289" s="18" t="n"/>
      <c r="H289" s="18" t="n"/>
      <c r="I289" s="20">
        <f>IF(OR(G289="",H289=""),"",H289-G289)</f>
        <v/>
      </c>
      <c r="J289" s="5" t="n"/>
    </row>
    <row r="290">
      <c r="A290" s="5" t="n"/>
      <c r="B290" s="5" t="n"/>
      <c r="C290" s="5" t="n"/>
      <c r="D290" s="5" t="n"/>
      <c r="E290" s="19" t="n"/>
      <c r="F290" s="18" t="n"/>
      <c r="G290" s="18" t="n"/>
      <c r="H290" s="18" t="n"/>
      <c r="I290" s="20">
        <f>IF(OR(G290="",H290=""),"",H290-G290)</f>
        <v/>
      </c>
      <c r="J290" s="5" t="n"/>
    </row>
    <row r="291">
      <c r="A291" s="5" t="n"/>
      <c r="B291" s="5" t="n"/>
      <c r="C291" s="5" t="n"/>
      <c r="D291" s="5" t="n"/>
      <c r="E291" s="19" t="n"/>
      <c r="F291" s="18" t="n"/>
      <c r="G291" s="18" t="n"/>
      <c r="H291" s="18" t="n"/>
      <c r="I291" s="20">
        <f>IF(OR(G291="",H291=""),"",H291-G291)</f>
        <v/>
      </c>
      <c r="J291" s="5" t="n"/>
    </row>
    <row r="292">
      <c r="A292" s="5" t="n"/>
      <c r="B292" s="5" t="n"/>
      <c r="C292" s="5" t="n"/>
      <c r="D292" s="5" t="n"/>
      <c r="E292" s="19" t="n"/>
      <c r="F292" s="18" t="n"/>
      <c r="G292" s="18" t="n"/>
      <c r="H292" s="18" t="n"/>
      <c r="I292" s="20">
        <f>IF(OR(G292="",H292=""),"",H292-G292)</f>
        <v/>
      </c>
      <c r="J292" s="5" t="n"/>
    </row>
    <row r="293">
      <c r="A293" s="5" t="n"/>
      <c r="B293" s="5" t="n"/>
      <c r="C293" s="5" t="n"/>
      <c r="D293" s="5" t="n"/>
      <c r="E293" s="19" t="n"/>
      <c r="F293" s="18" t="n"/>
      <c r="G293" s="18" t="n"/>
      <c r="H293" s="18" t="n"/>
      <c r="I293" s="20">
        <f>IF(OR(G293="",H293=""),"",H293-G293)</f>
        <v/>
      </c>
      <c r="J293" s="5" t="n"/>
    </row>
    <row r="294">
      <c r="A294" s="5" t="n"/>
      <c r="B294" s="5" t="n"/>
      <c r="C294" s="5" t="n"/>
      <c r="D294" s="5" t="n"/>
      <c r="E294" s="19" t="n"/>
      <c r="F294" s="18" t="n"/>
      <c r="G294" s="18" t="n"/>
      <c r="H294" s="18" t="n"/>
      <c r="I294" s="20">
        <f>IF(OR(G294="",H294=""),"",H294-G294)</f>
        <v/>
      </c>
      <c r="J294" s="5" t="n"/>
    </row>
    <row r="295">
      <c r="A295" s="5" t="n"/>
      <c r="B295" s="5" t="n"/>
      <c r="C295" s="5" t="n"/>
      <c r="D295" s="5" t="n"/>
      <c r="E295" s="19" t="n"/>
      <c r="F295" s="18" t="n"/>
      <c r="G295" s="18" t="n"/>
      <c r="H295" s="18" t="n"/>
      <c r="I295" s="20">
        <f>IF(OR(G295="",H295=""),"",H295-G295)</f>
        <v/>
      </c>
      <c r="J295" s="5" t="n"/>
    </row>
    <row r="296">
      <c r="A296" s="5" t="n"/>
      <c r="B296" s="5" t="n"/>
      <c r="C296" s="5" t="n"/>
      <c r="D296" s="5" t="n"/>
      <c r="E296" s="19" t="n"/>
      <c r="F296" s="18" t="n"/>
      <c r="G296" s="18" t="n"/>
      <c r="H296" s="18" t="n"/>
      <c r="I296" s="20">
        <f>IF(OR(G296="",H296=""),"",H296-G296)</f>
        <v/>
      </c>
      <c r="J296" s="5" t="n"/>
    </row>
    <row r="297">
      <c r="A297" s="5" t="n"/>
      <c r="B297" s="5" t="n"/>
      <c r="C297" s="5" t="n"/>
      <c r="D297" s="5" t="n"/>
      <c r="E297" s="19" t="n"/>
      <c r="F297" s="18" t="n"/>
      <c r="G297" s="18" t="n"/>
      <c r="H297" s="18" t="n"/>
      <c r="I297" s="20">
        <f>IF(OR(G297="",H297=""),"",H297-G297)</f>
        <v/>
      </c>
      <c r="J297" s="5" t="n"/>
    </row>
    <row r="298">
      <c r="A298" s="5" t="n"/>
      <c r="B298" s="5" t="n"/>
      <c r="C298" s="5" t="n"/>
      <c r="D298" s="5" t="n"/>
      <c r="E298" s="19" t="n"/>
      <c r="F298" s="18" t="n"/>
      <c r="G298" s="18" t="n"/>
      <c r="H298" s="18" t="n"/>
      <c r="I298" s="20">
        <f>IF(OR(G298="",H298=""),"",H298-G298)</f>
        <v/>
      </c>
      <c r="J298" s="5" t="n"/>
    </row>
    <row r="299">
      <c r="A299" s="5" t="n"/>
      <c r="B299" s="5" t="n"/>
      <c r="C299" s="5" t="n"/>
      <c r="D299" s="5" t="n"/>
      <c r="E299" s="19" t="n"/>
      <c r="F299" s="18" t="n"/>
      <c r="G299" s="18" t="n"/>
      <c r="H299" s="18" t="n"/>
      <c r="I299" s="20">
        <f>IF(OR(G299="",H299=""),"",H299-G299)</f>
        <v/>
      </c>
      <c r="J299" s="5" t="n"/>
    </row>
    <row r="300">
      <c r="A300" s="5" t="n"/>
      <c r="B300" s="5" t="n"/>
      <c r="C300" s="5" t="n"/>
      <c r="D300" s="5" t="n"/>
      <c r="E300" s="19" t="n"/>
      <c r="F300" s="18" t="n"/>
      <c r="G300" s="18" t="n"/>
      <c r="H300" s="18" t="n"/>
      <c r="I300" s="20">
        <f>IF(OR(G300="",H300=""),"",H300-G300)</f>
        <v/>
      </c>
      <c r="J300" s="5" t="n"/>
    </row>
    <row r="301">
      <c r="A301" s="5" t="n"/>
      <c r="B301" s="5" t="n"/>
      <c r="C301" s="5" t="n"/>
      <c r="D301" s="5" t="n"/>
      <c r="E301" s="19" t="n"/>
      <c r="F301" s="18" t="n"/>
      <c r="G301" s="18" t="n"/>
      <c r="H301" s="18" t="n"/>
      <c r="I301" s="20">
        <f>IF(OR(G301="",H301=""),"",H301-G301)</f>
        <v/>
      </c>
      <c r="J301" s="5" t="n"/>
    </row>
    <row r="302">
      <c r="A302" s="5" t="n"/>
      <c r="B302" s="5" t="n"/>
      <c r="C302" s="5" t="n"/>
      <c r="D302" s="5" t="n"/>
      <c r="E302" s="19" t="n"/>
      <c r="F302" s="18" t="n"/>
      <c r="G302" s="18" t="n"/>
      <c r="H302" s="18" t="n"/>
      <c r="I302" s="20">
        <f>IF(OR(G302="",H302=""),"",H302-G302)</f>
        <v/>
      </c>
      <c r="J302" s="5" t="n"/>
    </row>
    <row r="303">
      <c r="A303" s="5" t="n"/>
      <c r="B303" s="5" t="n"/>
      <c r="C303" s="5" t="n"/>
      <c r="D303" s="5" t="n"/>
      <c r="E303" s="19" t="n"/>
      <c r="F303" s="18" t="n"/>
      <c r="G303" s="18" t="n"/>
      <c r="H303" s="18" t="n"/>
      <c r="I303" s="20">
        <f>IF(OR(G303="",H303=""),"",H303-G303)</f>
        <v/>
      </c>
      <c r="J303" s="5" t="n"/>
    </row>
    <row r="304">
      <c r="A304" s="5" t="n"/>
      <c r="B304" s="5" t="n"/>
      <c r="C304" s="5" t="n"/>
      <c r="D304" s="5" t="n"/>
      <c r="E304" s="19" t="n"/>
      <c r="F304" s="18" t="n"/>
      <c r="G304" s="18" t="n"/>
      <c r="H304" s="18" t="n"/>
      <c r="I304" s="20">
        <f>IF(OR(G304="",H304=""),"",H304-G304)</f>
        <v/>
      </c>
      <c r="J304" s="5" t="n"/>
    </row>
    <row r="305">
      <c r="A305" s="5" t="n"/>
      <c r="B305" s="5" t="n"/>
      <c r="C305" s="5" t="n"/>
      <c r="D305" s="5" t="n"/>
      <c r="E305" s="19" t="n"/>
      <c r="F305" s="18" t="n"/>
      <c r="G305" s="18" t="n"/>
      <c r="H305" s="18" t="n"/>
      <c r="I305" s="20">
        <f>IF(OR(G305="",H305=""),"",H305-G305)</f>
        <v/>
      </c>
      <c r="J305" s="5" t="n"/>
    </row>
    <row r="306">
      <c r="A306" s="5" t="n"/>
      <c r="B306" s="5" t="n"/>
      <c r="C306" s="5" t="n"/>
      <c r="D306" s="5" t="n"/>
      <c r="E306" s="19" t="n"/>
      <c r="F306" s="18" t="n"/>
      <c r="G306" s="18" t="n"/>
      <c r="H306" s="18" t="n"/>
      <c r="I306" s="20">
        <f>IF(OR(G306="",H306=""),"",H306-G306)</f>
        <v/>
      </c>
      <c r="J306" s="5" t="n"/>
    </row>
    <row r="307">
      <c r="A307" s="5" t="n"/>
      <c r="B307" s="5" t="n"/>
      <c r="C307" s="5" t="n"/>
      <c r="D307" s="5" t="n"/>
      <c r="E307" s="19" t="n"/>
      <c r="F307" s="18" t="n"/>
      <c r="G307" s="18" t="n"/>
      <c r="H307" s="18" t="n"/>
      <c r="I307" s="20">
        <f>IF(OR(G307="",H307=""),"",H307-G307)</f>
        <v/>
      </c>
      <c r="J307" s="5" t="n"/>
    </row>
    <row r="308">
      <c r="A308" s="5" t="n"/>
      <c r="B308" s="5" t="n"/>
      <c r="C308" s="5" t="n"/>
      <c r="D308" s="5" t="n"/>
      <c r="E308" s="19" t="n"/>
      <c r="F308" s="18" t="n"/>
      <c r="G308" s="18" t="n"/>
      <c r="H308" s="18" t="n"/>
      <c r="I308" s="20">
        <f>IF(OR(G308="",H308=""),"",H308-G308)</f>
        <v/>
      </c>
      <c r="J308" s="5" t="n"/>
    </row>
    <row r="309">
      <c r="A309" s="5" t="n"/>
      <c r="B309" s="5" t="n"/>
      <c r="C309" s="5" t="n"/>
      <c r="D309" s="5" t="n"/>
      <c r="E309" s="19" t="n"/>
      <c r="F309" s="18" t="n"/>
      <c r="G309" s="18" t="n"/>
      <c r="H309" s="18" t="n"/>
      <c r="I309" s="20">
        <f>IF(OR(G309="",H309=""),"",H309-G309)</f>
        <v/>
      </c>
      <c r="J309" s="5" t="n"/>
    </row>
    <row r="310">
      <c r="A310" s="5" t="n"/>
      <c r="B310" s="5" t="n"/>
      <c r="C310" s="5" t="n"/>
      <c r="D310" s="5" t="n"/>
      <c r="E310" s="19" t="n"/>
      <c r="F310" s="18" t="n"/>
      <c r="G310" s="18" t="n"/>
      <c r="H310" s="18" t="n"/>
      <c r="I310" s="20">
        <f>IF(OR(G310="",H310=""),"",H310-G310)</f>
        <v/>
      </c>
      <c r="J310" s="5" t="n"/>
    </row>
    <row r="311">
      <c r="A311" s="5" t="n"/>
      <c r="B311" s="5" t="n"/>
      <c r="C311" s="5" t="n"/>
      <c r="D311" s="5" t="n"/>
      <c r="E311" s="19" t="n"/>
      <c r="F311" s="18" t="n"/>
      <c r="G311" s="18" t="n"/>
      <c r="H311" s="18" t="n"/>
      <c r="I311" s="20">
        <f>IF(OR(G311="",H311=""),"",H311-G311)</f>
        <v/>
      </c>
      <c r="J311" s="5" t="n"/>
    </row>
    <row r="312">
      <c r="A312" s="5" t="n"/>
      <c r="B312" s="5" t="n"/>
      <c r="C312" s="5" t="n"/>
      <c r="D312" s="5" t="n"/>
      <c r="E312" s="19" t="n"/>
      <c r="F312" s="18" t="n"/>
      <c r="G312" s="18" t="n"/>
      <c r="H312" s="18" t="n"/>
      <c r="I312" s="20">
        <f>IF(OR(G312="",H312=""),"",H312-G312)</f>
        <v/>
      </c>
      <c r="J312" s="5" t="n"/>
    </row>
    <row r="313">
      <c r="A313" s="5" t="n"/>
      <c r="B313" s="5" t="n"/>
      <c r="C313" s="5" t="n"/>
      <c r="D313" s="5" t="n"/>
      <c r="E313" s="19" t="n"/>
      <c r="F313" s="18" t="n"/>
      <c r="G313" s="18" t="n"/>
      <c r="H313" s="18" t="n"/>
      <c r="I313" s="20">
        <f>IF(OR(G313="",H313=""),"",H313-G313)</f>
        <v/>
      </c>
      <c r="J313" s="5" t="n"/>
    </row>
    <row r="314">
      <c r="A314" s="5" t="n"/>
      <c r="B314" s="5" t="n"/>
      <c r="C314" s="5" t="n"/>
      <c r="D314" s="5" t="n"/>
      <c r="E314" s="19" t="n"/>
      <c r="F314" s="18" t="n"/>
      <c r="G314" s="18" t="n"/>
      <c r="H314" s="18" t="n"/>
      <c r="I314" s="20">
        <f>IF(OR(G314="",H314=""),"",H314-G314)</f>
        <v/>
      </c>
      <c r="J314" s="5" t="n"/>
    </row>
    <row r="315">
      <c r="A315" s="5" t="n"/>
      <c r="B315" s="5" t="n"/>
      <c r="C315" s="5" t="n"/>
      <c r="D315" s="5" t="n"/>
      <c r="E315" s="19" t="n"/>
      <c r="F315" s="18" t="n"/>
      <c r="G315" s="18" t="n"/>
      <c r="H315" s="18" t="n"/>
      <c r="I315" s="20">
        <f>IF(OR(G315="",H315=""),"",H315-G315)</f>
        <v/>
      </c>
      <c r="J315" s="5" t="n"/>
    </row>
    <row r="316">
      <c r="A316" s="5" t="n"/>
      <c r="B316" s="5" t="n"/>
      <c r="C316" s="5" t="n"/>
      <c r="D316" s="5" t="n"/>
      <c r="E316" s="19" t="n"/>
      <c r="F316" s="18" t="n"/>
      <c r="G316" s="18" t="n"/>
      <c r="H316" s="18" t="n"/>
      <c r="I316" s="20">
        <f>IF(OR(G316="",H316=""),"",H316-G316)</f>
        <v/>
      </c>
      <c r="J316" s="5" t="n"/>
    </row>
    <row r="317">
      <c r="A317" s="5" t="n"/>
      <c r="B317" s="5" t="n"/>
      <c r="C317" s="5" t="n"/>
      <c r="D317" s="5" t="n"/>
      <c r="E317" s="19" t="n"/>
      <c r="F317" s="18" t="n"/>
      <c r="G317" s="18" t="n"/>
      <c r="H317" s="18" t="n"/>
      <c r="I317" s="20">
        <f>IF(OR(G317="",H317=""),"",H317-G317)</f>
        <v/>
      </c>
      <c r="J317" s="5" t="n"/>
    </row>
    <row r="318">
      <c r="A318" s="5" t="n"/>
      <c r="B318" s="5" t="n"/>
      <c r="C318" s="5" t="n"/>
      <c r="D318" s="5" t="n"/>
      <c r="E318" s="19" t="n"/>
      <c r="F318" s="18" t="n"/>
      <c r="G318" s="18" t="n"/>
      <c r="H318" s="18" t="n"/>
      <c r="I318" s="20">
        <f>IF(OR(G318="",H318=""),"",H318-G318)</f>
        <v/>
      </c>
      <c r="J318" s="5" t="n"/>
    </row>
    <row r="319">
      <c r="A319" s="5" t="n"/>
      <c r="B319" s="5" t="n"/>
      <c r="C319" s="5" t="n"/>
      <c r="D319" s="5" t="n"/>
      <c r="E319" s="19" t="n"/>
      <c r="F319" s="18" t="n"/>
      <c r="G319" s="18" t="n"/>
      <c r="H319" s="18" t="n"/>
      <c r="I319" s="20">
        <f>IF(OR(G319="",H319=""),"",H319-G319)</f>
        <v/>
      </c>
      <c r="J319" s="5" t="n"/>
    </row>
    <row r="320">
      <c r="A320" s="5" t="n"/>
      <c r="B320" s="5" t="n"/>
      <c r="C320" s="5" t="n"/>
      <c r="D320" s="5" t="n"/>
      <c r="E320" s="19" t="n"/>
      <c r="F320" s="18" t="n"/>
      <c r="G320" s="18" t="n"/>
      <c r="H320" s="18" t="n"/>
      <c r="I320" s="20">
        <f>IF(OR(G320="",H320=""),"",H320-G320)</f>
        <v/>
      </c>
      <c r="J320" s="5" t="n"/>
    </row>
    <row r="321">
      <c r="A321" s="5" t="n"/>
      <c r="B321" s="5" t="n"/>
      <c r="C321" s="5" t="n"/>
      <c r="D321" s="5" t="n"/>
      <c r="E321" s="19" t="n"/>
      <c r="F321" s="18" t="n"/>
      <c r="G321" s="18" t="n"/>
      <c r="H321" s="18" t="n"/>
      <c r="I321" s="20">
        <f>IF(OR(G321="",H321=""),"",H321-G321)</f>
        <v/>
      </c>
      <c r="J321" s="5" t="n"/>
    </row>
    <row r="322">
      <c r="A322" s="5" t="n"/>
      <c r="B322" s="5" t="n"/>
      <c r="C322" s="5" t="n"/>
      <c r="D322" s="5" t="n"/>
      <c r="E322" s="19" t="n"/>
      <c r="F322" s="18" t="n"/>
      <c r="G322" s="18" t="n"/>
      <c r="H322" s="18" t="n"/>
      <c r="I322" s="20">
        <f>IF(OR(G322="",H322=""),"",H322-G322)</f>
        <v/>
      </c>
      <c r="J322" s="5" t="n"/>
    </row>
    <row r="323">
      <c r="A323" s="5" t="n"/>
      <c r="B323" s="5" t="n"/>
      <c r="C323" s="5" t="n"/>
      <c r="D323" s="5" t="n"/>
      <c r="E323" s="19" t="n"/>
      <c r="F323" s="18" t="n"/>
      <c r="G323" s="18" t="n"/>
      <c r="H323" s="18" t="n"/>
      <c r="I323" s="20">
        <f>IF(OR(G323="",H323=""),"",H323-G323)</f>
        <v/>
      </c>
      <c r="J323" s="5" t="n"/>
    </row>
    <row r="324">
      <c r="A324" s="5" t="n"/>
      <c r="B324" s="5" t="n"/>
      <c r="C324" s="5" t="n"/>
      <c r="D324" s="5" t="n"/>
      <c r="E324" s="19" t="n"/>
      <c r="F324" s="18" t="n"/>
      <c r="G324" s="18" t="n"/>
      <c r="H324" s="18" t="n"/>
      <c r="I324" s="20">
        <f>IF(OR(G324="",H324=""),"",H324-G324)</f>
        <v/>
      </c>
      <c r="J324" s="5" t="n"/>
    </row>
    <row r="325">
      <c r="A325" s="5" t="n"/>
      <c r="B325" s="5" t="n"/>
      <c r="C325" s="5" t="n"/>
      <c r="D325" s="5" t="n"/>
      <c r="E325" s="19" t="n"/>
      <c r="F325" s="18" t="n"/>
      <c r="G325" s="18" t="n"/>
      <c r="H325" s="18" t="n"/>
      <c r="I325" s="20">
        <f>IF(OR(G325="",H325=""),"",H325-G325)</f>
        <v/>
      </c>
      <c r="J325" s="5" t="n"/>
    </row>
    <row r="326">
      <c r="A326" s="5" t="n"/>
      <c r="B326" s="5" t="n"/>
      <c r="C326" s="5" t="n"/>
      <c r="D326" s="5" t="n"/>
      <c r="E326" s="19" t="n"/>
      <c r="F326" s="18" t="n"/>
      <c r="G326" s="18" t="n"/>
      <c r="H326" s="18" t="n"/>
      <c r="I326" s="20">
        <f>IF(OR(G326="",H326=""),"",H326-G326)</f>
        <v/>
      </c>
      <c r="J326" s="5" t="n"/>
    </row>
    <row r="327">
      <c r="A327" s="5" t="n"/>
      <c r="B327" s="5" t="n"/>
      <c r="C327" s="5" t="n"/>
      <c r="D327" s="5" t="n"/>
      <c r="E327" s="19" t="n"/>
      <c r="F327" s="18" t="n"/>
      <c r="G327" s="18" t="n"/>
      <c r="H327" s="18" t="n"/>
      <c r="I327" s="20">
        <f>IF(OR(G327="",H327=""),"",H327-G327)</f>
        <v/>
      </c>
      <c r="J327" s="5" t="n"/>
    </row>
    <row r="328">
      <c r="A328" s="5" t="n"/>
      <c r="B328" s="5" t="n"/>
      <c r="C328" s="5" t="n"/>
      <c r="D328" s="5" t="n"/>
      <c r="E328" s="19" t="n"/>
      <c r="F328" s="18" t="n"/>
      <c r="G328" s="18" t="n"/>
      <c r="H328" s="18" t="n"/>
      <c r="I328" s="20">
        <f>IF(OR(G328="",H328=""),"",H328-G328)</f>
        <v/>
      </c>
      <c r="J328" s="5" t="n"/>
    </row>
    <row r="329">
      <c r="A329" s="5" t="n"/>
      <c r="B329" s="5" t="n"/>
      <c r="C329" s="5" t="n"/>
      <c r="D329" s="5" t="n"/>
      <c r="E329" s="19" t="n"/>
      <c r="F329" s="18" t="n"/>
      <c r="G329" s="18" t="n"/>
      <c r="H329" s="18" t="n"/>
      <c r="I329" s="20">
        <f>IF(OR(G329="",H329=""),"",H329-G329)</f>
        <v/>
      </c>
      <c r="J329" s="5" t="n"/>
    </row>
    <row r="330">
      <c r="A330" s="5" t="n"/>
      <c r="B330" s="5" t="n"/>
      <c r="C330" s="5" t="n"/>
      <c r="D330" s="5" t="n"/>
      <c r="E330" s="19" t="n"/>
      <c r="F330" s="18" t="n"/>
      <c r="G330" s="18" t="n"/>
      <c r="H330" s="18" t="n"/>
      <c r="I330" s="20">
        <f>IF(OR(G330="",H330=""),"",H330-G330)</f>
        <v/>
      </c>
      <c r="J330" s="5" t="n"/>
    </row>
    <row r="331">
      <c r="A331" s="5" t="n"/>
      <c r="B331" s="5" t="n"/>
      <c r="C331" s="5" t="n"/>
      <c r="D331" s="5" t="n"/>
      <c r="E331" s="19" t="n"/>
      <c r="F331" s="18" t="n"/>
      <c r="G331" s="18" t="n"/>
      <c r="H331" s="18" t="n"/>
      <c r="I331" s="20">
        <f>IF(OR(G331="",H331=""),"",H331-G331)</f>
        <v/>
      </c>
      <c r="J331" s="5" t="n"/>
    </row>
    <row r="332">
      <c r="A332" s="5" t="n"/>
      <c r="B332" s="5" t="n"/>
      <c r="C332" s="5" t="n"/>
      <c r="D332" s="5" t="n"/>
      <c r="E332" s="19" t="n"/>
      <c r="F332" s="18" t="n"/>
      <c r="G332" s="18" t="n"/>
      <c r="H332" s="18" t="n"/>
      <c r="I332" s="20">
        <f>IF(OR(G332="",H332=""),"",H332-G332)</f>
        <v/>
      </c>
      <c r="J332" s="5" t="n"/>
    </row>
    <row r="333">
      <c r="A333" s="5" t="n"/>
      <c r="B333" s="5" t="n"/>
      <c r="C333" s="5" t="n"/>
      <c r="D333" s="5" t="n"/>
      <c r="E333" s="19" t="n"/>
      <c r="F333" s="18" t="n"/>
      <c r="G333" s="18" t="n"/>
      <c r="H333" s="18" t="n"/>
      <c r="I333" s="20">
        <f>IF(OR(G333="",H333=""),"",H333-G333)</f>
        <v/>
      </c>
      <c r="J333" s="5" t="n"/>
    </row>
    <row r="334">
      <c r="A334" s="5" t="n"/>
      <c r="B334" s="5" t="n"/>
      <c r="C334" s="5" t="n"/>
      <c r="D334" s="5" t="n"/>
      <c r="E334" s="19" t="n"/>
      <c r="F334" s="18" t="n"/>
      <c r="G334" s="18" t="n"/>
      <c r="H334" s="18" t="n"/>
      <c r="I334" s="20">
        <f>IF(OR(G334="",H334=""),"",H334-G334)</f>
        <v/>
      </c>
      <c r="J334" s="5" t="n"/>
    </row>
    <row r="335">
      <c r="A335" s="5" t="n"/>
      <c r="B335" s="5" t="n"/>
      <c r="C335" s="5" t="n"/>
      <c r="D335" s="5" t="n"/>
      <c r="E335" s="19" t="n"/>
      <c r="F335" s="18" t="n"/>
      <c r="G335" s="18" t="n"/>
      <c r="H335" s="18" t="n"/>
      <c r="I335" s="20">
        <f>IF(OR(G335="",H335=""),"",H335-G335)</f>
        <v/>
      </c>
      <c r="J335" s="5" t="n"/>
    </row>
    <row r="336">
      <c r="A336" s="5" t="n"/>
      <c r="B336" s="5" t="n"/>
      <c r="C336" s="5" t="n"/>
      <c r="D336" s="5" t="n"/>
      <c r="E336" s="19" t="n"/>
      <c r="F336" s="18" t="n"/>
      <c r="G336" s="18" t="n"/>
      <c r="H336" s="18" t="n"/>
      <c r="I336" s="20">
        <f>IF(OR(G336="",H336=""),"",H336-G336)</f>
        <v/>
      </c>
      <c r="J336" s="5" t="n"/>
    </row>
    <row r="337">
      <c r="A337" s="5" t="n"/>
      <c r="B337" s="5" t="n"/>
      <c r="C337" s="5" t="n"/>
      <c r="D337" s="5" t="n"/>
      <c r="E337" s="19" t="n"/>
      <c r="F337" s="18" t="n"/>
      <c r="G337" s="18" t="n"/>
      <c r="H337" s="18" t="n"/>
      <c r="I337" s="20">
        <f>IF(OR(G337="",H337=""),"",H337-G337)</f>
        <v/>
      </c>
      <c r="J337" s="5" t="n"/>
    </row>
    <row r="338">
      <c r="A338" s="5" t="n"/>
      <c r="B338" s="5" t="n"/>
      <c r="C338" s="5" t="n"/>
      <c r="D338" s="5" t="n"/>
      <c r="E338" s="19" t="n"/>
      <c r="F338" s="18" t="n"/>
      <c r="G338" s="18" t="n"/>
      <c r="H338" s="18" t="n"/>
      <c r="I338" s="20">
        <f>IF(OR(G338="",H338=""),"",H338-G338)</f>
        <v/>
      </c>
      <c r="J338" s="5" t="n"/>
    </row>
    <row r="339">
      <c r="A339" s="5" t="n"/>
      <c r="B339" s="5" t="n"/>
      <c r="C339" s="5" t="n"/>
      <c r="D339" s="5" t="n"/>
      <c r="E339" s="19" t="n"/>
      <c r="F339" s="18" t="n"/>
      <c r="G339" s="18" t="n"/>
      <c r="H339" s="18" t="n"/>
      <c r="I339" s="20">
        <f>IF(OR(G339="",H339=""),"",H339-G339)</f>
        <v/>
      </c>
      <c r="J339" s="5" t="n"/>
    </row>
    <row r="340">
      <c r="A340" s="5" t="n"/>
      <c r="B340" s="5" t="n"/>
      <c r="C340" s="5" t="n"/>
      <c r="D340" s="5" t="n"/>
      <c r="E340" s="19" t="n"/>
      <c r="F340" s="18" t="n"/>
      <c r="G340" s="18" t="n"/>
      <c r="H340" s="18" t="n"/>
      <c r="I340" s="20">
        <f>IF(OR(G340="",H340=""),"",H340-G340)</f>
        <v/>
      </c>
      <c r="J340" s="5" t="n"/>
    </row>
    <row r="341">
      <c r="A341" s="5" t="n"/>
      <c r="B341" s="5" t="n"/>
      <c r="C341" s="5" t="n"/>
      <c r="D341" s="5" t="n"/>
      <c r="E341" s="19" t="n"/>
      <c r="F341" s="18" t="n"/>
      <c r="G341" s="18" t="n"/>
      <c r="H341" s="18" t="n"/>
      <c r="I341" s="20">
        <f>IF(OR(G341="",H341=""),"",H341-G341)</f>
        <v/>
      </c>
      <c r="J341" s="5" t="n"/>
    </row>
    <row r="342">
      <c r="A342" s="5" t="n"/>
      <c r="B342" s="5" t="n"/>
      <c r="C342" s="5" t="n"/>
      <c r="D342" s="5" t="n"/>
      <c r="E342" s="19" t="n"/>
      <c r="F342" s="18" t="n"/>
      <c r="G342" s="18" t="n"/>
      <c r="H342" s="18" t="n"/>
      <c r="I342" s="20">
        <f>IF(OR(G342="",H342=""),"",H342-G342)</f>
        <v/>
      </c>
      <c r="J342" s="5" t="n"/>
    </row>
    <row r="343">
      <c r="A343" s="5" t="n"/>
      <c r="B343" s="5" t="n"/>
      <c r="C343" s="5" t="n"/>
      <c r="D343" s="5" t="n"/>
      <c r="E343" s="19" t="n"/>
      <c r="F343" s="18" t="n"/>
      <c r="G343" s="18" t="n"/>
      <c r="H343" s="18" t="n"/>
      <c r="I343" s="20">
        <f>IF(OR(G343="",H343=""),"",H343-G343)</f>
        <v/>
      </c>
      <c r="J343" s="5" t="n"/>
    </row>
    <row r="344">
      <c r="A344" s="5" t="n"/>
      <c r="B344" s="5" t="n"/>
      <c r="C344" s="5" t="n"/>
      <c r="D344" s="5" t="n"/>
      <c r="E344" s="19" t="n"/>
      <c r="F344" s="18" t="n"/>
      <c r="G344" s="18" t="n"/>
      <c r="H344" s="18" t="n"/>
      <c r="I344" s="20">
        <f>IF(OR(G344="",H344=""),"",H344-G344)</f>
        <v/>
      </c>
      <c r="J344" s="5" t="n"/>
    </row>
    <row r="345">
      <c r="A345" s="5" t="n"/>
      <c r="B345" s="5" t="n"/>
      <c r="C345" s="5" t="n"/>
      <c r="D345" s="5" t="n"/>
      <c r="E345" s="19" t="n"/>
      <c r="F345" s="18" t="n"/>
      <c r="G345" s="18" t="n"/>
      <c r="H345" s="18" t="n"/>
      <c r="I345" s="20">
        <f>IF(OR(G345="",H345=""),"",H345-G345)</f>
        <v/>
      </c>
      <c r="J345" s="5" t="n"/>
    </row>
    <row r="346">
      <c r="A346" s="5" t="n"/>
      <c r="B346" s="5" t="n"/>
      <c r="C346" s="5" t="n"/>
      <c r="D346" s="5" t="n"/>
      <c r="E346" s="19" t="n"/>
      <c r="F346" s="18" t="n"/>
      <c r="G346" s="18" t="n"/>
      <c r="H346" s="18" t="n"/>
      <c r="I346" s="20">
        <f>IF(OR(G346="",H346=""),"",H346-G346)</f>
        <v/>
      </c>
      <c r="J346" s="5" t="n"/>
    </row>
    <row r="347">
      <c r="A347" s="5" t="n"/>
      <c r="B347" s="5" t="n"/>
      <c r="C347" s="5" t="n"/>
      <c r="D347" s="5" t="n"/>
      <c r="E347" s="19" t="n"/>
      <c r="F347" s="18" t="n"/>
      <c r="G347" s="18" t="n"/>
      <c r="H347" s="18" t="n"/>
      <c r="I347" s="20">
        <f>IF(OR(G347="",H347=""),"",H347-G347)</f>
        <v/>
      </c>
      <c r="J347" s="5" t="n"/>
    </row>
    <row r="348">
      <c r="A348" s="5" t="n"/>
      <c r="B348" s="5" t="n"/>
      <c r="C348" s="5" t="n"/>
      <c r="D348" s="5" t="n"/>
      <c r="E348" s="19" t="n"/>
      <c r="F348" s="18" t="n"/>
      <c r="G348" s="18" t="n"/>
      <c r="H348" s="18" t="n"/>
      <c r="I348" s="20">
        <f>IF(OR(G348="",H348=""),"",H348-G348)</f>
        <v/>
      </c>
      <c r="J348" s="5" t="n"/>
    </row>
    <row r="349">
      <c r="A349" s="5" t="n"/>
      <c r="B349" s="5" t="n"/>
      <c r="C349" s="5" t="n"/>
      <c r="D349" s="5" t="n"/>
      <c r="E349" s="19" t="n"/>
      <c r="F349" s="18" t="n"/>
      <c r="G349" s="18" t="n"/>
      <c r="H349" s="18" t="n"/>
      <c r="I349" s="20">
        <f>IF(OR(G349="",H349=""),"",H349-G349)</f>
        <v/>
      </c>
      <c r="J349" s="5" t="n"/>
    </row>
    <row r="350">
      <c r="A350" s="5" t="n"/>
      <c r="B350" s="5" t="n"/>
      <c r="C350" s="5" t="n"/>
      <c r="D350" s="5" t="n"/>
      <c r="E350" s="19" t="n"/>
      <c r="F350" s="18" t="n"/>
      <c r="G350" s="18" t="n"/>
      <c r="H350" s="18" t="n"/>
      <c r="I350" s="20">
        <f>IF(OR(G350="",H350=""),"",H350-G350)</f>
        <v/>
      </c>
      <c r="J350" s="5" t="n"/>
    </row>
    <row r="351">
      <c r="A351" s="5" t="n"/>
      <c r="B351" s="5" t="n"/>
      <c r="C351" s="5" t="n"/>
      <c r="D351" s="5" t="n"/>
      <c r="E351" s="19" t="n"/>
      <c r="F351" s="18" t="n"/>
      <c r="G351" s="18" t="n"/>
      <c r="H351" s="18" t="n"/>
      <c r="I351" s="20">
        <f>IF(OR(G351="",H351=""),"",H351-G351)</f>
        <v/>
      </c>
      <c r="J351" s="5" t="n"/>
    </row>
    <row r="352">
      <c r="A352" s="5" t="n"/>
      <c r="B352" s="5" t="n"/>
      <c r="C352" s="5" t="n"/>
      <c r="D352" s="5" t="n"/>
      <c r="E352" s="19" t="n"/>
      <c r="F352" s="18" t="n"/>
      <c r="G352" s="18" t="n"/>
      <c r="H352" s="18" t="n"/>
      <c r="I352" s="20">
        <f>IF(OR(G352="",H352=""),"",H352-G352)</f>
        <v/>
      </c>
      <c r="J352" s="5" t="n"/>
    </row>
    <row r="353">
      <c r="A353" s="5" t="n"/>
      <c r="B353" s="5" t="n"/>
      <c r="C353" s="5" t="n"/>
      <c r="D353" s="5" t="n"/>
      <c r="E353" s="19" t="n"/>
      <c r="F353" s="18" t="n"/>
      <c r="G353" s="18" t="n"/>
      <c r="H353" s="18" t="n"/>
      <c r="I353" s="20">
        <f>IF(OR(G353="",H353=""),"",H353-G353)</f>
        <v/>
      </c>
      <c r="J353" s="5" t="n"/>
    </row>
    <row r="354">
      <c r="A354" s="5" t="n"/>
      <c r="B354" s="5" t="n"/>
      <c r="C354" s="5" t="n"/>
      <c r="D354" s="5" t="n"/>
      <c r="E354" s="19" t="n"/>
      <c r="F354" s="18" t="n"/>
      <c r="G354" s="18" t="n"/>
      <c r="H354" s="18" t="n"/>
      <c r="I354" s="20">
        <f>IF(OR(G354="",H354=""),"",H354-G354)</f>
        <v/>
      </c>
      <c r="J354" s="5" t="n"/>
    </row>
    <row r="355">
      <c r="A355" s="5" t="n"/>
      <c r="B355" s="5" t="n"/>
      <c r="C355" s="5" t="n"/>
      <c r="D355" s="5" t="n"/>
      <c r="E355" s="19" t="n"/>
      <c r="F355" s="18" t="n"/>
      <c r="G355" s="18" t="n"/>
      <c r="H355" s="18" t="n"/>
      <c r="I355" s="20">
        <f>IF(OR(G355="",H355=""),"",H355-G355)</f>
        <v/>
      </c>
      <c r="J355" s="5" t="n"/>
    </row>
    <row r="356">
      <c r="A356" s="5" t="n"/>
      <c r="B356" s="5" t="n"/>
      <c r="C356" s="5" t="n"/>
      <c r="D356" s="5" t="n"/>
      <c r="E356" s="19" t="n"/>
      <c r="F356" s="18" t="n"/>
      <c r="G356" s="18" t="n"/>
      <c r="H356" s="18" t="n"/>
      <c r="I356" s="20">
        <f>IF(OR(G356="",H356=""),"",H356-G356)</f>
        <v/>
      </c>
      <c r="J356" s="5" t="n"/>
    </row>
    <row r="357">
      <c r="A357" s="5" t="n"/>
      <c r="B357" s="5" t="n"/>
      <c r="C357" s="5" t="n"/>
      <c r="D357" s="5" t="n"/>
      <c r="E357" s="19" t="n"/>
      <c r="F357" s="18" t="n"/>
      <c r="G357" s="18" t="n"/>
      <c r="H357" s="18" t="n"/>
      <c r="I357" s="20">
        <f>IF(OR(G357="",H357=""),"",H357-G357)</f>
        <v/>
      </c>
      <c r="J357" s="5" t="n"/>
    </row>
    <row r="358">
      <c r="A358" s="5" t="n"/>
      <c r="B358" s="5" t="n"/>
      <c r="C358" s="5" t="n"/>
      <c r="D358" s="5" t="n"/>
      <c r="E358" s="19" t="n"/>
      <c r="F358" s="18" t="n"/>
      <c r="G358" s="18" t="n"/>
      <c r="H358" s="18" t="n"/>
      <c r="I358" s="20">
        <f>IF(OR(G358="",H358=""),"",H358-G358)</f>
        <v/>
      </c>
      <c r="J358" s="5" t="n"/>
    </row>
    <row r="359">
      <c r="A359" s="5" t="n"/>
      <c r="B359" s="5" t="n"/>
      <c r="C359" s="5" t="n"/>
      <c r="D359" s="5" t="n"/>
      <c r="E359" s="19" t="n"/>
      <c r="F359" s="18" t="n"/>
      <c r="G359" s="18" t="n"/>
      <c r="H359" s="18" t="n"/>
      <c r="I359" s="20">
        <f>IF(OR(G359="",H359=""),"",H359-G359)</f>
        <v/>
      </c>
      <c r="J359" s="5" t="n"/>
    </row>
    <row r="360">
      <c r="A360" s="5" t="n"/>
      <c r="B360" s="5" t="n"/>
      <c r="C360" s="5" t="n"/>
      <c r="D360" s="5" t="n"/>
      <c r="E360" s="19" t="n"/>
      <c r="F360" s="18" t="n"/>
      <c r="G360" s="18" t="n"/>
      <c r="H360" s="18" t="n"/>
      <c r="I360" s="20">
        <f>IF(OR(G360="",H360=""),"",H360-G360)</f>
        <v/>
      </c>
      <c r="J360" s="5" t="n"/>
    </row>
    <row r="361">
      <c r="A361" s="5" t="n"/>
      <c r="B361" s="5" t="n"/>
      <c r="C361" s="5" t="n"/>
      <c r="D361" s="5" t="n"/>
      <c r="E361" s="19" t="n"/>
      <c r="F361" s="18" t="n"/>
      <c r="G361" s="18" t="n"/>
      <c r="H361" s="18" t="n"/>
      <c r="I361" s="20">
        <f>IF(OR(G361="",H361=""),"",H361-G361)</f>
        <v/>
      </c>
      <c r="J361" s="5" t="n"/>
    </row>
    <row r="362">
      <c r="A362" s="5" t="n"/>
      <c r="B362" s="5" t="n"/>
      <c r="C362" s="5" t="n"/>
      <c r="D362" s="5" t="n"/>
      <c r="E362" s="19" t="n"/>
      <c r="F362" s="18" t="n"/>
      <c r="G362" s="18" t="n"/>
      <c r="H362" s="18" t="n"/>
      <c r="I362" s="20">
        <f>IF(OR(G362="",H362=""),"",H362-G362)</f>
        <v/>
      </c>
      <c r="J362" s="5" t="n"/>
    </row>
    <row r="363">
      <c r="A363" s="5" t="n"/>
      <c r="B363" s="5" t="n"/>
      <c r="C363" s="5" t="n"/>
      <c r="D363" s="5" t="n"/>
      <c r="E363" s="19" t="n"/>
      <c r="F363" s="18" t="n"/>
      <c r="G363" s="18" t="n"/>
      <c r="H363" s="18" t="n"/>
      <c r="I363" s="20">
        <f>IF(OR(G363="",H363=""),"",H363-G363)</f>
        <v/>
      </c>
      <c r="J363" s="5" t="n"/>
    </row>
    <row r="364">
      <c r="A364" s="5" t="n"/>
      <c r="B364" s="5" t="n"/>
      <c r="C364" s="5" t="n"/>
      <c r="D364" s="5" t="n"/>
      <c r="E364" s="19" t="n"/>
      <c r="F364" s="18" t="n"/>
      <c r="G364" s="18" t="n"/>
      <c r="H364" s="18" t="n"/>
      <c r="I364" s="20">
        <f>IF(OR(G364="",H364=""),"",H364-G364)</f>
        <v/>
      </c>
      <c r="J364" s="5" t="n"/>
    </row>
    <row r="365">
      <c r="A365" s="5" t="n"/>
      <c r="B365" s="5" t="n"/>
      <c r="C365" s="5" t="n"/>
      <c r="D365" s="5" t="n"/>
      <c r="E365" s="19" t="n"/>
      <c r="F365" s="18" t="n"/>
      <c r="G365" s="18" t="n"/>
      <c r="H365" s="18" t="n"/>
      <c r="I365" s="20">
        <f>IF(OR(G365="",H365=""),"",H365-G365)</f>
        <v/>
      </c>
      <c r="J365" s="5" t="n"/>
    </row>
    <row r="366">
      <c r="A366" s="5" t="n"/>
      <c r="B366" s="5" t="n"/>
      <c r="C366" s="5" t="n"/>
      <c r="D366" s="5" t="n"/>
      <c r="E366" s="19" t="n"/>
      <c r="F366" s="18" t="n"/>
      <c r="G366" s="18" t="n"/>
      <c r="H366" s="18" t="n"/>
      <c r="I366" s="20">
        <f>IF(OR(G366="",H366=""),"",H366-G366)</f>
        <v/>
      </c>
      <c r="J366" s="5" t="n"/>
    </row>
    <row r="367">
      <c r="A367" s="5" t="n"/>
      <c r="B367" s="5" t="n"/>
      <c r="C367" s="5" t="n"/>
      <c r="D367" s="5" t="n"/>
      <c r="E367" s="19" t="n"/>
      <c r="F367" s="18" t="n"/>
      <c r="G367" s="18" t="n"/>
      <c r="H367" s="18" t="n"/>
      <c r="I367" s="20">
        <f>IF(OR(G367="",H367=""),"",H367-G367)</f>
        <v/>
      </c>
      <c r="J367" s="5" t="n"/>
    </row>
    <row r="368">
      <c r="A368" s="5" t="n"/>
      <c r="B368" s="5" t="n"/>
      <c r="C368" s="5" t="n"/>
      <c r="D368" s="5" t="n"/>
      <c r="E368" s="19" t="n"/>
      <c r="F368" s="18" t="n"/>
      <c r="G368" s="18" t="n"/>
      <c r="H368" s="18" t="n"/>
      <c r="I368" s="20">
        <f>IF(OR(G368="",H368=""),"",H368-G368)</f>
        <v/>
      </c>
      <c r="J368" s="5" t="n"/>
    </row>
    <row r="369">
      <c r="A369" s="5" t="n"/>
      <c r="B369" s="5" t="n"/>
      <c r="C369" s="5" t="n"/>
      <c r="D369" s="5" t="n"/>
      <c r="E369" s="19" t="n"/>
      <c r="F369" s="18" t="n"/>
      <c r="G369" s="18" t="n"/>
      <c r="H369" s="18" t="n"/>
      <c r="I369" s="20">
        <f>IF(OR(G369="",H369=""),"",H369-G369)</f>
        <v/>
      </c>
      <c r="J369" s="5" t="n"/>
    </row>
    <row r="370">
      <c r="A370" s="5" t="n"/>
      <c r="B370" s="5" t="n"/>
      <c r="C370" s="5" t="n"/>
      <c r="D370" s="5" t="n"/>
      <c r="E370" s="19" t="n"/>
      <c r="F370" s="18" t="n"/>
      <c r="G370" s="18" t="n"/>
      <c r="H370" s="18" t="n"/>
      <c r="I370" s="20">
        <f>IF(OR(G370="",H370=""),"",H370-G370)</f>
        <v/>
      </c>
      <c r="J370" s="5" t="n"/>
    </row>
    <row r="371">
      <c r="A371" s="5" t="n"/>
      <c r="B371" s="5" t="n"/>
      <c r="C371" s="5" t="n"/>
      <c r="D371" s="5" t="n"/>
      <c r="E371" s="19" t="n"/>
      <c r="F371" s="18" t="n"/>
      <c r="G371" s="18" t="n"/>
      <c r="H371" s="18" t="n"/>
      <c r="I371" s="20">
        <f>IF(OR(G371="",H371=""),"",H371-G371)</f>
        <v/>
      </c>
      <c r="J371" s="5" t="n"/>
    </row>
    <row r="372">
      <c r="A372" s="5" t="n"/>
      <c r="B372" s="5" t="n"/>
      <c r="C372" s="5" t="n"/>
      <c r="D372" s="5" t="n"/>
      <c r="E372" s="19" t="n"/>
      <c r="F372" s="18" t="n"/>
      <c r="G372" s="18" t="n"/>
      <c r="H372" s="18" t="n"/>
      <c r="I372" s="20">
        <f>IF(OR(G372="",H372=""),"",H372-G372)</f>
        <v/>
      </c>
      <c r="J372" s="5" t="n"/>
    </row>
    <row r="373">
      <c r="A373" s="5" t="n"/>
      <c r="B373" s="5" t="n"/>
      <c r="C373" s="5" t="n"/>
      <c r="D373" s="5" t="n"/>
      <c r="E373" s="19" t="n"/>
      <c r="F373" s="18" t="n"/>
      <c r="G373" s="18" t="n"/>
      <c r="H373" s="18" t="n"/>
      <c r="I373" s="20">
        <f>IF(OR(G373="",H373=""),"",H373-G373)</f>
        <v/>
      </c>
      <c r="J373" s="5" t="n"/>
    </row>
    <row r="374">
      <c r="A374" s="5" t="n"/>
      <c r="B374" s="5" t="n"/>
      <c r="C374" s="5" t="n"/>
      <c r="D374" s="5" t="n"/>
      <c r="E374" s="19" t="n"/>
      <c r="F374" s="18" t="n"/>
      <c r="G374" s="18" t="n"/>
      <c r="H374" s="18" t="n"/>
      <c r="I374" s="20">
        <f>IF(OR(G374="",H374=""),"",H374-G374)</f>
        <v/>
      </c>
      <c r="J374" s="5" t="n"/>
    </row>
    <row r="375">
      <c r="A375" s="5" t="n"/>
      <c r="B375" s="5" t="n"/>
      <c r="C375" s="5" t="n"/>
      <c r="D375" s="5" t="n"/>
      <c r="E375" s="19" t="n"/>
      <c r="F375" s="18" t="n"/>
      <c r="G375" s="18" t="n"/>
      <c r="H375" s="18" t="n"/>
      <c r="I375" s="20">
        <f>IF(OR(G375="",H375=""),"",H375-G375)</f>
        <v/>
      </c>
      <c r="J375" s="5" t="n"/>
    </row>
    <row r="376">
      <c r="A376" s="5" t="n"/>
      <c r="B376" s="5" t="n"/>
      <c r="C376" s="5" t="n"/>
      <c r="D376" s="5" t="n"/>
      <c r="E376" s="19" t="n"/>
      <c r="F376" s="18" t="n"/>
      <c r="G376" s="18" t="n"/>
      <c r="H376" s="18" t="n"/>
      <c r="I376" s="20">
        <f>IF(OR(G376="",H376=""),"",H376-G376)</f>
        <v/>
      </c>
      <c r="J376" s="5" t="n"/>
    </row>
    <row r="377">
      <c r="A377" s="5" t="n"/>
      <c r="B377" s="5" t="n"/>
      <c r="C377" s="5" t="n"/>
      <c r="D377" s="5" t="n"/>
      <c r="E377" s="19" t="n"/>
      <c r="F377" s="18" t="n"/>
      <c r="G377" s="18" t="n"/>
      <c r="H377" s="18" t="n"/>
      <c r="I377" s="20">
        <f>IF(OR(G377="",H377=""),"",H377-G377)</f>
        <v/>
      </c>
      <c r="J377" s="5" t="n"/>
    </row>
    <row r="378">
      <c r="A378" s="5" t="n"/>
      <c r="B378" s="5" t="n"/>
      <c r="C378" s="5" t="n"/>
      <c r="D378" s="5" t="n"/>
      <c r="E378" s="19" t="n"/>
      <c r="F378" s="18" t="n"/>
      <c r="G378" s="18" t="n"/>
      <c r="H378" s="18" t="n"/>
      <c r="I378" s="20">
        <f>IF(OR(G378="",H378=""),"",H378-G378)</f>
        <v/>
      </c>
      <c r="J378" s="5" t="n"/>
    </row>
    <row r="379">
      <c r="A379" s="5" t="n"/>
      <c r="B379" s="5" t="n"/>
      <c r="C379" s="5" t="n"/>
      <c r="D379" s="5" t="n"/>
      <c r="E379" s="19" t="n"/>
      <c r="F379" s="18" t="n"/>
      <c r="G379" s="18" t="n"/>
      <c r="H379" s="18" t="n"/>
      <c r="I379" s="20">
        <f>IF(OR(G379="",H379=""),"",H379-G379)</f>
        <v/>
      </c>
      <c r="J379" s="5" t="n"/>
    </row>
    <row r="380">
      <c r="A380" s="5" t="n"/>
      <c r="B380" s="5" t="n"/>
      <c r="C380" s="5" t="n"/>
      <c r="D380" s="5" t="n"/>
      <c r="E380" s="19" t="n"/>
      <c r="F380" s="18" t="n"/>
      <c r="G380" s="18" t="n"/>
      <c r="H380" s="18" t="n"/>
      <c r="I380" s="20">
        <f>IF(OR(G380="",H380=""),"",H380-G380)</f>
        <v/>
      </c>
      <c r="J380" s="5" t="n"/>
    </row>
    <row r="381">
      <c r="A381" s="5" t="n"/>
      <c r="B381" s="5" t="n"/>
      <c r="C381" s="5" t="n"/>
      <c r="D381" s="5" t="n"/>
      <c r="E381" s="19" t="n"/>
      <c r="F381" s="18" t="n"/>
      <c r="G381" s="18" t="n"/>
      <c r="H381" s="18" t="n"/>
      <c r="I381" s="20">
        <f>IF(OR(G381="",H381=""),"",H381-G381)</f>
        <v/>
      </c>
      <c r="J381" s="5" t="n"/>
    </row>
    <row r="382">
      <c r="A382" s="5" t="n"/>
      <c r="B382" s="5" t="n"/>
      <c r="C382" s="5" t="n"/>
      <c r="D382" s="5" t="n"/>
      <c r="E382" s="19" t="n"/>
      <c r="F382" s="18" t="n"/>
      <c r="G382" s="18" t="n"/>
      <c r="H382" s="18" t="n"/>
      <c r="I382" s="20">
        <f>IF(OR(G382="",H382=""),"",H382-G382)</f>
        <v/>
      </c>
      <c r="J382" s="5" t="n"/>
    </row>
    <row r="383">
      <c r="A383" s="5" t="n"/>
      <c r="B383" s="5" t="n"/>
      <c r="C383" s="5" t="n"/>
      <c r="D383" s="5" t="n"/>
      <c r="E383" s="19" t="n"/>
      <c r="F383" s="18" t="n"/>
      <c r="G383" s="18" t="n"/>
      <c r="H383" s="18" t="n"/>
      <c r="I383" s="20">
        <f>IF(OR(G383="",H383=""),"",H383-G383)</f>
        <v/>
      </c>
      <c r="J383" s="5" t="n"/>
    </row>
    <row r="384">
      <c r="A384" s="5" t="n"/>
      <c r="B384" s="5" t="n"/>
      <c r="C384" s="5" t="n"/>
      <c r="D384" s="5" t="n"/>
      <c r="E384" s="19" t="n"/>
      <c r="F384" s="18" t="n"/>
      <c r="G384" s="18" t="n"/>
      <c r="H384" s="18" t="n"/>
      <c r="I384" s="20">
        <f>IF(OR(G384="",H384=""),"",H384-G384)</f>
        <v/>
      </c>
      <c r="J384" s="5" t="n"/>
    </row>
    <row r="385">
      <c r="A385" s="5" t="n"/>
      <c r="B385" s="5" t="n"/>
      <c r="C385" s="5" t="n"/>
      <c r="D385" s="5" t="n"/>
      <c r="E385" s="19" t="n"/>
      <c r="F385" s="18" t="n"/>
      <c r="G385" s="18" t="n"/>
      <c r="H385" s="18" t="n"/>
      <c r="I385" s="20">
        <f>IF(OR(G385="",H385=""),"",H385-G385)</f>
        <v/>
      </c>
      <c r="J385" s="5" t="n"/>
    </row>
    <row r="386">
      <c r="A386" s="5" t="n"/>
      <c r="B386" s="5" t="n"/>
      <c r="C386" s="5" t="n"/>
      <c r="D386" s="5" t="n"/>
      <c r="E386" s="19" t="n"/>
      <c r="F386" s="18" t="n"/>
      <c r="G386" s="18" t="n"/>
      <c r="H386" s="18" t="n"/>
      <c r="I386" s="20">
        <f>IF(OR(G386="",H386=""),"",H386-G386)</f>
        <v/>
      </c>
      <c r="J386" s="5" t="n"/>
    </row>
    <row r="387">
      <c r="A387" s="5" t="n"/>
      <c r="B387" s="5" t="n"/>
      <c r="C387" s="5" t="n"/>
      <c r="D387" s="5" t="n"/>
      <c r="E387" s="19" t="n"/>
      <c r="F387" s="18" t="n"/>
      <c r="G387" s="18" t="n"/>
      <c r="H387" s="18" t="n"/>
      <c r="I387" s="20">
        <f>IF(OR(G387="",H387=""),"",H387-G387)</f>
        <v/>
      </c>
      <c r="J387" s="5" t="n"/>
    </row>
    <row r="388">
      <c r="A388" s="5" t="n"/>
      <c r="B388" s="5" t="n"/>
      <c r="C388" s="5" t="n"/>
      <c r="D388" s="5" t="n"/>
      <c r="E388" s="19" t="n"/>
      <c r="F388" s="18" t="n"/>
      <c r="G388" s="18" t="n"/>
      <c r="H388" s="18" t="n"/>
      <c r="I388" s="20">
        <f>IF(OR(G388="",H388=""),"",H388-G388)</f>
        <v/>
      </c>
      <c r="J388" s="5" t="n"/>
    </row>
    <row r="389">
      <c r="A389" s="5" t="n"/>
      <c r="B389" s="5" t="n"/>
      <c r="C389" s="5" t="n"/>
      <c r="D389" s="5" t="n"/>
      <c r="E389" s="19" t="n"/>
      <c r="F389" s="18" t="n"/>
      <c r="G389" s="18" t="n"/>
      <c r="H389" s="18" t="n"/>
      <c r="I389" s="20">
        <f>IF(OR(G389="",H389=""),"",H389-G389)</f>
        <v/>
      </c>
      <c r="J389" s="5" t="n"/>
    </row>
    <row r="390">
      <c r="A390" s="5" t="n"/>
      <c r="B390" s="5" t="n"/>
      <c r="C390" s="5" t="n"/>
      <c r="D390" s="5" t="n"/>
      <c r="E390" s="19" t="n"/>
      <c r="F390" s="18" t="n"/>
      <c r="G390" s="18" t="n"/>
      <c r="H390" s="18" t="n"/>
      <c r="I390" s="20">
        <f>IF(OR(G390="",H390=""),"",H390-G390)</f>
        <v/>
      </c>
      <c r="J390" s="5" t="n"/>
    </row>
    <row r="391">
      <c r="A391" s="5" t="n"/>
      <c r="B391" s="5" t="n"/>
      <c r="C391" s="5" t="n"/>
      <c r="D391" s="5" t="n"/>
      <c r="E391" s="19" t="n"/>
      <c r="F391" s="18" t="n"/>
      <c r="G391" s="18" t="n"/>
      <c r="H391" s="18" t="n"/>
      <c r="I391" s="20">
        <f>IF(OR(G391="",H391=""),"",H391-G391)</f>
        <v/>
      </c>
      <c r="J391" s="5" t="n"/>
    </row>
    <row r="392">
      <c r="A392" s="5" t="n"/>
      <c r="B392" s="5" t="n"/>
      <c r="C392" s="5" t="n"/>
      <c r="D392" s="5" t="n"/>
      <c r="E392" s="19" t="n"/>
      <c r="F392" s="18" t="n"/>
      <c r="G392" s="18" t="n"/>
      <c r="H392" s="18" t="n"/>
      <c r="I392" s="20">
        <f>IF(OR(G392="",H392=""),"",H392-G392)</f>
        <v/>
      </c>
      <c r="J392" s="5" t="n"/>
    </row>
    <row r="393">
      <c r="A393" s="5" t="n"/>
      <c r="B393" s="5" t="n"/>
      <c r="C393" s="5" t="n"/>
      <c r="D393" s="5" t="n"/>
      <c r="E393" s="19" t="n"/>
      <c r="F393" s="18" t="n"/>
      <c r="G393" s="18" t="n"/>
      <c r="H393" s="18" t="n"/>
      <c r="I393" s="20">
        <f>IF(OR(G393="",H393=""),"",H393-G393)</f>
        <v/>
      </c>
      <c r="J393" s="5" t="n"/>
    </row>
    <row r="394">
      <c r="A394" s="5" t="n"/>
      <c r="B394" s="5" t="n"/>
      <c r="C394" s="5" t="n"/>
      <c r="D394" s="5" t="n"/>
      <c r="E394" s="19" t="n"/>
      <c r="F394" s="18" t="n"/>
      <c r="G394" s="18" t="n"/>
      <c r="H394" s="18" t="n"/>
      <c r="I394" s="20">
        <f>IF(OR(G394="",H394=""),"",H394-G394)</f>
        <v/>
      </c>
      <c r="J394" s="5" t="n"/>
    </row>
    <row r="395">
      <c r="A395" s="5" t="n"/>
      <c r="B395" s="5" t="n"/>
      <c r="C395" s="5" t="n"/>
      <c r="D395" s="5" t="n"/>
      <c r="E395" s="19" t="n"/>
      <c r="F395" s="18" t="n"/>
      <c r="G395" s="18" t="n"/>
      <c r="H395" s="18" t="n"/>
      <c r="I395" s="20">
        <f>IF(OR(G395="",H395=""),"",H395-G395)</f>
        <v/>
      </c>
      <c r="J395" s="5" t="n"/>
    </row>
    <row r="396">
      <c r="A396" s="5" t="n"/>
      <c r="B396" s="5" t="n"/>
      <c r="C396" s="5" t="n"/>
      <c r="D396" s="5" t="n"/>
      <c r="E396" s="19" t="n"/>
      <c r="F396" s="18" t="n"/>
      <c r="G396" s="18" t="n"/>
      <c r="H396" s="18" t="n"/>
      <c r="I396" s="20">
        <f>IF(OR(G396="",H396=""),"",H396-G396)</f>
        <v/>
      </c>
      <c r="J396" s="5" t="n"/>
    </row>
    <row r="397">
      <c r="A397" s="5" t="n"/>
      <c r="B397" s="5" t="n"/>
      <c r="C397" s="5" t="n"/>
      <c r="D397" s="5" t="n"/>
      <c r="E397" s="19" t="n"/>
      <c r="F397" s="18" t="n"/>
      <c r="G397" s="18" t="n"/>
      <c r="H397" s="18" t="n"/>
      <c r="I397" s="20">
        <f>IF(OR(G397="",H397=""),"",H397-G397)</f>
        <v/>
      </c>
      <c r="J397" s="5" t="n"/>
    </row>
    <row r="398">
      <c r="A398" s="5" t="n"/>
      <c r="B398" s="5" t="n"/>
      <c r="C398" s="5" t="n"/>
      <c r="D398" s="5" t="n"/>
      <c r="E398" s="19" t="n"/>
      <c r="F398" s="18" t="n"/>
      <c r="G398" s="18" t="n"/>
      <c r="H398" s="18" t="n"/>
      <c r="I398" s="20">
        <f>IF(OR(G398="",H398=""),"",H398-G398)</f>
        <v/>
      </c>
      <c r="J398" s="5" t="n"/>
    </row>
    <row r="399">
      <c r="A399" s="5" t="n"/>
      <c r="B399" s="5" t="n"/>
      <c r="C399" s="5" t="n"/>
      <c r="D399" s="5" t="n"/>
      <c r="E399" s="19" t="n"/>
      <c r="F399" s="18" t="n"/>
      <c r="G399" s="18" t="n"/>
      <c r="H399" s="18" t="n"/>
      <c r="I399" s="20">
        <f>IF(OR(G399="",H399=""),"",H399-G399)</f>
        <v/>
      </c>
      <c r="J399" s="5" t="n"/>
    </row>
    <row r="400">
      <c r="A400" s="5" t="n"/>
      <c r="B400" s="5" t="n"/>
      <c r="C400" s="5" t="n"/>
      <c r="D400" s="5" t="n"/>
      <c r="E400" s="19" t="n"/>
      <c r="F400" s="18" t="n"/>
      <c r="G400" s="18" t="n"/>
      <c r="H400" s="18" t="n"/>
      <c r="I400" s="20">
        <f>IF(OR(G400="",H400=""),"",H400-G400)</f>
        <v/>
      </c>
      <c r="J400" s="5" t="n"/>
    </row>
    <row r="401">
      <c r="A401" s="5" t="n"/>
      <c r="B401" s="5" t="n"/>
      <c r="C401" s="5" t="n"/>
      <c r="D401" s="5" t="n"/>
      <c r="E401" s="19" t="n"/>
      <c r="F401" s="18" t="n"/>
      <c r="G401" s="18" t="n"/>
      <c r="H401" s="18" t="n"/>
      <c r="I401" s="20">
        <f>IF(OR(G401="",H401=""),"",H401-G401)</f>
        <v/>
      </c>
      <c r="J401" s="5" t="n"/>
    </row>
    <row r="402">
      <c r="A402" s="5" t="n"/>
      <c r="B402" s="5" t="n"/>
      <c r="C402" s="5" t="n"/>
      <c r="D402" s="5" t="n"/>
      <c r="E402" s="19" t="n"/>
      <c r="F402" s="18" t="n"/>
      <c r="G402" s="18" t="n"/>
      <c r="H402" s="18" t="n"/>
      <c r="I402" s="20">
        <f>IF(OR(G402="",H402=""),"",H402-G402)</f>
        <v/>
      </c>
      <c r="J402" s="5" t="n"/>
    </row>
    <row r="403">
      <c r="A403" s="5" t="n"/>
      <c r="B403" s="5" t="n"/>
      <c r="C403" s="5" t="n"/>
      <c r="D403" s="5" t="n"/>
      <c r="E403" s="19" t="n"/>
      <c r="F403" s="18" t="n"/>
      <c r="G403" s="18" t="n"/>
      <c r="H403" s="18" t="n"/>
      <c r="I403" s="20">
        <f>IF(OR(G403="",H403=""),"",H403-G403)</f>
        <v/>
      </c>
      <c r="J403" s="5" t="n"/>
    </row>
    <row r="404">
      <c r="A404" s="5" t="n"/>
      <c r="B404" s="5" t="n"/>
      <c r="C404" s="5" t="n"/>
      <c r="D404" s="5" t="n"/>
      <c r="E404" s="19" t="n"/>
      <c r="F404" s="18" t="n"/>
      <c r="G404" s="18" t="n"/>
      <c r="H404" s="18" t="n"/>
      <c r="I404" s="20">
        <f>IF(OR(G404="",H404=""),"",H404-G404)</f>
        <v/>
      </c>
      <c r="J404" s="5" t="n"/>
    </row>
    <row r="405">
      <c r="A405" s="5" t="n"/>
      <c r="B405" s="5" t="n"/>
      <c r="C405" s="5" t="n"/>
      <c r="D405" s="5" t="n"/>
      <c r="E405" s="19" t="n"/>
      <c r="F405" s="18" t="n"/>
      <c r="G405" s="18" t="n"/>
      <c r="H405" s="18" t="n"/>
      <c r="I405" s="20">
        <f>IF(OR(G405="",H405=""),"",H405-G405)</f>
        <v/>
      </c>
      <c r="J405" s="5" t="n"/>
    </row>
    <row r="406">
      <c r="A406" s="5" t="n"/>
      <c r="B406" s="5" t="n"/>
      <c r="C406" s="5" t="n"/>
      <c r="D406" s="5" t="n"/>
      <c r="E406" s="19" t="n"/>
      <c r="F406" s="18" t="n"/>
      <c r="G406" s="18" t="n"/>
      <c r="H406" s="18" t="n"/>
      <c r="I406" s="20">
        <f>IF(OR(G406="",H406=""),"",H406-G406)</f>
        <v/>
      </c>
      <c r="J406" s="5" t="n"/>
    </row>
    <row r="407">
      <c r="A407" s="5" t="n"/>
      <c r="B407" s="5" t="n"/>
      <c r="C407" s="5" t="n"/>
      <c r="D407" s="5" t="n"/>
      <c r="E407" s="19" t="n"/>
      <c r="F407" s="18" t="n"/>
      <c r="G407" s="18" t="n"/>
      <c r="H407" s="18" t="n"/>
      <c r="I407" s="20">
        <f>IF(OR(G407="",H407=""),"",H407-G407)</f>
        <v/>
      </c>
      <c r="J407" s="5" t="n"/>
    </row>
    <row r="408">
      <c r="A408" s="5" t="n"/>
      <c r="B408" s="5" t="n"/>
      <c r="C408" s="5" t="n"/>
      <c r="D408" s="5" t="n"/>
      <c r="E408" s="19" t="n"/>
      <c r="F408" s="18" t="n"/>
      <c r="G408" s="18" t="n"/>
      <c r="H408" s="18" t="n"/>
      <c r="I408" s="20">
        <f>IF(OR(G408="",H408=""),"",H408-G408)</f>
        <v/>
      </c>
      <c r="J408" s="5" t="n"/>
    </row>
    <row r="409">
      <c r="A409" s="5" t="n"/>
      <c r="B409" s="5" t="n"/>
      <c r="C409" s="5" t="n"/>
      <c r="D409" s="5" t="n"/>
      <c r="E409" s="19" t="n"/>
      <c r="F409" s="18" t="n"/>
      <c r="G409" s="18" t="n"/>
      <c r="H409" s="18" t="n"/>
      <c r="I409" s="20">
        <f>IF(OR(G409="",H409=""),"",H409-G409)</f>
        <v/>
      </c>
      <c r="J409" s="5" t="n"/>
    </row>
    <row r="410">
      <c r="A410" s="5" t="n"/>
      <c r="B410" s="5" t="n"/>
      <c r="C410" s="5" t="n"/>
      <c r="D410" s="5" t="n"/>
      <c r="E410" s="19" t="n"/>
      <c r="F410" s="18" t="n"/>
      <c r="G410" s="18" t="n"/>
      <c r="H410" s="18" t="n"/>
      <c r="I410" s="20">
        <f>IF(OR(G410="",H410=""),"",H410-G410)</f>
        <v/>
      </c>
      <c r="J410" s="5" t="n"/>
    </row>
    <row r="411">
      <c r="A411" s="5" t="n"/>
      <c r="B411" s="5" t="n"/>
      <c r="C411" s="5" t="n"/>
      <c r="D411" s="5" t="n"/>
      <c r="E411" s="19" t="n"/>
      <c r="F411" s="18" t="n"/>
      <c r="G411" s="18" t="n"/>
      <c r="H411" s="18" t="n"/>
      <c r="I411" s="20">
        <f>IF(OR(G411="",H411=""),"",H411-G411)</f>
        <v/>
      </c>
      <c r="J411" s="5" t="n"/>
    </row>
    <row r="412">
      <c r="A412" s="5" t="n"/>
      <c r="B412" s="5" t="n"/>
      <c r="C412" s="5" t="n"/>
      <c r="D412" s="5" t="n"/>
      <c r="E412" s="19" t="n"/>
      <c r="F412" s="18" t="n"/>
      <c r="G412" s="18" t="n"/>
      <c r="H412" s="18" t="n"/>
      <c r="I412" s="20">
        <f>IF(OR(G412="",H412=""),"",H412-G412)</f>
        <v/>
      </c>
      <c r="J412" s="5" t="n"/>
    </row>
    <row r="413">
      <c r="A413" s="5" t="n"/>
      <c r="B413" s="5" t="n"/>
      <c r="C413" s="5" t="n"/>
      <c r="D413" s="5" t="n"/>
      <c r="E413" s="19" t="n"/>
      <c r="F413" s="18" t="n"/>
      <c r="G413" s="18" t="n"/>
      <c r="H413" s="18" t="n"/>
      <c r="I413" s="20">
        <f>IF(OR(G413="",H413=""),"",H413-G413)</f>
        <v/>
      </c>
      <c r="J413" s="5" t="n"/>
    </row>
    <row r="414">
      <c r="A414" s="5" t="n"/>
      <c r="B414" s="5" t="n"/>
      <c r="C414" s="5" t="n"/>
      <c r="D414" s="5" t="n"/>
      <c r="E414" s="19" t="n"/>
      <c r="F414" s="18" t="n"/>
      <c r="G414" s="18" t="n"/>
      <c r="H414" s="18" t="n"/>
      <c r="I414" s="20">
        <f>IF(OR(G414="",H414=""),"",H414-G414)</f>
        <v/>
      </c>
      <c r="J414" s="5" t="n"/>
    </row>
    <row r="415">
      <c r="A415" s="5" t="n"/>
      <c r="B415" s="5" t="n"/>
      <c r="C415" s="5" t="n"/>
      <c r="D415" s="5" t="n"/>
      <c r="E415" s="19" t="n"/>
      <c r="F415" s="18" t="n"/>
      <c r="G415" s="18" t="n"/>
      <c r="H415" s="18" t="n"/>
      <c r="I415" s="20">
        <f>IF(OR(G415="",H415=""),"",H415-G415)</f>
        <v/>
      </c>
      <c r="J415" s="5" t="n"/>
    </row>
    <row r="416">
      <c r="A416" s="5" t="n"/>
      <c r="B416" s="5" t="n"/>
      <c r="C416" s="5" t="n"/>
      <c r="D416" s="5" t="n"/>
      <c r="E416" s="19" t="n"/>
      <c r="F416" s="18" t="n"/>
      <c r="G416" s="18" t="n"/>
      <c r="H416" s="18" t="n"/>
      <c r="I416" s="20">
        <f>IF(OR(G416="",H416=""),"",H416-G416)</f>
        <v/>
      </c>
      <c r="J416" s="5" t="n"/>
    </row>
    <row r="417">
      <c r="A417" s="5" t="n"/>
      <c r="B417" s="5" t="n"/>
      <c r="C417" s="5" t="n"/>
      <c r="D417" s="5" t="n"/>
      <c r="E417" s="19" t="n"/>
      <c r="F417" s="18" t="n"/>
      <c r="G417" s="18" t="n"/>
      <c r="H417" s="18" t="n"/>
      <c r="I417" s="20">
        <f>IF(OR(G417="",H417=""),"",H417-G417)</f>
        <v/>
      </c>
      <c r="J417" s="5" t="n"/>
    </row>
    <row r="418">
      <c r="A418" s="5" t="n"/>
      <c r="B418" s="5" t="n"/>
      <c r="C418" s="5" t="n"/>
      <c r="D418" s="5" t="n"/>
      <c r="E418" s="19" t="n"/>
      <c r="F418" s="18" t="n"/>
      <c r="G418" s="18" t="n"/>
      <c r="H418" s="18" t="n"/>
      <c r="I418" s="20">
        <f>IF(OR(G418="",H418=""),"",H418-G418)</f>
        <v/>
      </c>
      <c r="J418" s="5" t="n"/>
    </row>
    <row r="419">
      <c r="A419" s="5" t="n"/>
      <c r="B419" s="5" t="n"/>
      <c r="C419" s="5" t="n"/>
      <c r="D419" s="5" t="n"/>
      <c r="E419" s="19" t="n"/>
      <c r="F419" s="18" t="n"/>
      <c r="G419" s="18" t="n"/>
      <c r="H419" s="18" t="n"/>
      <c r="I419" s="20">
        <f>IF(OR(G419="",H419=""),"",H419-G419)</f>
        <v/>
      </c>
      <c r="J419" s="5" t="n"/>
    </row>
    <row r="420">
      <c r="A420" s="5" t="n"/>
      <c r="B420" s="5" t="n"/>
      <c r="C420" s="5" t="n"/>
      <c r="D420" s="5" t="n"/>
      <c r="E420" s="19" t="n"/>
      <c r="F420" s="18" t="n"/>
      <c r="G420" s="18" t="n"/>
      <c r="H420" s="18" t="n"/>
      <c r="I420" s="20">
        <f>IF(OR(G420="",H420=""),"",H420-G420)</f>
        <v/>
      </c>
      <c r="J420" s="5" t="n"/>
    </row>
    <row r="421">
      <c r="A421" s="5" t="n"/>
      <c r="B421" s="5" t="n"/>
      <c r="C421" s="5" t="n"/>
      <c r="D421" s="5" t="n"/>
      <c r="E421" s="19" t="n"/>
      <c r="F421" s="18" t="n"/>
      <c r="G421" s="18" t="n"/>
      <c r="H421" s="18" t="n"/>
      <c r="I421" s="20">
        <f>IF(OR(G421="",H421=""),"",H421-G421)</f>
        <v/>
      </c>
      <c r="J421" s="5" t="n"/>
    </row>
    <row r="422">
      <c r="A422" s="5" t="n"/>
      <c r="B422" s="5" t="n"/>
      <c r="C422" s="5" t="n"/>
      <c r="D422" s="5" t="n"/>
      <c r="E422" s="19" t="n"/>
      <c r="F422" s="18" t="n"/>
      <c r="G422" s="18" t="n"/>
      <c r="H422" s="18" t="n"/>
      <c r="I422" s="20">
        <f>IF(OR(G422="",H422=""),"",H422-G422)</f>
        <v/>
      </c>
      <c r="J422" s="5" t="n"/>
    </row>
    <row r="423">
      <c r="A423" s="5" t="n"/>
      <c r="B423" s="5" t="n"/>
      <c r="C423" s="5" t="n"/>
      <c r="D423" s="5" t="n"/>
      <c r="E423" s="19" t="n"/>
      <c r="F423" s="18" t="n"/>
      <c r="G423" s="18" t="n"/>
      <c r="H423" s="18" t="n"/>
      <c r="I423" s="20">
        <f>IF(OR(G423="",H423=""),"",H423-G423)</f>
        <v/>
      </c>
      <c r="J423" s="5" t="n"/>
    </row>
    <row r="424">
      <c r="A424" s="5" t="n"/>
      <c r="B424" s="5" t="n"/>
      <c r="C424" s="5" t="n"/>
      <c r="D424" s="5" t="n"/>
      <c r="E424" s="19" t="n"/>
      <c r="F424" s="18" t="n"/>
      <c r="G424" s="18" t="n"/>
      <c r="H424" s="18" t="n"/>
      <c r="I424" s="20">
        <f>IF(OR(G424="",H424=""),"",H424-G424)</f>
        <v/>
      </c>
      <c r="J424" s="5" t="n"/>
    </row>
    <row r="425">
      <c r="A425" s="5" t="n"/>
      <c r="B425" s="5" t="n"/>
      <c r="C425" s="5" t="n"/>
      <c r="D425" s="5" t="n"/>
      <c r="E425" s="19" t="n"/>
      <c r="F425" s="18" t="n"/>
      <c r="G425" s="18" t="n"/>
      <c r="H425" s="18" t="n"/>
      <c r="I425" s="20">
        <f>IF(OR(G425="",H425=""),"",H425-G425)</f>
        <v/>
      </c>
      <c r="J425" s="5" t="n"/>
    </row>
    <row r="426">
      <c r="A426" s="5" t="n"/>
      <c r="B426" s="5" t="n"/>
      <c r="C426" s="5" t="n"/>
      <c r="D426" s="5" t="n"/>
      <c r="E426" s="19" t="n"/>
      <c r="F426" s="18" t="n"/>
      <c r="G426" s="18" t="n"/>
      <c r="H426" s="18" t="n"/>
      <c r="I426" s="20">
        <f>IF(OR(G426="",H426=""),"",H426-G426)</f>
        <v/>
      </c>
      <c r="J426" s="5" t="n"/>
    </row>
    <row r="427">
      <c r="A427" s="5" t="n"/>
      <c r="B427" s="5" t="n"/>
      <c r="C427" s="5" t="n"/>
      <c r="D427" s="5" t="n"/>
      <c r="E427" s="19" t="n"/>
      <c r="F427" s="18" t="n"/>
      <c r="G427" s="18" t="n"/>
      <c r="H427" s="18" t="n"/>
      <c r="I427" s="20">
        <f>IF(OR(G427="",H427=""),"",H427-G427)</f>
        <v/>
      </c>
      <c r="J427" s="5" t="n"/>
    </row>
    <row r="428">
      <c r="A428" s="5" t="n"/>
      <c r="B428" s="5" t="n"/>
      <c r="C428" s="5" t="n"/>
      <c r="D428" s="5" t="n"/>
      <c r="E428" s="19" t="n"/>
      <c r="F428" s="18" t="n"/>
      <c r="G428" s="18" t="n"/>
      <c r="H428" s="18" t="n"/>
      <c r="I428" s="20">
        <f>IF(OR(G428="",H428=""),"",H428-G428)</f>
        <v/>
      </c>
      <c r="J428" s="5" t="n"/>
    </row>
    <row r="429">
      <c r="A429" s="5" t="n"/>
      <c r="B429" s="5" t="n"/>
      <c r="C429" s="5" t="n"/>
      <c r="D429" s="5" t="n"/>
      <c r="E429" s="19" t="n"/>
      <c r="F429" s="18" t="n"/>
      <c r="G429" s="18" t="n"/>
      <c r="H429" s="18" t="n"/>
      <c r="I429" s="20">
        <f>IF(OR(G429="",H429=""),"",H429-G429)</f>
        <v/>
      </c>
      <c r="J429" s="5" t="n"/>
    </row>
    <row r="430">
      <c r="A430" s="5" t="n"/>
      <c r="B430" s="5" t="n"/>
      <c r="C430" s="5" t="n"/>
      <c r="D430" s="5" t="n"/>
      <c r="E430" s="19" t="n"/>
      <c r="F430" s="18" t="n"/>
      <c r="G430" s="18" t="n"/>
      <c r="H430" s="18" t="n"/>
      <c r="I430" s="20">
        <f>IF(OR(G430="",H430=""),"",H430-G430)</f>
        <v/>
      </c>
      <c r="J430" s="5" t="n"/>
    </row>
    <row r="431">
      <c r="A431" s="5" t="n"/>
      <c r="B431" s="5" t="n"/>
      <c r="C431" s="5" t="n"/>
      <c r="D431" s="5" t="n"/>
      <c r="E431" s="19" t="n"/>
      <c r="F431" s="18" t="n"/>
      <c r="G431" s="18" t="n"/>
      <c r="H431" s="18" t="n"/>
      <c r="I431" s="20">
        <f>IF(OR(G431="",H431=""),"",H431-G431)</f>
        <v/>
      </c>
      <c r="J431" s="5" t="n"/>
    </row>
    <row r="432">
      <c r="A432" s="5" t="n"/>
      <c r="B432" s="5" t="n"/>
      <c r="C432" s="5" t="n"/>
      <c r="D432" s="5" t="n"/>
      <c r="E432" s="19" t="n"/>
      <c r="F432" s="18" t="n"/>
      <c r="G432" s="18" t="n"/>
      <c r="H432" s="18" t="n"/>
      <c r="I432" s="20">
        <f>IF(OR(G432="",H432=""),"",H432-G432)</f>
        <v/>
      </c>
      <c r="J432" s="5" t="n"/>
    </row>
    <row r="433">
      <c r="A433" s="5" t="n"/>
      <c r="B433" s="5" t="n"/>
      <c r="C433" s="5" t="n"/>
      <c r="D433" s="5" t="n"/>
      <c r="E433" s="19" t="n"/>
      <c r="F433" s="18" t="n"/>
      <c r="G433" s="18" t="n"/>
      <c r="H433" s="18" t="n"/>
      <c r="I433" s="20">
        <f>IF(OR(G433="",H433=""),"",H433-G433)</f>
        <v/>
      </c>
      <c r="J433" s="5" t="n"/>
    </row>
    <row r="434">
      <c r="A434" s="5" t="n"/>
      <c r="B434" s="5" t="n"/>
      <c r="C434" s="5" t="n"/>
      <c r="D434" s="5" t="n"/>
      <c r="E434" s="19" t="n"/>
      <c r="F434" s="18" t="n"/>
      <c r="G434" s="18" t="n"/>
      <c r="H434" s="18" t="n"/>
      <c r="I434" s="20">
        <f>IF(OR(G434="",H434=""),"",H434-G434)</f>
        <v/>
      </c>
      <c r="J434" s="5" t="n"/>
    </row>
    <row r="435">
      <c r="A435" s="5" t="n"/>
      <c r="B435" s="5" t="n"/>
      <c r="C435" s="5" t="n"/>
      <c r="D435" s="5" t="n"/>
      <c r="E435" s="19" t="n"/>
      <c r="F435" s="18" t="n"/>
      <c r="G435" s="18" t="n"/>
      <c r="H435" s="18" t="n"/>
      <c r="I435" s="20">
        <f>IF(OR(G435="",H435=""),"",H435-G435)</f>
        <v/>
      </c>
      <c r="J435" s="5" t="n"/>
    </row>
    <row r="436">
      <c r="A436" s="5" t="n"/>
      <c r="B436" s="5" t="n"/>
      <c r="C436" s="5" t="n"/>
      <c r="D436" s="5" t="n"/>
      <c r="E436" s="19" t="n"/>
      <c r="F436" s="18" t="n"/>
      <c r="G436" s="18" t="n"/>
      <c r="H436" s="18" t="n"/>
      <c r="I436" s="20">
        <f>IF(OR(G436="",H436=""),"",H436-G436)</f>
        <v/>
      </c>
      <c r="J436" s="5" t="n"/>
    </row>
    <row r="437">
      <c r="A437" s="5" t="n"/>
      <c r="B437" s="5" t="n"/>
      <c r="C437" s="5" t="n"/>
      <c r="D437" s="5" t="n"/>
      <c r="E437" s="19" t="n"/>
      <c r="F437" s="18" t="n"/>
      <c r="G437" s="18" t="n"/>
      <c r="H437" s="18" t="n"/>
      <c r="I437" s="20">
        <f>IF(OR(G437="",H437=""),"",H437-G437)</f>
        <v/>
      </c>
      <c r="J437" s="5" t="n"/>
    </row>
    <row r="438">
      <c r="A438" s="5" t="n"/>
      <c r="B438" s="5" t="n"/>
      <c r="C438" s="5" t="n"/>
      <c r="D438" s="5" t="n"/>
      <c r="E438" s="19" t="n"/>
      <c r="F438" s="18" t="n"/>
      <c r="G438" s="18" t="n"/>
      <c r="H438" s="18" t="n"/>
      <c r="I438" s="20">
        <f>IF(OR(G438="",H438=""),"",H438-G438)</f>
        <v/>
      </c>
      <c r="J438" s="5" t="n"/>
    </row>
    <row r="439">
      <c r="A439" s="5" t="n"/>
      <c r="B439" s="5" t="n"/>
      <c r="C439" s="5" t="n"/>
      <c r="D439" s="5" t="n"/>
      <c r="E439" s="19" t="n"/>
      <c r="F439" s="18" t="n"/>
      <c r="G439" s="18" t="n"/>
      <c r="H439" s="18" t="n"/>
      <c r="I439" s="20">
        <f>IF(OR(G439="",H439=""),"",H439-G439)</f>
        <v/>
      </c>
      <c r="J439" s="5" t="n"/>
    </row>
    <row r="440">
      <c r="A440" s="5" t="n"/>
      <c r="B440" s="5" t="n"/>
      <c r="C440" s="5" t="n"/>
      <c r="D440" s="5" t="n"/>
      <c r="E440" s="19" t="n"/>
      <c r="F440" s="18" t="n"/>
      <c r="G440" s="18" t="n"/>
      <c r="H440" s="18" t="n"/>
      <c r="I440" s="20">
        <f>IF(OR(G440="",H440=""),"",H440-G440)</f>
        <v/>
      </c>
      <c r="J440" s="5" t="n"/>
    </row>
    <row r="441">
      <c r="A441" s="5" t="n"/>
      <c r="B441" s="5" t="n"/>
      <c r="C441" s="5" t="n"/>
      <c r="D441" s="5" t="n"/>
      <c r="E441" s="19" t="n"/>
      <c r="F441" s="18" t="n"/>
      <c r="G441" s="18" t="n"/>
      <c r="H441" s="18" t="n"/>
      <c r="I441" s="20">
        <f>IF(OR(G441="",H441=""),"",H441-G441)</f>
        <v/>
      </c>
      <c r="J441" s="5" t="n"/>
    </row>
    <row r="442">
      <c r="A442" s="5" t="n"/>
      <c r="B442" s="5" t="n"/>
      <c r="C442" s="5" t="n"/>
      <c r="D442" s="5" t="n"/>
      <c r="E442" s="19" t="n"/>
      <c r="F442" s="18" t="n"/>
      <c r="G442" s="18" t="n"/>
      <c r="H442" s="18" t="n"/>
      <c r="I442" s="20">
        <f>IF(OR(G442="",H442=""),"",H442-G442)</f>
        <v/>
      </c>
      <c r="J442" s="5" t="n"/>
    </row>
    <row r="443">
      <c r="A443" s="5" t="n"/>
      <c r="B443" s="5" t="n"/>
      <c r="C443" s="5" t="n"/>
      <c r="D443" s="5" t="n"/>
      <c r="E443" s="19" t="n"/>
      <c r="F443" s="18" t="n"/>
      <c r="G443" s="18" t="n"/>
      <c r="H443" s="18" t="n"/>
      <c r="I443" s="20">
        <f>IF(OR(G443="",H443=""),"",H443-G443)</f>
        <v/>
      </c>
      <c r="J443" s="5" t="n"/>
    </row>
    <row r="444">
      <c r="A444" s="5" t="n"/>
      <c r="B444" s="5" t="n"/>
      <c r="C444" s="5" t="n"/>
      <c r="D444" s="5" t="n"/>
      <c r="E444" s="19" t="n"/>
      <c r="F444" s="18" t="n"/>
      <c r="G444" s="18" t="n"/>
      <c r="H444" s="18" t="n"/>
      <c r="I444" s="20">
        <f>IF(OR(G444="",H444=""),"",H444-G444)</f>
        <v/>
      </c>
      <c r="J444" s="5" t="n"/>
    </row>
    <row r="445">
      <c r="A445" s="5" t="n"/>
      <c r="B445" s="5" t="n"/>
      <c r="C445" s="5" t="n"/>
      <c r="D445" s="5" t="n"/>
      <c r="E445" s="19" t="n"/>
      <c r="F445" s="18" t="n"/>
      <c r="G445" s="18" t="n"/>
      <c r="H445" s="18" t="n"/>
      <c r="I445" s="20">
        <f>IF(OR(G445="",H445=""),"",H445-G445)</f>
        <v/>
      </c>
      <c r="J445" s="5" t="n"/>
    </row>
    <row r="446">
      <c r="A446" s="5" t="n"/>
      <c r="B446" s="5" t="n"/>
      <c r="C446" s="5" t="n"/>
      <c r="D446" s="5" t="n"/>
      <c r="E446" s="19" t="n"/>
      <c r="F446" s="18" t="n"/>
      <c r="G446" s="18" t="n"/>
      <c r="H446" s="18" t="n"/>
      <c r="I446" s="20">
        <f>IF(OR(G446="",H446=""),"",H446-G446)</f>
        <v/>
      </c>
      <c r="J446" s="5" t="n"/>
    </row>
    <row r="447">
      <c r="A447" s="5" t="n"/>
      <c r="B447" s="5" t="n"/>
      <c r="C447" s="5" t="n"/>
      <c r="D447" s="5" t="n"/>
      <c r="E447" s="19" t="n"/>
      <c r="F447" s="18" t="n"/>
      <c r="G447" s="18" t="n"/>
      <c r="H447" s="18" t="n"/>
      <c r="I447" s="20">
        <f>IF(OR(G447="",H447=""),"",H447-G447)</f>
        <v/>
      </c>
      <c r="J447" s="5" t="n"/>
    </row>
    <row r="448">
      <c r="A448" s="5" t="n"/>
      <c r="B448" s="5" t="n"/>
      <c r="C448" s="5" t="n"/>
      <c r="D448" s="5" t="n"/>
      <c r="E448" s="19" t="n"/>
      <c r="F448" s="18" t="n"/>
      <c r="G448" s="18" t="n"/>
      <c r="H448" s="18" t="n"/>
      <c r="I448" s="20">
        <f>IF(OR(G448="",H448=""),"",H448-G448)</f>
        <v/>
      </c>
      <c r="J448" s="5" t="n"/>
    </row>
    <row r="449">
      <c r="A449" s="5" t="n"/>
      <c r="B449" s="5" t="n"/>
      <c r="C449" s="5" t="n"/>
      <c r="D449" s="5" t="n"/>
      <c r="E449" s="19" t="n"/>
      <c r="F449" s="18" t="n"/>
      <c r="G449" s="18" t="n"/>
      <c r="H449" s="18" t="n"/>
      <c r="I449" s="20">
        <f>IF(OR(G449="",H449=""),"",H449-G449)</f>
        <v/>
      </c>
      <c r="J449" s="5" t="n"/>
    </row>
    <row r="450">
      <c r="A450" s="5" t="n"/>
      <c r="B450" s="5" t="n"/>
      <c r="C450" s="5" t="n"/>
      <c r="D450" s="5" t="n"/>
      <c r="E450" s="19" t="n"/>
      <c r="F450" s="18" t="n"/>
      <c r="G450" s="18" t="n"/>
      <c r="H450" s="18" t="n"/>
      <c r="I450" s="20">
        <f>IF(OR(G450="",H450=""),"",H450-G450)</f>
        <v/>
      </c>
      <c r="J450" s="5" t="n"/>
    </row>
    <row r="451">
      <c r="A451" s="5" t="n"/>
      <c r="B451" s="5" t="n"/>
      <c r="C451" s="5" t="n"/>
      <c r="D451" s="5" t="n"/>
      <c r="E451" s="19" t="n"/>
      <c r="F451" s="18" t="n"/>
      <c r="G451" s="18" t="n"/>
      <c r="H451" s="18" t="n"/>
      <c r="I451" s="20">
        <f>IF(OR(G451="",H451=""),"",H451-G451)</f>
        <v/>
      </c>
      <c r="J451" s="5" t="n"/>
    </row>
    <row r="452">
      <c r="A452" s="5" t="n"/>
      <c r="B452" s="5" t="n"/>
      <c r="C452" s="5" t="n"/>
      <c r="D452" s="5" t="n"/>
      <c r="E452" s="19" t="n"/>
      <c r="F452" s="18" t="n"/>
      <c r="G452" s="18" t="n"/>
      <c r="H452" s="18" t="n"/>
      <c r="I452" s="20">
        <f>IF(OR(G452="",H452=""),"",H452-G452)</f>
        <v/>
      </c>
      <c r="J452" s="5" t="n"/>
    </row>
    <row r="453">
      <c r="A453" s="5" t="n"/>
      <c r="B453" s="5" t="n"/>
      <c r="C453" s="5" t="n"/>
      <c r="D453" s="5" t="n"/>
      <c r="E453" s="19" t="n"/>
      <c r="F453" s="18" t="n"/>
      <c r="G453" s="18" t="n"/>
      <c r="H453" s="18" t="n"/>
      <c r="I453" s="20">
        <f>IF(OR(G453="",H453=""),"",H453-G453)</f>
        <v/>
      </c>
      <c r="J453" s="5" t="n"/>
    </row>
    <row r="454">
      <c r="A454" s="5" t="n"/>
      <c r="B454" s="5" t="n"/>
      <c r="C454" s="5" t="n"/>
      <c r="D454" s="5" t="n"/>
      <c r="E454" s="19" t="n"/>
      <c r="F454" s="18" t="n"/>
      <c r="G454" s="18" t="n"/>
      <c r="H454" s="18" t="n"/>
      <c r="I454" s="20">
        <f>IF(OR(G454="",H454=""),"",H454-G454)</f>
        <v/>
      </c>
      <c r="J454" s="5" t="n"/>
    </row>
    <row r="455">
      <c r="A455" s="5" t="n"/>
      <c r="B455" s="5" t="n"/>
      <c r="C455" s="5" t="n"/>
      <c r="D455" s="5" t="n"/>
      <c r="E455" s="19" t="n"/>
      <c r="F455" s="18" t="n"/>
      <c r="G455" s="18" t="n"/>
      <c r="H455" s="18" t="n"/>
      <c r="I455" s="20">
        <f>IF(OR(G455="",H455=""),"",H455-G455)</f>
        <v/>
      </c>
      <c r="J455" s="5" t="n"/>
    </row>
    <row r="456">
      <c r="A456" s="5" t="n"/>
      <c r="B456" s="5" t="n"/>
      <c r="C456" s="5" t="n"/>
      <c r="D456" s="5" t="n"/>
      <c r="E456" s="19" t="n"/>
      <c r="F456" s="18" t="n"/>
      <c r="G456" s="18" t="n"/>
      <c r="H456" s="18" t="n"/>
      <c r="I456" s="20">
        <f>IF(OR(G456="",H456=""),"",H456-G456)</f>
        <v/>
      </c>
      <c r="J456" s="5" t="n"/>
    </row>
    <row r="457">
      <c r="A457" s="5" t="n"/>
      <c r="B457" s="5" t="n"/>
      <c r="C457" s="5" t="n"/>
      <c r="D457" s="5" t="n"/>
      <c r="E457" s="19" t="n"/>
      <c r="F457" s="18" t="n"/>
      <c r="G457" s="18" t="n"/>
      <c r="H457" s="18" t="n"/>
      <c r="I457" s="20">
        <f>IF(OR(G457="",H457=""),"",H457-G457)</f>
        <v/>
      </c>
      <c r="J457" s="5" t="n"/>
    </row>
    <row r="458">
      <c r="A458" s="5" t="n"/>
      <c r="B458" s="5" t="n"/>
      <c r="C458" s="5" t="n"/>
      <c r="D458" s="5" t="n"/>
      <c r="E458" s="19" t="n"/>
      <c r="F458" s="18" t="n"/>
      <c r="G458" s="18" t="n"/>
      <c r="H458" s="18" t="n"/>
      <c r="I458" s="20">
        <f>IF(OR(G458="",H458=""),"",H458-G458)</f>
        <v/>
      </c>
      <c r="J458" s="5" t="n"/>
    </row>
    <row r="459">
      <c r="A459" s="5" t="n"/>
      <c r="B459" s="5" t="n"/>
      <c r="C459" s="5" t="n"/>
      <c r="D459" s="5" t="n"/>
      <c r="E459" s="19" t="n"/>
      <c r="F459" s="18" t="n"/>
      <c r="G459" s="18" t="n"/>
      <c r="H459" s="18" t="n"/>
      <c r="I459" s="20">
        <f>IF(OR(G459="",H459=""),"",H459-G459)</f>
        <v/>
      </c>
      <c r="J459" s="5" t="n"/>
    </row>
    <row r="460">
      <c r="A460" s="5" t="n"/>
      <c r="B460" s="5" t="n"/>
      <c r="C460" s="5" t="n"/>
      <c r="D460" s="5" t="n"/>
      <c r="E460" s="19" t="n"/>
      <c r="F460" s="18" t="n"/>
      <c r="G460" s="18" t="n"/>
      <c r="H460" s="18" t="n"/>
      <c r="I460" s="20">
        <f>IF(OR(G460="",H460=""),"",H460-G460)</f>
        <v/>
      </c>
      <c r="J460" s="5" t="n"/>
    </row>
    <row r="461">
      <c r="A461" s="5" t="n"/>
      <c r="B461" s="5" t="n"/>
      <c r="C461" s="5" t="n"/>
      <c r="D461" s="5" t="n"/>
      <c r="E461" s="19" t="n"/>
      <c r="F461" s="18" t="n"/>
      <c r="G461" s="18" t="n"/>
      <c r="H461" s="18" t="n"/>
      <c r="I461" s="20">
        <f>IF(OR(G461="",H461=""),"",H461-G461)</f>
        <v/>
      </c>
      <c r="J461" s="5" t="n"/>
    </row>
    <row r="462">
      <c r="A462" s="5" t="n"/>
      <c r="B462" s="5" t="n"/>
      <c r="C462" s="5" t="n"/>
      <c r="D462" s="5" t="n"/>
      <c r="E462" s="19" t="n"/>
      <c r="F462" s="18" t="n"/>
      <c r="G462" s="18" t="n"/>
      <c r="H462" s="18" t="n"/>
      <c r="I462" s="20">
        <f>IF(OR(G462="",H462=""),"",H462-G462)</f>
        <v/>
      </c>
      <c r="J462" s="5" t="n"/>
    </row>
    <row r="463">
      <c r="A463" s="5" t="n"/>
      <c r="B463" s="5" t="n"/>
      <c r="C463" s="5" t="n"/>
      <c r="D463" s="5" t="n"/>
      <c r="E463" s="19" t="n"/>
      <c r="F463" s="18" t="n"/>
      <c r="G463" s="18" t="n"/>
      <c r="H463" s="18" t="n"/>
      <c r="I463" s="20">
        <f>IF(OR(G463="",H463=""),"",H463-G463)</f>
        <v/>
      </c>
      <c r="J463" s="5" t="n"/>
    </row>
    <row r="464">
      <c r="A464" s="5" t="n"/>
      <c r="B464" s="5" t="n"/>
      <c r="C464" s="5" t="n"/>
      <c r="D464" s="5" t="n"/>
      <c r="E464" s="19" t="n"/>
      <c r="F464" s="18" t="n"/>
      <c r="G464" s="18" t="n"/>
      <c r="H464" s="18" t="n"/>
      <c r="I464" s="20">
        <f>IF(OR(G464="",H464=""),"",H464-G464)</f>
        <v/>
      </c>
      <c r="J464" s="5" t="n"/>
    </row>
    <row r="465">
      <c r="A465" s="5" t="n"/>
      <c r="B465" s="5" t="n"/>
      <c r="C465" s="5" t="n"/>
      <c r="D465" s="5" t="n"/>
      <c r="E465" s="19" t="n"/>
      <c r="F465" s="18" t="n"/>
      <c r="G465" s="18" t="n"/>
      <c r="H465" s="18" t="n"/>
      <c r="I465" s="20">
        <f>IF(OR(G465="",H465=""),"",H465-G465)</f>
        <v/>
      </c>
      <c r="J465" s="5" t="n"/>
    </row>
    <row r="466">
      <c r="A466" s="5" t="n"/>
      <c r="B466" s="5" t="n"/>
      <c r="C466" s="5" t="n"/>
      <c r="D466" s="5" t="n"/>
      <c r="E466" s="19" t="n"/>
      <c r="F466" s="18" t="n"/>
      <c r="G466" s="18" t="n"/>
      <c r="H466" s="18" t="n"/>
      <c r="I466" s="20">
        <f>IF(OR(G466="",H466=""),"",H466-G466)</f>
        <v/>
      </c>
      <c r="J466" s="5" t="n"/>
    </row>
    <row r="467">
      <c r="A467" s="5" t="n"/>
      <c r="B467" s="5" t="n"/>
      <c r="C467" s="5" t="n"/>
      <c r="D467" s="5" t="n"/>
      <c r="E467" s="19" t="n"/>
      <c r="F467" s="18" t="n"/>
      <c r="G467" s="18" t="n"/>
      <c r="H467" s="18" t="n"/>
      <c r="I467" s="20">
        <f>IF(OR(G467="",H467=""),"",H467-G467)</f>
        <v/>
      </c>
      <c r="J467" s="5" t="n"/>
    </row>
    <row r="468">
      <c r="A468" s="5" t="n"/>
      <c r="B468" s="5" t="n"/>
      <c r="C468" s="5" t="n"/>
      <c r="D468" s="5" t="n"/>
      <c r="E468" s="19" t="n"/>
      <c r="F468" s="18" t="n"/>
      <c r="G468" s="18" t="n"/>
      <c r="H468" s="18" t="n"/>
      <c r="I468" s="20">
        <f>IF(OR(G468="",H468=""),"",H468-G468)</f>
        <v/>
      </c>
      <c r="J468" s="5" t="n"/>
    </row>
    <row r="469">
      <c r="A469" s="5" t="n"/>
      <c r="B469" s="5" t="n"/>
      <c r="C469" s="5" t="n"/>
      <c r="D469" s="5" t="n"/>
      <c r="E469" s="19" t="n"/>
      <c r="F469" s="18" t="n"/>
      <c r="G469" s="18" t="n"/>
      <c r="H469" s="18" t="n"/>
      <c r="I469" s="20">
        <f>IF(OR(G469="",H469=""),"",H469-G469)</f>
        <v/>
      </c>
      <c r="J469" s="5" t="n"/>
    </row>
    <row r="470">
      <c r="A470" s="5" t="n"/>
      <c r="B470" s="5" t="n"/>
      <c r="C470" s="5" t="n"/>
      <c r="D470" s="5" t="n"/>
      <c r="E470" s="19" t="n"/>
      <c r="F470" s="18" t="n"/>
      <c r="G470" s="18" t="n"/>
      <c r="H470" s="18" t="n"/>
      <c r="I470" s="20">
        <f>IF(OR(G470="",H470=""),"",H470-G470)</f>
        <v/>
      </c>
      <c r="J470" s="5" t="n"/>
    </row>
    <row r="471">
      <c r="A471" s="5" t="n"/>
      <c r="B471" s="5" t="n"/>
      <c r="C471" s="5" t="n"/>
      <c r="D471" s="5" t="n"/>
      <c r="E471" s="19" t="n"/>
      <c r="F471" s="18" t="n"/>
      <c r="G471" s="18" t="n"/>
      <c r="H471" s="18" t="n"/>
      <c r="I471" s="20">
        <f>IF(OR(G471="",H471=""),"",H471-G471)</f>
        <v/>
      </c>
      <c r="J471" s="5" t="n"/>
    </row>
    <row r="472">
      <c r="A472" s="5" t="n"/>
      <c r="B472" s="5" t="n"/>
      <c r="C472" s="5" t="n"/>
      <c r="D472" s="5" t="n"/>
      <c r="E472" s="19" t="n"/>
      <c r="F472" s="18" t="n"/>
      <c r="G472" s="18" t="n"/>
      <c r="H472" s="18" t="n"/>
      <c r="I472" s="20">
        <f>IF(OR(G472="",H472=""),"",H472-G472)</f>
        <v/>
      </c>
      <c r="J472" s="5" t="n"/>
    </row>
    <row r="473">
      <c r="A473" s="5" t="n"/>
      <c r="B473" s="5" t="n"/>
      <c r="C473" s="5" t="n"/>
      <c r="D473" s="5" t="n"/>
      <c r="E473" s="19" t="n"/>
      <c r="F473" s="18" t="n"/>
      <c r="G473" s="18" t="n"/>
      <c r="H473" s="18" t="n"/>
      <c r="I473" s="20">
        <f>IF(OR(G473="",H473=""),"",H473-G473)</f>
        <v/>
      </c>
      <c r="J473" s="5" t="n"/>
    </row>
    <row r="474">
      <c r="A474" s="5" t="n"/>
      <c r="B474" s="5" t="n"/>
      <c r="C474" s="5" t="n"/>
      <c r="D474" s="5" t="n"/>
      <c r="E474" s="19" t="n"/>
      <c r="F474" s="18" t="n"/>
      <c r="G474" s="18" t="n"/>
      <c r="H474" s="18" t="n"/>
      <c r="I474" s="20">
        <f>IF(OR(G474="",H474=""),"",H474-G474)</f>
        <v/>
      </c>
      <c r="J474" s="5" t="n"/>
    </row>
    <row r="475">
      <c r="A475" s="5" t="n"/>
      <c r="B475" s="5" t="n"/>
      <c r="C475" s="5" t="n"/>
      <c r="D475" s="5" t="n"/>
      <c r="E475" s="19" t="n"/>
      <c r="F475" s="18" t="n"/>
      <c r="G475" s="18" t="n"/>
      <c r="H475" s="18" t="n"/>
      <c r="I475" s="20">
        <f>IF(OR(G475="",H475=""),"",H475-G475)</f>
        <v/>
      </c>
      <c r="J475" s="5" t="n"/>
    </row>
    <row r="476">
      <c r="A476" s="5" t="n"/>
      <c r="B476" s="5" t="n"/>
      <c r="C476" s="5" t="n"/>
      <c r="D476" s="5" t="n"/>
      <c r="E476" s="19" t="n"/>
      <c r="F476" s="18" t="n"/>
      <c r="G476" s="18" t="n"/>
      <c r="H476" s="18" t="n"/>
      <c r="I476" s="20">
        <f>IF(OR(G476="",H476=""),"",H476-G476)</f>
        <v/>
      </c>
      <c r="J476" s="5" t="n"/>
    </row>
    <row r="477">
      <c r="A477" s="5" t="n"/>
      <c r="B477" s="5" t="n"/>
      <c r="C477" s="5" t="n"/>
      <c r="D477" s="5" t="n"/>
      <c r="E477" s="19" t="n"/>
      <c r="F477" s="18" t="n"/>
      <c r="G477" s="18" t="n"/>
      <c r="H477" s="18" t="n"/>
      <c r="I477" s="20">
        <f>IF(OR(G477="",H477=""),"",H477-G477)</f>
        <v/>
      </c>
      <c r="J477" s="5" t="n"/>
    </row>
    <row r="478">
      <c r="A478" s="5" t="n"/>
      <c r="B478" s="5" t="n"/>
      <c r="C478" s="5" t="n"/>
      <c r="D478" s="5" t="n"/>
      <c r="E478" s="19" t="n"/>
      <c r="F478" s="18" t="n"/>
      <c r="G478" s="18" t="n"/>
      <c r="H478" s="18" t="n"/>
      <c r="I478" s="20">
        <f>IF(OR(G478="",H478=""),"",H478-G478)</f>
        <v/>
      </c>
      <c r="J478" s="5" t="n"/>
    </row>
    <row r="479">
      <c r="A479" s="5" t="n"/>
      <c r="B479" s="5" t="n"/>
      <c r="C479" s="5" t="n"/>
      <c r="D479" s="5" t="n"/>
      <c r="E479" s="19" t="n"/>
      <c r="F479" s="18" t="n"/>
      <c r="G479" s="18" t="n"/>
      <c r="H479" s="18" t="n"/>
      <c r="I479" s="20">
        <f>IF(OR(G479="",H479=""),"",H479-G479)</f>
        <v/>
      </c>
      <c r="J479" s="5" t="n"/>
    </row>
    <row r="480">
      <c r="A480" s="5" t="n"/>
      <c r="B480" s="5" t="n"/>
      <c r="C480" s="5" t="n"/>
      <c r="D480" s="5" t="n"/>
      <c r="E480" s="19" t="n"/>
      <c r="F480" s="18" t="n"/>
      <c r="G480" s="18" t="n"/>
      <c r="H480" s="18" t="n"/>
      <c r="I480" s="20">
        <f>IF(OR(G480="",H480=""),"",H480-G480)</f>
        <v/>
      </c>
      <c r="J480" s="5" t="n"/>
    </row>
    <row r="481">
      <c r="A481" s="5" t="n"/>
      <c r="B481" s="5" t="n"/>
      <c r="C481" s="5" t="n"/>
      <c r="D481" s="5" t="n"/>
      <c r="E481" s="19" t="n"/>
      <c r="F481" s="18" t="n"/>
      <c r="G481" s="18" t="n"/>
      <c r="H481" s="18" t="n"/>
      <c r="I481" s="20">
        <f>IF(OR(G481="",H481=""),"",H481-G481)</f>
        <v/>
      </c>
      <c r="J481" s="5" t="n"/>
    </row>
    <row r="482">
      <c r="A482" s="5" t="n"/>
      <c r="B482" s="5" t="n"/>
      <c r="C482" s="5" t="n"/>
      <c r="D482" s="5" t="n"/>
      <c r="E482" s="19" t="n"/>
      <c r="F482" s="18" t="n"/>
      <c r="G482" s="18" t="n"/>
      <c r="H482" s="18" t="n"/>
      <c r="I482" s="20">
        <f>IF(OR(G482="",H482=""),"",H482-G482)</f>
        <v/>
      </c>
      <c r="J482" s="5" t="n"/>
    </row>
    <row r="483">
      <c r="A483" s="5" t="n"/>
      <c r="B483" s="5" t="n"/>
      <c r="C483" s="5" t="n"/>
      <c r="D483" s="5" t="n"/>
      <c r="E483" s="19" t="n"/>
      <c r="F483" s="18" t="n"/>
      <c r="G483" s="18" t="n"/>
      <c r="H483" s="18" t="n"/>
      <c r="I483" s="20">
        <f>IF(OR(G483="",H483=""),"",H483-G483)</f>
        <v/>
      </c>
      <c r="J483" s="5" t="n"/>
    </row>
    <row r="484">
      <c r="A484" s="5" t="n"/>
      <c r="B484" s="5" t="n"/>
      <c r="C484" s="5" t="n"/>
      <c r="D484" s="5" t="n"/>
      <c r="E484" s="19" t="n"/>
      <c r="F484" s="18" t="n"/>
      <c r="G484" s="18" t="n"/>
      <c r="H484" s="18" t="n"/>
      <c r="I484" s="20">
        <f>IF(OR(G484="",H484=""),"",H484-G484)</f>
        <v/>
      </c>
      <c r="J484" s="5" t="n"/>
    </row>
    <row r="485">
      <c r="A485" s="5" t="n"/>
      <c r="B485" s="5" t="n"/>
      <c r="C485" s="5" t="n"/>
      <c r="D485" s="5" t="n"/>
      <c r="E485" s="19" t="n"/>
      <c r="F485" s="18" t="n"/>
      <c r="G485" s="18" t="n"/>
      <c r="H485" s="18" t="n"/>
      <c r="I485" s="20">
        <f>IF(OR(G485="",H485=""),"",H485-G485)</f>
        <v/>
      </c>
      <c r="J485" s="5" t="n"/>
    </row>
    <row r="486">
      <c r="A486" s="5" t="n"/>
      <c r="B486" s="5" t="n"/>
      <c r="C486" s="5" t="n"/>
      <c r="D486" s="5" t="n"/>
      <c r="E486" s="19" t="n"/>
      <c r="F486" s="18" t="n"/>
      <c r="G486" s="18" t="n"/>
      <c r="H486" s="18" t="n"/>
      <c r="I486" s="20">
        <f>IF(OR(G486="",H486=""),"",H486-G486)</f>
        <v/>
      </c>
      <c r="J486" s="5" t="n"/>
    </row>
    <row r="487">
      <c r="A487" s="5" t="n"/>
      <c r="B487" s="5" t="n"/>
      <c r="C487" s="5" t="n"/>
      <c r="D487" s="5" t="n"/>
      <c r="E487" s="19" t="n"/>
      <c r="F487" s="18" t="n"/>
      <c r="G487" s="18" t="n"/>
      <c r="H487" s="18" t="n"/>
      <c r="I487" s="20">
        <f>IF(OR(G487="",H487=""),"",H487-G487)</f>
        <v/>
      </c>
      <c r="J487" s="5" t="n"/>
    </row>
    <row r="488">
      <c r="A488" s="5" t="n"/>
      <c r="B488" s="5" t="n"/>
      <c r="C488" s="5" t="n"/>
      <c r="D488" s="5" t="n"/>
      <c r="E488" s="19" t="n"/>
      <c r="F488" s="18" t="n"/>
      <c r="G488" s="18" t="n"/>
      <c r="H488" s="18" t="n"/>
      <c r="I488" s="20">
        <f>IF(OR(G488="",H488=""),"",H488-G488)</f>
        <v/>
      </c>
      <c r="J488" s="5" t="n"/>
    </row>
    <row r="489">
      <c r="A489" s="5" t="n"/>
      <c r="B489" s="5" t="n"/>
      <c r="C489" s="5" t="n"/>
      <c r="D489" s="5" t="n"/>
      <c r="E489" s="19" t="n"/>
      <c r="F489" s="18" t="n"/>
      <c r="G489" s="18" t="n"/>
      <c r="H489" s="18" t="n"/>
      <c r="I489" s="20">
        <f>IF(OR(G489="",H489=""),"",H489-G489)</f>
        <v/>
      </c>
      <c r="J489" s="5" t="n"/>
    </row>
    <row r="490">
      <c r="A490" s="5" t="n"/>
      <c r="B490" s="5" t="n"/>
      <c r="C490" s="5" t="n"/>
      <c r="D490" s="5" t="n"/>
      <c r="E490" s="19" t="n"/>
      <c r="F490" s="18" t="n"/>
      <c r="G490" s="18" t="n"/>
      <c r="H490" s="18" t="n"/>
      <c r="I490" s="20">
        <f>IF(OR(G490="",H490=""),"",H490-G490)</f>
        <v/>
      </c>
      <c r="J490" s="5" t="n"/>
    </row>
    <row r="491">
      <c r="A491" s="5" t="n"/>
      <c r="B491" s="5" t="n"/>
      <c r="C491" s="5" t="n"/>
      <c r="D491" s="5" t="n"/>
      <c r="E491" s="19" t="n"/>
      <c r="F491" s="18" t="n"/>
      <c r="G491" s="18" t="n"/>
      <c r="H491" s="18" t="n"/>
      <c r="I491" s="20">
        <f>IF(OR(G491="",H491=""),"",H491-G491)</f>
        <v/>
      </c>
      <c r="J491" s="5" t="n"/>
    </row>
    <row r="492">
      <c r="A492" s="5" t="n"/>
      <c r="B492" s="5" t="n"/>
      <c r="C492" s="5" t="n"/>
      <c r="D492" s="5" t="n"/>
      <c r="E492" s="19" t="n"/>
      <c r="F492" s="18" t="n"/>
      <c r="G492" s="18" t="n"/>
      <c r="H492" s="18" t="n"/>
      <c r="I492" s="20">
        <f>IF(OR(G492="",H492=""),"",H492-G492)</f>
        <v/>
      </c>
      <c r="J492" s="5" t="n"/>
    </row>
    <row r="493">
      <c r="A493" s="5" t="n"/>
      <c r="B493" s="5" t="n"/>
      <c r="C493" s="5" t="n"/>
      <c r="D493" s="5" t="n"/>
      <c r="E493" s="19" t="n"/>
      <c r="F493" s="18" t="n"/>
      <c r="G493" s="18" t="n"/>
      <c r="H493" s="18" t="n"/>
      <c r="I493" s="20">
        <f>IF(OR(G493="",H493=""),"",H493-G493)</f>
        <v/>
      </c>
      <c r="J493" s="5" t="n"/>
    </row>
    <row r="494">
      <c r="A494" s="5" t="n"/>
      <c r="B494" s="5" t="n"/>
      <c r="C494" s="5" t="n"/>
      <c r="D494" s="5" t="n"/>
      <c r="E494" s="19" t="n"/>
      <c r="F494" s="18" t="n"/>
      <c r="G494" s="18" t="n"/>
      <c r="H494" s="18" t="n"/>
      <c r="I494" s="20">
        <f>IF(OR(G494="",H494=""),"",H494-G494)</f>
        <v/>
      </c>
      <c r="J494" s="5" t="n"/>
    </row>
    <row r="495">
      <c r="A495" s="5" t="n"/>
      <c r="B495" s="5" t="n"/>
      <c r="C495" s="5" t="n"/>
      <c r="D495" s="5" t="n"/>
      <c r="E495" s="19" t="n"/>
      <c r="F495" s="18" t="n"/>
      <c r="G495" s="18" t="n"/>
      <c r="H495" s="18" t="n"/>
      <c r="I495" s="20">
        <f>IF(OR(G495="",H495=""),"",H495-G495)</f>
        <v/>
      </c>
      <c r="J495" s="5" t="n"/>
    </row>
    <row r="496">
      <c r="A496" s="5" t="n"/>
      <c r="B496" s="5" t="n"/>
      <c r="C496" s="5" t="n"/>
      <c r="D496" s="5" t="n"/>
      <c r="E496" s="19" t="n"/>
      <c r="F496" s="18" t="n"/>
      <c r="G496" s="18" t="n"/>
      <c r="H496" s="18" t="n"/>
      <c r="I496" s="20">
        <f>IF(OR(G496="",H496=""),"",H496-G496)</f>
        <v/>
      </c>
      <c r="J496" s="5" t="n"/>
    </row>
    <row r="497">
      <c r="A497" s="5" t="n"/>
      <c r="B497" s="5" t="n"/>
      <c r="C497" s="5" t="n"/>
      <c r="D497" s="5" t="n"/>
      <c r="E497" s="19" t="n"/>
      <c r="F497" s="18" t="n"/>
      <c r="G497" s="18" t="n"/>
      <c r="H497" s="18" t="n"/>
      <c r="I497" s="20">
        <f>IF(OR(G497="",H497=""),"",H497-G497)</f>
        <v/>
      </c>
      <c r="J497" s="5" t="n"/>
    </row>
    <row r="498">
      <c r="A498" s="5" t="n"/>
      <c r="B498" s="5" t="n"/>
      <c r="C498" s="5" t="n"/>
      <c r="D498" s="5" t="n"/>
      <c r="E498" s="19" t="n"/>
      <c r="F498" s="18" t="n"/>
      <c r="G498" s="18" t="n"/>
      <c r="H498" s="18" t="n"/>
      <c r="I498" s="20">
        <f>IF(OR(G498="",H498=""),"",H498-G498)</f>
        <v/>
      </c>
      <c r="J498" s="5" t="n"/>
    </row>
    <row r="499">
      <c r="A499" s="5" t="n"/>
      <c r="B499" s="5" t="n"/>
      <c r="C499" s="5" t="n"/>
      <c r="D499" s="5" t="n"/>
      <c r="E499" s="19" t="n"/>
      <c r="F499" s="18" t="n"/>
      <c r="G499" s="18" t="n"/>
      <c r="H499" s="18" t="n"/>
      <c r="I499" s="20">
        <f>IF(OR(G499="",H499=""),"",H499-G499)</f>
        <v/>
      </c>
      <c r="J499" s="5" t="n"/>
    </row>
    <row r="500">
      <c r="A500" s="5" t="n"/>
      <c r="B500" s="5" t="n"/>
      <c r="C500" s="5" t="n"/>
      <c r="D500" s="5" t="n"/>
      <c r="E500" s="19" t="n"/>
      <c r="F500" s="18" t="n"/>
      <c r="G500" s="18" t="n"/>
      <c r="H500" s="18" t="n"/>
      <c r="I500" s="20">
        <f>IF(OR(G500="",H500=""),"",H500-G500)</f>
        <v/>
      </c>
      <c r="J500" s="5" t="n"/>
    </row>
    <row r="501">
      <c r="A501" s="5" t="n"/>
      <c r="B501" s="5" t="n"/>
      <c r="C501" s="5" t="n"/>
      <c r="D501" s="5" t="n"/>
      <c r="E501" s="19" t="n"/>
      <c r="F501" s="18" t="n"/>
      <c r="G501" s="18" t="n"/>
      <c r="H501" s="18" t="n"/>
      <c r="I501" s="20">
        <f>IF(OR(G501="",H501=""),"",H501-G501)</f>
        <v/>
      </c>
      <c r="J501" s="5" t="n"/>
    </row>
    <row r="502">
      <c r="A502" s="5" t="n"/>
      <c r="B502" s="5" t="n"/>
      <c r="C502" s="5" t="n"/>
      <c r="D502" s="5" t="n"/>
      <c r="E502" s="19" t="n"/>
      <c r="F502" s="18" t="n"/>
      <c r="G502" s="18" t="n"/>
      <c r="H502" s="18" t="n"/>
      <c r="I502" s="20">
        <f>IF(OR(G502="",H502=""),"",H502-G502)</f>
        <v/>
      </c>
      <c r="J502" s="5" t="n"/>
    </row>
    <row r="503">
      <c r="A503" s="5" t="n"/>
      <c r="B503" s="5" t="n"/>
      <c r="C503" s="5" t="n"/>
      <c r="D503" s="5" t="n"/>
      <c r="E503" s="19" t="n"/>
      <c r="F503" s="18" t="n"/>
      <c r="G503" s="18" t="n"/>
      <c r="H503" s="18" t="n"/>
      <c r="I503" s="20">
        <f>IF(OR(G503="",H503=""),"",H503-G503)</f>
        <v/>
      </c>
      <c r="J503" s="5" t="n"/>
    </row>
    <row r="504">
      <c r="A504" s="5" t="n"/>
      <c r="B504" s="5" t="n"/>
      <c r="C504" s="5" t="n"/>
      <c r="D504" s="5" t="n"/>
      <c r="E504" s="19" t="n"/>
      <c r="F504" s="18" t="n"/>
      <c r="G504" s="18" t="n"/>
      <c r="H504" s="18" t="n"/>
      <c r="I504" s="20">
        <f>IF(OR(G504="",H504=""),"",H504-G504)</f>
        <v/>
      </c>
      <c r="J504" s="5" t="n"/>
    </row>
  </sheetData>
  <autoFilter ref="A4:J50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20" customWidth="1" min="4" max="4"/>
    <col width="14" customWidth="1" min="5" max="5"/>
  </cols>
  <sheetData>
    <row r="1" ht="28" customHeight="1">
      <c r="A1" s="1" t="inlineStr">
        <is>
          <t>TEKLİF ÖNCESİ YAPILACAKLAR</t>
        </is>
      </c>
    </row>
    <row r="2" ht="30" customHeight="1">
      <c r="A2" s="2" t="inlineStr">
        <is>
          <t>Teklif verilmeden tamamlanacak işler.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İş</t>
        </is>
      </c>
      <c r="C4" s="17" t="inlineStr">
        <is>
          <t>Son Tarih</t>
        </is>
      </c>
      <c r="D4" s="17" t="inlineStr">
        <is>
          <t>Sorumlu</t>
        </is>
      </c>
      <c r="E4" s="17" t="inlineStr">
        <is>
          <t>Durum</t>
        </is>
      </c>
    </row>
    <row r="5">
      <c r="A5" s="5" t="n"/>
      <c r="B5" s="5" t="n"/>
      <c r="C5" s="25" t="n"/>
      <c r="D5" s="5" t="n"/>
      <c r="E5" s="5" t="n"/>
    </row>
    <row r="6">
      <c r="A6" s="5" t="n"/>
      <c r="B6" s="5" t="n"/>
      <c r="C6" s="25" t="n"/>
      <c r="D6" s="5" t="n"/>
      <c r="E6" s="5" t="n"/>
    </row>
    <row r="7">
      <c r="A7" s="5" t="n"/>
      <c r="B7" s="5" t="n"/>
      <c r="C7" s="25" t="n"/>
      <c r="D7" s="5" t="n"/>
      <c r="E7" s="5" t="n"/>
    </row>
    <row r="8">
      <c r="A8" s="5" t="n"/>
      <c r="B8" s="5" t="n"/>
      <c r="C8" s="25" t="n"/>
      <c r="D8" s="5" t="n"/>
      <c r="E8" s="5" t="n"/>
    </row>
    <row r="9">
      <c r="A9" s="5" t="n"/>
      <c r="B9" s="5" t="n"/>
      <c r="C9" s="25" t="n"/>
      <c r="D9" s="5" t="n"/>
      <c r="E9" s="5" t="n"/>
    </row>
    <row r="10">
      <c r="A10" s="5" t="n"/>
      <c r="B10" s="5" t="n"/>
      <c r="C10" s="25" t="n"/>
      <c r="D10" s="5" t="n"/>
      <c r="E10" s="5" t="n"/>
    </row>
    <row r="11">
      <c r="A11" s="5" t="n"/>
      <c r="B11" s="5" t="n"/>
      <c r="C11" s="25" t="n"/>
      <c r="D11" s="5" t="n"/>
      <c r="E11" s="5" t="n"/>
    </row>
    <row r="12">
      <c r="A12" s="5" t="n"/>
      <c r="B12" s="5" t="n"/>
      <c r="C12" s="25" t="n"/>
      <c r="D12" s="5" t="n"/>
      <c r="E12" s="5" t="n"/>
    </row>
    <row r="13">
      <c r="A13" s="5" t="n"/>
      <c r="B13" s="5" t="n"/>
      <c r="C13" s="25" t="n"/>
      <c r="D13" s="5" t="n"/>
      <c r="E13" s="5" t="n"/>
    </row>
    <row r="14">
      <c r="A14" s="5" t="n"/>
      <c r="B14" s="5" t="n"/>
      <c r="C14" s="25" t="n"/>
      <c r="D14" s="5" t="n"/>
      <c r="E14" s="5" t="n"/>
    </row>
    <row r="15">
      <c r="A15" s="5" t="n"/>
      <c r="B15" s="5" t="n"/>
      <c r="C15" s="25" t="n"/>
      <c r="D15" s="5" t="n"/>
      <c r="E15" s="5" t="n"/>
    </row>
    <row r="16">
      <c r="A16" s="5" t="n"/>
      <c r="B16" s="5" t="n"/>
      <c r="C16" s="25" t="n"/>
      <c r="D16" s="5" t="n"/>
      <c r="E16" s="5" t="n"/>
    </row>
    <row r="17">
      <c r="A17" s="5" t="n"/>
      <c r="B17" s="5" t="n"/>
      <c r="C17" s="25" t="n"/>
      <c r="D17" s="5" t="n"/>
      <c r="E17" s="5" t="n"/>
    </row>
    <row r="18">
      <c r="A18" s="5" t="n"/>
      <c r="B18" s="5" t="n"/>
      <c r="C18" s="25" t="n"/>
      <c r="D18" s="5" t="n"/>
      <c r="E18" s="5" t="n"/>
    </row>
    <row r="19">
      <c r="A19" s="5" t="n"/>
      <c r="B19" s="5" t="n"/>
      <c r="C19" s="25" t="n"/>
      <c r="D19" s="5" t="n"/>
      <c r="E19" s="5" t="n"/>
    </row>
    <row r="20">
      <c r="A20" s="5" t="n"/>
      <c r="B20" s="5" t="n"/>
      <c r="C20" s="25" t="n"/>
      <c r="D20" s="5" t="n"/>
      <c r="E20" s="5" t="n"/>
    </row>
    <row r="21">
      <c r="A21" s="5" t="n"/>
      <c r="B21" s="5" t="n"/>
      <c r="C21" s="25" t="n"/>
      <c r="D21" s="5" t="n"/>
      <c r="E21" s="5" t="n"/>
    </row>
    <row r="22">
      <c r="A22" s="5" t="n"/>
      <c r="B22" s="5" t="n"/>
      <c r="C22" s="25" t="n"/>
      <c r="D22" s="5" t="n"/>
      <c r="E22" s="5" t="n"/>
    </row>
    <row r="23">
      <c r="A23" s="5" t="n"/>
      <c r="B23" s="5" t="n"/>
      <c r="C23" s="25" t="n"/>
      <c r="D23" s="5" t="n"/>
      <c r="E23" s="5" t="n"/>
    </row>
    <row r="24">
      <c r="A24" s="5" t="n"/>
      <c r="B24" s="5" t="n"/>
      <c r="C24" s="25" t="n"/>
      <c r="D24" s="5" t="n"/>
      <c r="E24" s="5" t="n"/>
    </row>
    <row r="25">
      <c r="A25" s="5" t="n"/>
      <c r="B25" s="5" t="n"/>
      <c r="C25" s="25" t="n"/>
      <c r="D25" s="5" t="n"/>
      <c r="E25" s="5" t="n"/>
    </row>
    <row r="26">
      <c r="A26" s="5" t="n"/>
      <c r="B26" s="5" t="n"/>
      <c r="C26" s="25" t="n"/>
      <c r="D26" s="5" t="n"/>
      <c r="E26" s="5" t="n"/>
    </row>
    <row r="27">
      <c r="A27" s="5" t="n"/>
      <c r="B27" s="5" t="n"/>
      <c r="C27" s="25" t="n"/>
      <c r="D27" s="5" t="n"/>
      <c r="E27" s="5" t="n"/>
    </row>
    <row r="28">
      <c r="A28" s="5" t="n"/>
      <c r="B28" s="5" t="n"/>
      <c r="C28" s="25" t="n"/>
      <c r="D28" s="5" t="n"/>
      <c r="E28" s="5" t="n"/>
    </row>
    <row r="29">
      <c r="A29" s="5" t="n"/>
      <c r="B29" s="5" t="n"/>
      <c r="C29" s="25" t="n"/>
      <c r="D29" s="5" t="n"/>
      <c r="E29" s="5" t="n"/>
    </row>
    <row r="30">
      <c r="A30" s="5" t="n"/>
      <c r="B30" s="5" t="n"/>
      <c r="C30" s="25" t="n"/>
      <c r="D30" s="5" t="n"/>
      <c r="E30" s="5" t="n"/>
    </row>
    <row r="31">
      <c r="A31" s="5" t="n"/>
      <c r="B31" s="5" t="n"/>
      <c r="C31" s="25" t="n"/>
      <c r="D31" s="5" t="n"/>
      <c r="E31" s="5" t="n"/>
    </row>
    <row r="32">
      <c r="A32" s="5" t="n"/>
      <c r="B32" s="5" t="n"/>
      <c r="C32" s="25" t="n"/>
      <c r="D32" s="5" t="n"/>
      <c r="E32" s="5" t="n"/>
    </row>
    <row r="33">
      <c r="A33" s="5" t="n"/>
      <c r="B33" s="5" t="n"/>
      <c r="C33" s="25" t="n"/>
      <c r="D33" s="5" t="n"/>
      <c r="E33" s="5" t="n"/>
    </row>
    <row r="34">
      <c r="A34" s="5" t="n"/>
      <c r="B34" s="5" t="n"/>
      <c r="C34" s="25" t="n"/>
      <c r="D34" s="5" t="n"/>
      <c r="E34" s="5" t="n"/>
    </row>
    <row r="35">
      <c r="A35" s="5" t="n"/>
      <c r="B35" s="5" t="n"/>
      <c r="C35" s="25" t="n"/>
      <c r="D35" s="5" t="n"/>
      <c r="E35" s="5" t="n"/>
    </row>
    <row r="36">
      <c r="A36" s="5" t="n"/>
      <c r="B36" s="5" t="n"/>
      <c r="C36" s="25" t="n"/>
      <c r="D36" s="5" t="n"/>
      <c r="E36" s="5" t="n"/>
    </row>
    <row r="37">
      <c r="A37" s="5" t="n"/>
      <c r="B37" s="5" t="n"/>
      <c r="C37" s="25" t="n"/>
      <c r="D37" s="5" t="n"/>
      <c r="E37" s="5" t="n"/>
    </row>
    <row r="38">
      <c r="A38" s="5" t="n"/>
      <c r="B38" s="5" t="n"/>
      <c r="C38" s="25" t="n"/>
      <c r="D38" s="5" t="n"/>
      <c r="E38" s="5" t="n"/>
    </row>
    <row r="39">
      <c r="A39" s="5" t="n"/>
      <c r="B39" s="5" t="n"/>
      <c r="C39" s="25" t="n"/>
      <c r="D39" s="5" t="n"/>
      <c r="E39" s="5" t="n"/>
    </row>
    <row r="40">
      <c r="A40" s="5" t="n"/>
      <c r="B40" s="5" t="n"/>
      <c r="C40" s="25" t="n"/>
      <c r="D40" s="5" t="n"/>
      <c r="E40" s="5" t="n"/>
    </row>
    <row r="41">
      <c r="A41" s="5" t="n"/>
      <c r="B41" s="5" t="n"/>
      <c r="C41" s="25" t="n"/>
      <c r="D41" s="5" t="n"/>
      <c r="E41" s="5" t="n"/>
    </row>
    <row r="42">
      <c r="A42" s="5" t="n"/>
      <c r="B42" s="5" t="n"/>
      <c r="C42" s="25" t="n"/>
      <c r="D42" s="5" t="n"/>
      <c r="E42" s="5" t="n"/>
    </row>
    <row r="43">
      <c r="A43" s="5" t="n"/>
      <c r="B43" s="5" t="n"/>
      <c r="C43" s="25" t="n"/>
      <c r="D43" s="5" t="n"/>
      <c r="E43" s="5" t="n"/>
    </row>
    <row r="44">
      <c r="A44" s="5" t="n"/>
      <c r="B44" s="5" t="n"/>
      <c r="C44" s="25" t="n"/>
      <c r="D44" s="5" t="n"/>
      <c r="E44" s="5" t="n"/>
    </row>
    <row r="45">
      <c r="A45" s="5" t="n"/>
      <c r="B45" s="5" t="n"/>
      <c r="C45" s="25" t="n"/>
      <c r="D45" s="5" t="n"/>
      <c r="E45" s="5" t="n"/>
    </row>
    <row r="46">
      <c r="A46" s="5" t="n"/>
      <c r="B46" s="5" t="n"/>
      <c r="C46" s="25" t="n"/>
      <c r="D46" s="5" t="n"/>
      <c r="E46" s="5" t="n"/>
    </row>
    <row r="47">
      <c r="A47" s="5" t="n"/>
      <c r="B47" s="5" t="n"/>
      <c r="C47" s="25" t="n"/>
      <c r="D47" s="5" t="n"/>
      <c r="E47" s="5" t="n"/>
    </row>
    <row r="48">
      <c r="A48" s="5" t="n"/>
      <c r="B48" s="5" t="n"/>
      <c r="C48" s="25" t="n"/>
      <c r="D48" s="5" t="n"/>
      <c r="E48" s="5" t="n"/>
    </row>
    <row r="49">
      <c r="A49" s="5" t="n"/>
      <c r="B49" s="5" t="n"/>
      <c r="C49" s="25" t="n"/>
      <c r="D49" s="5" t="n"/>
      <c r="E49" s="5" t="n"/>
    </row>
    <row r="50">
      <c r="A50" s="5" t="n"/>
      <c r="B50" s="5" t="n"/>
      <c r="C50" s="25" t="n"/>
      <c r="D50" s="5" t="n"/>
      <c r="E50" s="5" t="n"/>
    </row>
    <row r="51">
      <c r="A51" s="5" t="n"/>
      <c r="B51" s="5" t="n"/>
      <c r="C51" s="25" t="n"/>
      <c r="D51" s="5" t="n"/>
      <c r="E51" s="5" t="n"/>
    </row>
    <row r="52">
      <c r="A52" s="5" t="n"/>
      <c r="B52" s="5" t="n"/>
      <c r="C52" s="25" t="n"/>
      <c r="D52" s="5" t="n"/>
      <c r="E52" s="5" t="n"/>
    </row>
    <row r="53">
      <c r="A53" s="5" t="n"/>
      <c r="B53" s="5" t="n"/>
      <c r="C53" s="25" t="n"/>
      <c r="D53" s="5" t="n"/>
      <c r="E53" s="5" t="n"/>
    </row>
    <row r="54">
      <c r="A54" s="5" t="n"/>
      <c r="B54" s="5" t="n"/>
      <c r="C54" s="25" t="n"/>
      <c r="D54" s="5" t="n"/>
      <c r="E54" s="5" t="n"/>
    </row>
    <row r="55">
      <c r="A55" s="5" t="n"/>
      <c r="B55" s="5" t="n"/>
      <c r="C55" s="25" t="n"/>
      <c r="D55" s="5" t="n"/>
      <c r="E55" s="5" t="n"/>
    </row>
    <row r="56">
      <c r="A56" s="5" t="n"/>
      <c r="B56" s="5" t="n"/>
      <c r="C56" s="25" t="n"/>
      <c r="D56" s="5" t="n"/>
      <c r="E56" s="5" t="n"/>
    </row>
    <row r="57">
      <c r="A57" s="5" t="n"/>
      <c r="B57" s="5" t="n"/>
      <c r="C57" s="25" t="n"/>
      <c r="D57" s="5" t="n"/>
      <c r="E57" s="5" t="n"/>
    </row>
    <row r="58">
      <c r="A58" s="5" t="n"/>
      <c r="B58" s="5" t="n"/>
      <c r="C58" s="25" t="n"/>
      <c r="D58" s="5" t="n"/>
      <c r="E58" s="5" t="n"/>
    </row>
    <row r="59">
      <c r="A59" s="5" t="n"/>
      <c r="B59" s="5" t="n"/>
      <c r="C59" s="25" t="n"/>
      <c r="D59" s="5" t="n"/>
      <c r="E59" s="5" t="n"/>
    </row>
    <row r="60">
      <c r="A60" s="5" t="n"/>
      <c r="B60" s="5" t="n"/>
      <c r="C60" s="25" t="n"/>
      <c r="D60" s="5" t="n"/>
      <c r="E60" s="5" t="n"/>
    </row>
    <row r="61">
      <c r="A61" s="5" t="n"/>
      <c r="B61" s="5" t="n"/>
      <c r="C61" s="25" t="n"/>
      <c r="D61" s="5" t="n"/>
      <c r="E61" s="5" t="n"/>
    </row>
    <row r="62">
      <c r="A62" s="5" t="n"/>
      <c r="B62" s="5" t="n"/>
      <c r="C62" s="25" t="n"/>
      <c r="D62" s="5" t="n"/>
      <c r="E62" s="5" t="n"/>
    </row>
    <row r="63">
      <c r="A63" s="5" t="n"/>
      <c r="B63" s="5" t="n"/>
      <c r="C63" s="25" t="n"/>
      <c r="D63" s="5" t="n"/>
      <c r="E63" s="5" t="n"/>
    </row>
    <row r="64">
      <c r="A64" s="5" t="n"/>
      <c r="B64" s="5" t="n"/>
      <c r="C64" s="25" t="n"/>
      <c r="D64" s="5" t="n"/>
      <c r="E64" s="5" t="n"/>
    </row>
    <row r="65">
      <c r="A65" s="5" t="n"/>
      <c r="B65" s="5" t="n"/>
      <c r="C65" s="25" t="n"/>
      <c r="D65" s="5" t="n"/>
      <c r="E65" s="5" t="n"/>
    </row>
    <row r="66">
      <c r="A66" s="5" t="n"/>
      <c r="B66" s="5" t="n"/>
      <c r="C66" s="25" t="n"/>
      <c r="D66" s="5" t="n"/>
      <c r="E66" s="5" t="n"/>
    </row>
    <row r="67">
      <c r="A67" s="5" t="n"/>
      <c r="B67" s="5" t="n"/>
      <c r="C67" s="25" t="n"/>
      <c r="D67" s="5" t="n"/>
      <c r="E67" s="5" t="n"/>
    </row>
    <row r="68">
      <c r="A68" s="5" t="n"/>
      <c r="B68" s="5" t="n"/>
      <c r="C68" s="25" t="n"/>
      <c r="D68" s="5" t="n"/>
      <c r="E68" s="5" t="n"/>
    </row>
    <row r="69">
      <c r="A69" s="5" t="n"/>
      <c r="B69" s="5" t="n"/>
      <c r="C69" s="25" t="n"/>
      <c r="D69" s="5" t="n"/>
      <c r="E69" s="5" t="n"/>
    </row>
    <row r="70">
      <c r="A70" s="5" t="n"/>
      <c r="B70" s="5" t="n"/>
      <c r="C70" s="25" t="n"/>
      <c r="D70" s="5" t="n"/>
      <c r="E70" s="5" t="n"/>
    </row>
    <row r="71">
      <c r="A71" s="5" t="n"/>
      <c r="B71" s="5" t="n"/>
      <c r="C71" s="25" t="n"/>
      <c r="D71" s="5" t="n"/>
      <c r="E71" s="5" t="n"/>
    </row>
    <row r="72">
      <c r="A72" s="5" t="n"/>
      <c r="B72" s="5" t="n"/>
      <c r="C72" s="25" t="n"/>
      <c r="D72" s="5" t="n"/>
      <c r="E72" s="5" t="n"/>
    </row>
    <row r="73">
      <c r="A73" s="5" t="n"/>
      <c r="B73" s="5" t="n"/>
      <c r="C73" s="25" t="n"/>
      <c r="D73" s="5" t="n"/>
      <c r="E73" s="5" t="n"/>
    </row>
    <row r="74">
      <c r="A74" s="5" t="n"/>
      <c r="B74" s="5" t="n"/>
      <c r="C74" s="25" t="n"/>
      <c r="D74" s="5" t="n"/>
      <c r="E74" s="5" t="n"/>
    </row>
    <row r="75">
      <c r="A75" s="5" t="n"/>
      <c r="B75" s="5" t="n"/>
      <c r="C75" s="25" t="n"/>
      <c r="D75" s="5" t="n"/>
      <c r="E75" s="5" t="n"/>
    </row>
    <row r="76">
      <c r="A76" s="5" t="n"/>
      <c r="B76" s="5" t="n"/>
      <c r="C76" s="25" t="n"/>
      <c r="D76" s="5" t="n"/>
      <c r="E76" s="5" t="n"/>
    </row>
    <row r="77">
      <c r="A77" s="5" t="n"/>
      <c r="B77" s="5" t="n"/>
      <c r="C77" s="25" t="n"/>
      <c r="D77" s="5" t="n"/>
      <c r="E77" s="5" t="n"/>
    </row>
    <row r="78">
      <c r="A78" s="5" t="n"/>
      <c r="B78" s="5" t="n"/>
      <c r="C78" s="25" t="n"/>
      <c r="D78" s="5" t="n"/>
      <c r="E78" s="5" t="n"/>
    </row>
    <row r="79">
      <c r="A79" s="5" t="n"/>
      <c r="B79" s="5" t="n"/>
      <c r="C79" s="25" t="n"/>
      <c r="D79" s="5" t="n"/>
      <c r="E79" s="5" t="n"/>
    </row>
    <row r="80">
      <c r="A80" s="5" t="n"/>
      <c r="B80" s="5" t="n"/>
      <c r="C80" s="25" t="n"/>
      <c r="D80" s="5" t="n"/>
      <c r="E80" s="5" t="n"/>
    </row>
    <row r="81">
      <c r="A81" s="5" t="n"/>
      <c r="B81" s="5" t="n"/>
      <c r="C81" s="25" t="n"/>
      <c r="D81" s="5" t="n"/>
      <c r="E81" s="5" t="n"/>
    </row>
    <row r="82">
      <c r="A82" s="5" t="n"/>
      <c r="B82" s="5" t="n"/>
      <c r="C82" s="25" t="n"/>
      <c r="D82" s="5" t="n"/>
      <c r="E82" s="5" t="n"/>
    </row>
    <row r="83">
      <c r="A83" s="5" t="n"/>
      <c r="B83" s="5" t="n"/>
      <c r="C83" s="25" t="n"/>
      <c r="D83" s="5" t="n"/>
      <c r="E83" s="5" t="n"/>
    </row>
    <row r="84">
      <c r="A84" s="5" t="n"/>
      <c r="B84" s="5" t="n"/>
      <c r="C84" s="25" t="n"/>
      <c r="D84" s="5" t="n"/>
      <c r="E84" s="5" t="n"/>
    </row>
    <row r="85">
      <c r="A85" s="5" t="n"/>
      <c r="B85" s="5" t="n"/>
      <c r="C85" s="25" t="n"/>
      <c r="D85" s="5" t="n"/>
      <c r="E85" s="5" t="n"/>
    </row>
    <row r="86">
      <c r="A86" s="5" t="n"/>
      <c r="B86" s="5" t="n"/>
      <c r="C86" s="25" t="n"/>
      <c r="D86" s="5" t="n"/>
      <c r="E86" s="5" t="n"/>
    </row>
    <row r="87">
      <c r="A87" s="5" t="n"/>
      <c r="B87" s="5" t="n"/>
      <c r="C87" s="25" t="n"/>
      <c r="D87" s="5" t="n"/>
      <c r="E87" s="5" t="n"/>
    </row>
    <row r="88">
      <c r="A88" s="5" t="n"/>
      <c r="B88" s="5" t="n"/>
      <c r="C88" s="25" t="n"/>
      <c r="D88" s="5" t="n"/>
      <c r="E88" s="5" t="n"/>
    </row>
    <row r="89">
      <c r="A89" s="5" t="n"/>
      <c r="B89" s="5" t="n"/>
      <c r="C89" s="25" t="n"/>
      <c r="D89" s="5" t="n"/>
      <c r="E89" s="5" t="n"/>
    </row>
    <row r="90">
      <c r="A90" s="5" t="n"/>
      <c r="B90" s="5" t="n"/>
      <c r="C90" s="25" t="n"/>
      <c r="D90" s="5" t="n"/>
      <c r="E90" s="5" t="n"/>
    </row>
    <row r="91">
      <c r="A91" s="5" t="n"/>
      <c r="B91" s="5" t="n"/>
      <c r="C91" s="25" t="n"/>
      <c r="D91" s="5" t="n"/>
      <c r="E91" s="5" t="n"/>
    </row>
    <row r="92">
      <c r="A92" s="5" t="n"/>
      <c r="B92" s="5" t="n"/>
      <c r="C92" s="25" t="n"/>
      <c r="D92" s="5" t="n"/>
      <c r="E92" s="5" t="n"/>
    </row>
    <row r="93">
      <c r="A93" s="5" t="n"/>
      <c r="B93" s="5" t="n"/>
      <c r="C93" s="25" t="n"/>
      <c r="D93" s="5" t="n"/>
      <c r="E93" s="5" t="n"/>
    </row>
    <row r="94">
      <c r="A94" s="5" t="n"/>
      <c r="B94" s="5" t="n"/>
      <c r="C94" s="25" t="n"/>
      <c r="D94" s="5" t="n"/>
      <c r="E94" s="5" t="n"/>
    </row>
    <row r="95">
      <c r="A95" s="5" t="n"/>
      <c r="B95" s="5" t="n"/>
      <c r="C95" s="25" t="n"/>
      <c r="D95" s="5" t="n"/>
      <c r="E95" s="5" t="n"/>
    </row>
    <row r="96">
      <c r="A96" s="5" t="n"/>
      <c r="B96" s="5" t="n"/>
      <c r="C96" s="25" t="n"/>
      <c r="D96" s="5" t="n"/>
      <c r="E96" s="5" t="n"/>
    </row>
    <row r="97">
      <c r="A97" s="5" t="n"/>
      <c r="B97" s="5" t="n"/>
      <c r="C97" s="25" t="n"/>
      <c r="D97" s="5" t="n"/>
      <c r="E97" s="5" t="n"/>
    </row>
    <row r="98">
      <c r="A98" s="5" t="n"/>
      <c r="B98" s="5" t="n"/>
      <c r="C98" s="25" t="n"/>
      <c r="D98" s="5" t="n"/>
      <c r="E98" s="5" t="n"/>
    </row>
    <row r="99">
      <c r="A99" s="5" t="n"/>
      <c r="B99" s="5" t="n"/>
      <c r="C99" s="25" t="n"/>
      <c r="D99" s="5" t="n"/>
      <c r="E99" s="5" t="n"/>
    </row>
    <row r="100">
      <c r="A100" s="5" t="n"/>
      <c r="B100" s="5" t="n"/>
      <c r="C100" s="25" t="n"/>
      <c r="D100" s="5" t="n"/>
      <c r="E100" s="5" t="n"/>
    </row>
    <row r="101">
      <c r="A101" s="5" t="n"/>
      <c r="B101" s="5" t="n"/>
      <c r="C101" s="25" t="n"/>
      <c r="D101" s="5" t="n"/>
      <c r="E101" s="5" t="n"/>
    </row>
    <row r="102">
      <c r="A102" s="5" t="n"/>
      <c r="B102" s="5" t="n"/>
      <c r="C102" s="25" t="n"/>
      <c r="D102" s="5" t="n"/>
      <c r="E102" s="5" t="n"/>
    </row>
    <row r="103">
      <c r="A103" s="5" t="n"/>
      <c r="B103" s="5" t="n"/>
      <c r="C103" s="25" t="n"/>
      <c r="D103" s="5" t="n"/>
      <c r="E103" s="5" t="n"/>
    </row>
    <row r="104">
      <c r="A104" s="5" t="n"/>
      <c r="B104" s="5" t="n"/>
      <c r="C104" s="25" t="n"/>
      <c r="D104" s="5" t="n"/>
      <c r="E104" s="5" t="n"/>
    </row>
    <row r="105">
      <c r="A105" s="5" t="n"/>
      <c r="B105" s="5" t="n"/>
      <c r="C105" s="25" t="n"/>
      <c r="D105" s="5" t="n"/>
      <c r="E105" s="5" t="n"/>
    </row>
    <row r="106">
      <c r="A106" s="5" t="n"/>
      <c r="B106" s="5" t="n"/>
      <c r="C106" s="25" t="n"/>
      <c r="D106" s="5" t="n"/>
      <c r="E106" s="5" t="n"/>
    </row>
    <row r="107">
      <c r="A107" s="5" t="n"/>
      <c r="B107" s="5" t="n"/>
      <c r="C107" s="25" t="n"/>
      <c r="D107" s="5" t="n"/>
      <c r="E107" s="5" t="n"/>
    </row>
    <row r="108">
      <c r="A108" s="5" t="n"/>
      <c r="B108" s="5" t="n"/>
      <c r="C108" s="25" t="n"/>
      <c r="D108" s="5" t="n"/>
      <c r="E108" s="5" t="n"/>
    </row>
    <row r="109">
      <c r="A109" s="5" t="n"/>
      <c r="B109" s="5" t="n"/>
      <c r="C109" s="25" t="n"/>
      <c r="D109" s="5" t="n"/>
      <c r="E109" s="5" t="n"/>
    </row>
    <row r="110">
      <c r="A110" s="5" t="n"/>
      <c r="B110" s="5" t="n"/>
      <c r="C110" s="25" t="n"/>
      <c r="D110" s="5" t="n"/>
      <c r="E110" s="5" t="n"/>
    </row>
    <row r="111">
      <c r="A111" s="5" t="n"/>
      <c r="B111" s="5" t="n"/>
      <c r="C111" s="25" t="n"/>
      <c r="D111" s="5" t="n"/>
      <c r="E111" s="5" t="n"/>
    </row>
    <row r="112">
      <c r="A112" s="5" t="n"/>
      <c r="B112" s="5" t="n"/>
      <c r="C112" s="25" t="n"/>
      <c r="D112" s="5" t="n"/>
      <c r="E112" s="5" t="n"/>
    </row>
    <row r="113">
      <c r="A113" s="5" t="n"/>
      <c r="B113" s="5" t="n"/>
      <c r="C113" s="25" t="n"/>
      <c r="D113" s="5" t="n"/>
      <c r="E113" s="5" t="n"/>
    </row>
    <row r="114">
      <c r="A114" s="5" t="n"/>
      <c r="B114" s="5" t="n"/>
      <c r="C114" s="25" t="n"/>
      <c r="D114" s="5" t="n"/>
      <c r="E114" s="5" t="n"/>
    </row>
    <row r="115">
      <c r="A115" s="5" t="n"/>
      <c r="B115" s="5" t="n"/>
      <c r="C115" s="25" t="n"/>
      <c r="D115" s="5" t="n"/>
      <c r="E115" s="5" t="n"/>
    </row>
    <row r="116">
      <c r="A116" s="5" t="n"/>
      <c r="B116" s="5" t="n"/>
      <c r="C116" s="25" t="n"/>
      <c r="D116" s="5" t="n"/>
      <c r="E116" s="5" t="n"/>
    </row>
    <row r="117">
      <c r="A117" s="5" t="n"/>
      <c r="B117" s="5" t="n"/>
      <c r="C117" s="25" t="n"/>
      <c r="D117" s="5" t="n"/>
      <c r="E117" s="5" t="n"/>
    </row>
    <row r="118">
      <c r="A118" s="5" t="n"/>
      <c r="B118" s="5" t="n"/>
      <c r="C118" s="25" t="n"/>
      <c r="D118" s="5" t="n"/>
      <c r="E118" s="5" t="n"/>
    </row>
    <row r="119">
      <c r="A119" s="5" t="n"/>
      <c r="B119" s="5" t="n"/>
      <c r="C119" s="25" t="n"/>
      <c r="D119" s="5" t="n"/>
      <c r="E119" s="5" t="n"/>
    </row>
    <row r="120">
      <c r="A120" s="5" t="n"/>
      <c r="B120" s="5" t="n"/>
      <c r="C120" s="25" t="n"/>
      <c r="D120" s="5" t="n"/>
      <c r="E120" s="5" t="n"/>
    </row>
    <row r="121">
      <c r="A121" s="5" t="n"/>
      <c r="B121" s="5" t="n"/>
      <c r="C121" s="25" t="n"/>
      <c r="D121" s="5" t="n"/>
      <c r="E121" s="5" t="n"/>
    </row>
    <row r="122">
      <c r="A122" s="5" t="n"/>
      <c r="B122" s="5" t="n"/>
      <c r="C122" s="25" t="n"/>
      <c r="D122" s="5" t="n"/>
      <c r="E122" s="5" t="n"/>
    </row>
    <row r="123">
      <c r="A123" s="5" t="n"/>
      <c r="B123" s="5" t="n"/>
      <c r="C123" s="25" t="n"/>
      <c r="D123" s="5" t="n"/>
      <c r="E123" s="5" t="n"/>
    </row>
    <row r="124">
      <c r="A124" s="5" t="n"/>
      <c r="B124" s="5" t="n"/>
      <c r="C124" s="25" t="n"/>
      <c r="D124" s="5" t="n"/>
      <c r="E124" s="5" t="n"/>
    </row>
    <row r="125">
      <c r="A125" s="5" t="n"/>
      <c r="B125" s="5" t="n"/>
      <c r="C125" s="25" t="n"/>
      <c r="D125" s="5" t="n"/>
      <c r="E125" s="5" t="n"/>
    </row>
    <row r="126">
      <c r="A126" s="5" t="n"/>
      <c r="B126" s="5" t="n"/>
      <c r="C126" s="25" t="n"/>
      <c r="D126" s="5" t="n"/>
      <c r="E126" s="5" t="n"/>
    </row>
    <row r="127">
      <c r="A127" s="5" t="n"/>
      <c r="B127" s="5" t="n"/>
      <c r="C127" s="25" t="n"/>
      <c r="D127" s="5" t="n"/>
      <c r="E127" s="5" t="n"/>
    </row>
    <row r="128">
      <c r="A128" s="5" t="n"/>
      <c r="B128" s="5" t="n"/>
      <c r="C128" s="25" t="n"/>
      <c r="D128" s="5" t="n"/>
      <c r="E128" s="5" t="n"/>
    </row>
    <row r="129">
      <c r="A129" s="5" t="n"/>
      <c r="B129" s="5" t="n"/>
      <c r="C129" s="25" t="n"/>
      <c r="D129" s="5" t="n"/>
      <c r="E129" s="5" t="n"/>
    </row>
    <row r="130">
      <c r="A130" s="5" t="n"/>
      <c r="B130" s="5" t="n"/>
      <c r="C130" s="25" t="n"/>
      <c r="D130" s="5" t="n"/>
      <c r="E130" s="5" t="n"/>
    </row>
    <row r="131">
      <c r="A131" s="5" t="n"/>
      <c r="B131" s="5" t="n"/>
      <c r="C131" s="25" t="n"/>
      <c r="D131" s="5" t="n"/>
      <c r="E131" s="5" t="n"/>
    </row>
    <row r="132">
      <c r="A132" s="5" t="n"/>
      <c r="B132" s="5" t="n"/>
      <c r="C132" s="25" t="n"/>
      <c r="D132" s="5" t="n"/>
      <c r="E132" s="5" t="n"/>
    </row>
    <row r="133">
      <c r="A133" s="5" t="n"/>
      <c r="B133" s="5" t="n"/>
      <c r="C133" s="25" t="n"/>
      <c r="D133" s="5" t="n"/>
      <c r="E133" s="5" t="n"/>
    </row>
    <row r="134">
      <c r="A134" s="5" t="n"/>
      <c r="B134" s="5" t="n"/>
      <c r="C134" s="25" t="n"/>
      <c r="D134" s="5" t="n"/>
      <c r="E134" s="5" t="n"/>
    </row>
    <row r="135">
      <c r="A135" s="5" t="n"/>
      <c r="B135" s="5" t="n"/>
      <c r="C135" s="25" t="n"/>
      <c r="D135" s="5" t="n"/>
      <c r="E135" s="5" t="n"/>
    </row>
    <row r="136">
      <c r="A136" s="5" t="n"/>
      <c r="B136" s="5" t="n"/>
      <c r="C136" s="25" t="n"/>
      <c r="D136" s="5" t="n"/>
      <c r="E136" s="5" t="n"/>
    </row>
    <row r="137">
      <c r="A137" s="5" t="n"/>
      <c r="B137" s="5" t="n"/>
      <c r="C137" s="25" t="n"/>
      <c r="D137" s="5" t="n"/>
      <c r="E137" s="5" t="n"/>
    </row>
    <row r="138">
      <c r="A138" s="5" t="n"/>
      <c r="B138" s="5" t="n"/>
      <c r="C138" s="25" t="n"/>
      <c r="D138" s="5" t="n"/>
      <c r="E138" s="5" t="n"/>
    </row>
    <row r="139">
      <c r="A139" s="5" t="n"/>
      <c r="B139" s="5" t="n"/>
      <c r="C139" s="25" t="n"/>
      <c r="D139" s="5" t="n"/>
      <c r="E139" s="5" t="n"/>
    </row>
    <row r="140">
      <c r="A140" s="5" t="n"/>
      <c r="B140" s="5" t="n"/>
      <c r="C140" s="25" t="n"/>
      <c r="D140" s="5" t="n"/>
      <c r="E140" s="5" t="n"/>
    </row>
    <row r="141">
      <c r="A141" s="5" t="n"/>
      <c r="B141" s="5" t="n"/>
      <c r="C141" s="25" t="n"/>
      <c r="D141" s="5" t="n"/>
      <c r="E141" s="5" t="n"/>
    </row>
    <row r="142">
      <c r="A142" s="5" t="n"/>
      <c r="B142" s="5" t="n"/>
      <c r="C142" s="25" t="n"/>
      <c r="D142" s="5" t="n"/>
      <c r="E142" s="5" t="n"/>
    </row>
    <row r="143">
      <c r="A143" s="5" t="n"/>
      <c r="B143" s="5" t="n"/>
      <c r="C143" s="25" t="n"/>
      <c r="D143" s="5" t="n"/>
      <c r="E143" s="5" t="n"/>
    </row>
    <row r="144">
      <c r="A144" s="5" t="n"/>
      <c r="B144" s="5" t="n"/>
      <c r="C144" s="25" t="n"/>
      <c r="D144" s="5" t="n"/>
      <c r="E144" s="5" t="n"/>
    </row>
    <row r="145">
      <c r="A145" s="5" t="n"/>
      <c r="B145" s="5" t="n"/>
      <c r="C145" s="25" t="n"/>
      <c r="D145" s="5" t="n"/>
      <c r="E145" s="5" t="n"/>
    </row>
    <row r="146">
      <c r="A146" s="5" t="n"/>
      <c r="B146" s="5" t="n"/>
      <c r="C146" s="25" t="n"/>
      <c r="D146" s="5" t="n"/>
      <c r="E146" s="5" t="n"/>
    </row>
    <row r="147">
      <c r="A147" s="5" t="n"/>
      <c r="B147" s="5" t="n"/>
      <c r="C147" s="25" t="n"/>
      <c r="D147" s="5" t="n"/>
      <c r="E147" s="5" t="n"/>
    </row>
    <row r="148">
      <c r="A148" s="5" t="n"/>
      <c r="B148" s="5" t="n"/>
      <c r="C148" s="25" t="n"/>
      <c r="D148" s="5" t="n"/>
      <c r="E148" s="5" t="n"/>
    </row>
    <row r="149">
      <c r="A149" s="5" t="n"/>
      <c r="B149" s="5" t="n"/>
      <c r="C149" s="25" t="n"/>
      <c r="D149" s="5" t="n"/>
      <c r="E149" s="5" t="n"/>
    </row>
    <row r="150">
      <c r="A150" s="5" t="n"/>
      <c r="B150" s="5" t="n"/>
      <c r="C150" s="25" t="n"/>
      <c r="D150" s="5" t="n"/>
      <c r="E150" s="5" t="n"/>
    </row>
    <row r="151">
      <c r="A151" s="5" t="n"/>
      <c r="B151" s="5" t="n"/>
      <c r="C151" s="25" t="n"/>
      <c r="D151" s="5" t="n"/>
      <c r="E151" s="5" t="n"/>
    </row>
    <row r="152">
      <c r="A152" s="5" t="n"/>
      <c r="B152" s="5" t="n"/>
      <c r="C152" s="25" t="n"/>
      <c r="D152" s="5" t="n"/>
      <c r="E152" s="5" t="n"/>
    </row>
    <row r="153">
      <c r="A153" s="5" t="n"/>
      <c r="B153" s="5" t="n"/>
      <c r="C153" s="25" t="n"/>
      <c r="D153" s="5" t="n"/>
      <c r="E153" s="5" t="n"/>
    </row>
    <row r="154">
      <c r="A154" s="5" t="n"/>
      <c r="B154" s="5" t="n"/>
      <c r="C154" s="25" t="n"/>
      <c r="D154" s="5" t="n"/>
      <c r="E154" s="5" t="n"/>
    </row>
    <row r="155">
      <c r="A155" s="5" t="n"/>
      <c r="B155" s="5" t="n"/>
      <c r="C155" s="25" t="n"/>
      <c r="D155" s="5" t="n"/>
      <c r="E155" s="5" t="n"/>
    </row>
    <row r="156">
      <c r="A156" s="5" t="n"/>
      <c r="B156" s="5" t="n"/>
      <c r="C156" s="25" t="n"/>
      <c r="D156" s="5" t="n"/>
      <c r="E156" s="5" t="n"/>
    </row>
    <row r="157">
      <c r="A157" s="5" t="n"/>
      <c r="B157" s="5" t="n"/>
      <c r="C157" s="25" t="n"/>
      <c r="D157" s="5" t="n"/>
      <c r="E157" s="5" t="n"/>
    </row>
    <row r="158">
      <c r="A158" s="5" t="n"/>
      <c r="B158" s="5" t="n"/>
      <c r="C158" s="25" t="n"/>
      <c r="D158" s="5" t="n"/>
      <c r="E158" s="5" t="n"/>
    </row>
    <row r="159">
      <c r="A159" s="5" t="n"/>
      <c r="B159" s="5" t="n"/>
      <c r="C159" s="25" t="n"/>
      <c r="D159" s="5" t="n"/>
      <c r="E159" s="5" t="n"/>
    </row>
    <row r="160">
      <c r="A160" s="5" t="n"/>
      <c r="B160" s="5" t="n"/>
      <c r="C160" s="25" t="n"/>
      <c r="D160" s="5" t="n"/>
      <c r="E160" s="5" t="n"/>
    </row>
    <row r="161">
      <c r="A161" s="5" t="n"/>
      <c r="B161" s="5" t="n"/>
      <c r="C161" s="25" t="n"/>
      <c r="D161" s="5" t="n"/>
      <c r="E161" s="5" t="n"/>
    </row>
    <row r="162">
      <c r="A162" s="5" t="n"/>
      <c r="B162" s="5" t="n"/>
      <c r="C162" s="25" t="n"/>
      <c r="D162" s="5" t="n"/>
      <c r="E162" s="5" t="n"/>
    </row>
    <row r="163">
      <c r="A163" s="5" t="n"/>
      <c r="B163" s="5" t="n"/>
      <c r="C163" s="25" t="n"/>
      <c r="D163" s="5" t="n"/>
      <c r="E163" s="5" t="n"/>
    </row>
    <row r="164">
      <c r="A164" s="5" t="n"/>
      <c r="B164" s="5" t="n"/>
      <c r="C164" s="25" t="n"/>
      <c r="D164" s="5" t="n"/>
      <c r="E164" s="5" t="n"/>
    </row>
    <row r="165">
      <c r="A165" s="5" t="n"/>
      <c r="B165" s="5" t="n"/>
      <c r="C165" s="25" t="n"/>
      <c r="D165" s="5" t="n"/>
      <c r="E165" s="5" t="n"/>
    </row>
    <row r="166">
      <c r="A166" s="5" t="n"/>
      <c r="B166" s="5" t="n"/>
      <c r="C166" s="25" t="n"/>
      <c r="D166" s="5" t="n"/>
      <c r="E166" s="5" t="n"/>
    </row>
    <row r="167">
      <c r="A167" s="5" t="n"/>
      <c r="B167" s="5" t="n"/>
      <c r="C167" s="25" t="n"/>
      <c r="D167" s="5" t="n"/>
      <c r="E167" s="5" t="n"/>
    </row>
    <row r="168">
      <c r="A168" s="5" t="n"/>
      <c r="B168" s="5" t="n"/>
      <c r="C168" s="25" t="n"/>
      <c r="D168" s="5" t="n"/>
      <c r="E168" s="5" t="n"/>
    </row>
    <row r="169">
      <c r="A169" s="5" t="n"/>
      <c r="B169" s="5" t="n"/>
      <c r="C169" s="25" t="n"/>
      <c r="D169" s="5" t="n"/>
      <c r="E169" s="5" t="n"/>
    </row>
    <row r="170">
      <c r="A170" s="5" t="n"/>
      <c r="B170" s="5" t="n"/>
      <c r="C170" s="25" t="n"/>
      <c r="D170" s="5" t="n"/>
      <c r="E170" s="5" t="n"/>
    </row>
    <row r="171">
      <c r="A171" s="5" t="n"/>
      <c r="B171" s="5" t="n"/>
      <c r="C171" s="25" t="n"/>
      <c r="D171" s="5" t="n"/>
      <c r="E171" s="5" t="n"/>
    </row>
    <row r="172">
      <c r="A172" s="5" t="n"/>
      <c r="B172" s="5" t="n"/>
      <c r="C172" s="25" t="n"/>
      <c r="D172" s="5" t="n"/>
      <c r="E172" s="5" t="n"/>
    </row>
    <row r="173">
      <c r="A173" s="5" t="n"/>
      <c r="B173" s="5" t="n"/>
      <c r="C173" s="25" t="n"/>
      <c r="D173" s="5" t="n"/>
      <c r="E173" s="5" t="n"/>
    </row>
    <row r="174">
      <c r="A174" s="5" t="n"/>
      <c r="B174" s="5" t="n"/>
      <c r="C174" s="25" t="n"/>
      <c r="D174" s="5" t="n"/>
      <c r="E174" s="5" t="n"/>
    </row>
    <row r="175">
      <c r="A175" s="5" t="n"/>
      <c r="B175" s="5" t="n"/>
      <c r="C175" s="25" t="n"/>
      <c r="D175" s="5" t="n"/>
      <c r="E175" s="5" t="n"/>
    </row>
    <row r="176">
      <c r="A176" s="5" t="n"/>
      <c r="B176" s="5" t="n"/>
      <c r="C176" s="25" t="n"/>
      <c r="D176" s="5" t="n"/>
      <c r="E176" s="5" t="n"/>
    </row>
    <row r="177">
      <c r="A177" s="5" t="n"/>
      <c r="B177" s="5" t="n"/>
      <c r="C177" s="25" t="n"/>
      <c r="D177" s="5" t="n"/>
      <c r="E177" s="5" t="n"/>
    </row>
    <row r="178">
      <c r="A178" s="5" t="n"/>
      <c r="B178" s="5" t="n"/>
      <c r="C178" s="25" t="n"/>
      <c r="D178" s="5" t="n"/>
      <c r="E178" s="5" t="n"/>
    </row>
    <row r="179">
      <c r="A179" s="5" t="n"/>
      <c r="B179" s="5" t="n"/>
      <c r="C179" s="25" t="n"/>
      <c r="D179" s="5" t="n"/>
      <c r="E179" s="5" t="n"/>
    </row>
    <row r="180">
      <c r="A180" s="5" t="n"/>
      <c r="B180" s="5" t="n"/>
      <c r="C180" s="25" t="n"/>
      <c r="D180" s="5" t="n"/>
      <c r="E180" s="5" t="n"/>
    </row>
    <row r="181">
      <c r="A181" s="5" t="n"/>
      <c r="B181" s="5" t="n"/>
      <c r="C181" s="25" t="n"/>
      <c r="D181" s="5" t="n"/>
      <c r="E181" s="5" t="n"/>
    </row>
    <row r="182">
      <c r="A182" s="5" t="n"/>
      <c r="B182" s="5" t="n"/>
      <c r="C182" s="25" t="n"/>
      <c r="D182" s="5" t="n"/>
      <c r="E182" s="5" t="n"/>
    </row>
    <row r="183">
      <c r="A183" s="5" t="n"/>
      <c r="B183" s="5" t="n"/>
      <c r="C183" s="25" t="n"/>
      <c r="D183" s="5" t="n"/>
      <c r="E183" s="5" t="n"/>
    </row>
    <row r="184">
      <c r="A184" s="5" t="n"/>
      <c r="B184" s="5" t="n"/>
      <c r="C184" s="25" t="n"/>
      <c r="D184" s="5" t="n"/>
      <c r="E184" s="5" t="n"/>
    </row>
    <row r="185">
      <c r="A185" s="5" t="n"/>
      <c r="B185" s="5" t="n"/>
      <c r="C185" s="25" t="n"/>
      <c r="D185" s="5" t="n"/>
      <c r="E185" s="5" t="n"/>
    </row>
    <row r="186">
      <c r="A186" s="5" t="n"/>
      <c r="B186" s="5" t="n"/>
      <c r="C186" s="25" t="n"/>
      <c r="D186" s="5" t="n"/>
      <c r="E186" s="5" t="n"/>
    </row>
    <row r="187">
      <c r="A187" s="5" t="n"/>
      <c r="B187" s="5" t="n"/>
      <c r="C187" s="25" t="n"/>
      <c r="D187" s="5" t="n"/>
      <c r="E187" s="5" t="n"/>
    </row>
    <row r="188">
      <c r="A188" s="5" t="n"/>
      <c r="B188" s="5" t="n"/>
      <c r="C188" s="25" t="n"/>
      <c r="D188" s="5" t="n"/>
      <c r="E188" s="5" t="n"/>
    </row>
    <row r="189">
      <c r="A189" s="5" t="n"/>
      <c r="B189" s="5" t="n"/>
      <c r="C189" s="25" t="n"/>
      <c r="D189" s="5" t="n"/>
      <c r="E189" s="5" t="n"/>
    </row>
    <row r="190">
      <c r="A190" s="5" t="n"/>
      <c r="B190" s="5" t="n"/>
      <c r="C190" s="25" t="n"/>
      <c r="D190" s="5" t="n"/>
      <c r="E190" s="5" t="n"/>
    </row>
    <row r="191">
      <c r="A191" s="5" t="n"/>
      <c r="B191" s="5" t="n"/>
      <c r="C191" s="25" t="n"/>
      <c r="D191" s="5" t="n"/>
      <c r="E191" s="5" t="n"/>
    </row>
    <row r="192">
      <c r="A192" s="5" t="n"/>
      <c r="B192" s="5" t="n"/>
      <c r="C192" s="25" t="n"/>
      <c r="D192" s="5" t="n"/>
      <c r="E192" s="5" t="n"/>
    </row>
    <row r="193">
      <c r="A193" s="5" t="n"/>
      <c r="B193" s="5" t="n"/>
      <c r="C193" s="25" t="n"/>
      <c r="D193" s="5" t="n"/>
      <c r="E193" s="5" t="n"/>
    </row>
    <row r="194">
      <c r="A194" s="5" t="n"/>
      <c r="B194" s="5" t="n"/>
      <c r="C194" s="25" t="n"/>
      <c r="D194" s="5" t="n"/>
      <c r="E194" s="5" t="n"/>
    </row>
    <row r="195">
      <c r="A195" s="5" t="n"/>
      <c r="B195" s="5" t="n"/>
      <c r="C195" s="25" t="n"/>
      <c r="D195" s="5" t="n"/>
      <c r="E195" s="5" t="n"/>
    </row>
    <row r="196">
      <c r="A196" s="5" t="n"/>
      <c r="B196" s="5" t="n"/>
      <c r="C196" s="25" t="n"/>
      <c r="D196" s="5" t="n"/>
      <c r="E196" s="5" t="n"/>
    </row>
    <row r="197">
      <c r="A197" s="5" t="n"/>
      <c r="B197" s="5" t="n"/>
      <c r="C197" s="25" t="n"/>
      <c r="D197" s="5" t="n"/>
      <c r="E197" s="5" t="n"/>
    </row>
    <row r="198">
      <c r="A198" s="5" t="n"/>
      <c r="B198" s="5" t="n"/>
      <c r="C198" s="25" t="n"/>
      <c r="D198" s="5" t="n"/>
      <c r="E198" s="5" t="n"/>
    </row>
    <row r="199">
      <c r="A199" s="5" t="n"/>
      <c r="B199" s="5" t="n"/>
      <c r="C199" s="25" t="n"/>
      <c r="D199" s="5" t="n"/>
      <c r="E199" s="5" t="n"/>
    </row>
    <row r="200">
      <c r="A200" s="5" t="n"/>
      <c r="B200" s="5" t="n"/>
      <c r="C200" s="25" t="n"/>
      <c r="D200" s="5" t="n"/>
      <c r="E200" s="5" t="n"/>
    </row>
    <row r="201">
      <c r="A201" s="5" t="n"/>
      <c r="B201" s="5" t="n"/>
      <c r="C201" s="25" t="n"/>
      <c r="D201" s="5" t="n"/>
      <c r="E201" s="5" t="n"/>
    </row>
    <row r="202">
      <c r="A202" s="5" t="n"/>
      <c r="B202" s="5" t="n"/>
      <c r="C202" s="25" t="n"/>
      <c r="D202" s="5" t="n"/>
      <c r="E202" s="5" t="n"/>
    </row>
    <row r="203">
      <c r="A203" s="5" t="n"/>
      <c r="B203" s="5" t="n"/>
      <c r="C203" s="25" t="n"/>
      <c r="D203" s="5" t="n"/>
      <c r="E203" s="5" t="n"/>
    </row>
    <row r="204">
      <c r="A204" s="5" t="n"/>
      <c r="B204" s="5" t="n"/>
      <c r="C204" s="25" t="n"/>
      <c r="D204" s="5" t="n"/>
      <c r="E204" s="5" t="n"/>
    </row>
    <row r="205">
      <c r="A205" s="5" t="n"/>
      <c r="B205" s="5" t="n"/>
      <c r="C205" s="25" t="n"/>
      <c r="D205" s="5" t="n"/>
      <c r="E205" s="5" t="n"/>
    </row>
    <row r="206">
      <c r="A206" s="5" t="n"/>
      <c r="B206" s="5" t="n"/>
      <c r="C206" s="25" t="n"/>
      <c r="D206" s="5" t="n"/>
      <c r="E206" s="5" t="n"/>
    </row>
    <row r="207">
      <c r="A207" s="5" t="n"/>
      <c r="B207" s="5" t="n"/>
      <c r="C207" s="25" t="n"/>
      <c r="D207" s="5" t="n"/>
      <c r="E207" s="5" t="n"/>
    </row>
    <row r="208">
      <c r="A208" s="5" t="n"/>
      <c r="B208" s="5" t="n"/>
      <c r="C208" s="25" t="n"/>
      <c r="D208" s="5" t="n"/>
      <c r="E208" s="5" t="n"/>
    </row>
    <row r="209">
      <c r="A209" s="5" t="n"/>
      <c r="B209" s="5" t="n"/>
      <c r="C209" s="25" t="n"/>
      <c r="D209" s="5" t="n"/>
      <c r="E209" s="5" t="n"/>
    </row>
    <row r="210">
      <c r="A210" s="5" t="n"/>
      <c r="B210" s="5" t="n"/>
      <c r="C210" s="25" t="n"/>
      <c r="D210" s="5" t="n"/>
      <c r="E210" s="5" t="n"/>
    </row>
    <row r="211">
      <c r="A211" s="5" t="n"/>
      <c r="B211" s="5" t="n"/>
      <c r="C211" s="25" t="n"/>
      <c r="D211" s="5" t="n"/>
      <c r="E211" s="5" t="n"/>
    </row>
    <row r="212">
      <c r="A212" s="5" t="n"/>
      <c r="B212" s="5" t="n"/>
      <c r="C212" s="25" t="n"/>
      <c r="D212" s="5" t="n"/>
      <c r="E212" s="5" t="n"/>
    </row>
    <row r="213">
      <c r="A213" s="5" t="n"/>
      <c r="B213" s="5" t="n"/>
      <c r="C213" s="25" t="n"/>
      <c r="D213" s="5" t="n"/>
      <c r="E213" s="5" t="n"/>
    </row>
    <row r="214">
      <c r="A214" s="5" t="n"/>
      <c r="B214" s="5" t="n"/>
      <c r="C214" s="25" t="n"/>
      <c r="D214" s="5" t="n"/>
      <c r="E214" s="5" t="n"/>
    </row>
    <row r="215">
      <c r="A215" s="5" t="n"/>
      <c r="B215" s="5" t="n"/>
      <c r="C215" s="25" t="n"/>
      <c r="D215" s="5" t="n"/>
      <c r="E215" s="5" t="n"/>
    </row>
    <row r="216">
      <c r="A216" s="5" t="n"/>
      <c r="B216" s="5" t="n"/>
      <c r="C216" s="25" t="n"/>
      <c r="D216" s="5" t="n"/>
      <c r="E216" s="5" t="n"/>
    </row>
    <row r="217">
      <c r="A217" s="5" t="n"/>
      <c r="B217" s="5" t="n"/>
      <c r="C217" s="25" t="n"/>
      <c r="D217" s="5" t="n"/>
      <c r="E217" s="5" t="n"/>
    </row>
    <row r="218">
      <c r="A218" s="5" t="n"/>
      <c r="B218" s="5" t="n"/>
      <c r="C218" s="25" t="n"/>
      <c r="D218" s="5" t="n"/>
      <c r="E218" s="5" t="n"/>
    </row>
    <row r="219">
      <c r="A219" s="5" t="n"/>
      <c r="B219" s="5" t="n"/>
      <c r="C219" s="25" t="n"/>
      <c r="D219" s="5" t="n"/>
      <c r="E219" s="5" t="n"/>
    </row>
    <row r="220">
      <c r="A220" s="5" t="n"/>
      <c r="B220" s="5" t="n"/>
      <c r="C220" s="25" t="n"/>
      <c r="D220" s="5" t="n"/>
      <c r="E220" s="5" t="n"/>
    </row>
    <row r="221">
      <c r="A221" s="5" t="n"/>
      <c r="B221" s="5" t="n"/>
      <c r="C221" s="25" t="n"/>
      <c r="D221" s="5" t="n"/>
      <c r="E221" s="5" t="n"/>
    </row>
    <row r="222">
      <c r="A222" s="5" t="n"/>
      <c r="B222" s="5" t="n"/>
      <c r="C222" s="25" t="n"/>
      <c r="D222" s="5" t="n"/>
      <c r="E222" s="5" t="n"/>
    </row>
    <row r="223">
      <c r="A223" s="5" t="n"/>
      <c r="B223" s="5" t="n"/>
      <c r="C223" s="25" t="n"/>
      <c r="D223" s="5" t="n"/>
      <c r="E223" s="5" t="n"/>
    </row>
    <row r="224">
      <c r="A224" s="5" t="n"/>
      <c r="B224" s="5" t="n"/>
      <c r="C224" s="25" t="n"/>
      <c r="D224" s="5" t="n"/>
      <c r="E224" s="5" t="n"/>
    </row>
    <row r="225">
      <c r="A225" s="5" t="n"/>
      <c r="B225" s="5" t="n"/>
      <c r="C225" s="25" t="n"/>
      <c r="D225" s="5" t="n"/>
      <c r="E225" s="5" t="n"/>
    </row>
    <row r="226">
      <c r="A226" s="5" t="n"/>
      <c r="B226" s="5" t="n"/>
      <c r="C226" s="25" t="n"/>
      <c r="D226" s="5" t="n"/>
      <c r="E226" s="5" t="n"/>
    </row>
    <row r="227">
      <c r="A227" s="5" t="n"/>
      <c r="B227" s="5" t="n"/>
      <c r="C227" s="25" t="n"/>
      <c r="D227" s="5" t="n"/>
      <c r="E227" s="5" t="n"/>
    </row>
    <row r="228">
      <c r="A228" s="5" t="n"/>
      <c r="B228" s="5" t="n"/>
      <c r="C228" s="25" t="n"/>
      <c r="D228" s="5" t="n"/>
      <c r="E228" s="5" t="n"/>
    </row>
    <row r="229">
      <c r="A229" s="5" t="n"/>
      <c r="B229" s="5" t="n"/>
      <c r="C229" s="25" t="n"/>
      <c r="D229" s="5" t="n"/>
      <c r="E229" s="5" t="n"/>
    </row>
    <row r="230">
      <c r="A230" s="5" t="n"/>
      <c r="B230" s="5" t="n"/>
      <c r="C230" s="25" t="n"/>
      <c r="D230" s="5" t="n"/>
      <c r="E230" s="5" t="n"/>
    </row>
    <row r="231">
      <c r="A231" s="5" t="n"/>
      <c r="B231" s="5" t="n"/>
      <c r="C231" s="25" t="n"/>
      <c r="D231" s="5" t="n"/>
      <c r="E231" s="5" t="n"/>
    </row>
    <row r="232">
      <c r="A232" s="5" t="n"/>
      <c r="B232" s="5" t="n"/>
      <c r="C232" s="25" t="n"/>
      <c r="D232" s="5" t="n"/>
      <c r="E232" s="5" t="n"/>
    </row>
    <row r="233">
      <c r="A233" s="5" t="n"/>
      <c r="B233" s="5" t="n"/>
      <c r="C233" s="25" t="n"/>
      <c r="D233" s="5" t="n"/>
      <c r="E233" s="5" t="n"/>
    </row>
    <row r="234">
      <c r="A234" s="5" t="n"/>
      <c r="B234" s="5" t="n"/>
      <c r="C234" s="25" t="n"/>
      <c r="D234" s="5" t="n"/>
      <c r="E234" s="5" t="n"/>
    </row>
    <row r="235">
      <c r="A235" s="5" t="n"/>
      <c r="B235" s="5" t="n"/>
      <c r="C235" s="25" t="n"/>
      <c r="D235" s="5" t="n"/>
      <c r="E235" s="5" t="n"/>
    </row>
    <row r="236">
      <c r="A236" s="5" t="n"/>
      <c r="B236" s="5" t="n"/>
      <c r="C236" s="25" t="n"/>
      <c r="D236" s="5" t="n"/>
      <c r="E236" s="5" t="n"/>
    </row>
    <row r="237">
      <c r="A237" s="5" t="n"/>
      <c r="B237" s="5" t="n"/>
      <c r="C237" s="25" t="n"/>
      <c r="D237" s="5" t="n"/>
      <c r="E237" s="5" t="n"/>
    </row>
    <row r="238">
      <c r="A238" s="5" t="n"/>
      <c r="B238" s="5" t="n"/>
      <c r="C238" s="25" t="n"/>
      <c r="D238" s="5" t="n"/>
      <c r="E238" s="5" t="n"/>
    </row>
    <row r="239">
      <c r="A239" s="5" t="n"/>
      <c r="B239" s="5" t="n"/>
      <c r="C239" s="25" t="n"/>
      <c r="D239" s="5" t="n"/>
      <c r="E239" s="5" t="n"/>
    </row>
    <row r="240">
      <c r="A240" s="5" t="n"/>
      <c r="B240" s="5" t="n"/>
      <c r="C240" s="25" t="n"/>
      <c r="D240" s="5" t="n"/>
      <c r="E240" s="5" t="n"/>
    </row>
    <row r="241">
      <c r="A241" s="5" t="n"/>
      <c r="B241" s="5" t="n"/>
      <c r="C241" s="25" t="n"/>
      <c r="D241" s="5" t="n"/>
      <c r="E241" s="5" t="n"/>
    </row>
    <row r="242">
      <c r="A242" s="5" t="n"/>
      <c r="B242" s="5" t="n"/>
      <c r="C242" s="25" t="n"/>
      <c r="D242" s="5" t="n"/>
      <c r="E242" s="5" t="n"/>
    </row>
    <row r="243">
      <c r="A243" s="5" t="n"/>
      <c r="B243" s="5" t="n"/>
      <c r="C243" s="25" t="n"/>
      <c r="D243" s="5" t="n"/>
      <c r="E243" s="5" t="n"/>
    </row>
    <row r="244">
      <c r="A244" s="5" t="n"/>
      <c r="B244" s="5" t="n"/>
      <c r="C244" s="25" t="n"/>
      <c r="D244" s="5" t="n"/>
      <c r="E244" s="5" t="n"/>
    </row>
    <row r="245">
      <c r="A245" s="5" t="n"/>
      <c r="B245" s="5" t="n"/>
      <c r="C245" s="25" t="n"/>
      <c r="D245" s="5" t="n"/>
      <c r="E245" s="5" t="n"/>
    </row>
    <row r="246">
      <c r="A246" s="5" t="n"/>
      <c r="B246" s="5" t="n"/>
      <c r="C246" s="25" t="n"/>
      <c r="D246" s="5" t="n"/>
      <c r="E246" s="5" t="n"/>
    </row>
    <row r="247">
      <c r="A247" s="5" t="n"/>
      <c r="B247" s="5" t="n"/>
      <c r="C247" s="25" t="n"/>
      <c r="D247" s="5" t="n"/>
      <c r="E247" s="5" t="n"/>
    </row>
    <row r="248">
      <c r="A248" s="5" t="n"/>
      <c r="B248" s="5" t="n"/>
      <c r="C248" s="25" t="n"/>
      <c r="D248" s="5" t="n"/>
      <c r="E248" s="5" t="n"/>
    </row>
    <row r="249">
      <c r="A249" s="5" t="n"/>
      <c r="B249" s="5" t="n"/>
      <c r="C249" s="25" t="n"/>
      <c r="D249" s="5" t="n"/>
      <c r="E249" s="5" t="n"/>
    </row>
    <row r="250">
      <c r="A250" s="5" t="n"/>
      <c r="B250" s="5" t="n"/>
      <c r="C250" s="25" t="n"/>
      <c r="D250" s="5" t="n"/>
      <c r="E250" s="5" t="n"/>
    </row>
    <row r="251">
      <c r="A251" s="5" t="n"/>
      <c r="B251" s="5" t="n"/>
      <c r="C251" s="25" t="n"/>
      <c r="D251" s="5" t="n"/>
      <c r="E251" s="5" t="n"/>
    </row>
    <row r="252">
      <c r="A252" s="5" t="n"/>
      <c r="B252" s="5" t="n"/>
      <c r="C252" s="25" t="n"/>
      <c r="D252" s="5" t="n"/>
      <c r="E252" s="5" t="n"/>
    </row>
    <row r="253">
      <c r="A253" s="5" t="n"/>
      <c r="B253" s="5" t="n"/>
      <c r="C253" s="25" t="n"/>
      <c r="D253" s="5" t="n"/>
      <c r="E253" s="5" t="n"/>
    </row>
    <row r="254">
      <c r="A254" s="5" t="n"/>
      <c r="B254" s="5" t="n"/>
      <c r="C254" s="25" t="n"/>
      <c r="D254" s="5" t="n"/>
      <c r="E254" s="5" t="n"/>
    </row>
    <row r="255">
      <c r="A255" s="5" t="n"/>
      <c r="B255" s="5" t="n"/>
      <c r="C255" s="25" t="n"/>
      <c r="D255" s="5" t="n"/>
      <c r="E255" s="5" t="n"/>
    </row>
    <row r="256">
      <c r="A256" s="5" t="n"/>
      <c r="B256" s="5" t="n"/>
      <c r="C256" s="25" t="n"/>
      <c r="D256" s="5" t="n"/>
      <c r="E256" s="5" t="n"/>
    </row>
    <row r="257">
      <c r="A257" s="5" t="n"/>
      <c r="B257" s="5" t="n"/>
      <c r="C257" s="25" t="n"/>
      <c r="D257" s="5" t="n"/>
      <c r="E257" s="5" t="n"/>
    </row>
    <row r="258">
      <c r="A258" s="5" t="n"/>
      <c r="B258" s="5" t="n"/>
      <c r="C258" s="25" t="n"/>
      <c r="D258" s="5" t="n"/>
      <c r="E258" s="5" t="n"/>
    </row>
    <row r="259">
      <c r="A259" s="5" t="n"/>
      <c r="B259" s="5" t="n"/>
      <c r="C259" s="25" t="n"/>
      <c r="D259" s="5" t="n"/>
      <c r="E259" s="5" t="n"/>
    </row>
    <row r="260">
      <c r="A260" s="5" t="n"/>
      <c r="B260" s="5" t="n"/>
      <c r="C260" s="25" t="n"/>
      <c r="D260" s="5" t="n"/>
      <c r="E260" s="5" t="n"/>
    </row>
    <row r="261">
      <c r="A261" s="5" t="n"/>
      <c r="B261" s="5" t="n"/>
      <c r="C261" s="25" t="n"/>
      <c r="D261" s="5" t="n"/>
      <c r="E261" s="5" t="n"/>
    </row>
    <row r="262">
      <c r="A262" s="5" t="n"/>
      <c r="B262" s="5" t="n"/>
      <c r="C262" s="25" t="n"/>
      <c r="D262" s="5" t="n"/>
      <c r="E262" s="5" t="n"/>
    </row>
    <row r="263">
      <c r="A263" s="5" t="n"/>
      <c r="B263" s="5" t="n"/>
      <c r="C263" s="25" t="n"/>
      <c r="D263" s="5" t="n"/>
      <c r="E263" s="5" t="n"/>
    </row>
    <row r="264">
      <c r="A264" s="5" t="n"/>
      <c r="B264" s="5" t="n"/>
      <c r="C264" s="25" t="n"/>
      <c r="D264" s="5" t="n"/>
      <c r="E264" s="5" t="n"/>
    </row>
    <row r="265">
      <c r="A265" s="5" t="n"/>
      <c r="B265" s="5" t="n"/>
      <c r="C265" s="25" t="n"/>
      <c r="D265" s="5" t="n"/>
      <c r="E265" s="5" t="n"/>
    </row>
    <row r="266">
      <c r="A266" s="5" t="n"/>
      <c r="B266" s="5" t="n"/>
      <c r="C266" s="25" t="n"/>
      <c r="D266" s="5" t="n"/>
      <c r="E266" s="5" t="n"/>
    </row>
    <row r="267">
      <c r="A267" s="5" t="n"/>
      <c r="B267" s="5" t="n"/>
      <c r="C267" s="25" t="n"/>
      <c r="D267" s="5" t="n"/>
      <c r="E267" s="5" t="n"/>
    </row>
    <row r="268">
      <c r="A268" s="5" t="n"/>
      <c r="B268" s="5" t="n"/>
      <c r="C268" s="25" t="n"/>
      <c r="D268" s="5" t="n"/>
      <c r="E268" s="5" t="n"/>
    </row>
    <row r="269">
      <c r="A269" s="5" t="n"/>
      <c r="B269" s="5" t="n"/>
      <c r="C269" s="25" t="n"/>
      <c r="D269" s="5" t="n"/>
      <c r="E269" s="5" t="n"/>
    </row>
    <row r="270">
      <c r="A270" s="5" t="n"/>
      <c r="B270" s="5" t="n"/>
      <c r="C270" s="25" t="n"/>
      <c r="D270" s="5" t="n"/>
      <c r="E270" s="5" t="n"/>
    </row>
    <row r="271">
      <c r="A271" s="5" t="n"/>
      <c r="B271" s="5" t="n"/>
      <c r="C271" s="25" t="n"/>
      <c r="D271" s="5" t="n"/>
      <c r="E271" s="5" t="n"/>
    </row>
    <row r="272">
      <c r="A272" s="5" t="n"/>
      <c r="B272" s="5" t="n"/>
      <c r="C272" s="25" t="n"/>
      <c r="D272" s="5" t="n"/>
      <c r="E272" s="5" t="n"/>
    </row>
    <row r="273">
      <c r="A273" s="5" t="n"/>
      <c r="B273" s="5" t="n"/>
      <c r="C273" s="25" t="n"/>
      <c r="D273" s="5" t="n"/>
      <c r="E273" s="5" t="n"/>
    </row>
    <row r="274">
      <c r="A274" s="5" t="n"/>
      <c r="B274" s="5" t="n"/>
      <c r="C274" s="25" t="n"/>
      <c r="D274" s="5" t="n"/>
      <c r="E274" s="5" t="n"/>
    </row>
    <row r="275">
      <c r="A275" s="5" t="n"/>
      <c r="B275" s="5" t="n"/>
      <c r="C275" s="25" t="n"/>
      <c r="D275" s="5" t="n"/>
      <c r="E275" s="5" t="n"/>
    </row>
    <row r="276">
      <c r="A276" s="5" t="n"/>
      <c r="B276" s="5" t="n"/>
      <c r="C276" s="25" t="n"/>
      <c r="D276" s="5" t="n"/>
      <c r="E276" s="5" t="n"/>
    </row>
    <row r="277">
      <c r="A277" s="5" t="n"/>
      <c r="B277" s="5" t="n"/>
      <c r="C277" s="25" t="n"/>
      <c r="D277" s="5" t="n"/>
      <c r="E277" s="5" t="n"/>
    </row>
    <row r="278">
      <c r="A278" s="5" t="n"/>
      <c r="B278" s="5" t="n"/>
      <c r="C278" s="25" t="n"/>
      <c r="D278" s="5" t="n"/>
      <c r="E278" s="5" t="n"/>
    </row>
    <row r="279">
      <c r="A279" s="5" t="n"/>
      <c r="B279" s="5" t="n"/>
      <c r="C279" s="25" t="n"/>
      <c r="D279" s="5" t="n"/>
      <c r="E279" s="5" t="n"/>
    </row>
    <row r="280">
      <c r="A280" s="5" t="n"/>
      <c r="B280" s="5" t="n"/>
      <c r="C280" s="25" t="n"/>
      <c r="D280" s="5" t="n"/>
      <c r="E280" s="5" t="n"/>
    </row>
    <row r="281">
      <c r="A281" s="5" t="n"/>
      <c r="B281" s="5" t="n"/>
      <c r="C281" s="25" t="n"/>
      <c r="D281" s="5" t="n"/>
      <c r="E281" s="5" t="n"/>
    </row>
    <row r="282">
      <c r="A282" s="5" t="n"/>
      <c r="B282" s="5" t="n"/>
      <c r="C282" s="25" t="n"/>
      <c r="D282" s="5" t="n"/>
      <c r="E282" s="5" t="n"/>
    </row>
    <row r="283">
      <c r="A283" s="5" t="n"/>
      <c r="B283" s="5" t="n"/>
      <c r="C283" s="25" t="n"/>
      <c r="D283" s="5" t="n"/>
      <c r="E283" s="5" t="n"/>
    </row>
    <row r="284">
      <c r="A284" s="5" t="n"/>
      <c r="B284" s="5" t="n"/>
      <c r="C284" s="25" t="n"/>
      <c r="D284" s="5" t="n"/>
      <c r="E284" s="5" t="n"/>
    </row>
    <row r="285">
      <c r="A285" s="5" t="n"/>
      <c r="B285" s="5" t="n"/>
      <c r="C285" s="25" t="n"/>
      <c r="D285" s="5" t="n"/>
      <c r="E285" s="5" t="n"/>
    </row>
    <row r="286">
      <c r="A286" s="5" t="n"/>
      <c r="B286" s="5" t="n"/>
      <c r="C286" s="25" t="n"/>
      <c r="D286" s="5" t="n"/>
      <c r="E286" s="5" t="n"/>
    </row>
    <row r="287">
      <c r="A287" s="5" t="n"/>
      <c r="B287" s="5" t="n"/>
      <c r="C287" s="25" t="n"/>
      <c r="D287" s="5" t="n"/>
      <c r="E287" s="5" t="n"/>
    </row>
    <row r="288">
      <c r="A288" s="5" t="n"/>
      <c r="B288" s="5" t="n"/>
      <c r="C288" s="25" t="n"/>
      <c r="D288" s="5" t="n"/>
      <c r="E288" s="5" t="n"/>
    </row>
    <row r="289">
      <c r="A289" s="5" t="n"/>
      <c r="B289" s="5" t="n"/>
      <c r="C289" s="25" t="n"/>
      <c r="D289" s="5" t="n"/>
      <c r="E289" s="5" t="n"/>
    </row>
    <row r="290">
      <c r="A290" s="5" t="n"/>
      <c r="B290" s="5" t="n"/>
      <c r="C290" s="25" t="n"/>
      <c r="D290" s="5" t="n"/>
      <c r="E290" s="5" t="n"/>
    </row>
    <row r="291">
      <c r="A291" s="5" t="n"/>
      <c r="B291" s="5" t="n"/>
      <c r="C291" s="25" t="n"/>
      <c r="D291" s="5" t="n"/>
      <c r="E291" s="5" t="n"/>
    </row>
    <row r="292">
      <c r="A292" s="5" t="n"/>
      <c r="B292" s="5" t="n"/>
      <c r="C292" s="25" t="n"/>
      <c r="D292" s="5" t="n"/>
      <c r="E292" s="5" t="n"/>
    </row>
    <row r="293">
      <c r="A293" s="5" t="n"/>
      <c r="B293" s="5" t="n"/>
      <c r="C293" s="25" t="n"/>
      <c r="D293" s="5" t="n"/>
      <c r="E293" s="5" t="n"/>
    </row>
    <row r="294">
      <c r="A294" s="5" t="n"/>
      <c r="B294" s="5" t="n"/>
      <c r="C294" s="25" t="n"/>
      <c r="D294" s="5" t="n"/>
      <c r="E294" s="5" t="n"/>
    </row>
    <row r="295">
      <c r="A295" s="5" t="n"/>
      <c r="B295" s="5" t="n"/>
      <c r="C295" s="25" t="n"/>
      <c r="D295" s="5" t="n"/>
      <c r="E295" s="5" t="n"/>
    </row>
    <row r="296">
      <c r="A296" s="5" t="n"/>
      <c r="B296" s="5" t="n"/>
      <c r="C296" s="25" t="n"/>
      <c r="D296" s="5" t="n"/>
      <c r="E296" s="5" t="n"/>
    </row>
    <row r="297">
      <c r="A297" s="5" t="n"/>
      <c r="B297" s="5" t="n"/>
      <c r="C297" s="25" t="n"/>
      <c r="D297" s="5" t="n"/>
      <c r="E297" s="5" t="n"/>
    </row>
    <row r="298">
      <c r="A298" s="5" t="n"/>
      <c r="B298" s="5" t="n"/>
      <c r="C298" s="25" t="n"/>
      <c r="D298" s="5" t="n"/>
      <c r="E298" s="5" t="n"/>
    </row>
    <row r="299">
      <c r="A299" s="5" t="n"/>
      <c r="B299" s="5" t="n"/>
      <c r="C299" s="25" t="n"/>
      <c r="D299" s="5" t="n"/>
      <c r="E299" s="5" t="n"/>
    </row>
    <row r="300">
      <c r="A300" s="5" t="n"/>
      <c r="B300" s="5" t="n"/>
      <c r="C300" s="25" t="n"/>
      <c r="D300" s="5" t="n"/>
      <c r="E300" s="5" t="n"/>
    </row>
    <row r="301">
      <c r="A301" s="5" t="n"/>
      <c r="B301" s="5" t="n"/>
      <c r="C301" s="25" t="n"/>
      <c r="D301" s="5" t="n"/>
      <c r="E301" s="5" t="n"/>
    </row>
    <row r="302">
      <c r="A302" s="5" t="n"/>
      <c r="B302" s="5" t="n"/>
      <c r="C302" s="25" t="n"/>
      <c r="D302" s="5" t="n"/>
      <c r="E302" s="5" t="n"/>
    </row>
    <row r="303">
      <c r="A303" s="5" t="n"/>
      <c r="B303" s="5" t="n"/>
      <c r="C303" s="25" t="n"/>
      <c r="D303" s="5" t="n"/>
      <c r="E303" s="5" t="n"/>
    </row>
    <row r="304">
      <c r="A304" s="5" t="n"/>
      <c r="B304" s="5" t="n"/>
      <c r="C304" s="25" t="n"/>
      <c r="D304" s="5" t="n"/>
      <c r="E304" s="5" t="n"/>
    </row>
    <row r="305">
      <c r="A305" s="5" t="n"/>
      <c r="B305" s="5" t="n"/>
      <c r="C305" s="25" t="n"/>
      <c r="D305" s="5" t="n"/>
      <c r="E305" s="5" t="n"/>
    </row>
    <row r="306">
      <c r="A306" s="5" t="n"/>
      <c r="B306" s="5" t="n"/>
      <c r="C306" s="25" t="n"/>
      <c r="D306" s="5" t="n"/>
      <c r="E306" s="5" t="n"/>
    </row>
    <row r="307">
      <c r="A307" s="5" t="n"/>
      <c r="B307" s="5" t="n"/>
      <c r="C307" s="25" t="n"/>
      <c r="D307" s="5" t="n"/>
      <c r="E307" s="5" t="n"/>
    </row>
    <row r="308">
      <c r="A308" s="5" t="n"/>
      <c r="B308" s="5" t="n"/>
      <c r="C308" s="25" t="n"/>
      <c r="D308" s="5" t="n"/>
      <c r="E308" s="5" t="n"/>
    </row>
    <row r="309">
      <c r="A309" s="5" t="n"/>
      <c r="B309" s="5" t="n"/>
      <c r="C309" s="25" t="n"/>
      <c r="D309" s="5" t="n"/>
      <c r="E309" s="5" t="n"/>
    </row>
    <row r="310">
      <c r="A310" s="5" t="n"/>
      <c r="B310" s="5" t="n"/>
      <c r="C310" s="25" t="n"/>
      <c r="D310" s="5" t="n"/>
      <c r="E310" s="5" t="n"/>
    </row>
    <row r="311">
      <c r="A311" s="5" t="n"/>
      <c r="B311" s="5" t="n"/>
      <c r="C311" s="25" t="n"/>
      <c r="D311" s="5" t="n"/>
      <c r="E311" s="5" t="n"/>
    </row>
    <row r="312">
      <c r="A312" s="5" t="n"/>
      <c r="B312" s="5" t="n"/>
      <c r="C312" s="25" t="n"/>
      <c r="D312" s="5" t="n"/>
      <c r="E312" s="5" t="n"/>
    </row>
    <row r="313">
      <c r="A313" s="5" t="n"/>
      <c r="B313" s="5" t="n"/>
      <c r="C313" s="25" t="n"/>
      <c r="D313" s="5" t="n"/>
      <c r="E313" s="5" t="n"/>
    </row>
    <row r="314">
      <c r="A314" s="5" t="n"/>
      <c r="B314" s="5" t="n"/>
      <c r="C314" s="25" t="n"/>
      <c r="D314" s="5" t="n"/>
      <c r="E314" s="5" t="n"/>
    </row>
    <row r="315">
      <c r="A315" s="5" t="n"/>
      <c r="B315" s="5" t="n"/>
      <c r="C315" s="25" t="n"/>
      <c r="D315" s="5" t="n"/>
      <c r="E315" s="5" t="n"/>
    </row>
    <row r="316">
      <c r="A316" s="5" t="n"/>
      <c r="B316" s="5" t="n"/>
      <c r="C316" s="25" t="n"/>
      <c r="D316" s="5" t="n"/>
      <c r="E316" s="5" t="n"/>
    </row>
    <row r="317">
      <c r="A317" s="5" t="n"/>
      <c r="B317" s="5" t="n"/>
      <c r="C317" s="25" t="n"/>
      <c r="D317" s="5" t="n"/>
      <c r="E317" s="5" t="n"/>
    </row>
    <row r="318">
      <c r="A318" s="5" t="n"/>
      <c r="B318" s="5" t="n"/>
      <c r="C318" s="25" t="n"/>
      <c r="D318" s="5" t="n"/>
      <c r="E318" s="5" t="n"/>
    </row>
    <row r="319">
      <c r="A319" s="5" t="n"/>
      <c r="B319" s="5" t="n"/>
      <c r="C319" s="25" t="n"/>
      <c r="D319" s="5" t="n"/>
      <c r="E319" s="5" t="n"/>
    </row>
    <row r="320">
      <c r="A320" s="5" t="n"/>
      <c r="B320" s="5" t="n"/>
      <c r="C320" s="25" t="n"/>
      <c r="D320" s="5" t="n"/>
      <c r="E320" s="5" t="n"/>
    </row>
    <row r="321">
      <c r="A321" s="5" t="n"/>
      <c r="B321" s="5" t="n"/>
      <c r="C321" s="25" t="n"/>
      <c r="D321" s="5" t="n"/>
      <c r="E321" s="5" t="n"/>
    </row>
    <row r="322">
      <c r="A322" s="5" t="n"/>
      <c r="B322" s="5" t="n"/>
      <c r="C322" s="25" t="n"/>
      <c r="D322" s="5" t="n"/>
      <c r="E322" s="5" t="n"/>
    </row>
    <row r="323">
      <c r="A323" s="5" t="n"/>
      <c r="B323" s="5" t="n"/>
      <c r="C323" s="25" t="n"/>
      <c r="D323" s="5" t="n"/>
      <c r="E323" s="5" t="n"/>
    </row>
    <row r="324">
      <c r="A324" s="5" t="n"/>
      <c r="B324" s="5" t="n"/>
      <c r="C324" s="25" t="n"/>
      <c r="D324" s="5" t="n"/>
      <c r="E324" s="5" t="n"/>
    </row>
    <row r="325">
      <c r="A325" s="5" t="n"/>
      <c r="B325" s="5" t="n"/>
      <c r="C325" s="25" t="n"/>
      <c r="D325" s="5" t="n"/>
      <c r="E325" s="5" t="n"/>
    </row>
    <row r="326">
      <c r="A326" s="5" t="n"/>
      <c r="B326" s="5" t="n"/>
      <c r="C326" s="25" t="n"/>
      <c r="D326" s="5" t="n"/>
      <c r="E326" s="5" t="n"/>
    </row>
    <row r="327">
      <c r="A327" s="5" t="n"/>
      <c r="B327" s="5" t="n"/>
      <c r="C327" s="25" t="n"/>
      <c r="D327" s="5" t="n"/>
      <c r="E327" s="5" t="n"/>
    </row>
    <row r="328">
      <c r="A328" s="5" t="n"/>
      <c r="B328" s="5" t="n"/>
      <c r="C328" s="25" t="n"/>
      <c r="D328" s="5" t="n"/>
      <c r="E328" s="5" t="n"/>
    </row>
    <row r="329">
      <c r="A329" s="5" t="n"/>
      <c r="B329" s="5" t="n"/>
      <c r="C329" s="25" t="n"/>
      <c r="D329" s="5" t="n"/>
      <c r="E329" s="5" t="n"/>
    </row>
    <row r="330">
      <c r="A330" s="5" t="n"/>
      <c r="B330" s="5" t="n"/>
      <c r="C330" s="25" t="n"/>
      <c r="D330" s="5" t="n"/>
      <c r="E330" s="5" t="n"/>
    </row>
    <row r="331">
      <c r="A331" s="5" t="n"/>
      <c r="B331" s="5" t="n"/>
      <c r="C331" s="25" t="n"/>
      <c r="D331" s="5" t="n"/>
      <c r="E331" s="5" t="n"/>
    </row>
    <row r="332">
      <c r="A332" s="5" t="n"/>
      <c r="B332" s="5" t="n"/>
      <c r="C332" s="25" t="n"/>
      <c r="D332" s="5" t="n"/>
      <c r="E332" s="5" t="n"/>
    </row>
    <row r="333">
      <c r="A333" s="5" t="n"/>
      <c r="B333" s="5" t="n"/>
      <c r="C333" s="25" t="n"/>
      <c r="D333" s="5" t="n"/>
      <c r="E333" s="5" t="n"/>
    </row>
    <row r="334">
      <c r="A334" s="5" t="n"/>
      <c r="B334" s="5" t="n"/>
      <c r="C334" s="25" t="n"/>
      <c r="D334" s="5" t="n"/>
      <c r="E334" s="5" t="n"/>
    </row>
    <row r="335">
      <c r="A335" s="5" t="n"/>
      <c r="B335" s="5" t="n"/>
      <c r="C335" s="25" t="n"/>
      <c r="D335" s="5" t="n"/>
      <c r="E335" s="5" t="n"/>
    </row>
    <row r="336">
      <c r="A336" s="5" t="n"/>
      <c r="B336" s="5" t="n"/>
      <c r="C336" s="25" t="n"/>
      <c r="D336" s="5" t="n"/>
      <c r="E336" s="5" t="n"/>
    </row>
    <row r="337">
      <c r="A337" s="5" t="n"/>
      <c r="B337" s="5" t="n"/>
      <c r="C337" s="25" t="n"/>
      <c r="D337" s="5" t="n"/>
      <c r="E337" s="5" t="n"/>
    </row>
    <row r="338">
      <c r="A338" s="5" t="n"/>
      <c r="B338" s="5" t="n"/>
      <c r="C338" s="25" t="n"/>
      <c r="D338" s="5" t="n"/>
      <c r="E338" s="5" t="n"/>
    </row>
    <row r="339">
      <c r="A339" s="5" t="n"/>
      <c r="B339" s="5" t="n"/>
      <c r="C339" s="25" t="n"/>
      <c r="D339" s="5" t="n"/>
      <c r="E339" s="5" t="n"/>
    </row>
    <row r="340">
      <c r="A340" s="5" t="n"/>
      <c r="B340" s="5" t="n"/>
      <c r="C340" s="25" t="n"/>
      <c r="D340" s="5" t="n"/>
      <c r="E340" s="5" t="n"/>
    </row>
    <row r="341">
      <c r="A341" s="5" t="n"/>
      <c r="B341" s="5" t="n"/>
      <c r="C341" s="25" t="n"/>
      <c r="D341" s="5" t="n"/>
      <c r="E341" s="5" t="n"/>
    </row>
    <row r="342">
      <c r="A342" s="5" t="n"/>
      <c r="B342" s="5" t="n"/>
      <c r="C342" s="25" t="n"/>
      <c r="D342" s="5" t="n"/>
      <c r="E342" s="5" t="n"/>
    </row>
    <row r="343">
      <c r="A343" s="5" t="n"/>
      <c r="B343" s="5" t="n"/>
      <c r="C343" s="25" t="n"/>
      <c r="D343" s="5" t="n"/>
      <c r="E343" s="5" t="n"/>
    </row>
    <row r="344">
      <c r="A344" s="5" t="n"/>
      <c r="B344" s="5" t="n"/>
      <c r="C344" s="25" t="n"/>
      <c r="D344" s="5" t="n"/>
      <c r="E344" s="5" t="n"/>
    </row>
    <row r="345">
      <c r="A345" s="5" t="n"/>
      <c r="B345" s="5" t="n"/>
      <c r="C345" s="25" t="n"/>
      <c r="D345" s="5" t="n"/>
      <c r="E345" s="5" t="n"/>
    </row>
    <row r="346">
      <c r="A346" s="5" t="n"/>
      <c r="B346" s="5" t="n"/>
      <c r="C346" s="25" t="n"/>
      <c r="D346" s="5" t="n"/>
      <c r="E346" s="5" t="n"/>
    </row>
    <row r="347">
      <c r="A347" s="5" t="n"/>
      <c r="B347" s="5" t="n"/>
      <c r="C347" s="25" t="n"/>
      <c r="D347" s="5" t="n"/>
      <c r="E347" s="5" t="n"/>
    </row>
    <row r="348">
      <c r="A348" s="5" t="n"/>
      <c r="B348" s="5" t="n"/>
      <c r="C348" s="25" t="n"/>
      <c r="D348" s="5" t="n"/>
      <c r="E348" s="5" t="n"/>
    </row>
    <row r="349">
      <c r="A349" s="5" t="n"/>
      <c r="B349" s="5" t="n"/>
      <c r="C349" s="25" t="n"/>
      <c r="D349" s="5" t="n"/>
      <c r="E349" s="5" t="n"/>
    </row>
    <row r="350">
      <c r="A350" s="5" t="n"/>
      <c r="B350" s="5" t="n"/>
      <c r="C350" s="25" t="n"/>
      <c r="D350" s="5" t="n"/>
      <c r="E350" s="5" t="n"/>
    </row>
    <row r="351">
      <c r="A351" s="5" t="n"/>
      <c r="B351" s="5" t="n"/>
      <c r="C351" s="25" t="n"/>
      <c r="D351" s="5" t="n"/>
      <c r="E351" s="5" t="n"/>
    </row>
    <row r="352">
      <c r="A352" s="5" t="n"/>
      <c r="B352" s="5" t="n"/>
      <c r="C352" s="25" t="n"/>
      <c r="D352" s="5" t="n"/>
      <c r="E352" s="5" t="n"/>
    </row>
    <row r="353">
      <c r="A353" s="5" t="n"/>
      <c r="B353" s="5" t="n"/>
      <c r="C353" s="25" t="n"/>
      <c r="D353" s="5" t="n"/>
      <c r="E353" s="5" t="n"/>
    </row>
    <row r="354">
      <c r="A354" s="5" t="n"/>
      <c r="B354" s="5" t="n"/>
      <c r="C354" s="25" t="n"/>
      <c r="D354" s="5" t="n"/>
      <c r="E354" s="5" t="n"/>
    </row>
    <row r="355">
      <c r="A355" s="5" t="n"/>
      <c r="B355" s="5" t="n"/>
      <c r="C355" s="25" t="n"/>
      <c r="D355" s="5" t="n"/>
      <c r="E355" s="5" t="n"/>
    </row>
    <row r="356">
      <c r="A356" s="5" t="n"/>
      <c r="B356" s="5" t="n"/>
      <c r="C356" s="25" t="n"/>
      <c r="D356" s="5" t="n"/>
      <c r="E356" s="5" t="n"/>
    </row>
    <row r="357">
      <c r="A357" s="5" t="n"/>
      <c r="B357" s="5" t="n"/>
      <c r="C357" s="25" t="n"/>
      <c r="D357" s="5" t="n"/>
      <c r="E357" s="5" t="n"/>
    </row>
    <row r="358">
      <c r="A358" s="5" t="n"/>
      <c r="B358" s="5" t="n"/>
      <c r="C358" s="25" t="n"/>
      <c r="D358" s="5" t="n"/>
      <c r="E358" s="5" t="n"/>
    </row>
    <row r="359">
      <c r="A359" s="5" t="n"/>
      <c r="B359" s="5" t="n"/>
      <c r="C359" s="25" t="n"/>
      <c r="D359" s="5" t="n"/>
      <c r="E359" s="5" t="n"/>
    </row>
    <row r="360">
      <c r="A360" s="5" t="n"/>
      <c r="B360" s="5" t="n"/>
      <c r="C360" s="25" t="n"/>
      <c r="D360" s="5" t="n"/>
      <c r="E360" s="5" t="n"/>
    </row>
    <row r="361">
      <c r="A361" s="5" t="n"/>
      <c r="B361" s="5" t="n"/>
      <c r="C361" s="25" t="n"/>
      <c r="D361" s="5" t="n"/>
      <c r="E361" s="5" t="n"/>
    </row>
    <row r="362">
      <c r="A362" s="5" t="n"/>
      <c r="B362" s="5" t="n"/>
      <c r="C362" s="25" t="n"/>
      <c r="D362" s="5" t="n"/>
      <c r="E362" s="5" t="n"/>
    </row>
    <row r="363">
      <c r="A363" s="5" t="n"/>
      <c r="B363" s="5" t="n"/>
      <c r="C363" s="25" t="n"/>
      <c r="D363" s="5" t="n"/>
      <c r="E363" s="5" t="n"/>
    </row>
    <row r="364">
      <c r="A364" s="5" t="n"/>
      <c r="B364" s="5" t="n"/>
      <c r="C364" s="25" t="n"/>
      <c r="D364" s="5" t="n"/>
      <c r="E364" s="5" t="n"/>
    </row>
    <row r="365">
      <c r="A365" s="5" t="n"/>
      <c r="B365" s="5" t="n"/>
      <c r="C365" s="25" t="n"/>
      <c r="D365" s="5" t="n"/>
      <c r="E365" s="5" t="n"/>
    </row>
    <row r="366">
      <c r="A366" s="5" t="n"/>
      <c r="B366" s="5" t="n"/>
      <c r="C366" s="25" t="n"/>
      <c r="D366" s="5" t="n"/>
      <c r="E366" s="5" t="n"/>
    </row>
    <row r="367">
      <c r="A367" s="5" t="n"/>
      <c r="B367" s="5" t="n"/>
      <c r="C367" s="25" t="n"/>
      <c r="D367" s="5" t="n"/>
      <c r="E367" s="5" t="n"/>
    </row>
    <row r="368">
      <c r="A368" s="5" t="n"/>
      <c r="B368" s="5" t="n"/>
      <c r="C368" s="25" t="n"/>
      <c r="D368" s="5" t="n"/>
      <c r="E368" s="5" t="n"/>
    </row>
    <row r="369">
      <c r="A369" s="5" t="n"/>
      <c r="B369" s="5" t="n"/>
      <c r="C369" s="25" t="n"/>
      <c r="D369" s="5" t="n"/>
      <c r="E369" s="5" t="n"/>
    </row>
    <row r="370">
      <c r="A370" s="5" t="n"/>
      <c r="B370" s="5" t="n"/>
      <c r="C370" s="25" t="n"/>
      <c r="D370" s="5" t="n"/>
      <c r="E370" s="5" t="n"/>
    </row>
    <row r="371">
      <c r="A371" s="5" t="n"/>
      <c r="B371" s="5" t="n"/>
      <c r="C371" s="25" t="n"/>
      <c r="D371" s="5" t="n"/>
      <c r="E371" s="5" t="n"/>
    </row>
    <row r="372">
      <c r="A372" s="5" t="n"/>
      <c r="B372" s="5" t="n"/>
      <c r="C372" s="25" t="n"/>
      <c r="D372" s="5" t="n"/>
      <c r="E372" s="5" t="n"/>
    </row>
    <row r="373">
      <c r="A373" s="5" t="n"/>
      <c r="B373" s="5" t="n"/>
      <c r="C373" s="25" t="n"/>
      <c r="D373" s="5" t="n"/>
      <c r="E373" s="5" t="n"/>
    </row>
    <row r="374">
      <c r="A374" s="5" t="n"/>
      <c r="B374" s="5" t="n"/>
      <c r="C374" s="25" t="n"/>
      <c r="D374" s="5" t="n"/>
      <c r="E374" s="5" t="n"/>
    </row>
    <row r="375">
      <c r="A375" s="5" t="n"/>
      <c r="B375" s="5" t="n"/>
      <c r="C375" s="25" t="n"/>
      <c r="D375" s="5" t="n"/>
      <c r="E375" s="5" t="n"/>
    </row>
    <row r="376">
      <c r="A376" s="5" t="n"/>
      <c r="B376" s="5" t="n"/>
      <c r="C376" s="25" t="n"/>
      <c r="D376" s="5" t="n"/>
      <c r="E376" s="5" t="n"/>
    </row>
    <row r="377">
      <c r="A377" s="5" t="n"/>
      <c r="B377" s="5" t="n"/>
      <c r="C377" s="25" t="n"/>
      <c r="D377" s="5" t="n"/>
      <c r="E377" s="5" t="n"/>
    </row>
    <row r="378">
      <c r="A378" s="5" t="n"/>
      <c r="B378" s="5" t="n"/>
      <c r="C378" s="25" t="n"/>
      <c r="D378" s="5" t="n"/>
      <c r="E378" s="5" t="n"/>
    </row>
    <row r="379">
      <c r="A379" s="5" t="n"/>
      <c r="B379" s="5" t="n"/>
      <c r="C379" s="25" t="n"/>
      <c r="D379" s="5" t="n"/>
      <c r="E379" s="5" t="n"/>
    </row>
    <row r="380">
      <c r="A380" s="5" t="n"/>
      <c r="B380" s="5" t="n"/>
      <c r="C380" s="25" t="n"/>
      <c r="D380" s="5" t="n"/>
      <c r="E380" s="5" t="n"/>
    </row>
    <row r="381">
      <c r="A381" s="5" t="n"/>
      <c r="B381" s="5" t="n"/>
      <c r="C381" s="25" t="n"/>
      <c r="D381" s="5" t="n"/>
      <c r="E381" s="5" t="n"/>
    </row>
    <row r="382">
      <c r="A382" s="5" t="n"/>
      <c r="B382" s="5" t="n"/>
      <c r="C382" s="25" t="n"/>
      <c r="D382" s="5" t="n"/>
      <c r="E382" s="5" t="n"/>
    </row>
    <row r="383">
      <c r="A383" s="5" t="n"/>
      <c r="B383" s="5" t="n"/>
      <c r="C383" s="25" t="n"/>
      <c r="D383" s="5" t="n"/>
      <c r="E383" s="5" t="n"/>
    </row>
    <row r="384">
      <c r="A384" s="5" t="n"/>
      <c r="B384" s="5" t="n"/>
      <c r="C384" s="25" t="n"/>
      <c r="D384" s="5" t="n"/>
      <c r="E384" s="5" t="n"/>
    </row>
    <row r="385">
      <c r="A385" s="5" t="n"/>
      <c r="B385" s="5" t="n"/>
      <c r="C385" s="25" t="n"/>
      <c r="D385" s="5" t="n"/>
      <c r="E385" s="5" t="n"/>
    </row>
    <row r="386">
      <c r="A386" s="5" t="n"/>
      <c r="B386" s="5" t="n"/>
      <c r="C386" s="25" t="n"/>
      <c r="D386" s="5" t="n"/>
      <c r="E386" s="5" t="n"/>
    </row>
    <row r="387">
      <c r="A387" s="5" t="n"/>
      <c r="B387" s="5" t="n"/>
      <c r="C387" s="25" t="n"/>
      <c r="D387" s="5" t="n"/>
      <c r="E387" s="5" t="n"/>
    </row>
    <row r="388">
      <c r="A388" s="5" t="n"/>
      <c r="B388" s="5" t="n"/>
      <c r="C388" s="25" t="n"/>
      <c r="D388" s="5" t="n"/>
      <c r="E388" s="5" t="n"/>
    </row>
    <row r="389">
      <c r="A389" s="5" t="n"/>
      <c r="B389" s="5" t="n"/>
      <c r="C389" s="25" t="n"/>
      <c r="D389" s="5" t="n"/>
      <c r="E389" s="5" t="n"/>
    </row>
    <row r="390">
      <c r="A390" s="5" t="n"/>
      <c r="B390" s="5" t="n"/>
      <c r="C390" s="25" t="n"/>
      <c r="D390" s="5" t="n"/>
      <c r="E390" s="5" t="n"/>
    </row>
    <row r="391">
      <c r="A391" s="5" t="n"/>
      <c r="B391" s="5" t="n"/>
      <c r="C391" s="25" t="n"/>
      <c r="D391" s="5" t="n"/>
      <c r="E391" s="5" t="n"/>
    </row>
    <row r="392">
      <c r="A392" s="5" t="n"/>
      <c r="B392" s="5" t="n"/>
      <c r="C392" s="25" t="n"/>
      <c r="D392" s="5" t="n"/>
      <c r="E392" s="5" t="n"/>
    </row>
    <row r="393">
      <c r="A393" s="5" t="n"/>
      <c r="B393" s="5" t="n"/>
      <c r="C393" s="25" t="n"/>
      <c r="D393" s="5" t="n"/>
      <c r="E393" s="5" t="n"/>
    </row>
    <row r="394">
      <c r="A394" s="5" t="n"/>
      <c r="B394" s="5" t="n"/>
      <c r="C394" s="25" t="n"/>
      <c r="D394" s="5" t="n"/>
      <c r="E394" s="5" t="n"/>
    </row>
    <row r="395">
      <c r="A395" s="5" t="n"/>
      <c r="B395" s="5" t="n"/>
      <c r="C395" s="25" t="n"/>
      <c r="D395" s="5" t="n"/>
      <c r="E395" s="5" t="n"/>
    </row>
    <row r="396">
      <c r="A396" s="5" t="n"/>
      <c r="B396" s="5" t="n"/>
      <c r="C396" s="25" t="n"/>
      <c r="D396" s="5" t="n"/>
      <c r="E396" s="5" t="n"/>
    </row>
    <row r="397">
      <c r="A397" s="5" t="n"/>
      <c r="B397" s="5" t="n"/>
      <c r="C397" s="25" t="n"/>
      <c r="D397" s="5" t="n"/>
      <c r="E397" s="5" t="n"/>
    </row>
    <row r="398">
      <c r="A398" s="5" t="n"/>
      <c r="B398" s="5" t="n"/>
      <c r="C398" s="25" t="n"/>
      <c r="D398" s="5" t="n"/>
      <c r="E398" s="5" t="n"/>
    </row>
    <row r="399">
      <c r="A399" s="5" t="n"/>
      <c r="B399" s="5" t="n"/>
      <c r="C399" s="25" t="n"/>
      <c r="D399" s="5" t="n"/>
      <c r="E399" s="5" t="n"/>
    </row>
    <row r="400">
      <c r="A400" s="5" t="n"/>
      <c r="B400" s="5" t="n"/>
      <c r="C400" s="25" t="n"/>
      <c r="D400" s="5" t="n"/>
      <c r="E400" s="5" t="n"/>
    </row>
    <row r="401">
      <c r="A401" s="5" t="n"/>
      <c r="B401" s="5" t="n"/>
      <c r="C401" s="25" t="n"/>
      <c r="D401" s="5" t="n"/>
      <c r="E401" s="5" t="n"/>
    </row>
    <row r="402">
      <c r="A402" s="5" t="n"/>
      <c r="B402" s="5" t="n"/>
      <c r="C402" s="25" t="n"/>
      <c r="D402" s="5" t="n"/>
      <c r="E402" s="5" t="n"/>
    </row>
    <row r="403">
      <c r="A403" s="5" t="n"/>
      <c r="B403" s="5" t="n"/>
      <c r="C403" s="25" t="n"/>
      <c r="D403" s="5" t="n"/>
      <c r="E403" s="5" t="n"/>
    </row>
    <row r="404">
      <c r="A404" s="5" t="n"/>
      <c r="B404" s="5" t="n"/>
      <c r="C404" s="25" t="n"/>
      <c r="D404" s="5" t="n"/>
      <c r="E404" s="5" t="n"/>
    </row>
    <row r="405">
      <c r="A405" s="5" t="n"/>
      <c r="B405" s="5" t="n"/>
      <c r="C405" s="25" t="n"/>
      <c r="D405" s="5" t="n"/>
      <c r="E405" s="5" t="n"/>
    </row>
    <row r="406">
      <c r="A406" s="5" t="n"/>
      <c r="B406" s="5" t="n"/>
      <c r="C406" s="25" t="n"/>
      <c r="D406" s="5" t="n"/>
      <c r="E406" s="5" t="n"/>
    </row>
    <row r="407">
      <c r="A407" s="5" t="n"/>
      <c r="B407" s="5" t="n"/>
      <c r="C407" s="25" t="n"/>
      <c r="D407" s="5" t="n"/>
      <c r="E407" s="5" t="n"/>
    </row>
    <row r="408">
      <c r="A408" s="5" t="n"/>
      <c r="B408" s="5" t="n"/>
      <c r="C408" s="25" t="n"/>
      <c r="D408" s="5" t="n"/>
      <c r="E408" s="5" t="n"/>
    </row>
    <row r="409">
      <c r="A409" s="5" t="n"/>
      <c r="B409" s="5" t="n"/>
      <c r="C409" s="25" t="n"/>
      <c r="D409" s="5" t="n"/>
      <c r="E409" s="5" t="n"/>
    </row>
    <row r="410">
      <c r="A410" s="5" t="n"/>
      <c r="B410" s="5" t="n"/>
      <c r="C410" s="25" t="n"/>
      <c r="D410" s="5" t="n"/>
      <c r="E410" s="5" t="n"/>
    </row>
    <row r="411">
      <c r="A411" s="5" t="n"/>
      <c r="B411" s="5" t="n"/>
      <c r="C411" s="25" t="n"/>
      <c r="D411" s="5" t="n"/>
      <c r="E411" s="5" t="n"/>
    </row>
    <row r="412">
      <c r="A412" s="5" t="n"/>
      <c r="B412" s="5" t="n"/>
      <c r="C412" s="25" t="n"/>
      <c r="D412" s="5" t="n"/>
      <c r="E412" s="5" t="n"/>
    </row>
    <row r="413">
      <c r="A413" s="5" t="n"/>
      <c r="B413" s="5" t="n"/>
      <c r="C413" s="25" t="n"/>
      <c r="D413" s="5" t="n"/>
      <c r="E413" s="5" t="n"/>
    </row>
    <row r="414">
      <c r="A414" s="5" t="n"/>
      <c r="B414" s="5" t="n"/>
      <c r="C414" s="25" t="n"/>
      <c r="D414" s="5" t="n"/>
      <c r="E414" s="5" t="n"/>
    </row>
    <row r="415">
      <c r="A415" s="5" t="n"/>
      <c r="B415" s="5" t="n"/>
      <c r="C415" s="25" t="n"/>
      <c r="D415" s="5" t="n"/>
      <c r="E415" s="5" t="n"/>
    </row>
    <row r="416">
      <c r="A416" s="5" t="n"/>
      <c r="B416" s="5" t="n"/>
      <c r="C416" s="25" t="n"/>
      <c r="D416" s="5" t="n"/>
      <c r="E416" s="5" t="n"/>
    </row>
    <row r="417">
      <c r="A417" s="5" t="n"/>
      <c r="B417" s="5" t="n"/>
      <c r="C417" s="25" t="n"/>
      <c r="D417" s="5" t="n"/>
      <c r="E417" s="5" t="n"/>
    </row>
    <row r="418">
      <c r="A418" s="5" t="n"/>
      <c r="B418" s="5" t="n"/>
      <c r="C418" s="25" t="n"/>
      <c r="D418" s="5" t="n"/>
      <c r="E418" s="5" t="n"/>
    </row>
    <row r="419">
      <c r="A419" s="5" t="n"/>
      <c r="B419" s="5" t="n"/>
      <c r="C419" s="25" t="n"/>
      <c r="D419" s="5" t="n"/>
      <c r="E419" s="5" t="n"/>
    </row>
    <row r="420">
      <c r="A420" s="5" t="n"/>
      <c r="B420" s="5" t="n"/>
      <c r="C420" s="25" t="n"/>
      <c r="D420" s="5" t="n"/>
      <c r="E420" s="5" t="n"/>
    </row>
    <row r="421">
      <c r="A421" s="5" t="n"/>
      <c r="B421" s="5" t="n"/>
      <c r="C421" s="25" t="n"/>
      <c r="D421" s="5" t="n"/>
      <c r="E421" s="5" t="n"/>
    </row>
    <row r="422">
      <c r="A422" s="5" t="n"/>
      <c r="B422" s="5" t="n"/>
      <c r="C422" s="25" t="n"/>
      <c r="D422" s="5" t="n"/>
      <c r="E422" s="5" t="n"/>
    </row>
    <row r="423">
      <c r="A423" s="5" t="n"/>
      <c r="B423" s="5" t="n"/>
      <c r="C423" s="25" t="n"/>
      <c r="D423" s="5" t="n"/>
      <c r="E423" s="5" t="n"/>
    </row>
    <row r="424">
      <c r="A424" s="5" t="n"/>
      <c r="B424" s="5" t="n"/>
      <c r="C424" s="25" t="n"/>
      <c r="D424" s="5" t="n"/>
      <c r="E424" s="5" t="n"/>
    </row>
    <row r="425">
      <c r="A425" s="5" t="n"/>
      <c r="B425" s="5" t="n"/>
      <c r="C425" s="25" t="n"/>
      <c r="D425" s="5" t="n"/>
      <c r="E425" s="5" t="n"/>
    </row>
    <row r="426">
      <c r="A426" s="5" t="n"/>
      <c r="B426" s="5" t="n"/>
      <c r="C426" s="25" t="n"/>
      <c r="D426" s="5" t="n"/>
      <c r="E426" s="5" t="n"/>
    </row>
    <row r="427">
      <c r="A427" s="5" t="n"/>
      <c r="B427" s="5" t="n"/>
      <c r="C427" s="25" t="n"/>
      <c r="D427" s="5" t="n"/>
      <c r="E427" s="5" t="n"/>
    </row>
    <row r="428">
      <c r="A428" s="5" t="n"/>
      <c r="B428" s="5" t="n"/>
      <c r="C428" s="25" t="n"/>
      <c r="D428" s="5" t="n"/>
      <c r="E428" s="5" t="n"/>
    </row>
    <row r="429">
      <c r="A429" s="5" t="n"/>
      <c r="B429" s="5" t="n"/>
      <c r="C429" s="25" t="n"/>
      <c r="D429" s="5" t="n"/>
      <c r="E429" s="5" t="n"/>
    </row>
    <row r="430">
      <c r="A430" s="5" t="n"/>
      <c r="B430" s="5" t="n"/>
      <c r="C430" s="25" t="n"/>
      <c r="D430" s="5" t="n"/>
      <c r="E430" s="5" t="n"/>
    </row>
    <row r="431">
      <c r="A431" s="5" t="n"/>
      <c r="B431" s="5" t="n"/>
      <c r="C431" s="25" t="n"/>
      <c r="D431" s="5" t="n"/>
      <c r="E431" s="5" t="n"/>
    </row>
    <row r="432">
      <c r="A432" s="5" t="n"/>
      <c r="B432" s="5" t="n"/>
      <c r="C432" s="25" t="n"/>
      <c r="D432" s="5" t="n"/>
      <c r="E432" s="5" t="n"/>
    </row>
    <row r="433">
      <c r="A433" s="5" t="n"/>
      <c r="B433" s="5" t="n"/>
      <c r="C433" s="25" t="n"/>
      <c r="D433" s="5" t="n"/>
      <c r="E433" s="5" t="n"/>
    </row>
    <row r="434">
      <c r="A434" s="5" t="n"/>
      <c r="B434" s="5" t="n"/>
      <c r="C434" s="25" t="n"/>
      <c r="D434" s="5" t="n"/>
      <c r="E434" s="5" t="n"/>
    </row>
    <row r="435">
      <c r="A435" s="5" t="n"/>
      <c r="B435" s="5" t="n"/>
      <c r="C435" s="25" t="n"/>
      <c r="D435" s="5" t="n"/>
      <c r="E435" s="5" t="n"/>
    </row>
    <row r="436">
      <c r="A436" s="5" t="n"/>
      <c r="B436" s="5" t="n"/>
      <c r="C436" s="25" t="n"/>
      <c r="D436" s="5" t="n"/>
      <c r="E436" s="5" t="n"/>
    </row>
    <row r="437">
      <c r="A437" s="5" t="n"/>
      <c r="B437" s="5" t="n"/>
      <c r="C437" s="25" t="n"/>
      <c r="D437" s="5" t="n"/>
      <c r="E437" s="5" t="n"/>
    </row>
    <row r="438">
      <c r="A438" s="5" t="n"/>
      <c r="B438" s="5" t="n"/>
      <c r="C438" s="25" t="n"/>
      <c r="D438" s="5" t="n"/>
      <c r="E438" s="5" t="n"/>
    </row>
    <row r="439">
      <c r="A439" s="5" t="n"/>
      <c r="B439" s="5" t="n"/>
      <c r="C439" s="25" t="n"/>
      <c r="D439" s="5" t="n"/>
      <c r="E439" s="5" t="n"/>
    </row>
    <row r="440">
      <c r="A440" s="5" t="n"/>
      <c r="B440" s="5" t="n"/>
      <c r="C440" s="25" t="n"/>
      <c r="D440" s="5" t="n"/>
      <c r="E440" s="5" t="n"/>
    </row>
    <row r="441">
      <c r="A441" s="5" t="n"/>
      <c r="B441" s="5" t="n"/>
      <c r="C441" s="25" t="n"/>
      <c r="D441" s="5" t="n"/>
      <c r="E441" s="5" t="n"/>
    </row>
    <row r="442">
      <c r="A442" s="5" t="n"/>
      <c r="B442" s="5" t="n"/>
      <c r="C442" s="25" t="n"/>
      <c r="D442" s="5" t="n"/>
      <c r="E442" s="5" t="n"/>
    </row>
    <row r="443">
      <c r="A443" s="5" t="n"/>
      <c r="B443" s="5" t="n"/>
      <c r="C443" s="25" t="n"/>
      <c r="D443" s="5" t="n"/>
      <c r="E443" s="5" t="n"/>
    </row>
    <row r="444">
      <c r="A444" s="5" t="n"/>
      <c r="B444" s="5" t="n"/>
      <c r="C444" s="25" t="n"/>
      <c r="D444" s="5" t="n"/>
      <c r="E444" s="5" t="n"/>
    </row>
    <row r="445">
      <c r="A445" s="5" t="n"/>
      <c r="B445" s="5" t="n"/>
      <c r="C445" s="25" t="n"/>
      <c r="D445" s="5" t="n"/>
      <c r="E445" s="5" t="n"/>
    </row>
    <row r="446">
      <c r="A446" s="5" t="n"/>
      <c r="B446" s="5" t="n"/>
      <c r="C446" s="25" t="n"/>
      <c r="D446" s="5" t="n"/>
      <c r="E446" s="5" t="n"/>
    </row>
    <row r="447">
      <c r="A447" s="5" t="n"/>
      <c r="B447" s="5" t="n"/>
      <c r="C447" s="25" t="n"/>
      <c r="D447" s="5" t="n"/>
      <c r="E447" s="5" t="n"/>
    </row>
    <row r="448">
      <c r="A448" s="5" t="n"/>
      <c r="B448" s="5" t="n"/>
      <c r="C448" s="25" t="n"/>
      <c r="D448" s="5" t="n"/>
      <c r="E448" s="5" t="n"/>
    </row>
    <row r="449">
      <c r="A449" s="5" t="n"/>
      <c r="B449" s="5" t="n"/>
      <c r="C449" s="25" t="n"/>
      <c r="D449" s="5" t="n"/>
      <c r="E449" s="5" t="n"/>
    </row>
    <row r="450">
      <c r="A450" s="5" t="n"/>
      <c r="B450" s="5" t="n"/>
      <c r="C450" s="25" t="n"/>
      <c r="D450" s="5" t="n"/>
      <c r="E450" s="5" t="n"/>
    </row>
    <row r="451">
      <c r="A451" s="5" t="n"/>
      <c r="B451" s="5" t="n"/>
      <c r="C451" s="25" t="n"/>
      <c r="D451" s="5" t="n"/>
      <c r="E451" s="5" t="n"/>
    </row>
    <row r="452">
      <c r="A452" s="5" t="n"/>
      <c r="B452" s="5" t="n"/>
      <c r="C452" s="25" t="n"/>
      <c r="D452" s="5" t="n"/>
      <c r="E452" s="5" t="n"/>
    </row>
    <row r="453">
      <c r="A453" s="5" t="n"/>
      <c r="B453" s="5" t="n"/>
      <c r="C453" s="25" t="n"/>
      <c r="D453" s="5" t="n"/>
      <c r="E453" s="5" t="n"/>
    </row>
    <row r="454">
      <c r="A454" s="5" t="n"/>
      <c r="B454" s="5" t="n"/>
      <c r="C454" s="25" t="n"/>
      <c r="D454" s="5" t="n"/>
      <c r="E454" s="5" t="n"/>
    </row>
    <row r="455">
      <c r="A455" s="5" t="n"/>
      <c r="B455" s="5" t="n"/>
      <c r="C455" s="25" t="n"/>
      <c r="D455" s="5" t="n"/>
      <c r="E455" s="5" t="n"/>
    </row>
    <row r="456">
      <c r="A456" s="5" t="n"/>
      <c r="B456" s="5" t="n"/>
      <c r="C456" s="25" t="n"/>
      <c r="D456" s="5" t="n"/>
      <c r="E456" s="5" t="n"/>
    </row>
    <row r="457">
      <c r="A457" s="5" t="n"/>
      <c r="B457" s="5" t="n"/>
      <c r="C457" s="25" t="n"/>
      <c r="D457" s="5" t="n"/>
      <c r="E457" s="5" t="n"/>
    </row>
    <row r="458">
      <c r="A458" s="5" t="n"/>
      <c r="B458" s="5" t="n"/>
      <c r="C458" s="25" t="n"/>
      <c r="D458" s="5" t="n"/>
      <c r="E458" s="5" t="n"/>
    </row>
    <row r="459">
      <c r="A459" s="5" t="n"/>
      <c r="B459" s="5" t="n"/>
      <c r="C459" s="25" t="n"/>
      <c r="D459" s="5" t="n"/>
      <c r="E459" s="5" t="n"/>
    </row>
    <row r="460">
      <c r="A460" s="5" t="n"/>
      <c r="B460" s="5" t="n"/>
      <c r="C460" s="25" t="n"/>
      <c r="D460" s="5" t="n"/>
      <c r="E460" s="5" t="n"/>
    </row>
    <row r="461">
      <c r="A461" s="5" t="n"/>
      <c r="B461" s="5" t="n"/>
      <c r="C461" s="25" t="n"/>
      <c r="D461" s="5" t="n"/>
      <c r="E461" s="5" t="n"/>
    </row>
    <row r="462">
      <c r="A462" s="5" t="n"/>
      <c r="B462" s="5" t="n"/>
      <c r="C462" s="25" t="n"/>
      <c r="D462" s="5" t="n"/>
      <c r="E462" s="5" t="n"/>
    </row>
    <row r="463">
      <c r="A463" s="5" t="n"/>
      <c r="B463" s="5" t="n"/>
      <c r="C463" s="25" t="n"/>
      <c r="D463" s="5" t="n"/>
      <c r="E463" s="5" t="n"/>
    </row>
    <row r="464">
      <c r="A464" s="5" t="n"/>
      <c r="B464" s="5" t="n"/>
      <c r="C464" s="25" t="n"/>
      <c r="D464" s="5" t="n"/>
      <c r="E464" s="5" t="n"/>
    </row>
    <row r="465">
      <c r="A465" s="5" t="n"/>
      <c r="B465" s="5" t="n"/>
      <c r="C465" s="25" t="n"/>
      <c r="D465" s="5" t="n"/>
      <c r="E465" s="5" t="n"/>
    </row>
    <row r="466">
      <c r="A466" s="5" t="n"/>
      <c r="B466" s="5" t="n"/>
      <c r="C466" s="25" t="n"/>
      <c r="D466" s="5" t="n"/>
      <c r="E466" s="5" t="n"/>
    </row>
    <row r="467">
      <c r="A467" s="5" t="n"/>
      <c r="B467" s="5" t="n"/>
      <c r="C467" s="25" t="n"/>
      <c r="D467" s="5" t="n"/>
      <c r="E467" s="5" t="n"/>
    </row>
    <row r="468">
      <c r="A468" s="5" t="n"/>
      <c r="B468" s="5" t="n"/>
      <c r="C468" s="25" t="n"/>
      <c r="D468" s="5" t="n"/>
      <c r="E468" s="5" t="n"/>
    </row>
    <row r="469">
      <c r="A469" s="5" t="n"/>
      <c r="B469" s="5" t="n"/>
      <c r="C469" s="25" t="n"/>
      <c r="D469" s="5" t="n"/>
      <c r="E469" s="5" t="n"/>
    </row>
    <row r="470">
      <c r="A470" s="5" t="n"/>
      <c r="B470" s="5" t="n"/>
      <c r="C470" s="25" t="n"/>
      <c r="D470" s="5" t="n"/>
      <c r="E470" s="5" t="n"/>
    </row>
    <row r="471">
      <c r="A471" s="5" t="n"/>
      <c r="B471" s="5" t="n"/>
      <c r="C471" s="25" t="n"/>
      <c r="D471" s="5" t="n"/>
      <c r="E471" s="5" t="n"/>
    </row>
    <row r="472">
      <c r="A472" s="5" t="n"/>
      <c r="B472" s="5" t="n"/>
      <c r="C472" s="25" t="n"/>
      <c r="D472" s="5" t="n"/>
      <c r="E472" s="5" t="n"/>
    </row>
    <row r="473">
      <c r="A473" s="5" t="n"/>
      <c r="B473" s="5" t="n"/>
      <c r="C473" s="25" t="n"/>
      <c r="D473" s="5" t="n"/>
      <c r="E473" s="5" t="n"/>
    </row>
    <row r="474">
      <c r="A474" s="5" t="n"/>
      <c r="B474" s="5" t="n"/>
      <c r="C474" s="25" t="n"/>
      <c r="D474" s="5" t="n"/>
      <c r="E474" s="5" t="n"/>
    </row>
    <row r="475">
      <c r="A475" s="5" t="n"/>
      <c r="B475" s="5" t="n"/>
      <c r="C475" s="25" t="n"/>
      <c r="D475" s="5" t="n"/>
      <c r="E475" s="5" t="n"/>
    </row>
    <row r="476">
      <c r="A476" s="5" t="n"/>
      <c r="B476" s="5" t="n"/>
      <c r="C476" s="25" t="n"/>
      <c r="D476" s="5" t="n"/>
      <c r="E476" s="5" t="n"/>
    </row>
    <row r="477">
      <c r="A477" s="5" t="n"/>
      <c r="B477" s="5" t="n"/>
      <c r="C477" s="25" t="n"/>
      <c r="D477" s="5" t="n"/>
      <c r="E477" s="5" t="n"/>
    </row>
    <row r="478">
      <c r="A478" s="5" t="n"/>
      <c r="B478" s="5" t="n"/>
      <c r="C478" s="25" t="n"/>
      <c r="D478" s="5" t="n"/>
      <c r="E478" s="5" t="n"/>
    </row>
    <row r="479">
      <c r="A479" s="5" t="n"/>
      <c r="B479" s="5" t="n"/>
      <c r="C479" s="25" t="n"/>
      <c r="D479" s="5" t="n"/>
      <c r="E479" s="5" t="n"/>
    </row>
    <row r="480">
      <c r="A480" s="5" t="n"/>
      <c r="B480" s="5" t="n"/>
      <c r="C480" s="25" t="n"/>
      <c r="D480" s="5" t="n"/>
      <c r="E480" s="5" t="n"/>
    </row>
    <row r="481">
      <c r="A481" s="5" t="n"/>
      <c r="B481" s="5" t="n"/>
      <c r="C481" s="25" t="n"/>
      <c r="D481" s="5" t="n"/>
      <c r="E481" s="5" t="n"/>
    </row>
    <row r="482">
      <c r="A482" s="5" t="n"/>
      <c r="B482" s="5" t="n"/>
      <c r="C482" s="25" t="n"/>
      <c r="D482" s="5" t="n"/>
      <c r="E482" s="5" t="n"/>
    </row>
    <row r="483">
      <c r="A483" s="5" t="n"/>
      <c r="B483" s="5" t="n"/>
      <c r="C483" s="25" t="n"/>
      <c r="D483" s="5" t="n"/>
      <c r="E483" s="5" t="n"/>
    </row>
    <row r="484">
      <c r="A484" s="5" t="n"/>
      <c r="B484" s="5" t="n"/>
      <c r="C484" s="25" t="n"/>
      <c r="D484" s="5" t="n"/>
      <c r="E484" s="5" t="n"/>
    </row>
    <row r="485">
      <c r="A485" s="5" t="n"/>
      <c r="B485" s="5" t="n"/>
      <c r="C485" s="25" t="n"/>
      <c r="D485" s="5" t="n"/>
      <c r="E485" s="5" t="n"/>
    </row>
    <row r="486">
      <c r="A486" s="5" t="n"/>
      <c r="B486" s="5" t="n"/>
      <c r="C486" s="25" t="n"/>
      <c r="D486" s="5" t="n"/>
      <c r="E486" s="5" t="n"/>
    </row>
    <row r="487">
      <c r="A487" s="5" t="n"/>
      <c r="B487" s="5" t="n"/>
      <c r="C487" s="25" t="n"/>
      <c r="D487" s="5" t="n"/>
      <c r="E487" s="5" t="n"/>
    </row>
    <row r="488">
      <c r="A488" s="5" t="n"/>
      <c r="B488" s="5" t="n"/>
      <c r="C488" s="25" t="n"/>
      <c r="D488" s="5" t="n"/>
      <c r="E488" s="5" t="n"/>
    </row>
    <row r="489">
      <c r="A489" s="5" t="n"/>
      <c r="B489" s="5" t="n"/>
      <c r="C489" s="25" t="n"/>
      <c r="D489" s="5" t="n"/>
      <c r="E489" s="5" t="n"/>
    </row>
    <row r="490">
      <c r="A490" s="5" t="n"/>
      <c r="B490" s="5" t="n"/>
      <c r="C490" s="25" t="n"/>
      <c r="D490" s="5" t="n"/>
      <c r="E490" s="5" t="n"/>
    </row>
    <row r="491">
      <c r="A491" s="5" t="n"/>
      <c r="B491" s="5" t="n"/>
      <c r="C491" s="25" t="n"/>
      <c r="D491" s="5" t="n"/>
      <c r="E491" s="5" t="n"/>
    </row>
    <row r="492">
      <c r="A492" s="5" t="n"/>
      <c r="B492" s="5" t="n"/>
      <c r="C492" s="25" t="n"/>
      <c r="D492" s="5" t="n"/>
      <c r="E492" s="5" t="n"/>
    </row>
    <row r="493">
      <c r="A493" s="5" t="n"/>
      <c r="B493" s="5" t="n"/>
      <c r="C493" s="25" t="n"/>
      <c r="D493" s="5" t="n"/>
      <c r="E493" s="5" t="n"/>
    </row>
    <row r="494">
      <c r="A494" s="5" t="n"/>
      <c r="B494" s="5" t="n"/>
      <c r="C494" s="25" t="n"/>
      <c r="D494" s="5" t="n"/>
      <c r="E494" s="5" t="n"/>
    </row>
    <row r="495">
      <c r="A495" s="5" t="n"/>
      <c r="B495" s="5" t="n"/>
      <c r="C495" s="25" t="n"/>
      <c r="D495" s="5" t="n"/>
      <c r="E495" s="5" t="n"/>
    </row>
    <row r="496">
      <c r="A496" s="5" t="n"/>
      <c r="B496" s="5" t="n"/>
      <c r="C496" s="25" t="n"/>
      <c r="D496" s="5" t="n"/>
      <c r="E496" s="5" t="n"/>
    </row>
    <row r="497">
      <c r="A497" s="5" t="n"/>
      <c r="B497" s="5" t="n"/>
      <c r="C497" s="25" t="n"/>
      <c r="D497" s="5" t="n"/>
      <c r="E497" s="5" t="n"/>
    </row>
    <row r="498">
      <c r="A498" s="5" t="n"/>
      <c r="B498" s="5" t="n"/>
      <c r="C498" s="25" t="n"/>
      <c r="D498" s="5" t="n"/>
      <c r="E498" s="5" t="n"/>
    </row>
    <row r="499">
      <c r="A499" s="5" t="n"/>
      <c r="B499" s="5" t="n"/>
      <c r="C499" s="25" t="n"/>
      <c r="D499" s="5" t="n"/>
      <c r="E499" s="5" t="n"/>
    </row>
    <row r="500">
      <c r="A500" s="5" t="n"/>
      <c r="B500" s="5" t="n"/>
      <c r="C500" s="25" t="n"/>
      <c r="D500" s="5" t="n"/>
      <c r="E500" s="5" t="n"/>
    </row>
    <row r="501">
      <c r="A501" s="5" t="n"/>
      <c r="B501" s="5" t="n"/>
      <c r="C501" s="25" t="n"/>
      <c r="D501" s="5" t="n"/>
      <c r="E501" s="5" t="n"/>
    </row>
    <row r="502">
      <c r="A502" s="5" t="n"/>
      <c r="B502" s="5" t="n"/>
      <c r="C502" s="25" t="n"/>
      <c r="D502" s="5" t="n"/>
      <c r="E502" s="5" t="n"/>
    </row>
    <row r="503">
      <c r="A503" s="5" t="n"/>
      <c r="B503" s="5" t="n"/>
      <c r="C503" s="25" t="n"/>
      <c r="D503" s="5" t="n"/>
      <c r="E503" s="5" t="n"/>
    </row>
    <row r="504">
      <c r="A504" s="5" t="n"/>
      <c r="B504" s="5" t="n"/>
      <c r="C504" s="25" t="n"/>
      <c r="D504" s="5" t="n"/>
      <c r="E504" s="5" t="n"/>
    </row>
  </sheetData>
  <autoFilter ref="A4:E504"/>
  <mergeCells count="2">
    <mergeCell ref="A2:E2"/>
    <mergeCell ref="A1:E1"/>
  </mergeCells>
  <conditionalFormatting sqref="E5:E504">
    <cfRule type="expression" priority="1" dxfId="0">
      <formula>ISNUMBER(SEARCH("Tamam",E5))</formula>
    </cfRule>
    <cfRule type="expression" priority="2" dxfId="1">
      <formula>ISNUMBER(SEARCH("Devam",E5))</formula>
    </cfRule>
  </conditionalFormatting>
  <dataValidations count="1">
    <dataValidation sqref="E5:E504" showDropDown="0" showInputMessage="0" showErrorMessage="0" allowBlank="1" type="list">
      <formula1>"Bekliyor,Devam ediyor,Tamam"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sablon</t>
        </is>
      </c>
      <c r="B1" t="inlineStr">
        <is>
          <t>anahtar-teslim</t>
        </is>
      </c>
      <c r="C1" t="inlineStr">
        <is>
          <t>surum</t>
        </is>
      </c>
      <c r="D1" t="inlineStr">
        <is>
          <t>1.0</t>
        </is>
      </c>
    </row>
    <row r="2">
      <c r="A2" t="inlineStr">
        <is>
          <t>sayfa</t>
        </is>
      </c>
      <c r="B2" t="inlineStr">
        <is>
          <t>kaynak</t>
        </is>
      </c>
      <c r="C2" t="inlineStr">
        <is>
          <t>sütun başlığı</t>
        </is>
      </c>
      <c r="D2" t="inlineStr">
        <is>
          <t>alan</t>
        </is>
      </c>
    </row>
    <row r="3">
      <c r="A3" t="inlineStr">
        <is>
          <t>Özet</t>
        </is>
      </c>
      <c r="B3" t="inlineStr">
        <is>
          <t>alanlar:01-ozet.md</t>
        </is>
      </c>
      <c r="C3" t="inlineStr">
        <is>
          <t>İhale Kayıt No (İKN)</t>
        </is>
      </c>
      <c r="D3" t="inlineStr">
        <is>
          <t>İKN|İhale kayıt no|İhale kodu</t>
        </is>
      </c>
    </row>
    <row r="4">
      <c r="A4" t="inlineStr">
        <is>
          <t>Özet</t>
        </is>
      </c>
      <c r="B4" t="inlineStr">
        <is>
          <t>alanlar:01-ozet.md</t>
        </is>
      </c>
      <c r="C4" t="inlineStr">
        <is>
          <t>İdare</t>
        </is>
      </c>
      <c r="D4" t="inlineStr">
        <is>
          <t>İdare</t>
        </is>
      </c>
    </row>
    <row r="5">
      <c r="A5" t="inlineStr">
        <is>
          <t>Özet</t>
        </is>
      </c>
      <c r="B5" t="inlineStr">
        <is>
          <t>alanlar:01-ozet.md</t>
        </is>
      </c>
      <c r="C5" t="inlineStr">
        <is>
          <t>İşin Adı</t>
        </is>
      </c>
      <c r="D5" t="inlineStr">
        <is>
          <t>İşin adı|İşin adı / niteliği / miktarı|İş</t>
        </is>
      </c>
    </row>
    <row r="6">
      <c r="A6" t="inlineStr">
        <is>
          <t>Özet</t>
        </is>
      </c>
      <c r="B6" t="inlineStr">
        <is>
          <t>alanlar:01-ozet.md</t>
        </is>
      </c>
      <c r="C6" t="inlineStr">
        <is>
          <t>İhale Usulü</t>
        </is>
      </c>
      <c r="D6" t="inlineStr">
        <is>
          <t>İhale usulü</t>
        </is>
      </c>
    </row>
    <row r="7">
      <c r="A7" t="inlineStr">
        <is>
          <t>Özet</t>
        </is>
      </c>
      <c r="B7" t="inlineStr">
        <is>
          <t>alanlar:01-ozet.md</t>
        </is>
      </c>
      <c r="C7" t="inlineStr">
        <is>
          <t>Teklif Türü</t>
        </is>
      </c>
      <c r="D7" t="inlineStr">
        <is>
          <t>Teklif türü|Teklif türü (birim fiyat / götürü bedel)</t>
        </is>
      </c>
    </row>
    <row r="8">
      <c r="A8" t="inlineStr">
        <is>
          <t>Özet</t>
        </is>
      </c>
      <c r="B8" t="inlineStr">
        <is>
          <t>alanlar:01-ozet.md</t>
        </is>
      </c>
      <c r="C8" t="inlineStr">
        <is>
          <t>İhale Tarihi ve Saati</t>
        </is>
      </c>
      <c r="D8" t="inlineStr">
        <is>
          <t>İhale tarihi ve saati|İhale tarihi</t>
        </is>
      </c>
    </row>
    <row r="9">
      <c r="A9" t="inlineStr">
        <is>
          <t>Özet</t>
        </is>
      </c>
      <c r="B9" t="inlineStr">
        <is>
          <t>alanlar:01-ozet.md</t>
        </is>
      </c>
      <c r="C9" t="inlineStr">
        <is>
          <t>Yaklaşık Maliyet</t>
        </is>
      </c>
      <c r="D9" t="inlineStr">
        <is>
          <t>Yaklaşık maliyet|Yaklaşık maliyet (açıklanmışsa)</t>
        </is>
      </c>
    </row>
    <row r="10">
      <c r="A10" t="inlineStr">
        <is>
          <t>Özet</t>
        </is>
      </c>
      <c r="B10" t="inlineStr">
        <is>
          <t>alanlar:01-ozet.md</t>
        </is>
      </c>
      <c r="C10" t="inlineStr">
        <is>
          <t>Geçici Teminat Oranı</t>
        </is>
      </c>
      <c r="D10" t="inlineStr">
        <is>
          <t>Geçici teminat oranı</t>
        </is>
      </c>
    </row>
    <row r="11">
      <c r="A11" t="inlineStr">
        <is>
          <t>Özet</t>
        </is>
      </c>
      <c r="B11" t="inlineStr">
        <is>
          <t>alanlar:01-ozet.md</t>
        </is>
      </c>
      <c r="C11" t="inlineStr">
        <is>
          <t>İşin Süresi</t>
        </is>
      </c>
      <c r="D11" t="inlineStr">
        <is>
          <t>İşin süresi|İşin süresi / yeri</t>
        </is>
      </c>
    </row>
    <row r="12">
      <c r="A12" t="inlineStr">
        <is>
          <t>Özet</t>
        </is>
      </c>
      <c r="B12" t="inlineStr">
        <is>
          <t>alanlar:01-ozet.md</t>
        </is>
      </c>
      <c r="C12" t="inlineStr">
        <is>
          <t>İşin Yeri</t>
        </is>
      </c>
      <c r="D12" t="inlineStr">
        <is>
          <t>İşin yeri</t>
        </is>
      </c>
    </row>
    <row r="13">
      <c r="A13" t="inlineStr">
        <is>
          <t>Özet</t>
        </is>
      </c>
      <c r="B13" t="inlineStr">
        <is>
          <t>karar:rapor</t>
        </is>
      </c>
      <c r="C13" t="inlineStr">
        <is>
          <t>Karar</t>
        </is>
      </c>
      <c r="D13" t="inlineStr">
        <is>
          <t>karar</t>
        </is>
      </c>
    </row>
    <row r="14">
      <c r="A14" t="inlineStr">
        <is>
          <t>Özet</t>
        </is>
      </c>
      <c r="B14" t="inlineStr">
        <is>
          <t>karar:rapor</t>
        </is>
      </c>
      <c r="C14" t="inlineStr">
        <is>
          <t>Karar Gerekçesi</t>
        </is>
      </c>
      <c r="D14" t="inlineStr">
        <is>
          <t>gerekce</t>
        </is>
      </c>
    </row>
    <row r="15">
      <c r="A15" t="inlineStr">
        <is>
          <t>Özet</t>
        </is>
      </c>
      <c r="B15" t="inlineStr">
        <is>
          <t>karar:rapor</t>
        </is>
      </c>
      <c r="C15" t="inlineStr">
        <is>
          <t>Analiz Tarihi</t>
        </is>
      </c>
      <c r="D15" t="inlineStr">
        <is>
          <t>tarih</t>
        </is>
      </c>
    </row>
    <row r="16">
      <c r="A16" t="inlineStr">
        <is>
          <t>Yeterlilik</t>
        </is>
      </c>
      <c r="B16" t="inlineStr">
        <is>
          <t>tablo:02-idari.md</t>
        </is>
      </c>
      <c r="C16" t="inlineStr">
        <is>
          <t>Sıra</t>
        </is>
      </c>
      <c r="D16" t="inlineStr">
        <is>
          <t>#sira</t>
        </is>
      </c>
    </row>
    <row r="17">
      <c r="A17" t="inlineStr">
        <is>
          <t>Yeterlilik</t>
        </is>
      </c>
      <c r="B17" t="inlineStr">
        <is>
          <t>tablo:02-idari.md</t>
        </is>
      </c>
      <c r="C17" t="inlineStr">
        <is>
          <t>Koşul</t>
        </is>
      </c>
      <c r="D17" t="inlineStr">
        <is>
          <t>Koşul</t>
        </is>
      </c>
    </row>
    <row r="18">
      <c r="A18" t="inlineStr">
        <is>
          <t>Yeterlilik</t>
        </is>
      </c>
      <c r="B18" t="inlineStr">
        <is>
          <t>tablo:02-idari.md</t>
        </is>
      </c>
      <c r="C18" t="inlineStr">
        <is>
          <t>Şartname Maddesi</t>
        </is>
      </c>
      <c r="D18" t="inlineStr">
        <is>
          <t>Madde</t>
        </is>
      </c>
    </row>
    <row r="19">
      <c r="A19" t="inlineStr">
        <is>
          <t>Yeterlilik</t>
        </is>
      </c>
      <c r="B19" t="inlineStr">
        <is>
          <t>tablo:02-idari.md</t>
        </is>
      </c>
      <c r="C19" t="inlineStr">
        <is>
          <t>Firma Durumu</t>
        </is>
      </c>
      <c r="D19" t="inlineStr">
        <is>
          <t>Firma durumu|Firma durumu (Karşılıyor / Eksik / Belirsiz)|Durum</t>
        </is>
      </c>
    </row>
    <row r="20">
      <c r="A20" t="inlineStr">
        <is>
          <t>Yeterlilik</t>
        </is>
      </c>
      <c r="B20" t="inlineStr">
        <is>
          <t>tablo:02-idari.md</t>
        </is>
      </c>
      <c r="C20" t="inlineStr">
        <is>
          <t>Not</t>
        </is>
      </c>
      <c r="D20" t="inlineStr">
        <is>
          <t>Not</t>
        </is>
      </c>
    </row>
    <row r="21">
      <c r="A21" t="inlineStr">
        <is>
          <t>Teknik</t>
        </is>
      </c>
      <c r="B21" t="inlineStr">
        <is>
          <t>tablo:03-teknik.md</t>
        </is>
      </c>
      <c r="C21" t="inlineStr">
        <is>
          <t>Sıra</t>
        </is>
      </c>
      <c r="D21" t="inlineStr">
        <is>
          <t>#sira</t>
        </is>
      </c>
    </row>
    <row r="22">
      <c r="A22" t="inlineStr">
        <is>
          <t>Teknik</t>
        </is>
      </c>
      <c r="B22" t="inlineStr">
        <is>
          <t>tablo:03-teknik.md</t>
        </is>
      </c>
      <c r="C22" t="inlineStr">
        <is>
          <t>Gereksinim</t>
        </is>
      </c>
      <c r="D22" t="inlineStr">
        <is>
          <t>Gereksinim</t>
        </is>
      </c>
    </row>
    <row r="23">
      <c r="A23" t="inlineStr">
        <is>
          <t>Teknik</t>
        </is>
      </c>
      <c r="B23" t="inlineStr">
        <is>
          <t>tablo:03-teknik.md</t>
        </is>
      </c>
      <c r="C23" t="inlineStr">
        <is>
          <t>Şartname Maddesi</t>
        </is>
      </c>
      <c r="D23" t="inlineStr">
        <is>
          <t>Madde</t>
        </is>
      </c>
    </row>
    <row r="24">
      <c r="A24" t="inlineStr">
        <is>
          <t>Teknik</t>
        </is>
      </c>
      <c r="B24" t="inlineStr">
        <is>
          <t>tablo:03-teknik.md</t>
        </is>
      </c>
      <c r="C24" t="inlineStr">
        <is>
          <t>Durum</t>
        </is>
      </c>
      <c r="D24" t="inlineStr">
        <is>
          <t>Durum</t>
        </is>
      </c>
    </row>
    <row r="25">
      <c r="A25" t="inlineStr">
        <is>
          <t>Teknik</t>
        </is>
      </c>
      <c r="B25" t="inlineStr">
        <is>
          <t>tablo:03-teknik.md</t>
        </is>
      </c>
      <c r="C25" t="inlineStr">
        <is>
          <t>Not</t>
        </is>
      </c>
      <c r="D25" t="inlineStr">
        <is>
          <t>Not</t>
        </is>
      </c>
    </row>
    <row r="26">
      <c r="A26" t="inlineStr">
        <is>
          <t>Mali</t>
        </is>
      </c>
      <c r="B26" t="inlineStr">
        <is>
          <t>tablo:04-mali.md</t>
        </is>
      </c>
      <c r="C26" t="inlineStr">
        <is>
          <t>Sıra</t>
        </is>
      </c>
      <c r="D26" t="inlineStr">
        <is>
          <t>#sira</t>
        </is>
      </c>
    </row>
    <row r="27">
      <c r="A27" t="inlineStr">
        <is>
          <t>Mali</t>
        </is>
      </c>
      <c r="B27" t="inlineStr">
        <is>
          <t>tablo:04-mali.md</t>
        </is>
      </c>
      <c r="C27" t="inlineStr">
        <is>
          <t>Kalem</t>
        </is>
      </c>
      <c r="D27" t="inlineStr">
        <is>
          <t>Kalem</t>
        </is>
      </c>
    </row>
    <row r="28">
      <c r="A28" t="inlineStr">
        <is>
          <t>Mali</t>
        </is>
      </c>
      <c r="B28" t="inlineStr">
        <is>
          <t>tablo:04-mali.md</t>
        </is>
      </c>
      <c r="C28" t="inlineStr">
        <is>
          <t>Değer</t>
        </is>
      </c>
      <c r="D28" t="inlineStr">
        <is>
          <t>Değer</t>
        </is>
      </c>
    </row>
    <row r="29">
      <c r="A29" t="inlineStr">
        <is>
          <t>Mali</t>
        </is>
      </c>
      <c r="B29" t="inlineStr">
        <is>
          <t>tablo:04-mali.md</t>
        </is>
      </c>
      <c r="C29" t="inlineStr">
        <is>
          <t>Kaynak</t>
        </is>
      </c>
      <c r="D29" t="inlineStr">
        <is>
          <t>Kaynak|Madde</t>
        </is>
      </c>
    </row>
    <row r="30">
      <c r="A30" t="inlineStr">
        <is>
          <t>Mali</t>
        </is>
      </c>
      <c r="B30" t="inlineStr">
        <is>
          <t>tablo:04-mali.md</t>
        </is>
      </c>
      <c r="C30" t="inlineStr">
        <is>
          <t>Not</t>
        </is>
      </c>
      <c r="D30" t="inlineStr">
        <is>
          <t>Not</t>
        </is>
      </c>
    </row>
    <row r="31">
      <c r="A31" t="inlineStr">
        <is>
          <t>Riskler</t>
        </is>
      </c>
      <c r="B31" t="inlineStr">
        <is>
          <t>tablo:05-riskler.md</t>
        </is>
      </c>
      <c r="C31" t="inlineStr">
        <is>
          <t>Sıra</t>
        </is>
      </c>
      <c r="D31" t="inlineStr">
        <is>
          <t>#sira</t>
        </is>
      </c>
    </row>
    <row r="32">
      <c r="A32" t="inlineStr">
        <is>
          <t>Riskler</t>
        </is>
      </c>
      <c r="B32" t="inlineStr">
        <is>
          <t>tablo:05-riskler.md</t>
        </is>
      </c>
      <c r="C32" t="inlineStr">
        <is>
          <t>Risk</t>
        </is>
      </c>
      <c r="D32" t="inlineStr">
        <is>
          <t>Risk</t>
        </is>
      </c>
    </row>
    <row r="33">
      <c r="A33" t="inlineStr">
        <is>
          <t>Riskler</t>
        </is>
      </c>
      <c r="B33" t="inlineStr">
        <is>
          <t>tablo:05-riskler.md</t>
        </is>
      </c>
      <c r="C33" t="inlineStr">
        <is>
          <t>Kaynak</t>
        </is>
      </c>
      <c r="D33" t="inlineStr">
        <is>
          <t>Kaynak</t>
        </is>
      </c>
    </row>
    <row r="34">
      <c r="A34" t="inlineStr">
        <is>
          <t>Riskler</t>
        </is>
      </c>
      <c r="B34" t="inlineStr">
        <is>
          <t>tablo:05-riskler.md</t>
        </is>
      </c>
      <c r="C34" t="inlineStr">
        <is>
          <t>Seviye</t>
        </is>
      </c>
      <c r="D34" t="inlineStr">
        <is>
          <t>Seviye|Seviye (Düşük/Orta/Yüksek)</t>
        </is>
      </c>
    </row>
    <row r="35">
      <c r="A35" t="inlineStr">
        <is>
          <t>Riskler</t>
        </is>
      </c>
      <c r="B35" t="inlineStr">
        <is>
          <t>tablo:05-riskler.md</t>
        </is>
      </c>
      <c r="C35" t="inlineStr">
        <is>
          <t>Önlem</t>
        </is>
      </c>
      <c r="D35" t="inlineStr">
        <is>
          <t>Önlem</t>
        </is>
      </c>
    </row>
    <row r="36">
      <c r="A36" t="inlineStr">
        <is>
          <t>Kişisel Hesap</t>
        </is>
      </c>
      <c r="B36" t="inlineStr">
        <is>
          <t>csv:kisisel-hesap.csv</t>
        </is>
      </c>
      <c r="C36" t="inlineStr">
        <is>
          <t>Sıra</t>
        </is>
      </c>
      <c r="D36" t="inlineStr">
        <is>
          <t>#sira</t>
        </is>
      </c>
    </row>
    <row r="37">
      <c r="A37" t="inlineStr">
        <is>
          <t>Kişisel Hesap</t>
        </is>
      </c>
      <c r="B37" t="inlineStr">
        <is>
          <t>csv:kisisel-hesap.csv</t>
        </is>
      </c>
      <c r="C37" t="inlineStr">
        <is>
          <t>Poz No</t>
        </is>
      </c>
      <c r="D37" t="inlineStr">
        <is>
          <t>poz_no</t>
        </is>
      </c>
    </row>
    <row r="38">
      <c r="A38" t="inlineStr">
        <is>
          <t>Kişisel Hesap</t>
        </is>
      </c>
      <c r="B38" t="inlineStr">
        <is>
          <t>csv:kisisel-hesap.csv</t>
        </is>
      </c>
      <c r="C38" t="inlineStr">
        <is>
          <t>Tanım</t>
        </is>
      </c>
      <c r="D38" t="inlineStr">
        <is>
          <t>tanim</t>
        </is>
      </c>
    </row>
    <row r="39">
      <c r="A39" t="inlineStr">
        <is>
          <t>Kişisel Hesap</t>
        </is>
      </c>
      <c r="B39" t="inlineStr">
        <is>
          <t>csv:kisisel-hesap.csv</t>
        </is>
      </c>
      <c r="C39" t="inlineStr">
        <is>
          <t>Birim</t>
        </is>
      </c>
      <c r="D39" t="inlineStr">
        <is>
          <t>birim</t>
        </is>
      </c>
    </row>
    <row r="40">
      <c r="A40" t="inlineStr">
        <is>
          <t>Kişisel Hesap</t>
        </is>
      </c>
      <c r="B40" t="inlineStr">
        <is>
          <t>csv:kisisel-hesap.csv</t>
        </is>
      </c>
      <c r="C40" t="inlineStr">
        <is>
          <t>Miktar</t>
        </is>
      </c>
      <c r="D40" t="inlineStr">
        <is>
          <t>miktar</t>
        </is>
      </c>
    </row>
    <row r="41">
      <c r="A41" t="inlineStr">
        <is>
          <t>Kişisel Hesap</t>
        </is>
      </c>
      <c r="B41" t="inlineStr">
        <is>
          <t>csv:kisisel-hesap.csv</t>
        </is>
      </c>
      <c r="C41" t="inlineStr">
        <is>
          <t>Birim Fiyat</t>
        </is>
      </c>
      <c r="D41" t="inlineStr">
        <is>
          <t>birim_fiyat</t>
        </is>
      </c>
    </row>
    <row r="42">
      <c r="A42" t="inlineStr">
        <is>
          <t>Kişisel Hesap</t>
        </is>
      </c>
      <c r="B42" t="inlineStr">
        <is>
          <t>csv:kisisel-hesap.csv</t>
        </is>
      </c>
      <c r="C42" t="inlineStr">
        <is>
          <t>Sistem Tutarı</t>
        </is>
      </c>
      <c r="D42" t="inlineStr">
        <is>
          <t>sistem_tutar</t>
        </is>
      </c>
    </row>
    <row r="43">
      <c r="A43" t="inlineStr">
        <is>
          <t>Kişisel Hesap</t>
        </is>
      </c>
      <c r="B43" t="inlineStr">
        <is>
          <t>csv:kisisel-hesap.csv</t>
        </is>
      </c>
      <c r="C43" t="inlineStr">
        <is>
          <t>Kişisel Tutar</t>
        </is>
      </c>
      <c r="D43" t="inlineStr">
        <is>
          <t>kisisel_tutar</t>
        </is>
      </c>
    </row>
    <row r="44">
      <c r="A44" t="inlineStr">
        <is>
          <t>Kişisel Hesap</t>
        </is>
      </c>
      <c r="B44" t="inlineStr">
        <is>
          <t>csv:kisisel-hesap.csv</t>
        </is>
      </c>
      <c r="C44" t="inlineStr">
        <is>
          <t>Uygulanan Kurallar</t>
        </is>
      </c>
      <c r="D44" t="inlineStr">
        <is>
          <t>uygulanan_kurallar</t>
        </is>
      </c>
    </row>
    <row r="45">
      <c r="A45" t="inlineStr">
        <is>
          <t>Yapılacaklar</t>
        </is>
      </c>
      <c r="B45" t="inlineStr">
        <is>
          <t>csv:yapilacaklar.csv</t>
        </is>
      </c>
      <c r="C45" t="inlineStr">
        <is>
          <t>Sıra</t>
        </is>
      </c>
      <c r="D45" t="inlineStr">
        <is>
          <t>#sira</t>
        </is>
      </c>
    </row>
    <row r="46">
      <c r="A46" t="inlineStr">
        <is>
          <t>Yapılacaklar</t>
        </is>
      </c>
      <c r="B46" t="inlineStr">
        <is>
          <t>csv:yapilacaklar.csv</t>
        </is>
      </c>
      <c r="C46" t="inlineStr">
        <is>
          <t>İş</t>
        </is>
      </c>
      <c r="D46" t="inlineStr">
        <is>
          <t>is</t>
        </is>
      </c>
    </row>
    <row r="47">
      <c r="A47" t="inlineStr">
        <is>
          <t>Yapılacaklar</t>
        </is>
      </c>
      <c r="B47" t="inlineStr">
        <is>
          <t>csv:yapilacaklar.csv</t>
        </is>
      </c>
      <c r="C47" t="inlineStr">
        <is>
          <t>Son Tarih</t>
        </is>
      </c>
      <c r="D47" t="inlineStr">
        <is>
          <t>son_tarih</t>
        </is>
      </c>
    </row>
    <row r="48">
      <c r="A48" t="inlineStr">
        <is>
          <t>Yapılacaklar</t>
        </is>
      </c>
      <c r="B48" t="inlineStr">
        <is>
          <t>csv:yapilacaklar.csv</t>
        </is>
      </c>
      <c r="C48" t="inlineStr">
        <is>
          <t>Sorumlu</t>
        </is>
      </c>
      <c r="D48" t="inlineStr">
        <is>
          <t>sorumlu</t>
        </is>
      </c>
    </row>
    <row r="49">
      <c r="A49" t="inlineStr">
        <is>
          <t>Yapılacaklar</t>
        </is>
      </c>
      <c r="B49" t="inlineStr">
        <is>
          <t>csv:yapilacaklar.csv</t>
        </is>
      </c>
      <c r="C49" t="inlineStr">
        <is>
          <t>Durum</t>
        </is>
      </c>
      <c r="D49" t="inlineStr">
        <is>
          <t>durum</t>
        </is>
      </c>
    </row>
    <row r="50">
      <c r="A50" t="inlineStr">
        <is>
          <t>Mahal Listesi</t>
        </is>
      </c>
      <c r="B50" t="inlineStr">
        <is>
          <t>csv:mahal-listesi.csv</t>
        </is>
      </c>
      <c r="C50" t="inlineStr">
        <is>
          <t>Kat</t>
        </is>
      </c>
      <c r="D50" t="inlineStr">
        <is>
          <t>kat</t>
        </is>
      </c>
    </row>
    <row r="51">
      <c r="A51" t="inlineStr">
        <is>
          <t>Mahal Listesi</t>
        </is>
      </c>
      <c r="B51" t="inlineStr">
        <is>
          <t>csv:mahal-listesi.csv</t>
        </is>
      </c>
      <c r="C51" t="inlineStr">
        <is>
          <t>Mahal No</t>
        </is>
      </c>
      <c r="D51" t="inlineStr">
        <is>
          <t>mahal_no</t>
        </is>
      </c>
    </row>
    <row r="52">
      <c r="A52" t="inlineStr">
        <is>
          <t>Mahal Listesi</t>
        </is>
      </c>
      <c r="B52" t="inlineStr">
        <is>
          <t>csv:mahal-listesi.csv</t>
        </is>
      </c>
      <c r="C52" t="inlineStr">
        <is>
          <t>Mahal Adı</t>
        </is>
      </c>
      <c r="D52" t="inlineStr">
        <is>
          <t>mahal_adi</t>
        </is>
      </c>
    </row>
    <row r="53">
      <c r="A53" t="inlineStr">
        <is>
          <t>Mahal Listesi</t>
        </is>
      </c>
      <c r="B53" t="inlineStr">
        <is>
          <t>csv:mahal-listesi.csv</t>
        </is>
      </c>
      <c r="C53" t="inlineStr">
        <is>
          <t>Taban Alanı (m²)</t>
        </is>
      </c>
      <c r="D53" t="inlineStr">
        <is>
          <t>alan</t>
        </is>
      </c>
    </row>
    <row r="54">
      <c r="A54" t="inlineStr">
        <is>
          <t>Mahal Listesi</t>
        </is>
      </c>
      <c r="B54" t="inlineStr">
        <is>
          <t>csv:mahal-listesi.csv</t>
        </is>
      </c>
      <c r="C54" t="inlineStr">
        <is>
          <t>Döşeme</t>
        </is>
      </c>
      <c r="D54" t="inlineStr">
        <is>
          <t>doseme</t>
        </is>
      </c>
    </row>
    <row r="55">
      <c r="A55" t="inlineStr">
        <is>
          <t>Mahal Listesi</t>
        </is>
      </c>
      <c r="B55" t="inlineStr">
        <is>
          <t>csv:mahal-listesi.csv</t>
        </is>
      </c>
      <c r="C55" t="inlineStr">
        <is>
          <t>Süpürgelik</t>
        </is>
      </c>
      <c r="D55" t="inlineStr">
        <is>
          <t>supurgelik</t>
        </is>
      </c>
    </row>
    <row r="56">
      <c r="A56" t="inlineStr">
        <is>
          <t>Mahal Listesi</t>
        </is>
      </c>
      <c r="B56" t="inlineStr">
        <is>
          <t>csv:mahal-listesi.csv</t>
        </is>
      </c>
      <c r="C56" t="inlineStr">
        <is>
          <t>Duvar</t>
        </is>
      </c>
      <c r="D56" t="inlineStr">
        <is>
          <t>duvar</t>
        </is>
      </c>
    </row>
    <row r="57">
      <c r="A57" t="inlineStr">
        <is>
          <t>Mahal Listesi</t>
        </is>
      </c>
      <c r="B57" t="inlineStr">
        <is>
          <t>csv:mahal-listesi.csv</t>
        </is>
      </c>
      <c r="C57" t="inlineStr">
        <is>
          <t>Tavan</t>
        </is>
      </c>
      <c r="D57" t="inlineStr">
        <is>
          <t>tavan</t>
        </is>
      </c>
    </row>
    <row r="58">
      <c r="A58" t="inlineStr">
        <is>
          <t>Mahal Listesi</t>
        </is>
      </c>
      <c r="B58" t="inlineStr">
        <is>
          <t>csv:mahal-listesi.csv</t>
        </is>
      </c>
      <c r="C58" t="inlineStr">
        <is>
          <t>Kapı Tipi</t>
        </is>
      </c>
      <c r="D58" t="inlineStr">
        <is>
          <t>kapi_tipi</t>
        </is>
      </c>
    </row>
    <row r="59">
      <c r="A59" t="inlineStr">
        <is>
          <t>Mahal Listesi</t>
        </is>
      </c>
      <c r="B59" t="inlineStr">
        <is>
          <t>csv:mahal-listesi.csv</t>
        </is>
      </c>
      <c r="C59" t="inlineStr">
        <is>
          <t>Pencere Tipi</t>
        </is>
      </c>
      <c r="D59" t="inlineStr">
        <is>
          <t>pencere_tipi</t>
        </is>
      </c>
    </row>
    <row r="60">
      <c r="A60" t="inlineStr">
        <is>
          <t>Mahal Listesi</t>
        </is>
      </c>
      <c r="B60" t="inlineStr">
        <is>
          <t>csv:mahal-listesi.csv</t>
        </is>
      </c>
      <c r="C60" t="inlineStr">
        <is>
          <t>Not</t>
        </is>
      </c>
      <c r="D60" t="inlineStr">
        <is>
          <t>not</t>
        </is>
      </c>
    </row>
    <row r="61">
      <c r="A61" t="inlineStr">
        <is>
          <t>Keşif</t>
        </is>
      </c>
      <c r="B61" t="inlineStr">
        <is>
          <t>csv:kesif.csv</t>
        </is>
      </c>
      <c r="C61" t="inlineStr">
        <is>
          <t>Sıra No</t>
        </is>
      </c>
      <c r="D61" t="inlineStr">
        <is>
          <t>#sira</t>
        </is>
      </c>
    </row>
    <row r="62">
      <c r="A62" t="inlineStr">
        <is>
          <t>Keşif</t>
        </is>
      </c>
      <c r="B62" t="inlineStr">
        <is>
          <t>csv:kesif.csv</t>
        </is>
      </c>
      <c r="C62" t="inlineStr">
        <is>
          <t>İş Grubu</t>
        </is>
      </c>
      <c r="D62" t="inlineStr">
        <is>
          <t>is_grubu</t>
        </is>
      </c>
    </row>
    <row r="63">
      <c r="A63" t="inlineStr">
        <is>
          <t>Keşif</t>
        </is>
      </c>
      <c r="B63" t="inlineStr">
        <is>
          <t>csv:kesif.csv</t>
        </is>
      </c>
      <c r="C63" t="inlineStr">
        <is>
          <t>Poz / Kalem No</t>
        </is>
      </c>
      <c r="D63" t="inlineStr">
        <is>
          <t>poz_no</t>
        </is>
      </c>
    </row>
    <row r="64">
      <c r="A64" t="inlineStr">
        <is>
          <t>Keşif</t>
        </is>
      </c>
      <c r="B64" t="inlineStr">
        <is>
          <t>csv:kesif.csv</t>
        </is>
      </c>
      <c r="C64" t="inlineStr">
        <is>
          <t>Tanım</t>
        </is>
      </c>
      <c r="D64" t="inlineStr">
        <is>
          <t>tanim</t>
        </is>
      </c>
    </row>
    <row r="65">
      <c r="A65" t="inlineStr">
        <is>
          <t>Keşif</t>
        </is>
      </c>
      <c r="B65" t="inlineStr">
        <is>
          <t>csv:kesif.csv</t>
        </is>
      </c>
      <c r="C65" t="inlineStr">
        <is>
          <t>Birim</t>
        </is>
      </c>
      <c r="D65" t="inlineStr">
        <is>
          <t>birim</t>
        </is>
      </c>
    </row>
    <row r="66">
      <c r="A66" t="inlineStr">
        <is>
          <t>Keşif</t>
        </is>
      </c>
      <c r="B66" t="inlineStr">
        <is>
          <t>csv:kesif.csv</t>
        </is>
      </c>
      <c r="C66" t="inlineStr">
        <is>
          <t>Miktar</t>
        </is>
      </c>
      <c r="D66" t="inlineStr">
        <is>
          <t>miktar</t>
        </is>
      </c>
    </row>
    <row r="67">
      <c r="A67" t="inlineStr">
        <is>
          <t>Keşif</t>
        </is>
      </c>
      <c r="B67" t="inlineStr">
        <is>
          <t>csv:kesif.csv</t>
        </is>
      </c>
      <c r="C67" t="inlineStr">
        <is>
          <t>Birim Fiyat</t>
        </is>
      </c>
      <c r="D67" t="inlineStr">
        <is>
          <t>birim_fiyat</t>
        </is>
      </c>
    </row>
    <row r="68">
      <c r="A68" t="inlineStr">
        <is>
          <t>Keşif</t>
        </is>
      </c>
      <c r="B68" t="inlineStr">
        <is>
          <t>csv:kesif.csv</t>
        </is>
      </c>
      <c r="C68" t="inlineStr">
        <is>
          <t>Mahal</t>
        </is>
      </c>
      <c r="D68" t="inlineStr">
        <is>
          <t>mahal</t>
        </is>
      </c>
    </row>
    <row r="69">
      <c r="A69" t="inlineStr">
        <is>
          <t>Keşif</t>
        </is>
      </c>
      <c r="B69" t="inlineStr">
        <is>
          <t>csv:kesif.csv</t>
        </is>
      </c>
      <c r="C69" t="inlineStr">
        <is>
          <t>Not</t>
        </is>
      </c>
      <c r="D69" t="inlineStr">
        <is>
          <t>not</t>
        </is>
      </c>
    </row>
    <row r="70">
      <c r="A70" t="inlineStr">
        <is>
          <t>Pursantaj</t>
        </is>
      </c>
      <c r="B70" t="inlineStr">
        <is>
          <t>csv:pursantaj.csv</t>
        </is>
      </c>
      <c r="C70" t="inlineStr">
        <is>
          <t>İş Grubu</t>
        </is>
      </c>
      <c r="D70" t="inlineStr">
        <is>
          <t>is_grubu</t>
        </is>
      </c>
    </row>
    <row r="71">
      <c r="A71" t="inlineStr">
        <is>
          <t>Pursantaj</t>
        </is>
      </c>
      <c r="B71" t="inlineStr">
        <is>
          <t>csv:pursantaj.csv</t>
        </is>
      </c>
      <c r="C71" t="inlineStr">
        <is>
          <t>Pursantaj Oranı</t>
        </is>
      </c>
      <c r="D71" t="inlineStr">
        <is>
          <t>oran%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2026-10-06T12:54:38Z</dcterms:created>
  <dcterms:modified xmlns:dcterms="http://purl.org/dc/terms/" xmlns:xsi="http://www.w3.org/2001/XMLSchema-instance" xsi:type="dcterms:W3CDTF">2026-10-06T12:54:40Z</dcterms:modified>
</cp:coreProperties>
</file>