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BFTC Kıyas" sheetId="2" state="visible" r:id="rId2"/>
    <sheet xmlns:r="http://schemas.openxmlformats.org/officeDocument/2006/relationships" name="Yeterlilik" sheetId="3" state="visible" r:id="rId3"/>
    <sheet xmlns:r="http://schemas.openxmlformats.org/officeDocument/2006/relationships" name="Teknik" sheetId="4" state="visible" r:id="rId4"/>
    <sheet xmlns:r="http://schemas.openxmlformats.org/officeDocument/2006/relationships" name="Mali" sheetId="5" state="visible" r:id="rId5"/>
    <sheet xmlns:r="http://schemas.openxmlformats.org/officeDocument/2006/relationships" name="Riskler" sheetId="6" state="visible" r:id="rId6"/>
    <sheet xmlns:r="http://schemas.openxmlformats.org/officeDocument/2006/relationships" name="Kişisel Hesap" sheetId="7" state="visible" r:id="rId7"/>
    <sheet xmlns:r="http://schemas.openxmlformats.org/officeDocument/2006/relationships" name="Yapılacaklar" sheetId="8" state="visible" r:id="rId8"/>
    <sheet xmlns:r="http://schemas.openxmlformats.org/officeDocument/2006/relationships" name="_harita" sheetId="9" state="hidden" r:id="rId9"/>
  </sheets>
  <definedNames>
    <definedName name="MetrajTol">'Özet'!$B$17</definedName>
    <definedName name="YaklasikMaliyet">'Özet'!$B$10</definedName>
    <definedName name="_xlnm._FilterDatabase" localSheetId="1" hidden="1">'BFTC Kıyas'!$A$4:$N$504</definedName>
    <definedName name="_xlnm.Print_Titles" localSheetId="1">'BFTC Kıyas'!$4:$4</definedName>
    <definedName name="_xlnm._FilterDatabase" localSheetId="2" hidden="1">'Yeterlilik'!$A$4:$E$504</definedName>
    <definedName name="_xlnm.Print_Titles" localSheetId="2">'Yeterlilik'!$4:$4</definedName>
    <definedName name="_xlnm._FilterDatabase" localSheetId="3" hidden="1">'Teknik'!$A$4:$E$504</definedName>
    <definedName name="_xlnm.Print_Titles" localSheetId="3">'Teknik'!$4:$4</definedName>
    <definedName name="_xlnm._FilterDatabase" localSheetId="4" hidden="1">'Mali'!$A$4:$E$504</definedName>
    <definedName name="_xlnm.Print_Titles" localSheetId="4">'Mali'!$4:$4</definedName>
    <definedName name="_xlnm._FilterDatabase" localSheetId="5" hidden="1">'Riskler'!$A$4:$E$504</definedName>
    <definedName name="_xlnm.Print_Titles" localSheetId="5">'Riskler'!$4:$4</definedName>
    <definedName name="_xlnm._FilterDatabase" localSheetId="6" hidden="1">'Kişisel Hesap'!$A$4:$J$504</definedName>
    <definedName name="_xlnm.Print_Titles" localSheetId="6">'Kişisel Hesap'!$4:$4</definedName>
    <definedName name="_xlnm._FilterDatabase" localSheetId="7" hidden="1">'Yapılacaklar'!$A$4:$E$504</definedName>
    <definedName name="_xlnm.Print_Titles" localSheetId="7">'Yapılacaklar'!$4:$4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.mm.yyyy"/>
    <numFmt numFmtId="166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7085"/>
      <sz val="9"/>
    </font>
    <font>
      <b val="1"/>
      <color rgb="00163460"/>
      <sz val="11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63460"/>
      </patternFill>
    </fill>
    <fill>
      <patternFill patternType="solid">
        <fgColor rgb="00EEF1F6"/>
      </patternFill>
    </fill>
    <fill>
      <patternFill patternType="solid">
        <fgColor rgb="002B4C7E"/>
      </patternFill>
    </fill>
    <fill>
      <patternFill patternType="solid">
        <fgColor rgb="00F3E9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3" borderId="1" pivotButton="0" quotePrefix="0" xfId="0"/>
    <xf numFmtId="164" fontId="0" fillId="3" borderId="1" pivotButton="0" quotePrefix="0" xfId="0"/>
    <xf numFmtId="1" fontId="0" fillId="3" borderId="1" pivotButton="0" quotePrefix="0" xfId="0"/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5" borderId="1" pivotButton="0" quotePrefix="0" xfId="0"/>
    <xf numFmtId="0" fontId="0" fillId="5" borderId="1" pivotButton="0" quotePrefix="0" xfId="0"/>
    <xf numFmtId="4" fontId="4" fillId="5" borderId="1" pivotButton="0" quotePrefix="0" xfId="0"/>
    <xf numFmtId="0" fontId="6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F4C7C3"/>
        </patternFill>
      </fill>
    </dxf>
    <dxf>
      <fill>
        <patternFill patternType="solid">
          <fgColor rgb="00FCD9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" customWidth="1" min="3" max="3"/>
    <col width="30" customWidth="1" min="4" max="4"/>
    <col width="22" customWidth="1" min="5" max="5"/>
  </cols>
  <sheetData>
    <row r="1" ht="28" customHeight="1">
      <c r="A1" s="1" t="inlineStr">
        <is>
          <t>İHALE ANALİZ RAPORU · BİRİM FİYAT (BFTC)</t>
        </is>
      </c>
    </row>
    <row r="2" ht="30" customHeight="1">
      <c r="A2" s="2" t="inlineStr">
        <is>
          <t>Beyaz hücreler analizden doldurulur, gri hücreler hesaplanır. Karar ve gerekçe raporun ilk satırıdır.</t>
        </is>
      </c>
    </row>
    <row r="3">
      <c r="A3" s="3" t="inlineStr">
        <is>
          <t>İHALE BİLGİLERİ</t>
        </is>
      </c>
      <c r="D3" s="3" t="inlineStr">
        <is>
          <t>SONUÇ ÖZETİ</t>
        </is>
      </c>
    </row>
    <row r="4">
      <c r="A4" s="4" t="inlineStr">
        <is>
          <t>İhale Kayıt No (İKN)</t>
        </is>
      </c>
      <c r="B4" s="5" t="n"/>
      <c r="D4" s="4" t="inlineStr">
        <is>
          <t>İdare Yaklaşık Maliyet</t>
        </is>
      </c>
      <c r="E4" s="6">
        <f>'BFTC Kıyas'!J3</f>
        <v/>
      </c>
    </row>
    <row r="5">
      <c r="A5" s="4" t="inlineStr">
        <is>
          <t>İdare</t>
        </is>
      </c>
      <c r="B5" s="5" t="n"/>
      <c r="D5" s="4" t="inlineStr">
        <is>
          <t>Teklif tutarı (hesap miktarı)</t>
        </is>
      </c>
      <c r="E5" s="6">
        <f>'BFTC Kıyas'!K3</f>
        <v/>
      </c>
    </row>
    <row r="6">
      <c r="A6" s="4" t="inlineStr">
        <is>
          <t>İşin Adı</t>
        </is>
      </c>
      <c r="B6" s="5" t="n"/>
      <c r="D6" s="4" t="inlineStr">
        <is>
          <t>İdare YM / açıklanan yaklaşık maliyet</t>
        </is>
      </c>
      <c r="E6" s="7">
        <f>IF(OR(YaklasikMaliyet="",'BFTC Kıyas'!J3=0),"",'BFTC Kıyas'!J3/YaklasikMaliyet)</f>
        <v/>
      </c>
    </row>
    <row r="7">
      <c r="A7" s="4" t="inlineStr">
        <is>
          <t>İhale Usulü</t>
        </is>
      </c>
      <c r="B7" s="5" t="n"/>
      <c r="D7" s="4" t="inlineStr">
        <is>
          <t>Kalem sayısı</t>
        </is>
      </c>
      <c r="E7" s="8">
        <f>COUNTA('BFTC Kıyas'!B5:B504)</f>
        <v/>
      </c>
    </row>
    <row r="8">
      <c r="A8" s="4" t="inlineStr">
        <is>
          <t>Teklif Türü</t>
        </is>
      </c>
      <c r="B8" s="5" t="n"/>
      <c r="D8" s="4" t="inlineStr">
        <is>
          <t>Cetvelde eksik kalem</t>
        </is>
      </c>
      <c r="E8" s="8">
        <f>COUNTIF('BFTC Kıyas'!L5:L504,"Cetvelde eksik")</f>
        <v/>
      </c>
    </row>
    <row r="9">
      <c r="A9" s="4" t="inlineStr">
        <is>
          <t>İhale Tarihi ve Saati</t>
        </is>
      </c>
      <c r="B9" s="5" t="n"/>
      <c r="D9" s="4" t="inlineStr">
        <is>
          <t>Cetvelde fazla kalem</t>
        </is>
      </c>
      <c r="E9" s="8">
        <f>COUNTIF('BFTC Kıyas'!L5:L504,"Cetvelde fazla")</f>
        <v/>
      </c>
    </row>
    <row r="10">
      <c r="A10" s="4" t="inlineStr">
        <is>
          <t>Yaklaşık Maliyet</t>
        </is>
      </c>
      <c r="B10" s="9" t="n"/>
      <c r="D10" s="4" t="inlineStr">
        <is>
          <t>Projede bulunamayan</t>
        </is>
      </c>
      <c r="E10" s="8">
        <f>COUNTIF('BFTC Kıyas'!L5:L504,"Projede bulunamadı")</f>
        <v/>
      </c>
    </row>
    <row r="11">
      <c r="A11" s="4" t="inlineStr">
        <is>
          <t>Geçici Teminat Oranı</t>
        </is>
      </c>
      <c r="B11" s="10" t="n"/>
      <c r="D11" s="4" t="inlineStr">
        <is>
          <t>Cetvelde olmayan iş</t>
        </is>
      </c>
      <c r="E11" s="8">
        <f>COUNTIF('BFTC Kıyas'!L5:L504,"Cetvelde yok")</f>
        <v/>
      </c>
    </row>
    <row r="12">
      <c r="A12" s="4" t="inlineStr">
        <is>
          <t>Geçici Teminat Tutarı</t>
        </is>
      </c>
      <c r="B12" s="11">
        <f>IF(OR(B10="",B11=""),"",B10*B11)</f>
        <v/>
      </c>
      <c r="D12" s="4" t="inlineStr">
        <is>
          <t>Yüksek risk</t>
        </is>
      </c>
      <c r="E12" s="8">
        <f>COUNTIF(Riskler!D5:D504,"Yüksek")</f>
        <v/>
      </c>
    </row>
    <row r="13">
      <c r="A13" s="4" t="inlineStr">
        <is>
          <t>İşin Süresi</t>
        </is>
      </c>
      <c r="B13" s="5" t="n"/>
      <c r="D13" s="4" t="inlineStr">
        <is>
          <t>Eksik yeterlilik</t>
        </is>
      </c>
      <c r="E13" s="8">
        <f>COUNTIF(Yeterlilik!D5:D504,"Eksik")</f>
        <v/>
      </c>
    </row>
    <row r="14">
      <c r="A14" s="4" t="inlineStr">
        <is>
          <t>İşin Yeri</t>
        </is>
      </c>
      <c r="B14" s="5" t="n"/>
      <c r="D14" s="4" t="inlineStr">
        <is>
          <t>Sistem tahmini (kişisel hesap)</t>
        </is>
      </c>
      <c r="E14" s="6">
        <f>'Kişisel Hesap'!G3</f>
        <v/>
      </c>
    </row>
    <row r="15">
      <c r="A15" s="4" t="inlineStr">
        <is>
          <t>Karar</t>
        </is>
      </c>
      <c r="B15" s="12" t="n"/>
      <c r="D15" s="4" t="inlineStr">
        <is>
          <t>Sizin yönteminizle</t>
        </is>
      </c>
      <c r="E15" s="6">
        <f>'Kişisel Hesap'!H3</f>
        <v/>
      </c>
    </row>
    <row r="16">
      <c r="A16" s="4" t="inlineStr">
        <is>
          <t>Karar Gerekçesi</t>
        </is>
      </c>
      <c r="B16" s="5" t="n"/>
    </row>
    <row r="17">
      <c r="A17" s="4" t="inlineStr">
        <is>
          <t>Metraj Toleransı</t>
        </is>
      </c>
      <c r="B17" s="10" t="n">
        <v>0.05</v>
      </c>
    </row>
    <row r="18">
      <c r="A18" s="4" t="inlineStr">
        <is>
          <t>Analiz Tarihi</t>
        </is>
      </c>
      <c r="B18" s="13" t="n"/>
    </row>
  </sheetData>
  <mergeCells count="2">
    <mergeCell ref="A2:E2"/>
    <mergeCell ref="A1:E1"/>
  </mergeCells>
  <conditionalFormatting sqref="B15">
    <cfRule type="cellIs" priority="1" operator="equal" dxfId="0">
      <formula>"Katıl"</formula>
    </cfRule>
    <cfRule type="cellIs" priority="2" operator="equal" dxfId="1">
      <formula>"Şartlı katıl"</formula>
    </cfRule>
    <cfRule type="cellIs" priority="3" operator="equal" dxfId="2">
      <formula>"Katılma"</formula>
    </cfRule>
  </conditionalFormatting>
  <dataValidations count="1">
    <dataValidation sqref="B15" showDropDown="0" showInputMessage="0" showErrorMessage="0" allowBlank="1" type="list">
      <formula1>"Katıl,Şartlı katıl,Katılma"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44" customWidth="1" min="3" max="3"/>
    <col width="8" customWidth="1" min="4" max="4"/>
    <col width="14" customWidth="1" min="5" max="5"/>
    <col width="14" customWidth="1" min="6" max="6"/>
    <col width="13" customWidth="1" min="7" max="7"/>
    <col width="9" customWidth="1" min="8" max="8"/>
    <col width="14" customWidth="1" min="9" max="9"/>
    <col width="17" customWidth="1" min="10" max="10"/>
    <col width="17" customWidth="1" min="11" max="11"/>
    <col width="18" customWidth="1" min="12" max="12"/>
    <col width="15" customWidth="1" min="13" max="13"/>
    <col width="40" customWidth="1" min="14" max="14"/>
  </cols>
  <sheetData>
    <row r="1" ht="28" customHeight="1">
      <c r="A1" s="1" t="inlineStr">
        <is>
          <t>BİRİM FİYAT TEKLİF CETVELİ · METRAJ KIYASI</t>
        </is>
      </c>
    </row>
    <row r="2" ht="30" customHeight="1">
      <c r="A2" s="2" t="inlineStr">
        <is>
          <t>İdare miktarı cetvelden, hesaplanan miktar projeden gelir. Durum, Özet sayfasındaki metraj toleransına göre hesaplanır. Teklif birim fiyatı girildiğinde tutarlar oluşur.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6">
        <f>SUM(J5:J504)</f>
        <v/>
      </c>
      <c r="K3" s="16">
        <f>SUM(K5:K504)</f>
        <v/>
      </c>
      <c r="L3" s="15" t="n"/>
      <c r="M3" s="15" t="n"/>
      <c r="N3" s="15" t="n"/>
    </row>
    <row r="4" ht="32" customHeight="1">
      <c r="A4" s="17" t="inlineStr">
        <is>
          <t>Sıra No</t>
        </is>
      </c>
      <c r="B4" s="17" t="inlineStr">
        <is>
          <t>Poz No</t>
        </is>
      </c>
      <c r="C4" s="17" t="inlineStr">
        <is>
          <t>İş Kalemi Tanımı</t>
        </is>
      </c>
      <c r="D4" s="17" t="inlineStr">
        <is>
          <t>Birim</t>
        </is>
      </c>
      <c r="E4" s="17" t="inlineStr">
        <is>
          <t>İdare Miktarı</t>
        </is>
      </c>
      <c r="F4" s="17" t="inlineStr">
        <is>
          <t>Hesaplanan Miktar</t>
        </is>
      </c>
      <c r="G4" s="17" t="inlineStr">
        <is>
          <t>Fark</t>
        </is>
      </c>
      <c r="H4" s="17" t="inlineStr">
        <is>
          <t>Fark %</t>
        </is>
      </c>
      <c r="I4" s="17" t="inlineStr">
        <is>
          <t>Teklif Birim Fiyatı</t>
        </is>
      </c>
      <c r="J4" s="17" t="inlineStr">
        <is>
          <t>Tutar (İdare Miktarı)</t>
        </is>
      </c>
      <c r="K4" s="17" t="inlineStr">
        <is>
          <t>Tutar (Hesap Miktarı)</t>
        </is>
      </c>
      <c r="L4" s="17" t="inlineStr">
        <is>
          <t>Durum</t>
        </is>
      </c>
      <c r="M4" s="17" t="inlineStr">
        <is>
          <t>Geçmiş Birim Fiyat (Ort.)</t>
        </is>
      </c>
      <c r="N4" s="17" t="inlineStr">
        <is>
          <t>Not</t>
        </is>
      </c>
    </row>
    <row r="5">
      <c r="A5" s="5" t="n"/>
      <c r="B5" s="5" t="n"/>
      <c r="C5" s="5" t="n"/>
      <c r="D5" s="5" t="n"/>
      <c r="E5" s="18" t="n"/>
      <c r="F5" s="18" t="n"/>
      <c r="G5" s="19">
        <f>IF(OR(E5="",F5=""),"",F5-E5)</f>
        <v/>
      </c>
      <c r="H5" s="20">
        <f>IF(OR(E5="",F5="",E5=0),"",(F5-E5)/E5)</f>
        <v/>
      </c>
      <c r="I5" s="21" t="n"/>
      <c r="J5" s="22">
        <f>IF(OR(E5="",I5=""),"",E5*I5)</f>
        <v/>
      </c>
      <c r="K5" s="22">
        <f>IF(OR(F5="",I5=""),"",F5*I5)</f>
        <v/>
      </c>
      <c r="L5" s="23">
        <f>IF(B5="","",IF(E5="","Cetvelde yok",IF(F5="","Projede bulunamadı",IF(H5&gt;MetrajTol,"Cetvelde eksik",IF(H5&lt;-MetrajTol,"Cetvelde fazla","Uygun")))))</f>
        <v/>
      </c>
      <c r="M5" s="21" t="n"/>
      <c r="N5" s="5" t="n"/>
    </row>
    <row r="6">
      <c r="A6" s="5" t="n"/>
      <c r="B6" s="5" t="n"/>
      <c r="C6" s="5" t="n"/>
      <c r="D6" s="5" t="n"/>
      <c r="E6" s="18" t="n"/>
      <c r="F6" s="18" t="n"/>
      <c r="G6" s="19">
        <f>IF(OR(E6="",F6=""),"",F6-E6)</f>
        <v/>
      </c>
      <c r="H6" s="20">
        <f>IF(OR(E6="",F6="",E6=0),"",(F6-E6)/E6)</f>
        <v/>
      </c>
      <c r="I6" s="21" t="n"/>
      <c r="J6" s="22">
        <f>IF(OR(E6="",I6=""),"",E6*I6)</f>
        <v/>
      </c>
      <c r="K6" s="22">
        <f>IF(OR(F6="",I6=""),"",F6*I6)</f>
        <v/>
      </c>
      <c r="L6" s="23">
        <f>IF(B6="","",IF(E6="","Cetvelde yok",IF(F6="","Projede bulunamadı",IF(H6&gt;MetrajTol,"Cetvelde eksik",IF(H6&lt;-MetrajTol,"Cetvelde fazla","Uygun")))))</f>
        <v/>
      </c>
      <c r="M6" s="21" t="n"/>
      <c r="N6" s="5" t="n"/>
    </row>
    <row r="7">
      <c r="A7" s="5" t="n"/>
      <c r="B7" s="5" t="n"/>
      <c r="C7" s="5" t="n"/>
      <c r="D7" s="5" t="n"/>
      <c r="E7" s="18" t="n"/>
      <c r="F7" s="18" t="n"/>
      <c r="G7" s="19">
        <f>IF(OR(E7="",F7=""),"",F7-E7)</f>
        <v/>
      </c>
      <c r="H7" s="20">
        <f>IF(OR(E7="",F7="",E7=0),"",(F7-E7)/E7)</f>
        <v/>
      </c>
      <c r="I7" s="21" t="n"/>
      <c r="J7" s="22">
        <f>IF(OR(E7="",I7=""),"",E7*I7)</f>
        <v/>
      </c>
      <c r="K7" s="22">
        <f>IF(OR(F7="",I7=""),"",F7*I7)</f>
        <v/>
      </c>
      <c r="L7" s="23">
        <f>IF(B7="","",IF(E7="","Cetvelde yok",IF(F7="","Projede bulunamadı",IF(H7&gt;MetrajTol,"Cetvelde eksik",IF(H7&lt;-MetrajTol,"Cetvelde fazla","Uygun")))))</f>
        <v/>
      </c>
      <c r="M7" s="21" t="n"/>
      <c r="N7" s="5" t="n"/>
    </row>
    <row r="8">
      <c r="A8" s="5" t="n"/>
      <c r="B8" s="5" t="n"/>
      <c r="C8" s="5" t="n"/>
      <c r="D8" s="5" t="n"/>
      <c r="E8" s="18" t="n"/>
      <c r="F8" s="18" t="n"/>
      <c r="G8" s="19">
        <f>IF(OR(E8="",F8=""),"",F8-E8)</f>
        <v/>
      </c>
      <c r="H8" s="20">
        <f>IF(OR(E8="",F8="",E8=0),"",(F8-E8)/E8)</f>
        <v/>
      </c>
      <c r="I8" s="21" t="n"/>
      <c r="J8" s="22">
        <f>IF(OR(E8="",I8=""),"",E8*I8)</f>
        <v/>
      </c>
      <c r="K8" s="22">
        <f>IF(OR(F8="",I8=""),"",F8*I8)</f>
        <v/>
      </c>
      <c r="L8" s="23">
        <f>IF(B8="","",IF(E8="","Cetvelde yok",IF(F8="","Projede bulunamadı",IF(H8&gt;MetrajTol,"Cetvelde eksik",IF(H8&lt;-MetrajTol,"Cetvelde fazla","Uygun")))))</f>
        <v/>
      </c>
      <c r="M8" s="21" t="n"/>
      <c r="N8" s="5" t="n"/>
    </row>
    <row r="9">
      <c r="A9" s="5" t="n"/>
      <c r="B9" s="5" t="n"/>
      <c r="C9" s="5" t="n"/>
      <c r="D9" s="5" t="n"/>
      <c r="E9" s="18" t="n"/>
      <c r="F9" s="18" t="n"/>
      <c r="G9" s="19">
        <f>IF(OR(E9="",F9=""),"",F9-E9)</f>
        <v/>
      </c>
      <c r="H9" s="20">
        <f>IF(OR(E9="",F9="",E9=0),"",(F9-E9)/E9)</f>
        <v/>
      </c>
      <c r="I9" s="21" t="n"/>
      <c r="J9" s="22">
        <f>IF(OR(E9="",I9=""),"",E9*I9)</f>
        <v/>
      </c>
      <c r="K9" s="22">
        <f>IF(OR(F9="",I9=""),"",F9*I9)</f>
        <v/>
      </c>
      <c r="L9" s="23">
        <f>IF(B9="","",IF(E9="","Cetvelde yok",IF(F9="","Projede bulunamadı",IF(H9&gt;MetrajTol,"Cetvelde eksik",IF(H9&lt;-MetrajTol,"Cetvelde fazla","Uygun")))))</f>
        <v/>
      </c>
      <c r="M9" s="21" t="n"/>
      <c r="N9" s="5" t="n"/>
    </row>
    <row r="10">
      <c r="A10" s="5" t="n"/>
      <c r="B10" s="5" t="n"/>
      <c r="C10" s="5" t="n"/>
      <c r="D10" s="5" t="n"/>
      <c r="E10" s="18" t="n"/>
      <c r="F10" s="18" t="n"/>
      <c r="G10" s="19">
        <f>IF(OR(E10="",F10=""),"",F10-E10)</f>
        <v/>
      </c>
      <c r="H10" s="20">
        <f>IF(OR(E10="",F10="",E10=0),"",(F10-E10)/E10)</f>
        <v/>
      </c>
      <c r="I10" s="21" t="n"/>
      <c r="J10" s="22">
        <f>IF(OR(E10="",I10=""),"",E10*I10)</f>
        <v/>
      </c>
      <c r="K10" s="22">
        <f>IF(OR(F10="",I10=""),"",F10*I10)</f>
        <v/>
      </c>
      <c r="L10" s="23">
        <f>IF(B10="","",IF(E10="","Cetvelde yok",IF(F10="","Projede bulunamadı",IF(H10&gt;MetrajTol,"Cetvelde eksik",IF(H10&lt;-MetrajTol,"Cetvelde fazla","Uygun")))))</f>
        <v/>
      </c>
      <c r="M10" s="21" t="n"/>
      <c r="N10" s="5" t="n"/>
    </row>
    <row r="11">
      <c r="A11" s="5" t="n"/>
      <c r="B11" s="5" t="n"/>
      <c r="C11" s="5" t="n"/>
      <c r="D11" s="5" t="n"/>
      <c r="E11" s="18" t="n"/>
      <c r="F11" s="18" t="n"/>
      <c r="G11" s="19">
        <f>IF(OR(E11="",F11=""),"",F11-E11)</f>
        <v/>
      </c>
      <c r="H11" s="20">
        <f>IF(OR(E11="",F11="",E11=0),"",(F11-E11)/E11)</f>
        <v/>
      </c>
      <c r="I11" s="21" t="n"/>
      <c r="J11" s="22">
        <f>IF(OR(E11="",I11=""),"",E11*I11)</f>
        <v/>
      </c>
      <c r="K11" s="22">
        <f>IF(OR(F11="",I11=""),"",F11*I11)</f>
        <v/>
      </c>
      <c r="L11" s="23">
        <f>IF(B11="","",IF(E11="","Cetvelde yok",IF(F11="","Projede bulunamadı",IF(H11&gt;MetrajTol,"Cetvelde eksik",IF(H11&lt;-MetrajTol,"Cetvelde fazla","Uygun")))))</f>
        <v/>
      </c>
      <c r="M11" s="21" t="n"/>
      <c r="N11" s="5" t="n"/>
    </row>
    <row r="12">
      <c r="A12" s="5" t="n"/>
      <c r="B12" s="5" t="n"/>
      <c r="C12" s="5" t="n"/>
      <c r="D12" s="5" t="n"/>
      <c r="E12" s="18" t="n"/>
      <c r="F12" s="18" t="n"/>
      <c r="G12" s="19">
        <f>IF(OR(E12="",F12=""),"",F12-E12)</f>
        <v/>
      </c>
      <c r="H12" s="20">
        <f>IF(OR(E12="",F12="",E12=0),"",(F12-E12)/E12)</f>
        <v/>
      </c>
      <c r="I12" s="21" t="n"/>
      <c r="J12" s="22">
        <f>IF(OR(E12="",I12=""),"",E12*I12)</f>
        <v/>
      </c>
      <c r="K12" s="22">
        <f>IF(OR(F12="",I12=""),"",F12*I12)</f>
        <v/>
      </c>
      <c r="L12" s="23">
        <f>IF(B12="","",IF(E12="","Cetvelde yok",IF(F12="","Projede bulunamadı",IF(H12&gt;MetrajTol,"Cetvelde eksik",IF(H12&lt;-MetrajTol,"Cetvelde fazla","Uygun")))))</f>
        <v/>
      </c>
      <c r="M12" s="21" t="n"/>
      <c r="N12" s="5" t="n"/>
    </row>
    <row r="13">
      <c r="A13" s="5" t="n"/>
      <c r="B13" s="5" t="n"/>
      <c r="C13" s="5" t="n"/>
      <c r="D13" s="5" t="n"/>
      <c r="E13" s="18" t="n"/>
      <c r="F13" s="18" t="n"/>
      <c r="G13" s="19">
        <f>IF(OR(E13="",F13=""),"",F13-E13)</f>
        <v/>
      </c>
      <c r="H13" s="20">
        <f>IF(OR(E13="",F13="",E13=0),"",(F13-E13)/E13)</f>
        <v/>
      </c>
      <c r="I13" s="21" t="n"/>
      <c r="J13" s="22">
        <f>IF(OR(E13="",I13=""),"",E13*I13)</f>
        <v/>
      </c>
      <c r="K13" s="22">
        <f>IF(OR(F13="",I13=""),"",F13*I13)</f>
        <v/>
      </c>
      <c r="L13" s="23">
        <f>IF(B13="","",IF(E13="","Cetvelde yok",IF(F13="","Projede bulunamadı",IF(H13&gt;MetrajTol,"Cetvelde eksik",IF(H13&lt;-MetrajTol,"Cetvelde fazla","Uygun")))))</f>
        <v/>
      </c>
      <c r="M13" s="21" t="n"/>
      <c r="N13" s="5" t="n"/>
    </row>
    <row r="14">
      <c r="A14" s="5" t="n"/>
      <c r="B14" s="5" t="n"/>
      <c r="C14" s="5" t="n"/>
      <c r="D14" s="5" t="n"/>
      <c r="E14" s="18" t="n"/>
      <c r="F14" s="18" t="n"/>
      <c r="G14" s="19">
        <f>IF(OR(E14="",F14=""),"",F14-E14)</f>
        <v/>
      </c>
      <c r="H14" s="20">
        <f>IF(OR(E14="",F14="",E14=0),"",(F14-E14)/E14)</f>
        <v/>
      </c>
      <c r="I14" s="21" t="n"/>
      <c r="J14" s="22">
        <f>IF(OR(E14="",I14=""),"",E14*I14)</f>
        <v/>
      </c>
      <c r="K14" s="22">
        <f>IF(OR(F14="",I14=""),"",F14*I14)</f>
        <v/>
      </c>
      <c r="L14" s="23">
        <f>IF(B14="","",IF(E14="","Cetvelde yok",IF(F14="","Projede bulunamadı",IF(H14&gt;MetrajTol,"Cetvelde eksik",IF(H14&lt;-MetrajTol,"Cetvelde fazla","Uygun")))))</f>
        <v/>
      </c>
      <c r="M14" s="21" t="n"/>
      <c r="N14" s="5" t="n"/>
    </row>
    <row r="15">
      <c r="A15" s="5" t="n"/>
      <c r="B15" s="5" t="n"/>
      <c r="C15" s="5" t="n"/>
      <c r="D15" s="5" t="n"/>
      <c r="E15" s="18" t="n"/>
      <c r="F15" s="18" t="n"/>
      <c r="G15" s="19">
        <f>IF(OR(E15="",F15=""),"",F15-E15)</f>
        <v/>
      </c>
      <c r="H15" s="20">
        <f>IF(OR(E15="",F15="",E15=0),"",(F15-E15)/E15)</f>
        <v/>
      </c>
      <c r="I15" s="21" t="n"/>
      <c r="J15" s="22">
        <f>IF(OR(E15="",I15=""),"",E15*I15)</f>
        <v/>
      </c>
      <c r="K15" s="22">
        <f>IF(OR(F15="",I15=""),"",F15*I15)</f>
        <v/>
      </c>
      <c r="L15" s="23">
        <f>IF(B15="","",IF(E15="","Cetvelde yok",IF(F15="","Projede bulunamadı",IF(H15&gt;MetrajTol,"Cetvelde eksik",IF(H15&lt;-MetrajTol,"Cetvelde fazla","Uygun")))))</f>
        <v/>
      </c>
      <c r="M15" s="21" t="n"/>
      <c r="N15" s="5" t="n"/>
    </row>
    <row r="16">
      <c r="A16" s="5" t="n"/>
      <c r="B16" s="5" t="n"/>
      <c r="C16" s="5" t="n"/>
      <c r="D16" s="5" t="n"/>
      <c r="E16" s="18" t="n"/>
      <c r="F16" s="18" t="n"/>
      <c r="G16" s="19">
        <f>IF(OR(E16="",F16=""),"",F16-E16)</f>
        <v/>
      </c>
      <c r="H16" s="20">
        <f>IF(OR(E16="",F16="",E16=0),"",(F16-E16)/E16)</f>
        <v/>
      </c>
      <c r="I16" s="21" t="n"/>
      <c r="J16" s="22">
        <f>IF(OR(E16="",I16=""),"",E16*I16)</f>
        <v/>
      </c>
      <c r="K16" s="22">
        <f>IF(OR(F16="",I16=""),"",F16*I16)</f>
        <v/>
      </c>
      <c r="L16" s="23">
        <f>IF(B16="","",IF(E16="","Cetvelde yok",IF(F16="","Projede bulunamadı",IF(H16&gt;MetrajTol,"Cetvelde eksik",IF(H16&lt;-MetrajTol,"Cetvelde fazla","Uygun")))))</f>
        <v/>
      </c>
      <c r="M16" s="21" t="n"/>
      <c r="N16" s="5" t="n"/>
    </row>
    <row r="17">
      <c r="A17" s="5" t="n"/>
      <c r="B17" s="5" t="n"/>
      <c r="C17" s="5" t="n"/>
      <c r="D17" s="5" t="n"/>
      <c r="E17" s="18" t="n"/>
      <c r="F17" s="18" t="n"/>
      <c r="G17" s="19">
        <f>IF(OR(E17="",F17=""),"",F17-E17)</f>
        <v/>
      </c>
      <c r="H17" s="20">
        <f>IF(OR(E17="",F17="",E17=0),"",(F17-E17)/E17)</f>
        <v/>
      </c>
      <c r="I17" s="21" t="n"/>
      <c r="J17" s="22">
        <f>IF(OR(E17="",I17=""),"",E17*I17)</f>
        <v/>
      </c>
      <c r="K17" s="22">
        <f>IF(OR(F17="",I17=""),"",F17*I17)</f>
        <v/>
      </c>
      <c r="L17" s="23">
        <f>IF(B17="","",IF(E17="","Cetvelde yok",IF(F17="","Projede bulunamadı",IF(H17&gt;MetrajTol,"Cetvelde eksik",IF(H17&lt;-MetrajTol,"Cetvelde fazla","Uygun")))))</f>
        <v/>
      </c>
      <c r="M17" s="21" t="n"/>
      <c r="N17" s="5" t="n"/>
    </row>
    <row r="18">
      <c r="A18" s="5" t="n"/>
      <c r="B18" s="5" t="n"/>
      <c r="C18" s="5" t="n"/>
      <c r="D18" s="5" t="n"/>
      <c r="E18" s="18" t="n"/>
      <c r="F18" s="18" t="n"/>
      <c r="G18" s="19">
        <f>IF(OR(E18="",F18=""),"",F18-E18)</f>
        <v/>
      </c>
      <c r="H18" s="20">
        <f>IF(OR(E18="",F18="",E18=0),"",(F18-E18)/E18)</f>
        <v/>
      </c>
      <c r="I18" s="21" t="n"/>
      <c r="J18" s="22">
        <f>IF(OR(E18="",I18=""),"",E18*I18)</f>
        <v/>
      </c>
      <c r="K18" s="22">
        <f>IF(OR(F18="",I18=""),"",F18*I18)</f>
        <v/>
      </c>
      <c r="L18" s="23">
        <f>IF(B18="","",IF(E18="","Cetvelde yok",IF(F18="","Projede bulunamadı",IF(H18&gt;MetrajTol,"Cetvelde eksik",IF(H18&lt;-MetrajTol,"Cetvelde fazla","Uygun")))))</f>
        <v/>
      </c>
      <c r="M18" s="21" t="n"/>
      <c r="N18" s="5" t="n"/>
    </row>
    <row r="19">
      <c r="A19" s="5" t="n"/>
      <c r="B19" s="5" t="n"/>
      <c r="C19" s="5" t="n"/>
      <c r="D19" s="5" t="n"/>
      <c r="E19" s="18" t="n"/>
      <c r="F19" s="18" t="n"/>
      <c r="G19" s="19">
        <f>IF(OR(E19="",F19=""),"",F19-E19)</f>
        <v/>
      </c>
      <c r="H19" s="20">
        <f>IF(OR(E19="",F19="",E19=0),"",(F19-E19)/E19)</f>
        <v/>
      </c>
      <c r="I19" s="21" t="n"/>
      <c r="J19" s="22">
        <f>IF(OR(E19="",I19=""),"",E19*I19)</f>
        <v/>
      </c>
      <c r="K19" s="22">
        <f>IF(OR(F19="",I19=""),"",F19*I19)</f>
        <v/>
      </c>
      <c r="L19" s="23">
        <f>IF(B19="","",IF(E19="","Cetvelde yok",IF(F19="","Projede bulunamadı",IF(H19&gt;MetrajTol,"Cetvelde eksik",IF(H19&lt;-MetrajTol,"Cetvelde fazla","Uygun")))))</f>
        <v/>
      </c>
      <c r="M19" s="21" t="n"/>
      <c r="N19" s="5" t="n"/>
    </row>
    <row r="20">
      <c r="A20" s="5" t="n"/>
      <c r="B20" s="5" t="n"/>
      <c r="C20" s="5" t="n"/>
      <c r="D20" s="5" t="n"/>
      <c r="E20" s="18" t="n"/>
      <c r="F20" s="18" t="n"/>
      <c r="G20" s="19">
        <f>IF(OR(E20="",F20=""),"",F20-E20)</f>
        <v/>
      </c>
      <c r="H20" s="20">
        <f>IF(OR(E20="",F20="",E20=0),"",(F20-E20)/E20)</f>
        <v/>
      </c>
      <c r="I20" s="21" t="n"/>
      <c r="J20" s="22">
        <f>IF(OR(E20="",I20=""),"",E20*I20)</f>
        <v/>
      </c>
      <c r="K20" s="22">
        <f>IF(OR(F20="",I20=""),"",F20*I20)</f>
        <v/>
      </c>
      <c r="L20" s="23">
        <f>IF(B20="","",IF(E20="","Cetvelde yok",IF(F20="","Projede bulunamadı",IF(H20&gt;MetrajTol,"Cetvelde eksik",IF(H20&lt;-MetrajTol,"Cetvelde fazla","Uygun")))))</f>
        <v/>
      </c>
      <c r="M20" s="21" t="n"/>
      <c r="N20" s="5" t="n"/>
    </row>
    <row r="21">
      <c r="A21" s="5" t="n"/>
      <c r="B21" s="5" t="n"/>
      <c r="C21" s="5" t="n"/>
      <c r="D21" s="5" t="n"/>
      <c r="E21" s="18" t="n"/>
      <c r="F21" s="18" t="n"/>
      <c r="G21" s="19">
        <f>IF(OR(E21="",F21=""),"",F21-E21)</f>
        <v/>
      </c>
      <c r="H21" s="20">
        <f>IF(OR(E21="",F21="",E21=0),"",(F21-E21)/E21)</f>
        <v/>
      </c>
      <c r="I21" s="21" t="n"/>
      <c r="J21" s="22">
        <f>IF(OR(E21="",I21=""),"",E21*I21)</f>
        <v/>
      </c>
      <c r="K21" s="22">
        <f>IF(OR(F21="",I21=""),"",F21*I21)</f>
        <v/>
      </c>
      <c r="L21" s="23">
        <f>IF(B21="","",IF(E21="","Cetvelde yok",IF(F21="","Projede bulunamadı",IF(H21&gt;MetrajTol,"Cetvelde eksik",IF(H21&lt;-MetrajTol,"Cetvelde fazla","Uygun")))))</f>
        <v/>
      </c>
      <c r="M21" s="21" t="n"/>
      <c r="N21" s="5" t="n"/>
    </row>
    <row r="22">
      <c r="A22" s="5" t="n"/>
      <c r="B22" s="5" t="n"/>
      <c r="C22" s="5" t="n"/>
      <c r="D22" s="5" t="n"/>
      <c r="E22" s="18" t="n"/>
      <c r="F22" s="18" t="n"/>
      <c r="G22" s="19">
        <f>IF(OR(E22="",F22=""),"",F22-E22)</f>
        <v/>
      </c>
      <c r="H22" s="20">
        <f>IF(OR(E22="",F22="",E22=0),"",(F22-E22)/E22)</f>
        <v/>
      </c>
      <c r="I22" s="21" t="n"/>
      <c r="J22" s="22">
        <f>IF(OR(E22="",I22=""),"",E22*I22)</f>
        <v/>
      </c>
      <c r="K22" s="22">
        <f>IF(OR(F22="",I22=""),"",F22*I22)</f>
        <v/>
      </c>
      <c r="L22" s="23">
        <f>IF(B22="","",IF(E22="","Cetvelde yok",IF(F22="","Projede bulunamadı",IF(H22&gt;MetrajTol,"Cetvelde eksik",IF(H22&lt;-MetrajTol,"Cetvelde fazla","Uygun")))))</f>
        <v/>
      </c>
      <c r="M22" s="21" t="n"/>
      <c r="N22" s="5" t="n"/>
    </row>
    <row r="23">
      <c r="A23" s="5" t="n"/>
      <c r="B23" s="5" t="n"/>
      <c r="C23" s="5" t="n"/>
      <c r="D23" s="5" t="n"/>
      <c r="E23" s="18" t="n"/>
      <c r="F23" s="18" t="n"/>
      <c r="G23" s="19">
        <f>IF(OR(E23="",F23=""),"",F23-E23)</f>
        <v/>
      </c>
      <c r="H23" s="20">
        <f>IF(OR(E23="",F23="",E23=0),"",(F23-E23)/E23)</f>
        <v/>
      </c>
      <c r="I23" s="21" t="n"/>
      <c r="J23" s="22">
        <f>IF(OR(E23="",I23=""),"",E23*I23)</f>
        <v/>
      </c>
      <c r="K23" s="22">
        <f>IF(OR(F23="",I23=""),"",F23*I23)</f>
        <v/>
      </c>
      <c r="L23" s="23">
        <f>IF(B23="","",IF(E23="","Cetvelde yok",IF(F23="","Projede bulunamadı",IF(H23&gt;MetrajTol,"Cetvelde eksik",IF(H23&lt;-MetrajTol,"Cetvelde fazla","Uygun")))))</f>
        <v/>
      </c>
      <c r="M23" s="21" t="n"/>
      <c r="N23" s="5" t="n"/>
    </row>
    <row r="24">
      <c r="A24" s="5" t="n"/>
      <c r="B24" s="5" t="n"/>
      <c r="C24" s="5" t="n"/>
      <c r="D24" s="5" t="n"/>
      <c r="E24" s="18" t="n"/>
      <c r="F24" s="18" t="n"/>
      <c r="G24" s="19">
        <f>IF(OR(E24="",F24=""),"",F24-E24)</f>
        <v/>
      </c>
      <c r="H24" s="20">
        <f>IF(OR(E24="",F24="",E24=0),"",(F24-E24)/E24)</f>
        <v/>
      </c>
      <c r="I24" s="21" t="n"/>
      <c r="J24" s="22">
        <f>IF(OR(E24="",I24=""),"",E24*I24)</f>
        <v/>
      </c>
      <c r="K24" s="22">
        <f>IF(OR(F24="",I24=""),"",F24*I24)</f>
        <v/>
      </c>
      <c r="L24" s="23">
        <f>IF(B24="","",IF(E24="","Cetvelde yok",IF(F24="","Projede bulunamadı",IF(H24&gt;MetrajTol,"Cetvelde eksik",IF(H24&lt;-MetrajTol,"Cetvelde fazla","Uygun")))))</f>
        <v/>
      </c>
      <c r="M24" s="21" t="n"/>
      <c r="N24" s="5" t="n"/>
    </row>
    <row r="25">
      <c r="A25" s="5" t="n"/>
      <c r="B25" s="5" t="n"/>
      <c r="C25" s="5" t="n"/>
      <c r="D25" s="5" t="n"/>
      <c r="E25" s="18" t="n"/>
      <c r="F25" s="18" t="n"/>
      <c r="G25" s="19">
        <f>IF(OR(E25="",F25=""),"",F25-E25)</f>
        <v/>
      </c>
      <c r="H25" s="20">
        <f>IF(OR(E25="",F25="",E25=0),"",(F25-E25)/E25)</f>
        <v/>
      </c>
      <c r="I25" s="21" t="n"/>
      <c r="J25" s="22">
        <f>IF(OR(E25="",I25=""),"",E25*I25)</f>
        <v/>
      </c>
      <c r="K25" s="22">
        <f>IF(OR(F25="",I25=""),"",F25*I25)</f>
        <v/>
      </c>
      <c r="L25" s="23">
        <f>IF(B25="","",IF(E25="","Cetvelde yok",IF(F25="","Projede bulunamadı",IF(H25&gt;MetrajTol,"Cetvelde eksik",IF(H25&lt;-MetrajTol,"Cetvelde fazla","Uygun")))))</f>
        <v/>
      </c>
      <c r="M25" s="21" t="n"/>
      <c r="N25" s="5" t="n"/>
    </row>
    <row r="26">
      <c r="A26" s="5" t="n"/>
      <c r="B26" s="5" t="n"/>
      <c r="C26" s="5" t="n"/>
      <c r="D26" s="5" t="n"/>
      <c r="E26" s="18" t="n"/>
      <c r="F26" s="18" t="n"/>
      <c r="G26" s="19">
        <f>IF(OR(E26="",F26=""),"",F26-E26)</f>
        <v/>
      </c>
      <c r="H26" s="20">
        <f>IF(OR(E26="",F26="",E26=0),"",(F26-E26)/E26)</f>
        <v/>
      </c>
      <c r="I26" s="21" t="n"/>
      <c r="J26" s="22">
        <f>IF(OR(E26="",I26=""),"",E26*I26)</f>
        <v/>
      </c>
      <c r="K26" s="22">
        <f>IF(OR(F26="",I26=""),"",F26*I26)</f>
        <v/>
      </c>
      <c r="L26" s="23">
        <f>IF(B26="","",IF(E26="","Cetvelde yok",IF(F26="","Projede bulunamadı",IF(H26&gt;MetrajTol,"Cetvelde eksik",IF(H26&lt;-MetrajTol,"Cetvelde fazla","Uygun")))))</f>
        <v/>
      </c>
      <c r="M26" s="21" t="n"/>
      <c r="N26" s="5" t="n"/>
    </row>
    <row r="27">
      <c r="A27" s="5" t="n"/>
      <c r="B27" s="5" t="n"/>
      <c r="C27" s="5" t="n"/>
      <c r="D27" s="5" t="n"/>
      <c r="E27" s="18" t="n"/>
      <c r="F27" s="18" t="n"/>
      <c r="G27" s="19">
        <f>IF(OR(E27="",F27=""),"",F27-E27)</f>
        <v/>
      </c>
      <c r="H27" s="20">
        <f>IF(OR(E27="",F27="",E27=0),"",(F27-E27)/E27)</f>
        <v/>
      </c>
      <c r="I27" s="21" t="n"/>
      <c r="J27" s="22">
        <f>IF(OR(E27="",I27=""),"",E27*I27)</f>
        <v/>
      </c>
      <c r="K27" s="22">
        <f>IF(OR(F27="",I27=""),"",F27*I27)</f>
        <v/>
      </c>
      <c r="L27" s="23">
        <f>IF(B27="","",IF(E27="","Cetvelde yok",IF(F27="","Projede bulunamadı",IF(H27&gt;MetrajTol,"Cetvelde eksik",IF(H27&lt;-MetrajTol,"Cetvelde fazla","Uygun")))))</f>
        <v/>
      </c>
      <c r="M27" s="21" t="n"/>
      <c r="N27" s="5" t="n"/>
    </row>
    <row r="28">
      <c r="A28" s="5" t="n"/>
      <c r="B28" s="5" t="n"/>
      <c r="C28" s="5" t="n"/>
      <c r="D28" s="5" t="n"/>
      <c r="E28" s="18" t="n"/>
      <c r="F28" s="18" t="n"/>
      <c r="G28" s="19">
        <f>IF(OR(E28="",F28=""),"",F28-E28)</f>
        <v/>
      </c>
      <c r="H28" s="20">
        <f>IF(OR(E28="",F28="",E28=0),"",(F28-E28)/E28)</f>
        <v/>
      </c>
      <c r="I28" s="21" t="n"/>
      <c r="J28" s="22">
        <f>IF(OR(E28="",I28=""),"",E28*I28)</f>
        <v/>
      </c>
      <c r="K28" s="22">
        <f>IF(OR(F28="",I28=""),"",F28*I28)</f>
        <v/>
      </c>
      <c r="L28" s="23">
        <f>IF(B28="","",IF(E28="","Cetvelde yok",IF(F28="","Projede bulunamadı",IF(H28&gt;MetrajTol,"Cetvelde eksik",IF(H28&lt;-MetrajTol,"Cetvelde fazla","Uygun")))))</f>
        <v/>
      </c>
      <c r="M28" s="21" t="n"/>
      <c r="N28" s="5" t="n"/>
    </row>
    <row r="29">
      <c r="A29" s="5" t="n"/>
      <c r="B29" s="5" t="n"/>
      <c r="C29" s="5" t="n"/>
      <c r="D29" s="5" t="n"/>
      <c r="E29" s="18" t="n"/>
      <c r="F29" s="18" t="n"/>
      <c r="G29" s="19">
        <f>IF(OR(E29="",F29=""),"",F29-E29)</f>
        <v/>
      </c>
      <c r="H29" s="20">
        <f>IF(OR(E29="",F29="",E29=0),"",(F29-E29)/E29)</f>
        <v/>
      </c>
      <c r="I29" s="21" t="n"/>
      <c r="J29" s="22">
        <f>IF(OR(E29="",I29=""),"",E29*I29)</f>
        <v/>
      </c>
      <c r="K29" s="22">
        <f>IF(OR(F29="",I29=""),"",F29*I29)</f>
        <v/>
      </c>
      <c r="L29" s="23">
        <f>IF(B29="","",IF(E29="","Cetvelde yok",IF(F29="","Projede bulunamadı",IF(H29&gt;MetrajTol,"Cetvelde eksik",IF(H29&lt;-MetrajTol,"Cetvelde fazla","Uygun")))))</f>
        <v/>
      </c>
      <c r="M29" s="21" t="n"/>
      <c r="N29" s="5" t="n"/>
    </row>
    <row r="30">
      <c r="A30" s="5" t="n"/>
      <c r="B30" s="5" t="n"/>
      <c r="C30" s="5" t="n"/>
      <c r="D30" s="5" t="n"/>
      <c r="E30" s="18" t="n"/>
      <c r="F30" s="18" t="n"/>
      <c r="G30" s="19">
        <f>IF(OR(E30="",F30=""),"",F30-E30)</f>
        <v/>
      </c>
      <c r="H30" s="20">
        <f>IF(OR(E30="",F30="",E30=0),"",(F30-E30)/E30)</f>
        <v/>
      </c>
      <c r="I30" s="21" t="n"/>
      <c r="J30" s="22">
        <f>IF(OR(E30="",I30=""),"",E30*I30)</f>
        <v/>
      </c>
      <c r="K30" s="22">
        <f>IF(OR(F30="",I30=""),"",F30*I30)</f>
        <v/>
      </c>
      <c r="L30" s="23">
        <f>IF(B30="","",IF(E30="","Cetvelde yok",IF(F30="","Projede bulunamadı",IF(H30&gt;MetrajTol,"Cetvelde eksik",IF(H30&lt;-MetrajTol,"Cetvelde fazla","Uygun")))))</f>
        <v/>
      </c>
      <c r="M30" s="21" t="n"/>
      <c r="N30" s="5" t="n"/>
    </row>
    <row r="31">
      <c r="A31" s="5" t="n"/>
      <c r="B31" s="5" t="n"/>
      <c r="C31" s="5" t="n"/>
      <c r="D31" s="5" t="n"/>
      <c r="E31" s="18" t="n"/>
      <c r="F31" s="18" t="n"/>
      <c r="G31" s="19">
        <f>IF(OR(E31="",F31=""),"",F31-E31)</f>
        <v/>
      </c>
      <c r="H31" s="20">
        <f>IF(OR(E31="",F31="",E31=0),"",(F31-E31)/E31)</f>
        <v/>
      </c>
      <c r="I31" s="21" t="n"/>
      <c r="J31" s="22">
        <f>IF(OR(E31="",I31=""),"",E31*I31)</f>
        <v/>
      </c>
      <c r="K31" s="22">
        <f>IF(OR(F31="",I31=""),"",F31*I31)</f>
        <v/>
      </c>
      <c r="L31" s="23">
        <f>IF(B31="","",IF(E31="","Cetvelde yok",IF(F31="","Projede bulunamadı",IF(H31&gt;MetrajTol,"Cetvelde eksik",IF(H31&lt;-MetrajTol,"Cetvelde fazla","Uygun")))))</f>
        <v/>
      </c>
      <c r="M31" s="21" t="n"/>
      <c r="N31" s="5" t="n"/>
    </row>
    <row r="32">
      <c r="A32" s="5" t="n"/>
      <c r="B32" s="5" t="n"/>
      <c r="C32" s="5" t="n"/>
      <c r="D32" s="5" t="n"/>
      <c r="E32" s="18" t="n"/>
      <c r="F32" s="18" t="n"/>
      <c r="G32" s="19">
        <f>IF(OR(E32="",F32=""),"",F32-E32)</f>
        <v/>
      </c>
      <c r="H32" s="20">
        <f>IF(OR(E32="",F32="",E32=0),"",(F32-E32)/E32)</f>
        <v/>
      </c>
      <c r="I32" s="21" t="n"/>
      <c r="J32" s="22">
        <f>IF(OR(E32="",I32=""),"",E32*I32)</f>
        <v/>
      </c>
      <c r="K32" s="22">
        <f>IF(OR(F32="",I32=""),"",F32*I32)</f>
        <v/>
      </c>
      <c r="L32" s="23">
        <f>IF(B32="","",IF(E32="","Cetvelde yok",IF(F32="","Projede bulunamadı",IF(H32&gt;MetrajTol,"Cetvelde eksik",IF(H32&lt;-MetrajTol,"Cetvelde fazla","Uygun")))))</f>
        <v/>
      </c>
      <c r="M32" s="21" t="n"/>
      <c r="N32" s="5" t="n"/>
    </row>
    <row r="33">
      <c r="A33" s="5" t="n"/>
      <c r="B33" s="5" t="n"/>
      <c r="C33" s="5" t="n"/>
      <c r="D33" s="5" t="n"/>
      <c r="E33" s="18" t="n"/>
      <c r="F33" s="18" t="n"/>
      <c r="G33" s="19">
        <f>IF(OR(E33="",F33=""),"",F33-E33)</f>
        <v/>
      </c>
      <c r="H33" s="20">
        <f>IF(OR(E33="",F33="",E33=0),"",(F33-E33)/E33)</f>
        <v/>
      </c>
      <c r="I33" s="21" t="n"/>
      <c r="J33" s="22">
        <f>IF(OR(E33="",I33=""),"",E33*I33)</f>
        <v/>
      </c>
      <c r="K33" s="22">
        <f>IF(OR(F33="",I33=""),"",F33*I33)</f>
        <v/>
      </c>
      <c r="L33" s="23">
        <f>IF(B33="","",IF(E33="","Cetvelde yok",IF(F33="","Projede bulunamadı",IF(H33&gt;MetrajTol,"Cetvelde eksik",IF(H33&lt;-MetrajTol,"Cetvelde fazla","Uygun")))))</f>
        <v/>
      </c>
      <c r="M33" s="21" t="n"/>
      <c r="N33" s="5" t="n"/>
    </row>
    <row r="34">
      <c r="A34" s="5" t="n"/>
      <c r="B34" s="5" t="n"/>
      <c r="C34" s="5" t="n"/>
      <c r="D34" s="5" t="n"/>
      <c r="E34" s="18" t="n"/>
      <c r="F34" s="18" t="n"/>
      <c r="G34" s="19">
        <f>IF(OR(E34="",F34=""),"",F34-E34)</f>
        <v/>
      </c>
      <c r="H34" s="20">
        <f>IF(OR(E34="",F34="",E34=0),"",(F34-E34)/E34)</f>
        <v/>
      </c>
      <c r="I34" s="21" t="n"/>
      <c r="J34" s="22">
        <f>IF(OR(E34="",I34=""),"",E34*I34)</f>
        <v/>
      </c>
      <c r="K34" s="22">
        <f>IF(OR(F34="",I34=""),"",F34*I34)</f>
        <v/>
      </c>
      <c r="L34" s="23">
        <f>IF(B34="","",IF(E34="","Cetvelde yok",IF(F34="","Projede bulunamadı",IF(H34&gt;MetrajTol,"Cetvelde eksik",IF(H34&lt;-MetrajTol,"Cetvelde fazla","Uygun")))))</f>
        <v/>
      </c>
      <c r="M34" s="21" t="n"/>
      <c r="N34" s="5" t="n"/>
    </row>
    <row r="35">
      <c r="A35" s="5" t="n"/>
      <c r="B35" s="5" t="n"/>
      <c r="C35" s="5" t="n"/>
      <c r="D35" s="5" t="n"/>
      <c r="E35" s="18" t="n"/>
      <c r="F35" s="18" t="n"/>
      <c r="G35" s="19">
        <f>IF(OR(E35="",F35=""),"",F35-E35)</f>
        <v/>
      </c>
      <c r="H35" s="20">
        <f>IF(OR(E35="",F35="",E35=0),"",(F35-E35)/E35)</f>
        <v/>
      </c>
      <c r="I35" s="21" t="n"/>
      <c r="J35" s="22">
        <f>IF(OR(E35="",I35=""),"",E35*I35)</f>
        <v/>
      </c>
      <c r="K35" s="22">
        <f>IF(OR(F35="",I35=""),"",F35*I35)</f>
        <v/>
      </c>
      <c r="L35" s="23">
        <f>IF(B35="","",IF(E35="","Cetvelde yok",IF(F35="","Projede bulunamadı",IF(H35&gt;MetrajTol,"Cetvelde eksik",IF(H35&lt;-MetrajTol,"Cetvelde fazla","Uygun")))))</f>
        <v/>
      </c>
      <c r="M35" s="21" t="n"/>
      <c r="N35" s="5" t="n"/>
    </row>
    <row r="36">
      <c r="A36" s="5" t="n"/>
      <c r="B36" s="5" t="n"/>
      <c r="C36" s="5" t="n"/>
      <c r="D36" s="5" t="n"/>
      <c r="E36" s="18" t="n"/>
      <c r="F36" s="18" t="n"/>
      <c r="G36" s="19">
        <f>IF(OR(E36="",F36=""),"",F36-E36)</f>
        <v/>
      </c>
      <c r="H36" s="20">
        <f>IF(OR(E36="",F36="",E36=0),"",(F36-E36)/E36)</f>
        <v/>
      </c>
      <c r="I36" s="21" t="n"/>
      <c r="J36" s="22">
        <f>IF(OR(E36="",I36=""),"",E36*I36)</f>
        <v/>
      </c>
      <c r="K36" s="22">
        <f>IF(OR(F36="",I36=""),"",F36*I36)</f>
        <v/>
      </c>
      <c r="L36" s="23">
        <f>IF(B36="","",IF(E36="","Cetvelde yok",IF(F36="","Projede bulunamadı",IF(H36&gt;MetrajTol,"Cetvelde eksik",IF(H36&lt;-MetrajTol,"Cetvelde fazla","Uygun")))))</f>
        <v/>
      </c>
      <c r="M36" s="21" t="n"/>
      <c r="N36" s="5" t="n"/>
    </row>
    <row r="37">
      <c r="A37" s="5" t="n"/>
      <c r="B37" s="5" t="n"/>
      <c r="C37" s="5" t="n"/>
      <c r="D37" s="5" t="n"/>
      <c r="E37" s="18" t="n"/>
      <c r="F37" s="18" t="n"/>
      <c r="G37" s="19">
        <f>IF(OR(E37="",F37=""),"",F37-E37)</f>
        <v/>
      </c>
      <c r="H37" s="20">
        <f>IF(OR(E37="",F37="",E37=0),"",(F37-E37)/E37)</f>
        <v/>
      </c>
      <c r="I37" s="21" t="n"/>
      <c r="J37" s="22">
        <f>IF(OR(E37="",I37=""),"",E37*I37)</f>
        <v/>
      </c>
      <c r="K37" s="22">
        <f>IF(OR(F37="",I37=""),"",F37*I37)</f>
        <v/>
      </c>
      <c r="L37" s="23">
        <f>IF(B37="","",IF(E37="","Cetvelde yok",IF(F37="","Projede bulunamadı",IF(H37&gt;MetrajTol,"Cetvelde eksik",IF(H37&lt;-MetrajTol,"Cetvelde fazla","Uygun")))))</f>
        <v/>
      </c>
      <c r="M37" s="21" t="n"/>
      <c r="N37" s="5" t="n"/>
    </row>
    <row r="38">
      <c r="A38" s="5" t="n"/>
      <c r="B38" s="5" t="n"/>
      <c r="C38" s="5" t="n"/>
      <c r="D38" s="5" t="n"/>
      <c r="E38" s="18" t="n"/>
      <c r="F38" s="18" t="n"/>
      <c r="G38" s="19">
        <f>IF(OR(E38="",F38=""),"",F38-E38)</f>
        <v/>
      </c>
      <c r="H38" s="20">
        <f>IF(OR(E38="",F38="",E38=0),"",(F38-E38)/E38)</f>
        <v/>
      </c>
      <c r="I38" s="21" t="n"/>
      <c r="J38" s="22">
        <f>IF(OR(E38="",I38=""),"",E38*I38)</f>
        <v/>
      </c>
      <c r="K38" s="22">
        <f>IF(OR(F38="",I38=""),"",F38*I38)</f>
        <v/>
      </c>
      <c r="L38" s="23">
        <f>IF(B38="","",IF(E38="","Cetvelde yok",IF(F38="","Projede bulunamadı",IF(H38&gt;MetrajTol,"Cetvelde eksik",IF(H38&lt;-MetrajTol,"Cetvelde fazla","Uygun")))))</f>
        <v/>
      </c>
      <c r="M38" s="21" t="n"/>
      <c r="N38" s="5" t="n"/>
    </row>
    <row r="39">
      <c r="A39" s="5" t="n"/>
      <c r="B39" s="5" t="n"/>
      <c r="C39" s="5" t="n"/>
      <c r="D39" s="5" t="n"/>
      <c r="E39" s="18" t="n"/>
      <c r="F39" s="18" t="n"/>
      <c r="G39" s="19">
        <f>IF(OR(E39="",F39=""),"",F39-E39)</f>
        <v/>
      </c>
      <c r="H39" s="20">
        <f>IF(OR(E39="",F39="",E39=0),"",(F39-E39)/E39)</f>
        <v/>
      </c>
      <c r="I39" s="21" t="n"/>
      <c r="J39" s="22">
        <f>IF(OR(E39="",I39=""),"",E39*I39)</f>
        <v/>
      </c>
      <c r="K39" s="22">
        <f>IF(OR(F39="",I39=""),"",F39*I39)</f>
        <v/>
      </c>
      <c r="L39" s="23">
        <f>IF(B39="","",IF(E39="","Cetvelde yok",IF(F39="","Projede bulunamadı",IF(H39&gt;MetrajTol,"Cetvelde eksik",IF(H39&lt;-MetrajTol,"Cetvelde fazla","Uygun")))))</f>
        <v/>
      </c>
      <c r="M39" s="21" t="n"/>
      <c r="N39" s="5" t="n"/>
    </row>
    <row r="40">
      <c r="A40" s="5" t="n"/>
      <c r="B40" s="5" t="n"/>
      <c r="C40" s="5" t="n"/>
      <c r="D40" s="5" t="n"/>
      <c r="E40" s="18" t="n"/>
      <c r="F40" s="18" t="n"/>
      <c r="G40" s="19">
        <f>IF(OR(E40="",F40=""),"",F40-E40)</f>
        <v/>
      </c>
      <c r="H40" s="20">
        <f>IF(OR(E40="",F40="",E40=0),"",(F40-E40)/E40)</f>
        <v/>
      </c>
      <c r="I40" s="21" t="n"/>
      <c r="J40" s="22">
        <f>IF(OR(E40="",I40=""),"",E40*I40)</f>
        <v/>
      </c>
      <c r="K40" s="22">
        <f>IF(OR(F40="",I40=""),"",F40*I40)</f>
        <v/>
      </c>
      <c r="L40" s="23">
        <f>IF(B40="","",IF(E40="","Cetvelde yok",IF(F40="","Projede bulunamadı",IF(H40&gt;MetrajTol,"Cetvelde eksik",IF(H40&lt;-MetrajTol,"Cetvelde fazla","Uygun")))))</f>
        <v/>
      </c>
      <c r="M40" s="21" t="n"/>
      <c r="N40" s="5" t="n"/>
    </row>
    <row r="41">
      <c r="A41" s="5" t="n"/>
      <c r="B41" s="5" t="n"/>
      <c r="C41" s="5" t="n"/>
      <c r="D41" s="5" t="n"/>
      <c r="E41" s="18" t="n"/>
      <c r="F41" s="18" t="n"/>
      <c r="G41" s="19">
        <f>IF(OR(E41="",F41=""),"",F41-E41)</f>
        <v/>
      </c>
      <c r="H41" s="20">
        <f>IF(OR(E41="",F41="",E41=0),"",(F41-E41)/E41)</f>
        <v/>
      </c>
      <c r="I41" s="21" t="n"/>
      <c r="J41" s="22">
        <f>IF(OR(E41="",I41=""),"",E41*I41)</f>
        <v/>
      </c>
      <c r="K41" s="22">
        <f>IF(OR(F41="",I41=""),"",F41*I41)</f>
        <v/>
      </c>
      <c r="L41" s="23">
        <f>IF(B41="","",IF(E41="","Cetvelde yok",IF(F41="","Projede bulunamadı",IF(H41&gt;MetrajTol,"Cetvelde eksik",IF(H41&lt;-MetrajTol,"Cetvelde fazla","Uygun")))))</f>
        <v/>
      </c>
      <c r="M41" s="21" t="n"/>
      <c r="N41" s="5" t="n"/>
    </row>
    <row r="42">
      <c r="A42" s="5" t="n"/>
      <c r="B42" s="5" t="n"/>
      <c r="C42" s="5" t="n"/>
      <c r="D42" s="5" t="n"/>
      <c r="E42" s="18" t="n"/>
      <c r="F42" s="18" t="n"/>
      <c r="G42" s="19">
        <f>IF(OR(E42="",F42=""),"",F42-E42)</f>
        <v/>
      </c>
      <c r="H42" s="20">
        <f>IF(OR(E42="",F42="",E42=0),"",(F42-E42)/E42)</f>
        <v/>
      </c>
      <c r="I42" s="21" t="n"/>
      <c r="J42" s="22">
        <f>IF(OR(E42="",I42=""),"",E42*I42)</f>
        <v/>
      </c>
      <c r="K42" s="22">
        <f>IF(OR(F42="",I42=""),"",F42*I42)</f>
        <v/>
      </c>
      <c r="L42" s="23">
        <f>IF(B42="","",IF(E42="","Cetvelde yok",IF(F42="","Projede bulunamadı",IF(H42&gt;MetrajTol,"Cetvelde eksik",IF(H42&lt;-MetrajTol,"Cetvelde fazla","Uygun")))))</f>
        <v/>
      </c>
      <c r="M42" s="21" t="n"/>
      <c r="N42" s="5" t="n"/>
    </row>
    <row r="43">
      <c r="A43" s="5" t="n"/>
      <c r="B43" s="5" t="n"/>
      <c r="C43" s="5" t="n"/>
      <c r="D43" s="5" t="n"/>
      <c r="E43" s="18" t="n"/>
      <c r="F43" s="18" t="n"/>
      <c r="G43" s="19">
        <f>IF(OR(E43="",F43=""),"",F43-E43)</f>
        <v/>
      </c>
      <c r="H43" s="20">
        <f>IF(OR(E43="",F43="",E43=0),"",(F43-E43)/E43)</f>
        <v/>
      </c>
      <c r="I43" s="21" t="n"/>
      <c r="J43" s="22">
        <f>IF(OR(E43="",I43=""),"",E43*I43)</f>
        <v/>
      </c>
      <c r="K43" s="22">
        <f>IF(OR(F43="",I43=""),"",F43*I43)</f>
        <v/>
      </c>
      <c r="L43" s="23">
        <f>IF(B43="","",IF(E43="","Cetvelde yok",IF(F43="","Projede bulunamadı",IF(H43&gt;MetrajTol,"Cetvelde eksik",IF(H43&lt;-MetrajTol,"Cetvelde fazla","Uygun")))))</f>
        <v/>
      </c>
      <c r="M43" s="21" t="n"/>
      <c r="N43" s="5" t="n"/>
    </row>
    <row r="44">
      <c r="A44" s="5" t="n"/>
      <c r="B44" s="5" t="n"/>
      <c r="C44" s="5" t="n"/>
      <c r="D44" s="5" t="n"/>
      <c r="E44" s="18" t="n"/>
      <c r="F44" s="18" t="n"/>
      <c r="G44" s="19">
        <f>IF(OR(E44="",F44=""),"",F44-E44)</f>
        <v/>
      </c>
      <c r="H44" s="20">
        <f>IF(OR(E44="",F44="",E44=0),"",(F44-E44)/E44)</f>
        <v/>
      </c>
      <c r="I44" s="21" t="n"/>
      <c r="J44" s="22">
        <f>IF(OR(E44="",I44=""),"",E44*I44)</f>
        <v/>
      </c>
      <c r="K44" s="22">
        <f>IF(OR(F44="",I44=""),"",F44*I44)</f>
        <v/>
      </c>
      <c r="L44" s="23">
        <f>IF(B44="","",IF(E44="","Cetvelde yok",IF(F44="","Projede bulunamadı",IF(H44&gt;MetrajTol,"Cetvelde eksik",IF(H44&lt;-MetrajTol,"Cetvelde fazla","Uygun")))))</f>
        <v/>
      </c>
      <c r="M44" s="21" t="n"/>
      <c r="N44" s="5" t="n"/>
    </row>
    <row r="45">
      <c r="A45" s="5" t="n"/>
      <c r="B45" s="5" t="n"/>
      <c r="C45" s="5" t="n"/>
      <c r="D45" s="5" t="n"/>
      <c r="E45" s="18" t="n"/>
      <c r="F45" s="18" t="n"/>
      <c r="G45" s="19">
        <f>IF(OR(E45="",F45=""),"",F45-E45)</f>
        <v/>
      </c>
      <c r="H45" s="20">
        <f>IF(OR(E45="",F45="",E45=0),"",(F45-E45)/E45)</f>
        <v/>
      </c>
      <c r="I45" s="21" t="n"/>
      <c r="J45" s="22">
        <f>IF(OR(E45="",I45=""),"",E45*I45)</f>
        <v/>
      </c>
      <c r="K45" s="22">
        <f>IF(OR(F45="",I45=""),"",F45*I45)</f>
        <v/>
      </c>
      <c r="L45" s="23">
        <f>IF(B45="","",IF(E45="","Cetvelde yok",IF(F45="","Projede bulunamadı",IF(H45&gt;MetrajTol,"Cetvelde eksik",IF(H45&lt;-MetrajTol,"Cetvelde fazla","Uygun")))))</f>
        <v/>
      </c>
      <c r="M45" s="21" t="n"/>
      <c r="N45" s="5" t="n"/>
    </row>
    <row r="46">
      <c r="A46" s="5" t="n"/>
      <c r="B46" s="5" t="n"/>
      <c r="C46" s="5" t="n"/>
      <c r="D46" s="5" t="n"/>
      <c r="E46" s="18" t="n"/>
      <c r="F46" s="18" t="n"/>
      <c r="G46" s="19">
        <f>IF(OR(E46="",F46=""),"",F46-E46)</f>
        <v/>
      </c>
      <c r="H46" s="20">
        <f>IF(OR(E46="",F46="",E46=0),"",(F46-E46)/E46)</f>
        <v/>
      </c>
      <c r="I46" s="21" t="n"/>
      <c r="J46" s="22">
        <f>IF(OR(E46="",I46=""),"",E46*I46)</f>
        <v/>
      </c>
      <c r="K46" s="22">
        <f>IF(OR(F46="",I46=""),"",F46*I46)</f>
        <v/>
      </c>
      <c r="L46" s="23">
        <f>IF(B46="","",IF(E46="","Cetvelde yok",IF(F46="","Projede bulunamadı",IF(H46&gt;MetrajTol,"Cetvelde eksik",IF(H46&lt;-MetrajTol,"Cetvelde fazla","Uygun")))))</f>
        <v/>
      </c>
      <c r="M46" s="21" t="n"/>
      <c r="N46" s="5" t="n"/>
    </row>
    <row r="47">
      <c r="A47" s="5" t="n"/>
      <c r="B47" s="5" t="n"/>
      <c r="C47" s="5" t="n"/>
      <c r="D47" s="5" t="n"/>
      <c r="E47" s="18" t="n"/>
      <c r="F47" s="18" t="n"/>
      <c r="G47" s="19">
        <f>IF(OR(E47="",F47=""),"",F47-E47)</f>
        <v/>
      </c>
      <c r="H47" s="20">
        <f>IF(OR(E47="",F47="",E47=0),"",(F47-E47)/E47)</f>
        <v/>
      </c>
      <c r="I47" s="21" t="n"/>
      <c r="J47" s="22">
        <f>IF(OR(E47="",I47=""),"",E47*I47)</f>
        <v/>
      </c>
      <c r="K47" s="22">
        <f>IF(OR(F47="",I47=""),"",F47*I47)</f>
        <v/>
      </c>
      <c r="L47" s="23">
        <f>IF(B47="","",IF(E47="","Cetvelde yok",IF(F47="","Projede bulunamadı",IF(H47&gt;MetrajTol,"Cetvelde eksik",IF(H47&lt;-MetrajTol,"Cetvelde fazla","Uygun")))))</f>
        <v/>
      </c>
      <c r="M47" s="21" t="n"/>
      <c r="N47" s="5" t="n"/>
    </row>
    <row r="48">
      <c r="A48" s="5" t="n"/>
      <c r="B48" s="5" t="n"/>
      <c r="C48" s="5" t="n"/>
      <c r="D48" s="5" t="n"/>
      <c r="E48" s="18" t="n"/>
      <c r="F48" s="18" t="n"/>
      <c r="G48" s="19">
        <f>IF(OR(E48="",F48=""),"",F48-E48)</f>
        <v/>
      </c>
      <c r="H48" s="20">
        <f>IF(OR(E48="",F48="",E48=0),"",(F48-E48)/E48)</f>
        <v/>
      </c>
      <c r="I48" s="21" t="n"/>
      <c r="J48" s="22">
        <f>IF(OR(E48="",I48=""),"",E48*I48)</f>
        <v/>
      </c>
      <c r="K48" s="22">
        <f>IF(OR(F48="",I48=""),"",F48*I48)</f>
        <v/>
      </c>
      <c r="L48" s="23">
        <f>IF(B48="","",IF(E48="","Cetvelde yok",IF(F48="","Projede bulunamadı",IF(H48&gt;MetrajTol,"Cetvelde eksik",IF(H48&lt;-MetrajTol,"Cetvelde fazla","Uygun")))))</f>
        <v/>
      </c>
      <c r="M48" s="21" t="n"/>
      <c r="N48" s="5" t="n"/>
    </row>
    <row r="49">
      <c r="A49" s="5" t="n"/>
      <c r="B49" s="5" t="n"/>
      <c r="C49" s="5" t="n"/>
      <c r="D49" s="5" t="n"/>
      <c r="E49" s="18" t="n"/>
      <c r="F49" s="18" t="n"/>
      <c r="G49" s="19">
        <f>IF(OR(E49="",F49=""),"",F49-E49)</f>
        <v/>
      </c>
      <c r="H49" s="20">
        <f>IF(OR(E49="",F49="",E49=0),"",(F49-E49)/E49)</f>
        <v/>
      </c>
      <c r="I49" s="21" t="n"/>
      <c r="J49" s="22">
        <f>IF(OR(E49="",I49=""),"",E49*I49)</f>
        <v/>
      </c>
      <c r="K49" s="22">
        <f>IF(OR(F49="",I49=""),"",F49*I49)</f>
        <v/>
      </c>
      <c r="L49" s="23">
        <f>IF(B49="","",IF(E49="","Cetvelde yok",IF(F49="","Projede bulunamadı",IF(H49&gt;MetrajTol,"Cetvelde eksik",IF(H49&lt;-MetrajTol,"Cetvelde fazla","Uygun")))))</f>
        <v/>
      </c>
      <c r="M49" s="21" t="n"/>
      <c r="N49" s="5" t="n"/>
    </row>
    <row r="50">
      <c r="A50" s="5" t="n"/>
      <c r="B50" s="5" t="n"/>
      <c r="C50" s="5" t="n"/>
      <c r="D50" s="5" t="n"/>
      <c r="E50" s="18" t="n"/>
      <c r="F50" s="18" t="n"/>
      <c r="G50" s="19">
        <f>IF(OR(E50="",F50=""),"",F50-E50)</f>
        <v/>
      </c>
      <c r="H50" s="20">
        <f>IF(OR(E50="",F50="",E50=0),"",(F50-E50)/E50)</f>
        <v/>
      </c>
      <c r="I50" s="21" t="n"/>
      <c r="J50" s="22">
        <f>IF(OR(E50="",I50=""),"",E50*I50)</f>
        <v/>
      </c>
      <c r="K50" s="22">
        <f>IF(OR(F50="",I50=""),"",F50*I50)</f>
        <v/>
      </c>
      <c r="L50" s="23">
        <f>IF(B50="","",IF(E50="","Cetvelde yok",IF(F50="","Projede bulunamadı",IF(H50&gt;MetrajTol,"Cetvelde eksik",IF(H50&lt;-MetrajTol,"Cetvelde fazla","Uygun")))))</f>
        <v/>
      </c>
      <c r="M50" s="21" t="n"/>
      <c r="N50" s="5" t="n"/>
    </row>
    <row r="51">
      <c r="A51" s="5" t="n"/>
      <c r="B51" s="5" t="n"/>
      <c r="C51" s="5" t="n"/>
      <c r="D51" s="5" t="n"/>
      <c r="E51" s="18" t="n"/>
      <c r="F51" s="18" t="n"/>
      <c r="G51" s="19">
        <f>IF(OR(E51="",F51=""),"",F51-E51)</f>
        <v/>
      </c>
      <c r="H51" s="20">
        <f>IF(OR(E51="",F51="",E51=0),"",(F51-E51)/E51)</f>
        <v/>
      </c>
      <c r="I51" s="21" t="n"/>
      <c r="J51" s="22">
        <f>IF(OR(E51="",I51=""),"",E51*I51)</f>
        <v/>
      </c>
      <c r="K51" s="22">
        <f>IF(OR(F51="",I51=""),"",F51*I51)</f>
        <v/>
      </c>
      <c r="L51" s="23">
        <f>IF(B51="","",IF(E51="","Cetvelde yok",IF(F51="","Projede bulunamadı",IF(H51&gt;MetrajTol,"Cetvelde eksik",IF(H51&lt;-MetrajTol,"Cetvelde fazla","Uygun")))))</f>
        <v/>
      </c>
      <c r="M51" s="21" t="n"/>
      <c r="N51" s="5" t="n"/>
    </row>
    <row r="52">
      <c r="A52" s="5" t="n"/>
      <c r="B52" s="5" t="n"/>
      <c r="C52" s="5" t="n"/>
      <c r="D52" s="5" t="n"/>
      <c r="E52" s="18" t="n"/>
      <c r="F52" s="18" t="n"/>
      <c r="G52" s="19">
        <f>IF(OR(E52="",F52=""),"",F52-E52)</f>
        <v/>
      </c>
      <c r="H52" s="20">
        <f>IF(OR(E52="",F52="",E52=0),"",(F52-E52)/E52)</f>
        <v/>
      </c>
      <c r="I52" s="21" t="n"/>
      <c r="J52" s="22">
        <f>IF(OR(E52="",I52=""),"",E52*I52)</f>
        <v/>
      </c>
      <c r="K52" s="22">
        <f>IF(OR(F52="",I52=""),"",F52*I52)</f>
        <v/>
      </c>
      <c r="L52" s="23">
        <f>IF(B52="","",IF(E52="","Cetvelde yok",IF(F52="","Projede bulunamadı",IF(H52&gt;MetrajTol,"Cetvelde eksik",IF(H52&lt;-MetrajTol,"Cetvelde fazla","Uygun")))))</f>
        <v/>
      </c>
      <c r="M52" s="21" t="n"/>
      <c r="N52" s="5" t="n"/>
    </row>
    <row r="53">
      <c r="A53" s="5" t="n"/>
      <c r="B53" s="5" t="n"/>
      <c r="C53" s="5" t="n"/>
      <c r="D53" s="5" t="n"/>
      <c r="E53" s="18" t="n"/>
      <c r="F53" s="18" t="n"/>
      <c r="G53" s="19">
        <f>IF(OR(E53="",F53=""),"",F53-E53)</f>
        <v/>
      </c>
      <c r="H53" s="20">
        <f>IF(OR(E53="",F53="",E53=0),"",(F53-E53)/E53)</f>
        <v/>
      </c>
      <c r="I53" s="21" t="n"/>
      <c r="J53" s="22">
        <f>IF(OR(E53="",I53=""),"",E53*I53)</f>
        <v/>
      </c>
      <c r="K53" s="22">
        <f>IF(OR(F53="",I53=""),"",F53*I53)</f>
        <v/>
      </c>
      <c r="L53" s="23">
        <f>IF(B53="","",IF(E53="","Cetvelde yok",IF(F53="","Projede bulunamadı",IF(H53&gt;MetrajTol,"Cetvelde eksik",IF(H53&lt;-MetrajTol,"Cetvelde fazla","Uygun")))))</f>
        <v/>
      </c>
      <c r="M53" s="21" t="n"/>
      <c r="N53" s="5" t="n"/>
    </row>
    <row r="54">
      <c r="A54" s="5" t="n"/>
      <c r="B54" s="5" t="n"/>
      <c r="C54" s="5" t="n"/>
      <c r="D54" s="5" t="n"/>
      <c r="E54" s="18" t="n"/>
      <c r="F54" s="18" t="n"/>
      <c r="G54" s="19">
        <f>IF(OR(E54="",F54=""),"",F54-E54)</f>
        <v/>
      </c>
      <c r="H54" s="20">
        <f>IF(OR(E54="",F54="",E54=0),"",(F54-E54)/E54)</f>
        <v/>
      </c>
      <c r="I54" s="21" t="n"/>
      <c r="J54" s="22">
        <f>IF(OR(E54="",I54=""),"",E54*I54)</f>
        <v/>
      </c>
      <c r="K54" s="22">
        <f>IF(OR(F54="",I54=""),"",F54*I54)</f>
        <v/>
      </c>
      <c r="L54" s="23">
        <f>IF(B54="","",IF(E54="","Cetvelde yok",IF(F54="","Projede bulunamadı",IF(H54&gt;MetrajTol,"Cetvelde eksik",IF(H54&lt;-MetrajTol,"Cetvelde fazla","Uygun")))))</f>
        <v/>
      </c>
      <c r="M54" s="21" t="n"/>
      <c r="N54" s="5" t="n"/>
    </row>
    <row r="55">
      <c r="A55" s="5" t="n"/>
      <c r="B55" s="5" t="n"/>
      <c r="C55" s="5" t="n"/>
      <c r="D55" s="5" t="n"/>
      <c r="E55" s="18" t="n"/>
      <c r="F55" s="18" t="n"/>
      <c r="G55" s="19">
        <f>IF(OR(E55="",F55=""),"",F55-E55)</f>
        <v/>
      </c>
      <c r="H55" s="20">
        <f>IF(OR(E55="",F55="",E55=0),"",(F55-E55)/E55)</f>
        <v/>
      </c>
      <c r="I55" s="21" t="n"/>
      <c r="J55" s="22">
        <f>IF(OR(E55="",I55=""),"",E55*I55)</f>
        <v/>
      </c>
      <c r="K55" s="22">
        <f>IF(OR(F55="",I55=""),"",F55*I55)</f>
        <v/>
      </c>
      <c r="L55" s="23">
        <f>IF(B55="","",IF(E55="","Cetvelde yok",IF(F55="","Projede bulunamadı",IF(H55&gt;MetrajTol,"Cetvelde eksik",IF(H55&lt;-MetrajTol,"Cetvelde fazla","Uygun")))))</f>
        <v/>
      </c>
      <c r="M55" s="21" t="n"/>
      <c r="N55" s="5" t="n"/>
    </row>
    <row r="56">
      <c r="A56" s="5" t="n"/>
      <c r="B56" s="5" t="n"/>
      <c r="C56" s="5" t="n"/>
      <c r="D56" s="5" t="n"/>
      <c r="E56" s="18" t="n"/>
      <c r="F56" s="18" t="n"/>
      <c r="G56" s="19">
        <f>IF(OR(E56="",F56=""),"",F56-E56)</f>
        <v/>
      </c>
      <c r="H56" s="20">
        <f>IF(OR(E56="",F56="",E56=0),"",(F56-E56)/E56)</f>
        <v/>
      </c>
      <c r="I56" s="21" t="n"/>
      <c r="J56" s="22">
        <f>IF(OR(E56="",I56=""),"",E56*I56)</f>
        <v/>
      </c>
      <c r="K56" s="22">
        <f>IF(OR(F56="",I56=""),"",F56*I56)</f>
        <v/>
      </c>
      <c r="L56" s="23">
        <f>IF(B56="","",IF(E56="","Cetvelde yok",IF(F56="","Projede bulunamadı",IF(H56&gt;MetrajTol,"Cetvelde eksik",IF(H56&lt;-MetrajTol,"Cetvelde fazla","Uygun")))))</f>
        <v/>
      </c>
      <c r="M56" s="21" t="n"/>
      <c r="N56" s="5" t="n"/>
    </row>
    <row r="57">
      <c r="A57" s="5" t="n"/>
      <c r="B57" s="5" t="n"/>
      <c r="C57" s="5" t="n"/>
      <c r="D57" s="5" t="n"/>
      <c r="E57" s="18" t="n"/>
      <c r="F57" s="18" t="n"/>
      <c r="G57" s="19">
        <f>IF(OR(E57="",F57=""),"",F57-E57)</f>
        <v/>
      </c>
      <c r="H57" s="20">
        <f>IF(OR(E57="",F57="",E57=0),"",(F57-E57)/E57)</f>
        <v/>
      </c>
      <c r="I57" s="21" t="n"/>
      <c r="J57" s="22">
        <f>IF(OR(E57="",I57=""),"",E57*I57)</f>
        <v/>
      </c>
      <c r="K57" s="22">
        <f>IF(OR(F57="",I57=""),"",F57*I57)</f>
        <v/>
      </c>
      <c r="L57" s="23">
        <f>IF(B57="","",IF(E57="","Cetvelde yok",IF(F57="","Projede bulunamadı",IF(H57&gt;MetrajTol,"Cetvelde eksik",IF(H57&lt;-MetrajTol,"Cetvelde fazla","Uygun")))))</f>
        <v/>
      </c>
      <c r="M57" s="21" t="n"/>
      <c r="N57" s="5" t="n"/>
    </row>
    <row r="58">
      <c r="A58" s="5" t="n"/>
      <c r="B58" s="5" t="n"/>
      <c r="C58" s="5" t="n"/>
      <c r="D58" s="5" t="n"/>
      <c r="E58" s="18" t="n"/>
      <c r="F58" s="18" t="n"/>
      <c r="G58" s="19">
        <f>IF(OR(E58="",F58=""),"",F58-E58)</f>
        <v/>
      </c>
      <c r="H58" s="20">
        <f>IF(OR(E58="",F58="",E58=0),"",(F58-E58)/E58)</f>
        <v/>
      </c>
      <c r="I58" s="21" t="n"/>
      <c r="J58" s="22">
        <f>IF(OR(E58="",I58=""),"",E58*I58)</f>
        <v/>
      </c>
      <c r="K58" s="22">
        <f>IF(OR(F58="",I58=""),"",F58*I58)</f>
        <v/>
      </c>
      <c r="L58" s="23">
        <f>IF(B58="","",IF(E58="","Cetvelde yok",IF(F58="","Projede bulunamadı",IF(H58&gt;MetrajTol,"Cetvelde eksik",IF(H58&lt;-MetrajTol,"Cetvelde fazla","Uygun")))))</f>
        <v/>
      </c>
      <c r="M58" s="21" t="n"/>
      <c r="N58" s="5" t="n"/>
    </row>
    <row r="59">
      <c r="A59" s="5" t="n"/>
      <c r="B59" s="5" t="n"/>
      <c r="C59" s="5" t="n"/>
      <c r="D59" s="5" t="n"/>
      <c r="E59" s="18" t="n"/>
      <c r="F59" s="18" t="n"/>
      <c r="G59" s="19">
        <f>IF(OR(E59="",F59=""),"",F59-E59)</f>
        <v/>
      </c>
      <c r="H59" s="20">
        <f>IF(OR(E59="",F59="",E59=0),"",(F59-E59)/E59)</f>
        <v/>
      </c>
      <c r="I59" s="21" t="n"/>
      <c r="J59" s="22">
        <f>IF(OR(E59="",I59=""),"",E59*I59)</f>
        <v/>
      </c>
      <c r="K59" s="22">
        <f>IF(OR(F59="",I59=""),"",F59*I59)</f>
        <v/>
      </c>
      <c r="L59" s="23">
        <f>IF(B59="","",IF(E59="","Cetvelde yok",IF(F59="","Projede bulunamadı",IF(H59&gt;MetrajTol,"Cetvelde eksik",IF(H59&lt;-MetrajTol,"Cetvelde fazla","Uygun")))))</f>
        <v/>
      </c>
      <c r="M59" s="21" t="n"/>
      <c r="N59" s="5" t="n"/>
    </row>
    <row r="60">
      <c r="A60" s="5" t="n"/>
      <c r="B60" s="5" t="n"/>
      <c r="C60" s="5" t="n"/>
      <c r="D60" s="5" t="n"/>
      <c r="E60" s="18" t="n"/>
      <c r="F60" s="18" t="n"/>
      <c r="G60" s="19">
        <f>IF(OR(E60="",F60=""),"",F60-E60)</f>
        <v/>
      </c>
      <c r="H60" s="20">
        <f>IF(OR(E60="",F60="",E60=0),"",(F60-E60)/E60)</f>
        <v/>
      </c>
      <c r="I60" s="21" t="n"/>
      <c r="J60" s="22">
        <f>IF(OR(E60="",I60=""),"",E60*I60)</f>
        <v/>
      </c>
      <c r="K60" s="22">
        <f>IF(OR(F60="",I60=""),"",F60*I60)</f>
        <v/>
      </c>
      <c r="L60" s="23">
        <f>IF(B60="","",IF(E60="","Cetvelde yok",IF(F60="","Projede bulunamadı",IF(H60&gt;MetrajTol,"Cetvelde eksik",IF(H60&lt;-MetrajTol,"Cetvelde fazla","Uygun")))))</f>
        <v/>
      </c>
      <c r="M60" s="21" t="n"/>
      <c r="N60" s="5" t="n"/>
    </row>
    <row r="61">
      <c r="A61" s="5" t="n"/>
      <c r="B61" s="5" t="n"/>
      <c r="C61" s="5" t="n"/>
      <c r="D61" s="5" t="n"/>
      <c r="E61" s="18" t="n"/>
      <c r="F61" s="18" t="n"/>
      <c r="G61" s="19">
        <f>IF(OR(E61="",F61=""),"",F61-E61)</f>
        <v/>
      </c>
      <c r="H61" s="20">
        <f>IF(OR(E61="",F61="",E61=0),"",(F61-E61)/E61)</f>
        <v/>
      </c>
      <c r="I61" s="21" t="n"/>
      <c r="J61" s="22">
        <f>IF(OR(E61="",I61=""),"",E61*I61)</f>
        <v/>
      </c>
      <c r="K61" s="22">
        <f>IF(OR(F61="",I61=""),"",F61*I61)</f>
        <v/>
      </c>
      <c r="L61" s="23">
        <f>IF(B61="","",IF(E61="","Cetvelde yok",IF(F61="","Projede bulunamadı",IF(H61&gt;MetrajTol,"Cetvelde eksik",IF(H61&lt;-MetrajTol,"Cetvelde fazla","Uygun")))))</f>
        <v/>
      </c>
      <c r="M61" s="21" t="n"/>
      <c r="N61" s="5" t="n"/>
    </row>
    <row r="62">
      <c r="A62" s="5" t="n"/>
      <c r="B62" s="5" t="n"/>
      <c r="C62" s="5" t="n"/>
      <c r="D62" s="5" t="n"/>
      <c r="E62" s="18" t="n"/>
      <c r="F62" s="18" t="n"/>
      <c r="G62" s="19">
        <f>IF(OR(E62="",F62=""),"",F62-E62)</f>
        <v/>
      </c>
      <c r="H62" s="20">
        <f>IF(OR(E62="",F62="",E62=0),"",(F62-E62)/E62)</f>
        <v/>
      </c>
      <c r="I62" s="21" t="n"/>
      <c r="J62" s="22">
        <f>IF(OR(E62="",I62=""),"",E62*I62)</f>
        <v/>
      </c>
      <c r="K62" s="22">
        <f>IF(OR(F62="",I62=""),"",F62*I62)</f>
        <v/>
      </c>
      <c r="L62" s="23">
        <f>IF(B62="","",IF(E62="","Cetvelde yok",IF(F62="","Projede bulunamadı",IF(H62&gt;MetrajTol,"Cetvelde eksik",IF(H62&lt;-MetrajTol,"Cetvelde fazla","Uygun")))))</f>
        <v/>
      </c>
      <c r="M62" s="21" t="n"/>
      <c r="N62" s="5" t="n"/>
    </row>
    <row r="63">
      <c r="A63" s="5" t="n"/>
      <c r="B63" s="5" t="n"/>
      <c r="C63" s="5" t="n"/>
      <c r="D63" s="5" t="n"/>
      <c r="E63" s="18" t="n"/>
      <c r="F63" s="18" t="n"/>
      <c r="G63" s="19">
        <f>IF(OR(E63="",F63=""),"",F63-E63)</f>
        <v/>
      </c>
      <c r="H63" s="20">
        <f>IF(OR(E63="",F63="",E63=0),"",(F63-E63)/E63)</f>
        <v/>
      </c>
      <c r="I63" s="21" t="n"/>
      <c r="J63" s="22">
        <f>IF(OR(E63="",I63=""),"",E63*I63)</f>
        <v/>
      </c>
      <c r="K63" s="22">
        <f>IF(OR(F63="",I63=""),"",F63*I63)</f>
        <v/>
      </c>
      <c r="L63" s="23">
        <f>IF(B63="","",IF(E63="","Cetvelde yok",IF(F63="","Projede bulunamadı",IF(H63&gt;MetrajTol,"Cetvelde eksik",IF(H63&lt;-MetrajTol,"Cetvelde fazla","Uygun")))))</f>
        <v/>
      </c>
      <c r="M63" s="21" t="n"/>
      <c r="N63" s="5" t="n"/>
    </row>
    <row r="64">
      <c r="A64" s="5" t="n"/>
      <c r="B64" s="5" t="n"/>
      <c r="C64" s="5" t="n"/>
      <c r="D64" s="5" t="n"/>
      <c r="E64" s="18" t="n"/>
      <c r="F64" s="18" t="n"/>
      <c r="G64" s="19">
        <f>IF(OR(E64="",F64=""),"",F64-E64)</f>
        <v/>
      </c>
      <c r="H64" s="20">
        <f>IF(OR(E64="",F64="",E64=0),"",(F64-E64)/E64)</f>
        <v/>
      </c>
      <c r="I64" s="21" t="n"/>
      <c r="J64" s="22">
        <f>IF(OR(E64="",I64=""),"",E64*I64)</f>
        <v/>
      </c>
      <c r="K64" s="22">
        <f>IF(OR(F64="",I64=""),"",F64*I64)</f>
        <v/>
      </c>
      <c r="L64" s="23">
        <f>IF(B64="","",IF(E64="","Cetvelde yok",IF(F64="","Projede bulunamadı",IF(H64&gt;MetrajTol,"Cetvelde eksik",IF(H64&lt;-MetrajTol,"Cetvelde fazla","Uygun")))))</f>
        <v/>
      </c>
      <c r="M64" s="21" t="n"/>
      <c r="N64" s="5" t="n"/>
    </row>
    <row r="65">
      <c r="A65" s="5" t="n"/>
      <c r="B65" s="5" t="n"/>
      <c r="C65" s="5" t="n"/>
      <c r="D65" s="5" t="n"/>
      <c r="E65" s="18" t="n"/>
      <c r="F65" s="18" t="n"/>
      <c r="G65" s="19">
        <f>IF(OR(E65="",F65=""),"",F65-E65)</f>
        <v/>
      </c>
      <c r="H65" s="20">
        <f>IF(OR(E65="",F65="",E65=0),"",(F65-E65)/E65)</f>
        <v/>
      </c>
      <c r="I65" s="21" t="n"/>
      <c r="J65" s="22">
        <f>IF(OR(E65="",I65=""),"",E65*I65)</f>
        <v/>
      </c>
      <c r="K65" s="22">
        <f>IF(OR(F65="",I65=""),"",F65*I65)</f>
        <v/>
      </c>
      <c r="L65" s="23">
        <f>IF(B65="","",IF(E65="","Cetvelde yok",IF(F65="","Projede bulunamadı",IF(H65&gt;MetrajTol,"Cetvelde eksik",IF(H65&lt;-MetrajTol,"Cetvelde fazla","Uygun")))))</f>
        <v/>
      </c>
      <c r="M65" s="21" t="n"/>
      <c r="N65" s="5" t="n"/>
    </row>
    <row r="66">
      <c r="A66" s="5" t="n"/>
      <c r="B66" s="5" t="n"/>
      <c r="C66" s="5" t="n"/>
      <c r="D66" s="5" t="n"/>
      <c r="E66" s="18" t="n"/>
      <c r="F66" s="18" t="n"/>
      <c r="G66" s="19">
        <f>IF(OR(E66="",F66=""),"",F66-E66)</f>
        <v/>
      </c>
      <c r="H66" s="20">
        <f>IF(OR(E66="",F66="",E66=0),"",(F66-E66)/E66)</f>
        <v/>
      </c>
      <c r="I66" s="21" t="n"/>
      <c r="J66" s="22">
        <f>IF(OR(E66="",I66=""),"",E66*I66)</f>
        <v/>
      </c>
      <c r="K66" s="22">
        <f>IF(OR(F66="",I66=""),"",F66*I66)</f>
        <v/>
      </c>
      <c r="L66" s="23">
        <f>IF(B66="","",IF(E66="","Cetvelde yok",IF(F66="","Projede bulunamadı",IF(H66&gt;MetrajTol,"Cetvelde eksik",IF(H66&lt;-MetrajTol,"Cetvelde fazla","Uygun")))))</f>
        <v/>
      </c>
      <c r="M66" s="21" t="n"/>
      <c r="N66" s="5" t="n"/>
    </row>
    <row r="67">
      <c r="A67" s="5" t="n"/>
      <c r="B67" s="5" t="n"/>
      <c r="C67" s="5" t="n"/>
      <c r="D67" s="5" t="n"/>
      <c r="E67" s="18" t="n"/>
      <c r="F67" s="18" t="n"/>
      <c r="G67" s="19">
        <f>IF(OR(E67="",F67=""),"",F67-E67)</f>
        <v/>
      </c>
      <c r="H67" s="20">
        <f>IF(OR(E67="",F67="",E67=0),"",(F67-E67)/E67)</f>
        <v/>
      </c>
      <c r="I67" s="21" t="n"/>
      <c r="J67" s="22">
        <f>IF(OR(E67="",I67=""),"",E67*I67)</f>
        <v/>
      </c>
      <c r="K67" s="22">
        <f>IF(OR(F67="",I67=""),"",F67*I67)</f>
        <v/>
      </c>
      <c r="L67" s="23">
        <f>IF(B67="","",IF(E67="","Cetvelde yok",IF(F67="","Projede bulunamadı",IF(H67&gt;MetrajTol,"Cetvelde eksik",IF(H67&lt;-MetrajTol,"Cetvelde fazla","Uygun")))))</f>
        <v/>
      </c>
      <c r="M67" s="21" t="n"/>
      <c r="N67" s="5" t="n"/>
    </row>
    <row r="68">
      <c r="A68" s="5" t="n"/>
      <c r="B68" s="5" t="n"/>
      <c r="C68" s="5" t="n"/>
      <c r="D68" s="5" t="n"/>
      <c r="E68" s="18" t="n"/>
      <c r="F68" s="18" t="n"/>
      <c r="G68" s="19">
        <f>IF(OR(E68="",F68=""),"",F68-E68)</f>
        <v/>
      </c>
      <c r="H68" s="20">
        <f>IF(OR(E68="",F68="",E68=0),"",(F68-E68)/E68)</f>
        <v/>
      </c>
      <c r="I68" s="21" t="n"/>
      <c r="J68" s="22">
        <f>IF(OR(E68="",I68=""),"",E68*I68)</f>
        <v/>
      </c>
      <c r="K68" s="22">
        <f>IF(OR(F68="",I68=""),"",F68*I68)</f>
        <v/>
      </c>
      <c r="L68" s="23">
        <f>IF(B68="","",IF(E68="","Cetvelde yok",IF(F68="","Projede bulunamadı",IF(H68&gt;MetrajTol,"Cetvelde eksik",IF(H68&lt;-MetrajTol,"Cetvelde fazla","Uygun")))))</f>
        <v/>
      </c>
      <c r="M68" s="21" t="n"/>
      <c r="N68" s="5" t="n"/>
    </row>
    <row r="69">
      <c r="A69" s="5" t="n"/>
      <c r="B69" s="5" t="n"/>
      <c r="C69" s="5" t="n"/>
      <c r="D69" s="5" t="n"/>
      <c r="E69" s="18" t="n"/>
      <c r="F69" s="18" t="n"/>
      <c r="G69" s="19">
        <f>IF(OR(E69="",F69=""),"",F69-E69)</f>
        <v/>
      </c>
      <c r="H69" s="20">
        <f>IF(OR(E69="",F69="",E69=0),"",(F69-E69)/E69)</f>
        <v/>
      </c>
      <c r="I69" s="21" t="n"/>
      <c r="J69" s="22">
        <f>IF(OR(E69="",I69=""),"",E69*I69)</f>
        <v/>
      </c>
      <c r="K69" s="22">
        <f>IF(OR(F69="",I69=""),"",F69*I69)</f>
        <v/>
      </c>
      <c r="L69" s="23">
        <f>IF(B69="","",IF(E69="","Cetvelde yok",IF(F69="","Projede bulunamadı",IF(H69&gt;MetrajTol,"Cetvelde eksik",IF(H69&lt;-MetrajTol,"Cetvelde fazla","Uygun")))))</f>
        <v/>
      </c>
      <c r="M69" s="21" t="n"/>
      <c r="N69" s="5" t="n"/>
    </row>
    <row r="70">
      <c r="A70" s="5" t="n"/>
      <c r="B70" s="5" t="n"/>
      <c r="C70" s="5" t="n"/>
      <c r="D70" s="5" t="n"/>
      <c r="E70" s="18" t="n"/>
      <c r="F70" s="18" t="n"/>
      <c r="G70" s="19">
        <f>IF(OR(E70="",F70=""),"",F70-E70)</f>
        <v/>
      </c>
      <c r="H70" s="20">
        <f>IF(OR(E70="",F70="",E70=0),"",(F70-E70)/E70)</f>
        <v/>
      </c>
      <c r="I70" s="21" t="n"/>
      <c r="J70" s="22">
        <f>IF(OR(E70="",I70=""),"",E70*I70)</f>
        <v/>
      </c>
      <c r="K70" s="22">
        <f>IF(OR(F70="",I70=""),"",F70*I70)</f>
        <v/>
      </c>
      <c r="L70" s="23">
        <f>IF(B70="","",IF(E70="","Cetvelde yok",IF(F70="","Projede bulunamadı",IF(H70&gt;MetrajTol,"Cetvelde eksik",IF(H70&lt;-MetrajTol,"Cetvelde fazla","Uygun")))))</f>
        <v/>
      </c>
      <c r="M70" s="21" t="n"/>
      <c r="N70" s="5" t="n"/>
    </row>
    <row r="71">
      <c r="A71" s="5" t="n"/>
      <c r="B71" s="5" t="n"/>
      <c r="C71" s="5" t="n"/>
      <c r="D71" s="5" t="n"/>
      <c r="E71" s="18" t="n"/>
      <c r="F71" s="18" t="n"/>
      <c r="G71" s="19">
        <f>IF(OR(E71="",F71=""),"",F71-E71)</f>
        <v/>
      </c>
      <c r="H71" s="20">
        <f>IF(OR(E71="",F71="",E71=0),"",(F71-E71)/E71)</f>
        <v/>
      </c>
      <c r="I71" s="21" t="n"/>
      <c r="J71" s="22">
        <f>IF(OR(E71="",I71=""),"",E71*I71)</f>
        <v/>
      </c>
      <c r="K71" s="22">
        <f>IF(OR(F71="",I71=""),"",F71*I71)</f>
        <v/>
      </c>
      <c r="L71" s="23">
        <f>IF(B71="","",IF(E71="","Cetvelde yok",IF(F71="","Projede bulunamadı",IF(H71&gt;MetrajTol,"Cetvelde eksik",IF(H71&lt;-MetrajTol,"Cetvelde fazla","Uygun")))))</f>
        <v/>
      </c>
      <c r="M71" s="21" t="n"/>
      <c r="N71" s="5" t="n"/>
    </row>
    <row r="72">
      <c r="A72" s="5" t="n"/>
      <c r="B72" s="5" t="n"/>
      <c r="C72" s="5" t="n"/>
      <c r="D72" s="5" t="n"/>
      <c r="E72" s="18" t="n"/>
      <c r="F72" s="18" t="n"/>
      <c r="G72" s="19">
        <f>IF(OR(E72="",F72=""),"",F72-E72)</f>
        <v/>
      </c>
      <c r="H72" s="20">
        <f>IF(OR(E72="",F72="",E72=0),"",(F72-E72)/E72)</f>
        <v/>
      </c>
      <c r="I72" s="21" t="n"/>
      <c r="J72" s="22">
        <f>IF(OR(E72="",I72=""),"",E72*I72)</f>
        <v/>
      </c>
      <c r="K72" s="22">
        <f>IF(OR(F72="",I72=""),"",F72*I72)</f>
        <v/>
      </c>
      <c r="L72" s="23">
        <f>IF(B72="","",IF(E72="","Cetvelde yok",IF(F72="","Projede bulunamadı",IF(H72&gt;MetrajTol,"Cetvelde eksik",IF(H72&lt;-MetrajTol,"Cetvelde fazla","Uygun")))))</f>
        <v/>
      </c>
      <c r="M72" s="21" t="n"/>
      <c r="N72" s="5" t="n"/>
    </row>
    <row r="73">
      <c r="A73" s="5" t="n"/>
      <c r="B73" s="5" t="n"/>
      <c r="C73" s="5" t="n"/>
      <c r="D73" s="5" t="n"/>
      <c r="E73" s="18" t="n"/>
      <c r="F73" s="18" t="n"/>
      <c r="G73" s="19">
        <f>IF(OR(E73="",F73=""),"",F73-E73)</f>
        <v/>
      </c>
      <c r="H73" s="20">
        <f>IF(OR(E73="",F73="",E73=0),"",(F73-E73)/E73)</f>
        <v/>
      </c>
      <c r="I73" s="21" t="n"/>
      <c r="J73" s="22">
        <f>IF(OR(E73="",I73=""),"",E73*I73)</f>
        <v/>
      </c>
      <c r="K73" s="22">
        <f>IF(OR(F73="",I73=""),"",F73*I73)</f>
        <v/>
      </c>
      <c r="L73" s="23">
        <f>IF(B73="","",IF(E73="","Cetvelde yok",IF(F73="","Projede bulunamadı",IF(H73&gt;MetrajTol,"Cetvelde eksik",IF(H73&lt;-MetrajTol,"Cetvelde fazla","Uygun")))))</f>
        <v/>
      </c>
      <c r="M73" s="21" t="n"/>
      <c r="N73" s="5" t="n"/>
    </row>
    <row r="74">
      <c r="A74" s="5" t="n"/>
      <c r="B74" s="5" t="n"/>
      <c r="C74" s="5" t="n"/>
      <c r="D74" s="5" t="n"/>
      <c r="E74" s="18" t="n"/>
      <c r="F74" s="18" t="n"/>
      <c r="G74" s="19">
        <f>IF(OR(E74="",F74=""),"",F74-E74)</f>
        <v/>
      </c>
      <c r="H74" s="20">
        <f>IF(OR(E74="",F74="",E74=0),"",(F74-E74)/E74)</f>
        <v/>
      </c>
      <c r="I74" s="21" t="n"/>
      <c r="J74" s="22">
        <f>IF(OR(E74="",I74=""),"",E74*I74)</f>
        <v/>
      </c>
      <c r="K74" s="22">
        <f>IF(OR(F74="",I74=""),"",F74*I74)</f>
        <v/>
      </c>
      <c r="L74" s="23">
        <f>IF(B74="","",IF(E74="","Cetvelde yok",IF(F74="","Projede bulunamadı",IF(H74&gt;MetrajTol,"Cetvelde eksik",IF(H74&lt;-MetrajTol,"Cetvelde fazla","Uygun")))))</f>
        <v/>
      </c>
      <c r="M74" s="21" t="n"/>
      <c r="N74" s="5" t="n"/>
    </row>
    <row r="75">
      <c r="A75" s="5" t="n"/>
      <c r="B75" s="5" t="n"/>
      <c r="C75" s="5" t="n"/>
      <c r="D75" s="5" t="n"/>
      <c r="E75" s="18" t="n"/>
      <c r="F75" s="18" t="n"/>
      <c r="G75" s="19">
        <f>IF(OR(E75="",F75=""),"",F75-E75)</f>
        <v/>
      </c>
      <c r="H75" s="20">
        <f>IF(OR(E75="",F75="",E75=0),"",(F75-E75)/E75)</f>
        <v/>
      </c>
      <c r="I75" s="21" t="n"/>
      <c r="J75" s="22">
        <f>IF(OR(E75="",I75=""),"",E75*I75)</f>
        <v/>
      </c>
      <c r="K75" s="22">
        <f>IF(OR(F75="",I75=""),"",F75*I75)</f>
        <v/>
      </c>
      <c r="L75" s="23">
        <f>IF(B75="","",IF(E75="","Cetvelde yok",IF(F75="","Projede bulunamadı",IF(H75&gt;MetrajTol,"Cetvelde eksik",IF(H75&lt;-MetrajTol,"Cetvelde fazla","Uygun")))))</f>
        <v/>
      </c>
      <c r="M75" s="21" t="n"/>
      <c r="N75" s="5" t="n"/>
    </row>
    <row r="76">
      <c r="A76" s="5" t="n"/>
      <c r="B76" s="5" t="n"/>
      <c r="C76" s="5" t="n"/>
      <c r="D76" s="5" t="n"/>
      <c r="E76" s="18" t="n"/>
      <c r="F76" s="18" t="n"/>
      <c r="G76" s="19">
        <f>IF(OR(E76="",F76=""),"",F76-E76)</f>
        <v/>
      </c>
      <c r="H76" s="20">
        <f>IF(OR(E76="",F76="",E76=0),"",(F76-E76)/E76)</f>
        <v/>
      </c>
      <c r="I76" s="21" t="n"/>
      <c r="J76" s="22">
        <f>IF(OR(E76="",I76=""),"",E76*I76)</f>
        <v/>
      </c>
      <c r="K76" s="22">
        <f>IF(OR(F76="",I76=""),"",F76*I76)</f>
        <v/>
      </c>
      <c r="L76" s="23">
        <f>IF(B76="","",IF(E76="","Cetvelde yok",IF(F76="","Projede bulunamadı",IF(H76&gt;MetrajTol,"Cetvelde eksik",IF(H76&lt;-MetrajTol,"Cetvelde fazla","Uygun")))))</f>
        <v/>
      </c>
      <c r="M76" s="21" t="n"/>
      <c r="N76" s="5" t="n"/>
    </row>
    <row r="77">
      <c r="A77" s="5" t="n"/>
      <c r="B77" s="5" t="n"/>
      <c r="C77" s="5" t="n"/>
      <c r="D77" s="5" t="n"/>
      <c r="E77" s="18" t="n"/>
      <c r="F77" s="18" t="n"/>
      <c r="G77" s="19">
        <f>IF(OR(E77="",F77=""),"",F77-E77)</f>
        <v/>
      </c>
      <c r="H77" s="20">
        <f>IF(OR(E77="",F77="",E77=0),"",(F77-E77)/E77)</f>
        <v/>
      </c>
      <c r="I77" s="21" t="n"/>
      <c r="J77" s="22">
        <f>IF(OR(E77="",I77=""),"",E77*I77)</f>
        <v/>
      </c>
      <c r="K77" s="22">
        <f>IF(OR(F77="",I77=""),"",F77*I77)</f>
        <v/>
      </c>
      <c r="L77" s="23">
        <f>IF(B77="","",IF(E77="","Cetvelde yok",IF(F77="","Projede bulunamadı",IF(H77&gt;MetrajTol,"Cetvelde eksik",IF(H77&lt;-MetrajTol,"Cetvelde fazla","Uygun")))))</f>
        <v/>
      </c>
      <c r="M77" s="21" t="n"/>
      <c r="N77" s="5" t="n"/>
    </row>
    <row r="78">
      <c r="A78" s="5" t="n"/>
      <c r="B78" s="5" t="n"/>
      <c r="C78" s="5" t="n"/>
      <c r="D78" s="5" t="n"/>
      <c r="E78" s="18" t="n"/>
      <c r="F78" s="18" t="n"/>
      <c r="G78" s="19">
        <f>IF(OR(E78="",F78=""),"",F78-E78)</f>
        <v/>
      </c>
      <c r="H78" s="20">
        <f>IF(OR(E78="",F78="",E78=0),"",(F78-E78)/E78)</f>
        <v/>
      </c>
      <c r="I78" s="21" t="n"/>
      <c r="J78" s="22">
        <f>IF(OR(E78="",I78=""),"",E78*I78)</f>
        <v/>
      </c>
      <c r="K78" s="22">
        <f>IF(OR(F78="",I78=""),"",F78*I78)</f>
        <v/>
      </c>
      <c r="L78" s="23">
        <f>IF(B78="","",IF(E78="","Cetvelde yok",IF(F78="","Projede bulunamadı",IF(H78&gt;MetrajTol,"Cetvelde eksik",IF(H78&lt;-MetrajTol,"Cetvelde fazla","Uygun")))))</f>
        <v/>
      </c>
      <c r="M78" s="21" t="n"/>
      <c r="N78" s="5" t="n"/>
    </row>
    <row r="79">
      <c r="A79" s="5" t="n"/>
      <c r="B79" s="5" t="n"/>
      <c r="C79" s="5" t="n"/>
      <c r="D79" s="5" t="n"/>
      <c r="E79" s="18" t="n"/>
      <c r="F79" s="18" t="n"/>
      <c r="G79" s="19">
        <f>IF(OR(E79="",F79=""),"",F79-E79)</f>
        <v/>
      </c>
      <c r="H79" s="20">
        <f>IF(OR(E79="",F79="",E79=0),"",(F79-E79)/E79)</f>
        <v/>
      </c>
      <c r="I79" s="21" t="n"/>
      <c r="J79" s="22">
        <f>IF(OR(E79="",I79=""),"",E79*I79)</f>
        <v/>
      </c>
      <c r="K79" s="22">
        <f>IF(OR(F79="",I79=""),"",F79*I79)</f>
        <v/>
      </c>
      <c r="L79" s="23">
        <f>IF(B79="","",IF(E79="","Cetvelde yok",IF(F79="","Projede bulunamadı",IF(H79&gt;MetrajTol,"Cetvelde eksik",IF(H79&lt;-MetrajTol,"Cetvelde fazla","Uygun")))))</f>
        <v/>
      </c>
      <c r="M79" s="21" t="n"/>
      <c r="N79" s="5" t="n"/>
    </row>
    <row r="80">
      <c r="A80" s="5" t="n"/>
      <c r="B80" s="5" t="n"/>
      <c r="C80" s="5" t="n"/>
      <c r="D80" s="5" t="n"/>
      <c r="E80" s="18" t="n"/>
      <c r="F80" s="18" t="n"/>
      <c r="G80" s="19">
        <f>IF(OR(E80="",F80=""),"",F80-E80)</f>
        <v/>
      </c>
      <c r="H80" s="20">
        <f>IF(OR(E80="",F80="",E80=0),"",(F80-E80)/E80)</f>
        <v/>
      </c>
      <c r="I80" s="21" t="n"/>
      <c r="J80" s="22">
        <f>IF(OR(E80="",I80=""),"",E80*I80)</f>
        <v/>
      </c>
      <c r="K80" s="22">
        <f>IF(OR(F80="",I80=""),"",F80*I80)</f>
        <v/>
      </c>
      <c r="L80" s="23">
        <f>IF(B80="","",IF(E80="","Cetvelde yok",IF(F80="","Projede bulunamadı",IF(H80&gt;MetrajTol,"Cetvelde eksik",IF(H80&lt;-MetrajTol,"Cetvelde fazla","Uygun")))))</f>
        <v/>
      </c>
      <c r="M80" s="21" t="n"/>
      <c r="N80" s="5" t="n"/>
    </row>
    <row r="81">
      <c r="A81" s="5" t="n"/>
      <c r="B81" s="5" t="n"/>
      <c r="C81" s="5" t="n"/>
      <c r="D81" s="5" t="n"/>
      <c r="E81" s="18" t="n"/>
      <c r="F81" s="18" t="n"/>
      <c r="G81" s="19">
        <f>IF(OR(E81="",F81=""),"",F81-E81)</f>
        <v/>
      </c>
      <c r="H81" s="20">
        <f>IF(OR(E81="",F81="",E81=0),"",(F81-E81)/E81)</f>
        <v/>
      </c>
      <c r="I81" s="21" t="n"/>
      <c r="J81" s="22">
        <f>IF(OR(E81="",I81=""),"",E81*I81)</f>
        <v/>
      </c>
      <c r="K81" s="22">
        <f>IF(OR(F81="",I81=""),"",F81*I81)</f>
        <v/>
      </c>
      <c r="L81" s="23">
        <f>IF(B81="","",IF(E81="","Cetvelde yok",IF(F81="","Projede bulunamadı",IF(H81&gt;MetrajTol,"Cetvelde eksik",IF(H81&lt;-MetrajTol,"Cetvelde fazla","Uygun")))))</f>
        <v/>
      </c>
      <c r="M81" s="21" t="n"/>
      <c r="N81" s="5" t="n"/>
    </row>
    <row r="82">
      <c r="A82" s="5" t="n"/>
      <c r="B82" s="5" t="n"/>
      <c r="C82" s="5" t="n"/>
      <c r="D82" s="5" t="n"/>
      <c r="E82" s="18" t="n"/>
      <c r="F82" s="18" t="n"/>
      <c r="G82" s="19">
        <f>IF(OR(E82="",F82=""),"",F82-E82)</f>
        <v/>
      </c>
      <c r="H82" s="20">
        <f>IF(OR(E82="",F82="",E82=0),"",(F82-E82)/E82)</f>
        <v/>
      </c>
      <c r="I82" s="21" t="n"/>
      <c r="J82" s="22">
        <f>IF(OR(E82="",I82=""),"",E82*I82)</f>
        <v/>
      </c>
      <c r="K82" s="22">
        <f>IF(OR(F82="",I82=""),"",F82*I82)</f>
        <v/>
      </c>
      <c r="L82" s="23">
        <f>IF(B82="","",IF(E82="","Cetvelde yok",IF(F82="","Projede bulunamadı",IF(H82&gt;MetrajTol,"Cetvelde eksik",IF(H82&lt;-MetrajTol,"Cetvelde fazla","Uygun")))))</f>
        <v/>
      </c>
      <c r="M82" s="21" t="n"/>
      <c r="N82" s="5" t="n"/>
    </row>
    <row r="83">
      <c r="A83" s="5" t="n"/>
      <c r="B83" s="5" t="n"/>
      <c r="C83" s="5" t="n"/>
      <c r="D83" s="5" t="n"/>
      <c r="E83" s="18" t="n"/>
      <c r="F83" s="18" t="n"/>
      <c r="G83" s="19">
        <f>IF(OR(E83="",F83=""),"",F83-E83)</f>
        <v/>
      </c>
      <c r="H83" s="20">
        <f>IF(OR(E83="",F83="",E83=0),"",(F83-E83)/E83)</f>
        <v/>
      </c>
      <c r="I83" s="21" t="n"/>
      <c r="J83" s="22">
        <f>IF(OR(E83="",I83=""),"",E83*I83)</f>
        <v/>
      </c>
      <c r="K83" s="22">
        <f>IF(OR(F83="",I83=""),"",F83*I83)</f>
        <v/>
      </c>
      <c r="L83" s="23">
        <f>IF(B83="","",IF(E83="","Cetvelde yok",IF(F83="","Projede bulunamadı",IF(H83&gt;MetrajTol,"Cetvelde eksik",IF(H83&lt;-MetrajTol,"Cetvelde fazla","Uygun")))))</f>
        <v/>
      </c>
      <c r="M83" s="21" t="n"/>
      <c r="N83" s="5" t="n"/>
    </row>
    <row r="84">
      <c r="A84" s="5" t="n"/>
      <c r="B84" s="5" t="n"/>
      <c r="C84" s="5" t="n"/>
      <c r="D84" s="5" t="n"/>
      <c r="E84" s="18" t="n"/>
      <c r="F84" s="18" t="n"/>
      <c r="G84" s="19">
        <f>IF(OR(E84="",F84=""),"",F84-E84)</f>
        <v/>
      </c>
      <c r="H84" s="20">
        <f>IF(OR(E84="",F84="",E84=0),"",(F84-E84)/E84)</f>
        <v/>
      </c>
      <c r="I84" s="21" t="n"/>
      <c r="J84" s="22">
        <f>IF(OR(E84="",I84=""),"",E84*I84)</f>
        <v/>
      </c>
      <c r="K84" s="22">
        <f>IF(OR(F84="",I84=""),"",F84*I84)</f>
        <v/>
      </c>
      <c r="L84" s="23">
        <f>IF(B84="","",IF(E84="","Cetvelde yok",IF(F84="","Projede bulunamadı",IF(H84&gt;MetrajTol,"Cetvelde eksik",IF(H84&lt;-MetrajTol,"Cetvelde fazla","Uygun")))))</f>
        <v/>
      </c>
      <c r="M84" s="21" t="n"/>
      <c r="N84" s="5" t="n"/>
    </row>
    <row r="85">
      <c r="A85" s="5" t="n"/>
      <c r="B85" s="5" t="n"/>
      <c r="C85" s="5" t="n"/>
      <c r="D85" s="5" t="n"/>
      <c r="E85" s="18" t="n"/>
      <c r="F85" s="18" t="n"/>
      <c r="G85" s="19">
        <f>IF(OR(E85="",F85=""),"",F85-E85)</f>
        <v/>
      </c>
      <c r="H85" s="20">
        <f>IF(OR(E85="",F85="",E85=0),"",(F85-E85)/E85)</f>
        <v/>
      </c>
      <c r="I85" s="21" t="n"/>
      <c r="J85" s="22">
        <f>IF(OR(E85="",I85=""),"",E85*I85)</f>
        <v/>
      </c>
      <c r="K85" s="22">
        <f>IF(OR(F85="",I85=""),"",F85*I85)</f>
        <v/>
      </c>
      <c r="L85" s="23">
        <f>IF(B85="","",IF(E85="","Cetvelde yok",IF(F85="","Projede bulunamadı",IF(H85&gt;MetrajTol,"Cetvelde eksik",IF(H85&lt;-MetrajTol,"Cetvelde fazla","Uygun")))))</f>
        <v/>
      </c>
      <c r="M85" s="21" t="n"/>
      <c r="N85" s="5" t="n"/>
    </row>
    <row r="86">
      <c r="A86" s="5" t="n"/>
      <c r="B86" s="5" t="n"/>
      <c r="C86" s="5" t="n"/>
      <c r="D86" s="5" t="n"/>
      <c r="E86" s="18" t="n"/>
      <c r="F86" s="18" t="n"/>
      <c r="G86" s="19">
        <f>IF(OR(E86="",F86=""),"",F86-E86)</f>
        <v/>
      </c>
      <c r="H86" s="20">
        <f>IF(OR(E86="",F86="",E86=0),"",(F86-E86)/E86)</f>
        <v/>
      </c>
      <c r="I86" s="21" t="n"/>
      <c r="J86" s="22">
        <f>IF(OR(E86="",I86=""),"",E86*I86)</f>
        <v/>
      </c>
      <c r="K86" s="22">
        <f>IF(OR(F86="",I86=""),"",F86*I86)</f>
        <v/>
      </c>
      <c r="L86" s="23">
        <f>IF(B86="","",IF(E86="","Cetvelde yok",IF(F86="","Projede bulunamadı",IF(H86&gt;MetrajTol,"Cetvelde eksik",IF(H86&lt;-MetrajTol,"Cetvelde fazla","Uygun")))))</f>
        <v/>
      </c>
      <c r="M86" s="21" t="n"/>
      <c r="N86" s="5" t="n"/>
    </row>
    <row r="87">
      <c r="A87" s="5" t="n"/>
      <c r="B87" s="5" t="n"/>
      <c r="C87" s="5" t="n"/>
      <c r="D87" s="5" t="n"/>
      <c r="E87" s="18" t="n"/>
      <c r="F87" s="18" t="n"/>
      <c r="G87" s="19">
        <f>IF(OR(E87="",F87=""),"",F87-E87)</f>
        <v/>
      </c>
      <c r="H87" s="20">
        <f>IF(OR(E87="",F87="",E87=0),"",(F87-E87)/E87)</f>
        <v/>
      </c>
      <c r="I87" s="21" t="n"/>
      <c r="J87" s="22">
        <f>IF(OR(E87="",I87=""),"",E87*I87)</f>
        <v/>
      </c>
      <c r="K87" s="22">
        <f>IF(OR(F87="",I87=""),"",F87*I87)</f>
        <v/>
      </c>
      <c r="L87" s="23">
        <f>IF(B87="","",IF(E87="","Cetvelde yok",IF(F87="","Projede bulunamadı",IF(H87&gt;MetrajTol,"Cetvelde eksik",IF(H87&lt;-MetrajTol,"Cetvelde fazla","Uygun")))))</f>
        <v/>
      </c>
      <c r="M87" s="21" t="n"/>
      <c r="N87" s="5" t="n"/>
    </row>
    <row r="88">
      <c r="A88" s="5" t="n"/>
      <c r="B88" s="5" t="n"/>
      <c r="C88" s="5" t="n"/>
      <c r="D88" s="5" t="n"/>
      <c r="E88" s="18" t="n"/>
      <c r="F88" s="18" t="n"/>
      <c r="G88" s="19">
        <f>IF(OR(E88="",F88=""),"",F88-E88)</f>
        <v/>
      </c>
      <c r="H88" s="20">
        <f>IF(OR(E88="",F88="",E88=0),"",(F88-E88)/E88)</f>
        <v/>
      </c>
      <c r="I88" s="21" t="n"/>
      <c r="J88" s="22">
        <f>IF(OR(E88="",I88=""),"",E88*I88)</f>
        <v/>
      </c>
      <c r="K88" s="22">
        <f>IF(OR(F88="",I88=""),"",F88*I88)</f>
        <v/>
      </c>
      <c r="L88" s="23">
        <f>IF(B88="","",IF(E88="","Cetvelde yok",IF(F88="","Projede bulunamadı",IF(H88&gt;MetrajTol,"Cetvelde eksik",IF(H88&lt;-MetrajTol,"Cetvelde fazla","Uygun")))))</f>
        <v/>
      </c>
      <c r="M88" s="21" t="n"/>
      <c r="N88" s="5" t="n"/>
    </row>
    <row r="89">
      <c r="A89" s="5" t="n"/>
      <c r="B89" s="5" t="n"/>
      <c r="C89" s="5" t="n"/>
      <c r="D89" s="5" t="n"/>
      <c r="E89" s="18" t="n"/>
      <c r="F89" s="18" t="n"/>
      <c r="G89" s="19">
        <f>IF(OR(E89="",F89=""),"",F89-E89)</f>
        <v/>
      </c>
      <c r="H89" s="20">
        <f>IF(OR(E89="",F89="",E89=0),"",(F89-E89)/E89)</f>
        <v/>
      </c>
      <c r="I89" s="21" t="n"/>
      <c r="J89" s="22">
        <f>IF(OR(E89="",I89=""),"",E89*I89)</f>
        <v/>
      </c>
      <c r="K89" s="22">
        <f>IF(OR(F89="",I89=""),"",F89*I89)</f>
        <v/>
      </c>
      <c r="L89" s="23">
        <f>IF(B89="","",IF(E89="","Cetvelde yok",IF(F89="","Projede bulunamadı",IF(H89&gt;MetrajTol,"Cetvelde eksik",IF(H89&lt;-MetrajTol,"Cetvelde fazla","Uygun")))))</f>
        <v/>
      </c>
      <c r="M89" s="21" t="n"/>
      <c r="N89" s="5" t="n"/>
    </row>
    <row r="90">
      <c r="A90" s="5" t="n"/>
      <c r="B90" s="5" t="n"/>
      <c r="C90" s="5" t="n"/>
      <c r="D90" s="5" t="n"/>
      <c r="E90" s="18" t="n"/>
      <c r="F90" s="18" t="n"/>
      <c r="G90" s="19">
        <f>IF(OR(E90="",F90=""),"",F90-E90)</f>
        <v/>
      </c>
      <c r="H90" s="20">
        <f>IF(OR(E90="",F90="",E90=0),"",(F90-E90)/E90)</f>
        <v/>
      </c>
      <c r="I90" s="21" t="n"/>
      <c r="J90" s="22">
        <f>IF(OR(E90="",I90=""),"",E90*I90)</f>
        <v/>
      </c>
      <c r="K90" s="22">
        <f>IF(OR(F90="",I90=""),"",F90*I90)</f>
        <v/>
      </c>
      <c r="L90" s="23">
        <f>IF(B90="","",IF(E90="","Cetvelde yok",IF(F90="","Projede bulunamadı",IF(H90&gt;MetrajTol,"Cetvelde eksik",IF(H90&lt;-MetrajTol,"Cetvelde fazla","Uygun")))))</f>
        <v/>
      </c>
      <c r="M90" s="21" t="n"/>
      <c r="N90" s="5" t="n"/>
    </row>
    <row r="91">
      <c r="A91" s="5" t="n"/>
      <c r="B91" s="5" t="n"/>
      <c r="C91" s="5" t="n"/>
      <c r="D91" s="5" t="n"/>
      <c r="E91" s="18" t="n"/>
      <c r="F91" s="18" t="n"/>
      <c r="G91" s="19">
        <f>IF(OR(E91="",F91=""),"",F91-E91)</f>
        <v/>
      </c>
      <c r="H91" s="20">
        <f>IF(OR(E91="",F91="",E91=0),"",(F91-E91)/E91)</f>
        <v/>
      </c>
      <c r="I91" s="21" t="n"/>
      <c r="J91" s="22">
        <f>IF(OR(E91="",I91=""),"",E91*I91)</f>
        <v/>
      </c>
      <c r="K91" s="22">
        <f>IF(OR(F91="",I91=""),"",F91*I91)</f>
        <v/>
      </c>
      <c r="L91" s="23">
        <f>IF(B91="","",IF(E91="","Cetvelde yok",IF(F91="","Projede bulunamadı",IF(H91&gt;MetrajTol,"Cetvelde eksik",IF(H91&lt;-MetrajTol,"Cetvelde fazla","Uygun")))))</f>
        <v/>
      </c>
      <c r="M91" s="21" t="n"/>
      <c r="N91" s="5" t="n"/>
    </row>
    <row r="92">
      <c r="A92" s="5" t="n"/>
      <c r="B92" s="5" t="n"/>
      <c r="C92" s="5" t="n"/>
      <c r="D92" s="5" t="n"/>
      <c r="E92" s="18" t="n"/>
      <c r="F92" s="18" t="n"/>
      <c r="G92" s="19">
        <f>IF(OR(E92="",F92=""),"",F92-E92)</f>
        <v/>
      </c>
      <c r="H92" s="20">
        <f>IF(OR(E92="",F92="",E92=0),"",(F92-E92)/E92)</f>
        <v/>
      </c>
      <c r="I92" s="21" t="n"/>
      <c r="J92" s="22">
        <f>IF(OR(E92="",I92=""),"",E92*I92)</f>
        <v/>
      </c>
      <c r="K92" s="22">
        <f>IF(OR(F92="",I92=""),"",F92*I92)</f>
        <v/>
      </c>
      <c r="L92" s="23">
        <f>IF(B92="","",IF(E92="","Cetvelde yok",IF(F92="","Projede bulunamadı",IF(H92&gt;MetrajTol,"Cetvelde eksik",IF(H92&lt;-MetrajTol,"Cetvelde fazla","Uygun")))))</f>
        <v/>
      </c>
      <c r="M92" s="21" t="n"/>
      <c r="N92" s="5" t="n"/>
    </row>
    <row r="93">
      <c r="A93" s="5" t="n"/>
      <c r="B93" s="5" t="n"/>
      <c r="C93" s="5" t="n"/>
      <c r="D93" s="5" t="n"/>
      <c r="E93" s="18" t="n"/>
      <c r="F93" s="18" t="n"/>
      <c r="G93" s="19">
        <f>IF(OR(E93="",F93=""),"",F93-E93)</f>
        <v/>
      </c>
      <c r="H93" s="20">
        <f>IF(OR(E93="",F93="",E93=0),"",(F93-E93)/E93)</f>
        <v/>
      </c>
      <c r="I93" s="21" t="n"/>
      <c r="J93" s="22">
        <f>IF(OR(E93="",I93=""),"",E93*I93)</f>
        <v/>
      </c>
      <c r="K93" s="22">
        <f>IF(OR(F93="",I93=""),"",F93*I93)</f>
        <v/>
      </c>
      <c r="L93" s="23">
        <f>IF(B93="","",IF(E93="","Cetvelde yok",IF(F93="","Projede bulunamadı",IF(H93&gt;MetrajTol,"Cetvelde eksik",IF(H93&lt;-MetrajTol,"Cetvelde fazla","Uygun")))))</f>
        <v/>
      </c>
      <c r="M93" s="21" t="n"/>
      <c r="N93" s="5" t="n"/>
    </row>
    <row r="94">
      <c r="A94" s="5" t="n"/>
      <c r="B94" s="5" t="n"/>
      <c r="C94" s="5" t="n"/>
      <c r="D94" s="5" t="n"/>
      <c r="E94" s="18" t="n"/>
      <c r="F94" s="18" t="n"/>
      <c r="G94" s="19">
        <f>IF(OR(E94="",F94=""),"",F94-E94)</f>
        <v/>
      </c>
      <c r="H94" s="20">
        <f>IF(OR(E94="",F94="",E94=0),"",(F94-E94)/E94)</f>
        <v/>
      </c>
      <c r="I94" s="21" t="n"/>
      <c r="J94" s="22">
        <f>IF(OR(E94="",I94=""),"",E94*I94)</f>
        <v/>
      </c>
      <c r="K94" s="22">
        <f>IF(OR(F94="",I94=""),"",F94*I94)</f>
        <v/>
      </c>
      <c r="L94" s="23">
        <f>IF(B94="","",IF(E94="","Cetvelde yok",IF(F94="","Projede bulunamadı",IF(H94&gt;MetrajTol,"Cetvelde eksik",IF(H94&lt;-MetrajTol,"Cetvelde fazla","Uygun")))))</f>
        <v/>
      </c>
      <c r="M94" s="21" t="n"/>
      <c r="N94" s="5" t="n"/>
    </row>
    <row r="95">
      <c r="A95" s="5" t="n"/>
      <c r="B95" s="5" t="n"/>
      <c r="C95" s="5" t="n"/>
      <c r="D95" s="5" t="n"/>
      <c r="E95" s="18" t="n"/>
      <c r="F95" s="18" t="n"/>
      <c r="G95" s="19">
        <f>IF(OR(E95="",F95=""),"",F95-E95)</f>
        <v/>
      </c>
      <c r="H95" s="20">
        <f>IF(OR(E95="",F95="",E95=0),"",(F95-E95)/E95)</f>
        <v/>
      </c>
      <c r="I95" s="21" t="n"/>
      <c r="J95" s="22">
        <f>IF(OR(E95="",I95=""),"",E95*I95)</f>
        <v/>
      </c>
      <c r="K95" s="22">
        <f>IF(OR(F95="",I95=""),"",F95*I95)</f>
        <v/>
      </c>
      <c r="L95" s="23">
        <f>IF(B95="","",IF(E95="","Cetvelde yok",IF(F95="","Projede bulunamadı",IF(H95&gt;MetrajTol,"Cetvelde eksik",IF(H95&lt;-MetrajTol,"Cetvelde fazla","Uygun")))))</f>
        <v/>
      </c>
      <c r="M95" s="21" t="n"/>
      <c r="N95" s="5" t="n"/>
    </row>
    <row r="96">
      <c r="A96" s="5" t="n"/>
      <c r="B96" s="5" t="n"/>
      <c r="C96" s="5" t="n"/>
      <c r="D96" s="5" t="n"/>
      <c r="E96" s="18" t="n"/>
      <c r="F96" s="18" t="n"/>
      <c r="G96" s="19">
        <f>IF(OR(E96="",F96=""),"",F96-E96)</f>
        <v/>
      </c>
      <c r="H96" s="20">
        <f>IF(OR(E96="",F96="",E96=0),"",(F96-E96)/E96)</f>
        <v/>
      </c>
      <c r="I96" s="21" t="n"/>
      <c r="J96" s="22">
        <f>IF(OR(E96="",I96=""),"",E96*I96)</f>
        <v/>
      </c>
      <c r="K96" s="22">
        <f>IF(OR(F96="",I96=""),"",F96*I96)</f>
        <v/>
      </c>
      <c r="L96" s="23">
        <f>IF(B96="","",IF(E96="","Cetvelde yok",IF(F96="","Projede bulunamadı",IF(H96&gt;MetrajTol,"Cetvelde eksik",IF(H96&lt;-MetrajTol,"Cetvelde fazla","Uygun")))))</f>
        <v/>
      </c>
      <c r="M96" s="21" t="n"/>
      <c r="N96" s="5" t="n"/>
    </row>
    <row r="97">
      <c r="A97" s="5" t="n"/>
      <c r="B97" s="5" t="n"/>
      <c r="C97" s="5" t="n"/>
      <c r="D97" s="5" t="n"/>
      <c r="E97" s="18" t="n"/>
      <c r="F97" s="18" t="n"/>
      <c r="G97" s="19">
        <f>IF(OR(E97="",F97=""),"",F97-E97)</f>
        <v/>
      </c>
      <c r="H97" s="20">
        <f>IF(OR(E97="",F97="",E97=0),"",(F97-E97)/E97)</f>
        <v/>
      </c>
      <c r="I97" s="21" t="n"/>
      <c r="J97" s="22">
        <f>IF(OR(E97="",I97=""),"",E97*I97)</f>
        <v/>
      </c>
      <c r="K97" s="22">
        <f>IF(OR(F97="",I97=""),"",F97*I97)</f>
        <v/>
      </c>
      <c r="L97" s="23">
        <f>IF(B97="","",IF(E97="","Cetvelde yok",IF(F97="","Projede bulunamadı",IF(H97&gt;MetrajTol,"Cetvelde eksik",IF(H97&lt;-MetrajTol,"Cetvelde fazla","Uygun")))))</f>
        <v/>
      </c>
      <c r="M97" s="21" t="n"/>
      <c r="N97" s="5" t="n"/>
    </row>
    <row r="98">
      <c r="A98" s="5" t="n"/>
      <c r="B98" s="5" t="n"/>
      <c r="C98" s="5" t="n"/>
      <c r="D98" s="5" t="n"/>
      <c r="E98" s="18" t="n"/>
      <c r="F98" s="18" t="n"/>
      <c r="G98" s="19">
        <f>IF(OR(E98="",F98=""),"",F98-E98)</f>
        <v/>
      </c>
      <c r="H98" s="20">
        <f>IF(OR(E98="",F98="",E98=0),"",(F98-E98)/E98)</f>
        <v/>
      </c>
      <c r="I98" s="21" t="n"/>
      <c r="J98" s="22">
        <f>IF(OR(E98="",I98=""),"",E98*I98)</f>
        <v/>
      </c>
      <c r="K98" s="22">
        <f>IF(OR(F98="",I98=""),"",F98*I98)</f>
        <v/>
      </c>
      <c r="L98" s="23">
        <f>IF(B98="","",IF(E98="","Cetvelde yok",IF(F98="","Projede bulunamadı",IF(H98&gt;MetrajTol,"Cetvelde eksik",IF(H98&lt;-MetrajTol,"Cetvelde fazla","Uygun")))))</f>
        <v/>
      </c>
      <c r="M98" s="21" t="n"/>
      <c r="N98" s="5" t="n"/>
    </row>
    <row r="99">
      <c r="A99" s="5" t="n"/>
      <c r="B99" s="5" t="n"/>
      <c r="C99" s="5" t="n"/>
      <c r="D99" s="5" t="n"/>
      <c r="E99" s="18" t="n"/>
      <c r="F99" s="18" t="n"/>
      <c r="G99" s="19">
        <f>IF(OR(E99="",F99=""),"",F99-E99)</f>
        <v/>
      </c>
      <c r="H99" s="20">
        <f>IF(OR(E99="",F99="",E99=0),"",(F99-E99)/E99)</f>
        <v/>
      </c>
      <c r="I99" s="21" t="n"/>
      <c r="J99" s="22">
        <f>IF(OR(E99="",I99=""),"",E99*I99)</f>
        <v/>
      </c>
      <c r="K99" s="22">
        <f>IF(OR(F99="",I99=""),"",F99*I99)</f>
        <v/>
      </c>
      <c r="L99" s="23">
        <f>IF(B99="","",IF(E99="","Cetvelde yok",IF(F99="","Projede bulunamadı",IF(H99&gt;MetrajTol,"Cetvelde eksik",IF(H99&lt;-MetrajTol,"Cetvelde fazla","Uygun")))))</f>
        <v/>
      </c>
      <c r="M99" s="21" t="n"/>
      <c r="N99" s="5" t="n"/>
    </row>
    <row r="100">
      <c r="A100" s="5" t="n"/>
      <c r="B100" s="5" t="n"/>
      <c r="C100" s="5" t="n"/>
      <c r="D100" s="5" t="n"/>
      <c r="E100" s="18" t="n"/>
      <c r="F100" s="18" t="n"/>
      <c r="G100" s="19">
        <f>IF(OR(E100="",F100=""),"",F100-E100)</f>
        <v/>
      </c>
      <c r="H100" s="20">
        <f>IF(OR(E100="",F100="",E100=0),"",(F100-E100)/E100)</f>
        <v/>
      </c>
      <c r="I100" s="21" t="n"/>
      <c r="J100" s="22">
        <f>IF(OR(E100="",I100=""),"",E100*I100)</f>
        <v/>
      </c>
      <c r="K100" s="22">
        <f>IF(OR(F100="",I100=""),"",F100*I100)</f>
        <v/>
      </c>
      <c r="L100" s="23">
        <f>IF(B100="","",IF(E100="","Cetvelde yok",IF(F100="","Projede bulunamadı",IF(H100&gt;MetrajTol,"Cetvelde eksik",IF(H100&lt;-MetrajTol,"Cetvelde fazla","Uygun")))))</f>
        <v/>
      </c>
      <c r="M100" s="21" t="n"/>
      <c r="N100" s="5" t="n"/>
    </row>
    <row r="101">
      <c r="A101" s="5" t="n"/>
      <c r="B101" s="5" t="n"/>
      <c r="C101" s="5" t="n"/>
      <c r="D101" s="5" t="n"/>
      <c r="E101" s="18" t="n"/>
      <c r="F101" s="18" t="n"/>
      <c r="G101" s="19">
        <f>IF(OR(E101="",F101=""),"",F101-E101)</f>
        <v/>
      </c>
      <c r="H101" s="20">
        <f>IF(OR(E101="",F101="",E101=0),"",(F101-E101)/E101)</f>
        <v/>
      </c>
      <c r="I101" s="21" t="n"/>
      <c r="J101" s="22">
        <f>IF(OR(E101="",I101=""),"",E101*I101)</f>
        <v/>
      </c>
      <c r="K101" s="22">
        <f>IF(OR(F101="",I101=""),"",F101*I101)</f>
        <v/>
      </c>
      <c r="L101" s="23">
        <f>IF(B101="","",IF(E101="","Cetvelde yok",IF(F101="","Projede bulunamadı",IF(H101&gt;MetrajTol,"Cetvelde eksik",IF(H101&lt;-MetrajTol,"Cetvelde fazla","Uygun")))))</f>
        <v/>
      </c>
      <c r="M101" s="21" t="n"/>
      <c r="N101" s="5" t="n"/>
    </row>
    <row r="102">
      <c r="A102" s="5" t="n"/>
      <c r="B102" s="5" t="n"/>
      <c r="C102" s="5" t="n"/>
      <c r="D102" s="5" t="n"/>
      <c r="E102" s="18" t="n"/>
      <c r="F102" s="18" t="n"/>
      <c r="G102" s="19">
        <f>IF(OR(E102="",F102=""),"",F102-E102)</f>
        <v/>
      </c>
      <c r="H102" s="20">
        <f>IF(OR(E102="",F102="",E102=0),"",(F102-E102)/E102)</f>
        <v/>
      </c>
      <c r="I102" s="21" t="n"/>
      <c r="J102" s="22">
        <f>IF(OR(E102="",I102=""),"",E102*I102)</f>
        <v/>
      </c>
      <c r="K102" s="22">
        <f>IF(OR(F102="",I102=""),"",F102*I102)</f>
        <v/>
      </c>
      <c r="L102" s="23">
        <f>IF(B102="","",IF(E102="","Cetvelde yok",IF(F102="","Projede bulunamadı",IF(H102&gt;MetrajTol,"Cetvelde eksik",IF(H102&lt;-MetrajTol,"Cetvelde fazla","Uygun")))))</f>
        <v/>
      </c>
      <c r="M102" s="21" t="n"/>
      <c r="N102" s="5" t="n"/>
    </row>
    <row r="103">
      <c r="A103" s="5" t="n"/>
      <c r="B103" s="5" t="n"/>
      <c r="C103" s="5" t="n"/>
      <c r="D103" s="5" t="n"/>
      <c r="E103" s="18" t="n"/>
      <c r="F103" s="18" t="n"/>
      <c r="G103" s="19">
        <f>IF(OR(E103="",F103=""),"",F103-E103)</f>
        <v/>
      </c>
      <c r="H103" s="20">
        <f>IF(OR(E103="",F103="",E103=0),"",(F103-E103)/E103)</f>
        <v/>
      </c>
      <c r="I103" s="21" t="n"/>
      <c r="J103" s="22">
        <f>IF(OR(E103="",I103=""),"",E103*I103)</f>
        <v/>
      </c>
      <c r="K103" s="22">
        <f>IF(OR(F103="",I103=""),"",F103*I103)</f>
        <v/>
      </c>
      <c r="L103" s="23">
        <f>IF(B103="","",IF(E103="","Cetvelde yok",IF(F103="","Projede bulunamadı",IF(H103&gt;MetrajTol,"Cetvelde eksik",IF(H103&lt;-MetrajTol,"Cetvelde fazla","Uygun")))))</f>
        <v/>
      </c>
      <c r="M103" s="21" t="n"/>
      <c r="N103" s="5" t="n"/>
    </row>
    <row r="104">
      <c r="A104" s="5" t="n"/>
      <c r="B104" s="5" t="n"/>
      <c r="C104" s="5" t="n"/>
      <c r="D104" s="5" t="n"/>
      <c r="E104" s="18" t="n"/>
      <c r="F104" s="18" t="n"/>
      <c r="G104" s="19">
        <f>IF(OR(E104="",F104=""),"",F104-E104)</f>
        <v/>
      </c>
      <c r="H104" s="20">
        <f>IF(OR(E104="",F104="",E104=0),"",(F104-E104)/E104)</f>
        <v/>
      </c>
      <c r="I104" s="21" t="n"/>
      <c r="J104" s="22">
        <f>IF(OR(E104="",I104=""),"",E104*I104)</f>
        <v/>
      </c>
      <c r="K104" s="22">
        <f>IF(OR(F104="",I104=""),"",F104*I104)</f>
        <v/>
      </c>
      <c r="L104" s="23">
        <f>IF(B104="","",IF(E104="","Cetvelde yok",IF(F104="","Projede bulunamadı",IF(H104&gt;MetrajTol,"Cetvelde eksik",IF(H104&lt;-MetrajTol,"Cetvelde fazla","Uygun")))))</f>
        <v/>
      </c>
      <c r="M104" s="21" t="n"/>
      <c r="N104" s="5" t="n"/>
    </row>
    <row r="105">
      <c r="A105" s="5" t="n"/>
      <c r="B105" s="5" t="n"/>
      <c r="C105" s="5" t="n"/>
      <c r="D105" s="5" t="n"/>
      <c r="E105" s="18" t="n"/>
      <c r="F105" s="18" t="n"/>
      <c r="G105" s="19">
        <f>IF(OR(E105="",F105=""),"",F105-E105)</f>
        <v/>
      </c>
      <c r="H105" s="20">
        <f>IF(OR(E105="",F105="",E105=0),"",(F105-E105)/E105)</f>
        <v/>
      </c>
      <c r="I105" s="21" t="n"/>
      <c r="J105" s="22">
        <f>IF(OR(E105="",I105=""),"",E105*I105)</f>
        <v/>
      </c>
      <c r="K105" s="22">
        <f>IF(OR(F105="",I105=""),"",F105*I105)</f>
        <v/>
      </c>
      <c r="L105" s="23">
        <f>IF(B105="","",IF(E105="","Cetvelde yok",IF(F105="","Projede bulunamadı",IF(H105&gt;MetrajTol,"Cetvelde eksik",IF(H105&lt;-MetrajTol,"Cetvelde fazla","Uygun")))))</f>
        <v/>
      </c>
      <c r="M105" s="21" t="n"/>
      <c r="N105" s="5" t="n"/>
    </row>
    <row r="106">
      <c r="A106" s="5" t="n"/>
      <c r="B106" s="5" t="n"/>
      <c r="C106" s="5" t="n"/>
      <c r="D106" s="5" t="n"/>
      <c r="E106" s="18" t="n"/>
      <c r="F106" s="18" t="n"/>
      <c r="G106" s="19">
        <f>IF(OR(E106="",F106=""),"",F106-E106)</f>
        <v/>
      </c>
      <c r="H106" s="20">
        <f>IF(OR(E106="",F106="",E106=0),"",(F106-E106)/E106)</f>
        <v/>
      </c>
      <c r="I106" s="21" t="n"/>
      <c r="J106" s="22">
        <f>IF(OR(E106="",I106=""),"",E106*I106)</f>
        <v/>
      </c>
      <c r="K106" s="22">
        <f>IF(OR(F106="",I106=""),"",F106*I106)</f>
        <v/>
      </c>
      <c r="L106" s="23">
        <f>IF(B106="","",IF(E106="","Cetvelde yok",IF(F106="","Projede bulunamadı",IF(H106&gt;MetrajTol,"Cetvelde eksik",IF(H106&lt;-MetrajTol,"Cetvelde fazla","Uygun")))))</f>
        <v/>
      </c>
      <c r="M106" s="21" t="n"/>
      <c r="N106" s="5" t="n"/>
    </row>
    <row r="107">
      <c r="A107" s="5" t="n"/>
      <c r="B107" s="5" t="n"/>
      <c r="C107" s="5" t="n"/>
      <c r="D107" s="5" t="n"/>
      <c r="E107" s="18" t="n"/>
      <c r="F107" s="18" t="n"/>
      <c r="G107" s="19">
        <f>IF(OR(E107="",F107=""),"",F107-E107)</f>
        <v/>
      </c>
      <c r="H107" s="20">
        <f>IF(OR(E107="",F107="",E107=0),"",(F107-E107)/E107)</f>
        <v/>
      </c>
      <c r="I107" s="21" t="n"/>
      <c r="J107" s="22">
        <f>IF(OR(E107="",I107=""),"",E107*I107)</f>
        <v/>
      </c>
      <c r="K107" s="22">
        <f>IF(OR(F107="",I107=""),"",F107*I107)</f>
        <v/>
      </c>
      <c r="L107" s="23">
        <f>IF(B107="","",IF(E107="","Cetvelde yok",IF(F107="","Projede bulunamadı",IF(H107&gt;MetrajTol,"Cetvelde eksik",IF(H107&lt;-MetrajTol,"Cetvelde fazla","Uygun")))))</f>
        <v/>
      </c>
      <c r="M107" s="21" t="n"/>
      <c r="N107" s="5" t="n"/>
    </row>
    <row r="108">
      <c r="A108" s="5" t="n"/>
      <c r="B108" s="5" t="n"/>
      <c r="C108" s="5" t="n"/>
      <c r="D108" s="5" t="n"/>
      <c r="E108" s="18" t="n"/>
      <c r="F108" s="18" t="n"/>
      <c r="G108" s="19">
        <f>IF(OR(E108="",F108=""),"",F108-E108)</f>
        <v/>
      </c>
      <c r="H108" s="20">
        <f>IF(OR(E108="",F108="",E108=0),"",(F108-E108)/E108)</f>
        <v/>
      </c>
      <c r="I108" s="21" t="n"/>
      <c r="J108" s="22">
        <f>IF(OR(E108="",I108=""),"",E108*I108)</f>
        <v/>
      </c>
      <c r="K108" s="22">
        <f>IF(OR(F108="",I108=""),"",F108*I108)</f>
        <v/>
      </c>
      <c r="L108" s="23">
        <f>IF(B108="","",IF(E108="","Cetvelde yok",IF(F108="","Projede bulunamadı",IF(H108&gt;MetrajTol,"Cetvelde eksik",IF(H108&lt;-MetrajTol,"Cetvelde fazla","Uygun")))))</f>
        <v/>
      </c>
      <c r="M108" s="21" t="n"/>
      <c r="N108" s="5" t="n"/>
    </row>
    <row r="109">
      <c r="A109" s="5" t="n"/>
      <c r="B109" s="5" t="n"/>
      <c r="C109" s="5" t="n"/>
      <c r="D109" s="5" t="n"/>
      <c r="E109" s="18" t="n"/>
      <c r="F109" s="18" t="n"/>
      <c r="G109" s="19">
        <f>IF(OR(E109="",F109=""),"",F109-E109)</f>
        <v/>
      </c>
      <c r="H109" s="20">
        <f>IF(OR(E109="",F109="",E109=0),"",(F109-E109)/E109)</f>
        <v/>
      </c>
      <c r="I109" s="21" t="n"/>
      <c r="J109" s="22">
        <f>IF(OR(E109="",I109=""),"",E109*I109)</f>
        <v/>
      </c>
      <c r="K109" s="22">
        <f>IF(OR(F109="",I109=""),"",F109*I109)</f>
        <v/>
      </c>
      <c r="L109" s="23">
        <f>IF(B109="","",IF(E109="","Cetvelde yok",IF(F109="","Projede bulunamadı",IF(H109&gt;MetrajTol,"Cetvelde eksik",IF(H109&lt;-MetrajTol,"Cetvelde fazla","Uygun")))))</f>
        <v/>
      </c>
      <c r="M109" s="21" t="n"/>
      <c r="N109" s="5" t="n"/>
    </row>
    <row r="110">
      <c r="A110" s="5" t="n"/>
      <c r="B110" s="5" t="n"/>
      <c r="C110" s="5" t="n"/>
      <c r="D110" s="5" t="n"/>
      <c r="E110" s="18" t="n"/>
      <c r="F110" s="18" t="n"/>
      <c r="G110" s="19">
        <f>IF(OR(E110="",F110=""),"",F110-E110)</f>
        <v/>
      </c>
      <c r="H110" s="20">
        <f>IF(OR(E110="",F110="",E110=0),"",(F110-E110)/E110)</f>
        <v/>
      </c>
      <c r="I110" s="21" t="n"/>
      <c r="J110" s="22">
        <f>IF(OR(E110="",I110=""),"",E110*I110)</f>
        <v/>
      </c>
      <c r="K110" s="22">
        <f>IF(OR(F110="",I110=""),"",F110*I110)</f>
        <v/>
      </c>
      <c r="L110" s="23">
        <f>IF(B110="","",IF(E110="","Cetvelde yok",IF(F110="","Projede bulunamadı",IF(H110&gt;MetrajTol,"Cetvelde eksik",IF(H110&lt;-MetrajTol,"Cetvelde fazla","Uygun")))))</f>
        <v/>
      </c>
      <c r="M110" s="21" t="n"/>
      <c r="N110" s="5" t="n"/>
    </row>
    <row r="111">
      <c r="A111" s="5" t="n"/>
      <c r="B111" s="5" t="n"/>
      <c r="C111" s="5" t="n"/>
      <c r="D111" s="5" t="n"/>
      <c r="E111" s="18" t="n"/>
      <c r="F111" s="18" t="n"/>
      <c r="G111" s="19">
        <f>IF(OR(E111="",F111=""),"",F111-E111)</f>
        <v/>
      </c>
      <c r="H111" s="20">
        <f>IF(OR(E111="",F111="",E111=0),"",(F111-E111)/E111)</f>
        <v/>
      </c>
      <c r="I111" s="21" t="n"/>
      <c r="J111" s="22">
        <f>IF(OR(E111="",I111=""),"",E111*I111)</f>
        <v/>
      </c>
      <c r="K111" s="22">
        <f>IF(OR(F111="",I111=""),"",F111*I111)</f>
        <v/>
      </c>
      <c r="L111" s="23">
        <f>IF(B111="","",IF(E111="","Cetvelde yok",IF(F111="","Projede bulunamadı",IF(H111&gt;MetrajTol,"Cetvelde eksik",IF(H111&lt;-MetrajTol,"Cetvelde fazla","Uygun")))))</f>
        <v/>
      </c>
      <c r="M111" s="21" t="n"/>
      <c r="N111" s="5" t="n"/>
    </row>
    <row r="112">
      <c r="A112" s="5" t="n"/>
      <c r="B112" s="5" t="n"/>
      <c r="C112" s="5" t="n"/>
      <c r="D112" s="5" t="n"/>
      <c r="E112" s="18" t="n"/>
      <c r="F112" s="18" t="n"/>
      <c r="G112" s="19">
        <f>IF(OR(E112="",F112=""),"",F112-E112)</f>
        <v/>
      </c>
      <c r="H112" s="20">
        <f>IF(OR(E112="",F112="",E112=0),"",(F112-E112)/E112)</f>
        <v/>
      </c>
      <c r="I112" s="21" t="n"/>
      <c r="J112" s="22">
        <f>IF(OR(E112="",I112=""),"",E112*I112)</f>
        <v/>
      </c>
      <c r="K112" s="22">
        <f>IF(OR(F112="",I112=""),"",F112*I112)</f>
        <v/>
      </c>
      <c r="L112" s="23">
        <f>IF(B112="","",IF(E112="","Cetvelde yok",IF(F112="","Projede bulunamadı",IF(H112&gt;MetrajTol,"Cetvelde eksik",IF(H112&lt;-MetrajTol,"Cetvelde fazla","Uygun")))))</f>
        <v/>
      </c>
      <c r="M112" s="21" t="n"/>
      <c r="N112" s="5" t="n"/>
    </row>
    <row r="113">
      <c r="A113" s="5" t="n"/>
      <c r="B113" s="5" t="n"/>
      <c r="C113" s="5" t="n"/>
      <c r="D113" s="5" t="n"/>
      <c r="E113" s="18" t="n"/>
      <c r="F113" s="18" t="n"/>
      <c r="G113" s="19">
        <f>IF(OR(E113="",F113=""),"",F113-E113)</f>
        <v/>
      </c>
      <c r="H113" s="20">
        <f>IF(OR(E113="",F113="",E113=0),"",(F113-E113)/E113)</f>
        <v/>
      </c>
      <c r="I113" s="21" t="n"/>
      <c r="J113" s="22">
        <f>IF(OR(E113="",I113=""),"",E113*I113)</f>
        <v/>
      </c>
      <c r="K113" s="22">
        <f>IF(OR(F113="",I113=""),"",F113*I113)</f>
        <v/>
      </c>
      <c r="L113" s="23">
        <f>IF(B113="","",IF(E113="","Cetvelde yok",IF(F113="","Projede bulunamadı",IF(H113&gt;MetrajTol,"Cetvelde eksik",IF(H113&lt;-MetrajTol,"Cetvelde fazla","Uygun")))))</f>
        <v/>
      </c>
      <c r="M113" s="21" t="n"/>
      <c r="N113" s="5" t="n"/>
    </row>
    <row r="114">
      <c r="A114" s="5" t="n"/>
      <c r="B114" s="5" t="n"/>
      <c r="C114" s="5" t="n"/>
      <c r="D114" s="5" t="n"/>
      <c r="E114" s="18" t="n"/>
      <c r="F114" s="18" t="n"/>
      <c r="G114" s="19">
        <f>IF(OR(E114="",F114=""),"",F114-E114)</f>
        <v/>
      </c>
      <c r="H114" s="20">
        <f>IF(OR(E114="",F114="",E114=0),"",(F114-E114)/E114)</f>
        <v/>
      </c>
      <c r="I114" s="21" t="n"/>
      <c r="J114" s="22">
        <f>IF(OR(E114="",I114=""),"",E114*I114)</f>
        <v/>
      </c>
      <c r="K114" s="22">
        <f>IF(OR(F114="",I114=""),"",F114*I114)</f>
        <v/>
      </c>
      <c r="L114" s="23">
        <f>IF(B114="","",IF(E114="","Cetvelde yok",IF(F114="","Projede bulunamadı",IF(H114&gt;MetrajTol,"Cetvelde eksik",IF(H114&lt;-MetrajTol,"Cetvelde fazla","Uygun")))))</f>
        <v/>
      </c>
      <c r="M114" s="21" t="n"/>
      <c r="N114" s="5" t="n"/>
    </row>
    <row r="115">
      <c r="A115" s="5" t="n"/>
      <c r="B115" s="5" t="n"/>
      <c r="C115" s="5" t="n"/>
      <c r="D115" s="5" t="n"/>
      <c r="E115" s="18" t="n"/>
      <c r="F115" s="18" t="n"/>
      <c r="G115" s="19">
        <f>IF(OR(E115="",F115=""),"",F115-E115)</f>
        <v/>
      </c>
      <c r="H115" s="20">
        <f>IF(OR(E115="",F115="",E115=0),"",(F115-E115)/E115)</f>
        <v/>
      </c>
      <c r="I115" s="21" t="n"/>
      <c r="J115" s="22">
        <f>IF(OR(E115="",I115=""),"",E115*I115)</f>
        <v/>
      </c>
      <c r="K115" s="22">
        <f>IF(OR(F115="",I115=""),"",F115*I115)</f>
        <v/>
      </c>
      <c r="L115" s="23">
        <f>IF(B115="","",IF(E115="","Cetvelde yok",IF(F115="","Projede bulunamadı",IF(H115&gt;MetrajTol,"Cetvelde eksik",IF(H115&lt;-MetrajTol,"Cetvelde fazla","Uygun")))))</f>
        <v/>
      </c>
      <c r="M115" s="21" t="n"/>
      <c r="N115" s="5" t="n"/>
    </row>
    <row r="116">
      <c r="A116" s="5" t="n"/>
      <c r="B116" s="5" t="n"/>
      <c r="C116" s="5" t="n"/>
      <c r="D116" s="5" t="n"/>
      <c r="E116" s="18" t="n"/>
      <c r="F116" s="18" t="n"/>
      <c r="G116" s="19">
        <f>IF(OR(E116="",F116=""),"",F116-E116)</f>
        <v/>
      </c>
      <c r="H116" s="20">
        <f>IF(OR(E116="",F116="",E116=0),"",(F116-E116)/E116)</f>
        <v/>
      </c>
      <c r="I116" s="21" t="n"/>
      <c r="J116" s="22">
        <f>IF(OR(E116="",I116=""),"",E116*I116)</f>
        <v/>
      </c>
      <c r="K116" s="22">
        <f>IF(OR(F116="",I116=""),"",F116*I116)</f>
        <v/>
      </c>
      <c r="L116" s="23">
        <f>IF(B116="","",IF(E116="","Cetvelde yok",IF(F116="","Projede bulunamadı",IF(H116&gt;MetrajTol,"Cetvelde eksik",IF(H116&lt;-MetrajTol,"Cetvelde fazla","Uygun")))))</f>
        <v/>
      </c>
      <c r="M116" s="21" t="n"/>
      <c r="N116" s="5" t="n"/>
    </row>
    <row r="117">
      <c r="A117" s="5" t="n"/>
      <c r="B117" s="5" t="n"/>
      <c r="C117" s="5" t="n"/>
      <c r="D117" s="5" t="n"/>
      <c r="E117" s="18" t="n"/>
      <c r="F117" s="18" t="n"/>
      <c r="G117" s="19">
        <f>IF(OR(E117="",F117=""),"",F117-E117)</f>
        <v/>
      </c>
      <c r="H117" s="20">
        <f>IF(OR(E117="",F117="",E117=0),"",(F117-E117)/E117)</f>
        <v/>
      </c>
      <c r="I117" s="21" t="n"/>
      <c r="J117" s="22">
        <f>IF(OR(E117="",I117=""),"",E117*I117)</f>
        <v/>
      </c>
      <c r="K117" s="22">
        <f>IF(OR(F117="",I117=""),"",F117*I117)</f>
        <v/>
      </c>
      <c r="L117" s="23">
        <f>IF(B117="","",IF(E117="","Cetvelde yok",IF(F117="","Projede bulunamadı",IF(H117&gt;MetrajTol,"Cetvelde eksik",IF(H117&lt;-MetrajTol,"Cetvelde fazla","Uygun")))))</f>
        <v/>
      </c>
      <c r="M117" s="21" t="n"/>
      <c r="N117" s="5" t="n"/>
    </row>
    <row r="118">
      <c r="A118" s="5" t="n"/>
      <c r="B118" s="5" t="n"/>
      <c r="C118" s="5" t="n"/>
      <c r="D118" s="5" t="n"/>
      <c r="E118" s="18" t="n"/>
      <c r="F118" s="18" t="n"/>
      <c r="G118" s="19">
        <f>IF(OR(E118="",F118=""),"",F118-E118)</f>
        <v/>
      </c>
      <c r="H118" s="20">
        <f>IF(OR(E118="",F118="",E118=0),"",(F118-E118)/E118)</f>
        <v/>
      </c>
      <c r="I118" s="21" t="n"/>
      <c r="J118" s="22">
        <f>IF(OR(E118="",I118=""),"",E118*I118)</f>
        <v/>
      </c>
      <c r="K118" s="22">
        <f>IF(OR(F118="",I118=""),"",F118*I118)</f>
        <v/>
      </c>
      <c r="L118" s="23">
        <f>IF(B118="","",IF(E118="","Cetvelde yok",IF(F118="","Projede bulunamadı",IF(H118&gt;MetrajTol,"Cetvelde eksik",IF(H118&lt;-MetrajTol,"Cetvelde fazla","Uygun")))))</f>
        <v/>
      </c>
      <c r="M118" s="21" t="n"/>
      <c r="N118" s="5" t="n"/>
    </row>
    <row r="119">
      <c r="A119" s="5" t="n"/>
      <c r="B119" s="5" t="n"/>
      <c r="C119" s="5" t="n"/>
      <c r="D119" s="5" t="n"/>
      <c r="E119" s="18" t="n"/>
      <c r="F119" s="18" t="n"/>
      <c r="G119" s="19">
        <f>IF(OR(E119="",F119=""),"",F119-E119)</f>
        <v/>
      </c>
      <c r="H119" s="20">
        <f>IF(OR(E119="",F119="",E119=0),"",(F119-E119)/E119)</f>
        <v/>
      </c>
      <c r="I119" s="21" t="n"/>
      <c r="J119" s="22">
        <f>IF(OR(E119="",I119=""),"",E119*I119)</f>
        <v/>
      </c>
      <c r="K119" s="22">
        <f>IF(OR(F119="",I119=""),"",F119*I119)</f>
        <v/>
      </c>
      <c r="L119" s="23">
        <f>IF(B119="","",IF(E119="","Cetvelde yok",IF(F119="","Projede bulunamadı",IF(H119&gt;MetrajTol,"Cetvelde eksik",IF(H119&lt;-MetrajTol,"Cetvelde fazla","Uygun")))))</f>
        <v/>
      </c>
      <c r="M119" s="21" t="n"/>
      <c r="N119" s="5" t="n"/>
    </row>
    <row r="120">
      <c r="A120" s="5" t="n"/>
      <c r="B120" s="5" t="n"/>
      <c r="C120" s="5" t="n"/>
      <c r="D120" s="5" t="n"/>
      <c r="E120" s="18" t="n"/>
      <c r="F120" s="18" t="n"/>
      <c r="G120" s="19">
        <f>IF(OR(E120="",F120=""),"",F120-E120)</f>
        <v/>
      </c>
      <c r="H120" s="20">
        <f>IF(OR(E120="",F120="",E120=0),"",(F120-E120)/E120)</f>
        <v/>
      </c>
      <c r="I120" s="21" t="n"/>
      <c r="J120" s="22">
        <f>IF(OR(E120="",I120=""),"",E120*I120)</f>
        <v/>
      </c>
      <c r="K120" s="22">
        <f>IF(OR(F120="",I120=""),"",F120*I120)</f>
        <v/>
      </c>
      <c r="L120" s="23">
        <f>IF(B120="","",IF(E120="","Cetvelde yok",IF(F120="","Projede bulunamadı",IF(H120&gt;MetrajTol,"Cetvelde eksik",IF(H120&lt;-MetrajTol,"Cetvelde fazla","Uygun")))))</f>
        <v/>
      </c>
      <c r="M120" s="21" t="n"/>
      <c r="N120" s="5" t="n"/>
    </row>
    <row r="121">
      <c r="A121" s="5" t="n"/>
      <c r="B121" s="5" t="n"/>
      <c r="C121" s="5" t="n"/>
      <c r="D121" s="5" t="n"/>
      <c r="E121" s="18" t="n"/>
      <c r="F121" s="18" t="n"/>
      <c r="G121" s="19">
        <f>IF(OR(E121="",F121=""),"",F121-E121)</f>
        <v/>
      </c>
      <c r="H121" s="20">
        <f>IF(OR(E121="",F121="",E121=0),"",(F121-E121)/E121)</f>
        <v/>
      </c>
      <c r="I121" s="21" t="n"/>
      <c r="J121" s="22">
        <f>IF(OR(E121="",I121=""),"",E121*I121)</f>
        <v/>
      </c>
      <c r="K121" s="22">
        <f>IF(OR(F121="",I121=""),"",F121*I121)</f>
        <v/>
      </c>
      <c r="L121" s="23">
        <f>IF(B121="","",IF(E121="","Cetvelde yok",IF(F121="","Projede bulunamadı",IF(H121&gt;MetrajTol,"Cetvelde eksik",IF(H121&lt;-MetrajTol,"Cetvelde fazla","Uygun")))))</f>
        <v/>
      </c>
      <c r="M121" s="21" t="n"/>
      <c r="N121" s="5" t="n"/>
    </row>
    <row r="122">
      <c r="A122" s="5" t="n"/>
      <c r="B122" s="5" t="n"/>
      <c r="C122" s="5" t="n"/>
      <c r="D122" s="5" t="n"/>
      <c r="E122" s="18" t="n"/>
      <c r="F122" s="18" t="n"/>
      <c r="G122" s="19">
        <f>IF(OR(E122="",F122=""),"",F122-E122)</f>
        <v/>
      </c>
      <c r="H122" s="20">
        <f>IF(OR(E122="",F122="",E122=0),"",(F122-E122)/E122)</f>
        <v/>
      </c>
      <c r="I122" s="21" t="n"/>
      <c r="J122" s="22">
        <f>IF(OR(E122="",I122=""),"",E122*I122)</f>
        <v/>
      </c>
      <c r="K122" s="22">
        <f>IF(OR(F122="",I122=""),"",F122*I122)</f>
        <v/>
      </c>
      <c r="L122" s="23">
        <f>IF(B122="","",IF(E122="","Cetvelde yok",IF(F122="","Projede bulunamadı",IF(H122&gt;MetrajTol,"Cetvelde eksik",IF(H122&lt;-MetrajTol,"Cetvelde fazla","Uygun")))))</f>
        <v/>
      </c>
      <c r="M122" s="21" t="n"/>
      <c r="N122" s="5" t="n"/>
    </row>
    <row r="123">
      <c r="A123" s="5" t="n"/>
      <c r="B123" s="5" t="n"/>
      <c r="C123" s="5" t="n"/>
      <c r="D123" s="5" t="n"/>
      <c r="E123" s="18" t="n"/>
      <c r="F123" s="18" t="n"/>
      <c r="G123" s="19">
        <f>IF(OR(E123="",F123=""),"",F123-E123)</f>
        <v/>
      </c>
      <c r="H123" s="20">
        <f>IF(OR(E123="",F123="",E123=0),"",(F123-E123)/E123)</f>
        <v/>
      </c>
      <c r="I123" s="21" t="n"/>
      <c r="J123" s="22">
        <f>IF(OR(E123="",I123=""),"",E123*I123)</f>
        <v/>
      </c>
      <c r="K123" s="22">
        <f>IF(OR(F123="",I123=""),"",F123*I123)</f>
        <v/>
      </c>
      <c r="L123" s="23">
        <f>IF(B123="","",IF(E123="","Cetvelde yok",IF(F123="","Projede bulunamadı",IF(H123&gt;MetrajTol,"Cetvelde eksik",IF(H123&lt;-MetrajTol,"Cetvelde fazla","Uygun")))))</f>
        <v/>
      </c>
      <c r="M123" s="21" t="n"/>
      <c r="N123" s="5" t="n"/>
    </row>
    <row r="124">
      <c r="A124" s="5" t="n"/>
      <c r="B124" s="5" t="n"/>
      <c r="C124" s="5" t="n"/>
      <c r="D124" s="5" t="n"/>
      <c r="E124" s="18" t="n"/>
      <c r="F124" s="18" t="n"/>
      <c r="G124" s="19">
        <f>IF(OR(E124="",F124=""),"",F124-E124)</f>
        <v/>
      </c>
      <c r="H124" s="20">
        <f>IF(OR(E124="",F124="",E124=0),"",(F124-E124)/E124)</f>
        <v/>
      </c>
      <c r="I124" s="21" t="n"/>
      <c r="J124" s="22">
        <f>IF(OR(E124="",I124=""),"",E124*I124)</f>
        <v/>
      </c>
      <c r="K124" s="22">
        <f>IF(OR(F124="",I124=""),"",F124*I124)</f>
        <v/>
      </c>
      <c r="L124" s="23">
        <f>IF(B124="","",IF(E124="","Cetvelde yok",IF(F124="","Projede bulunamadı",IF(H124&gt;MetrajTol,"Cetvelde eksik",IF(H124&lt;-MetrajTol,"Cetvelde fazla","Uygun")))))</f>
        <v/>
      </c>
      <c r="M124" s="21" t="n"/>
      <c r="N124" s="5" t="n"/>
    </row>
    <row r="125">
      <c r="A125" s="5" t="n"/>
      <c r="B125" s="5" t="n"/>
      <c r="C125" s="5" t="n"/>
      <c r="D125" s="5" t="n"/>
      <c r="E125" s="18" t="n"/>
      <c r="F125" s="18" t="n"/>
      <c r="G125" s="19">
        <f>IF(OR(E125="",F125=""),"",F125-E125)</f>
        <v/>
      </c>
      <c r="H125" s="20">
        <f>IF(OR(E125="",F125="",E125=0),"",(F125-E125)/E125)</f>
        <v/>
      </c>
      <c r="I125" s="21" t="n"/>
      <c r="J125" s="22">
        <f>IF(OR(E125="",I125=""),"",E125*I125)</f>
        <v/>
      </c>
      <c r="K125" s="22">
        <f>IF(OR(F125="",I125=""),"",F125*I125)</f>
        <v/>
      </c>
      <c r="L125" s="23">
        <f>IF(B125="","",IF(E125="","Cetvelde yok",IF(F125="","Projede bulunamadı",IF(H125&gt;MetrajTol,"Cetvelde eksik",IF(H125&lt;-MetrajTol,"Cetvelde fazla","Uygun")))))</f>
        <v/>
      </c>
      <c r="M125" s="21" t="n"/>
      <c r="N125" s="5" t="n"/>
    </row>
    <row r="126">
      <c r="A126" s="5" t="n"/>
      <c r="B126" s="5" t="n"/>
      <c r="C126" s="5" t="n"/>
      <c r="D126" s="5" t="n"/>
      <c r="E126" s="18" t="n"/>
      <c r="F126" s="18" t="n"/>
      <c r="G126" s="19">
        <f>IF(OR(E126="",F126=""),"",F126-E126)</f>
        <v/>
      </c>
      <c r="H126" s="20">
        <f>IF(OR(E126="",F126="",E126=0),"",(F126-E126)/E126)</f>
        <v/>
      </c>
      <c r="I126" s="21" t="n"/>
      <c r="J126" s="22">
        <f>IF(OR(E126="",I126=""),"",E126*I126)</f>
        <v/>
      </c>
      <c r="K126" s="22">
        <f>IF(OR(F126="",I126=""),"",F126*I126)</f>
        <v/>
      </c>
      <c r="L126" s="23">
        <f>IF(B126="","",IF(E126="","Cetvelde yok",IF(F126="","Projede bulunamadı",IF(H126&gt;MetrajTol,"Cetvelde eksik",IF(H126&lt;-MetrajTol,"Cetvelde fazla","Uygun")))))</f>
        <v/>
      </c>
      <c r="M126" s="21" t="n"/>
      <c r="N126" s="5" t="n"/>
    </row>
    <row r="127">
      <c r="A127" s="5" t="n"/>
      <c r="B127" s="5" t="n"/>
      <c r="C127" s="5" t="n"/>
      <c r="D127" s="5" t="n"/>
      <c r="E127" s="18" t="n"/>
      <c r="F127" s="18" t="n"/>
      <c r="G127" s="19">
        <f>IF(OR(E127="",F127=""),"",F127-E127)</f>
        <v/>
      </c>
      <c r="H127" s="20">
        <f>IF(OR(E127="",F127="",E127=0),"",(F127-E127)/E127)</f>
        <v/>
      </c>
      <c r="I127" s="21" t="n"/>
      <c r="J127" s="22">
        <f>IF(OR(E127="",I127=""),"",E127*I127)</f>
        <v/>
      </c>
      <c r="K127" s="22">
        <f>IF(OR(F127="",I127=""),"",F127*I127)</f>
        <v/>
      </c>
      <c r="L127" s="23">
        <f>IF(B127="","",IF(E127="","Cetvelde yok",IF(F127="","Projede bulunamadı",IF(H127&gt;MetrajTol,"Cetvelde eksik",IF(H127&lt;-MetrajTol,"Cetvelde fazla","Uygun")))))</f>
        <v/>
      </c>
      <c r="M127" s="21" t="n"/>
      <c r="N127" s="5" t="n"/>
    </row>
    <row r="128">
      <c r="A128" s="5" t="n"/>
      <c r="B128" s="5" t="n"/>
      <c r="C128" s="5" t="n"/>
      <c r="D128" s="5" t="n"/>
      <c r="E128" s="18" t="n"/>
      <c r="F128" s="18" t="n"/>
      <c r="G128" s="19">
        <f>IF(OR(E128="",F128=""),"",F128-E128)</f>
        <v/>
      </c>
      <c r="H128" s="20">
        <f>IF(OR(E128="",F128="",E128=0),"",(F128-E128)/E128)</f>
        <v/>
      </c>
      <c r="I128" s="21" t="n"/>
      <c r="J128" s="22">
        <f>IF(OR(E128="",I128=""),"",E128*I128)</f>
        <v/>
      </c>
      <c r="K128" s="22">
        <f>IF(OR(F128="",I128=""),"",F128*I128)</f>
        <v/>
      </c>
      <c r="L128" s="23">
        <f>IF(B128="","",IF(E128="","Cetvelde yok",IF(F128="","Projede bulunamadı",IF(H128&gt;MetrajTol,"Cetvelde eksik",IF(H128&lt;-MetrajTol,"Cetvelde fazla","Uygun")))))</f>
        <v/>
      </c>
      <c r="M128" s="21" t="n"/>
      <c r="N128" s="5" t="n"/>
    </row>
    <row r="129">
      <c r="A129" s="5" t="n"/>
      <c r="B129" s="5" t="n"/>
      <c r="C129" s="5" t="n"/>
      <c r="D129" s="5" t="n"/>
      <c r="E129" s="18" t="n"/>
      <c r="F129" s="18" t="n"/>
      <c r="G129" s="19">
        <f>IF(OR(E129="",F129=""),"",F129-E129)</f>
        <v/>
      </c>
      <c r="H129" s="20">
        <f>IF(OR(E129="",F129="",E129=0),"",(F129-E129)/E129)</f>
        <v/>
      </c>
      <c r="I129" s="21" t="n"/>
      <c r="J129" s="22">
        <f>IF(OR(E129="",I129=""),"",E129*I129)</f>
        <v/>
      </c>
      <c r="K129" s="22">
        <f>IF(OR(F129="",I129=""),"",F129*I129)</f>
        <v/>
      </c>
      <c r="L129" s="23">
        <f>IF(B129="","",IF(E129="","Cetvelde yok",IF(F129="","Projede bulunamadı",IF(H129&gt;MetrajTol,"Cetvelde eksik",IF(H129&lt;-MetrajTol,"Cetvelde fazla","Uygun")))))</f>
        <v/>
      </c>
      <c r="M129" s="21" t="n"/>
      <c r="N129" s="5" t="n"/>
    </row>
    <row r="130">
      <c r="A130" s="5" t="n"/>
      <c r="B130" s="5" t="n"/>
      <c r="C130" s="5" t="n"/>
      <c r="D130" s="5" t="n"/>
      <c r="E130" s="18" t="n"/>
      <c r="F130" s="18" t="n"/>
      <c r="G130" s="19">
        <f>IF(OR(E130="",F130=""),"",F130-E130)</f>
        <v/>
      </c>
      <c r="H130" s="20">
        <f>IF(OR(E130="",F130="",E130=0),"",(F130-E130)/E130)</f>
        <v/>
      </c>
      <c r="I130" s="21" t="n"/>
      <c r="J130" s="22">
        <f>IF(OR(E130="",I130=""),"",E130*I130)</f>
        <v/>
      </c>
      <c r="K130" s="22">
        <f>IF(OR(F130="",I130=""),"",F130*I130)</f>
        <v/>
      </c>
      <c r="L130" s="23">
        <f>IF(B130="","",IF(E130="","Cetvelde yok",IF(F130="","Projede bulunamadı",IF(H130&gt;MetrajTol,"Cetvelde eksik",IF(H130&lt;-MetrajTol,"Cetvelde fazla","Uygun")))))</f>
        <v/>
      </c>
      <c r="M130" s="21" t="n"/>
      <c r="N130" s="5" t="n"/>
    </row>
    <row r="131">
      <c r="A131" s="5" t="n"/>
      <c r="B131" s="5" t="n"/>
      <c r="C131" s="5" t="n"/>
      <c r="D131" s="5" t="n"/>
      <c r="E131" s="18" t="n"/>
      <c r="F131" s="18" t="n"/>
      <c r="G131" s="19">
        <f>IF(OR(E131="",F131=""),"",F131-E131)</f>
        <v/>
      </c>
      <c r="H131" s="20">
        <f>IF(OR(E131="",F131="",E131=0),"",(F131-E131)/E131)</f>
        <v/>
      </c>
      <c r="I131" s="21" t="n"/>
      <c r="J131" s="22">
        <f>IF(OR(E131="",I131=""),"",E131*I131)</f>
        <v/>
      </c>
      <c r="K131" s="22">
        <f>IF(OR(F131="",I131=""),"",F131*I131)</f>
        <v/>
      </c>
      <c r="L131" s="23">
        <f>IF(B131="","",IF(E131="","Cetvelde yok",IF(F131="","Projede bulunamadı",IF(H131&gt;MetrajTol,"Cetvelde eksik",IF(H131&lt;-MetrajTol,"Cetvelde fazla","Uygun")))))</f>
        <v/>
      </c>
      <c r="M131" s="21" t="n"/>
      <c r="N131" s="5" t="n"/>
    </row>
    <row r="132">
      <c r="A132" s="5" t="n"/>
      <c r="B132" s="5" t="n"/>
      <c r="C132" s="5" t="n"/>
      <c r="D132" s="5" t="n"/>
      <c r="E132" s="18" t="n"/>
      <c r="F132" s="18" t="n"/>
      <c r="G132" s="19">
        <f>IF(OR(E132="",F132=""),"",F132-E132)</f>
        <v/>
      </c>
      <c r="H132" s="20">
        <f>IF(OR(E132="",F132="",E132=0),"",(F132-E132)/E132)</f>
        <v/>
      </c>
      <c r="I132" s="21" t="n"/>
      <c r="J132" s="22">
        <f>IF(OR(E132="",I132=""),"",E132*I132)</f>
        <v/>
      </c>
      <c r="K132" s="22">
        <f>IF(OR(F132="",I132=""),"",F132*I132)</f>
        <v/>
      </c>
      <c r="L132" s="23">
        <f>IF(B132="","",IF(E132="","Cetvelde yok",IF(F132="","Projede bulunamadı",IF(H132&gt;MetrajTol,"Cetvelde eksik",IF(H132&lt;-MetrajTol,"Cetvelde fazla","Uygun")))))</f>
        <v/>
      </c>
      <c r="M132" s="21" t="n"/>
      <c r="N132" s="5" t="n"/>
    </row>
    <row r="133">
      <c r="A133" s="5" t="n"/>
      <c r="B133" s="5" t="n"/>
      <c r="C133" s="5" t="n"/>
      <c r="D133" s="5" t="n"/>
      <c r="E133" s="18" t="n"/>
      <c r="F133" s="18" t="n"/>
      <c r="G133" s="19">
        <f>IF(OR(E133="",F133=""),"",F133-E133)</f>
        <v/>
      </c>
      <c r="H133" s="20">
        <f>IF(OR(E133="",F133="",E133=0),"",(F133-E133)/E133)</f>
        <v/>
      </c>
      <c r="I133" s="21" t="n"/>
      <c r="J133" s="22">
        <f>IF(OR(E133="",I133=""),"",E133*I133)</f>
        <v/>
      </c>
      <c r="K133" s="22">
        <f>IF(OR(F133="",I133=""),"",F133*I133)</f>
        <v/>
      </c>
      <c r="L133" s="23">
        <f>IF(B133="","",IF(E133="","Cetvelde yok",IF(F133="","Projede bulunamadı",IF(H133&gt;MetrajTol,"Cetvelde eksik",IF(H133&lt;-MetrajTol,"Cetvelde fazla","Uygun")))))</f>
        <v/>
      </c>
      <c r="M133" s="21" t="n"/>
      <c r="N133" s="5" t="n"/>
    </row>
    <row r="134">
      <c r="A134" s="5" t="n"/>
      <c r="B134" s="5" t="n"/>
      <c r="C134" s="5" t="n"/>
      <c r="D134" s="5" t="n"/>
      <c r="E134" s="18" t="n"/>
      <c r="F134" s="18" t="n"/>
      <c r="G134" s="19">
        <f>IF(OR(E134="",F134=""),"",F134-E134)</f>
        <v/>
      </c>
      <c r="H134" s="20">
        <f>IF(OR(E134="",F134="",E134=0),"",(F134-E134)/E134)</f>
        <v/>
      </c>
      <c r="I134" s="21" t="n"/>
      <c r="J134" s="22">
        <f>IF(OR(E134="",I134=""),"",E134*I134)</f>
        <v/>
      </c>
      <c r="K134" s="22">
        <f>IF(OR(F134="",I134=""),"",F134*I134)</f>
        <v/>
      </c>
      <c r="L134" s="23">
        <f>IF(B134="","",IF(E134="","Cetvelde yok",IF(F134="","Projede bulunamadı",IF(H134&gt;MetrajTol,"Cetvelde eksik",IF(H134&lt;-MetrajTol,"Cetvelde fazla","Uygun")))))</f>
        <v/>
      </c>
      <c r="M134" s="21" t="n"/>
      <c r="N134" s="5" t="n"/>
    </row>
    <row r="135">
      <c r="A135" s="5" t="n"/>
      <c r="B135" s="5" t="n"/>
      <c r="C135" s="5" t="n"/>
      <c r="D135" s="5" t="n"/>
      <c r="E135" s="18" t="n"/>
      <c r="F135" s="18" t="n"/>
      <c r="G135" s="19">
        <f>IF(OR(E135="",F135=""),"",F135-E135)</f>
        <v/>
      </c>
      <c r="H135" s="20">
        <f>IF(OR(E135="",F135="",E135=0),"",(F135-E135)/E135)</f>
        <v/>
      </c>
      <c r="I135" s="21" t="n"/>
      <c r="J135" s="22">
        <f>IF(OR(E135="",I135=""),"",E135*I135)</f>
        <v/>
      </c>
      <c r="K135" s="22">
        <f>IF(OR(F135="",I135=""),"",F135*I135)</f>
        <v/>
      </c>
      <c r="L135" s="23">
        <f>IF(B135="","",IF(E135="","Cetvelde yok",IF(F135="","Projede bulunamadı",IF(H135&gt;MetrajTol,"Cetvelde eksik",IF(H135&lt;-MetrajTol,"Cetvelde fazla","Uygun")))))</f>
        <v/>
      </c>
      <c r="M135" s="21" t="n"/>
      <c r="N135" s="5" t="n"/>
    </row>
    <row r="136">
      <c r="A136" s="5" t="n"/>
      <c r="B136" s="5" t="n"/>
      <c r="C136" s="5" t="n"/>
      <c r="D136" s="5" t="n"/>
      <c r="E136" s="18" t="n"/>
      <c r="F136" s="18" t="n"/>
      <c r="G136" s="19">
        <f>IF(OR(E136="",F136=""),"",F136-E136)</f>
        <v/>
      </c>
      <c r="H136" s="20">
        <f>IF(OR(E136="",F136="",E136=0),"",(F136-E136)/E136)</f>
        <v/>
      </c>
      <c r="I136" s="21" t="n"/>
      <c r="J136" s="22">
        <f>IF(OR(E136="",I136=""),"",E136*I136)</f>
        <v/>
      </c>
      <c r="K136" s="22">
        <f>IF(OR(F136="",I136=""),"",F136*I136)</f>
        <v/>
      </c>
      <c r="L136" s="23">
        <f>IF(B136="","",IF(E136="","Cetvelde yok",IF(F136="","Projede bulunamadı",IF(H136&gt;MetrajTol,"Cetvelde eksik",IF(H136&lt;-MetrajTol,"Cetvelde fazla","Uygun")))))</f>
        <v/>
      </c>
      <c r="M136" s="21" t="n"/>
      <c r="N136" s="5" t="n"/>
    </row>
    <row r="137">
      <c r="A137" s="5" t="n"/>
      <c r="B137" s="5" t="n"/>
      <c r="C137" s="5" t="n"/>
      <c r="D137" s="5" t="n"/>
      <c r="E137" s="18" t="n"/>
      <c r="F137" s="18" t="n"/>
      <c r="G137" s="19">
        <f>IF(OR(E137="",F137=""),"",F137-E137)</f>
        <v/>
      </c>
      <c r="H137" s="20">
        <f>IF(OR(E137="",F137="",E137=0),"",(F137-E137)/E137)</f>
        <v/>
      </c>
      <c r="I137" s="21" t="n"/>
      <c r="J137" s="22">
        <f>IF(OR(E137="",I137=""),"",E137*I137)</f>
        <v/>
      </c>
      <c r="K137" s="22">
        <f>IF(OR(F137="",I137=""),"",F137*I137)</f>
        <v/>
      </c>
      <c r="L137" s="23">
        <f>IF(B137="","",IF(E137="","Cetvelde yok",IF(F137="","Projede bulunamadı",IF(H137&gt;MetrajTol,"Cetvelde eksik",IF(H137&lt;-MetrajTol,"Cetvelde fazla","Uygun")))))</f>
        <v/>
      </c>
      <c r="M137" s="21" t="n"/>
      <c r="N137" s="5" t="n"/>
    </row>
    <row r="138">
      <c r="A138" s="5" t="n"/>
      <c r="B138" s="5" t="n"/>
      <c r="C138" s="5" t="n"/>
      <c r="D138" s="5" t="n"/>
      <c r="E138" s="18" t="n"/>
      <c r="F138" s="18" t="n"/>
      <c r="G138" s="19">
        <f>IF(OR(E138="",F138=""),"",F138-E138)</f>
        <v/>
      </c>
      <c r="H138" s="20">
        <f>IF(OR(E138="",F138="",E138=0),"",(F138-E138)/E138)</f>
        <v/>
      </c>
      <c r="I138" s="21" t="n"/>
      <c r="J138" s="22">
        <f>IF(OR(E138="",I138=""),"",E138*I138)</f>
        <v/>
      </c>
      <c r="K138" s="22">
        <f>IF(OR(F138="",I138=""),"",F138*I138)</f>
        <v/>
      </c>
      <c r="L138" s="23">
        <f>IF(B138="","",IF(E138="","Cetvelde yok",IF(F138="","Projede bulunamadı",IF(H138&gt;MetrajTol,"Cetvelde eksik",IF(H138&lt;-MetrajTol,"Cetvelde fazla","Uygun")))))</f>
        <v/>
      </c>
      <c r="M138" s="21" t="n"/>
      <c r="N138" s="5" t="n"/>
    </row>
    <row r="139">
      <c r="A139" s="5" t="n"/>
      <c r="B139" s="5" t="n"/>
      <c r="C139" s="5" t="n"/>
      <c r="D139" s="5" t="n"/>
      <c r="E139" s="18" t="n"/>
      <c r="F139" s="18" t="n"/>
      <c r="G139" s="19">
        <f>IF(OR(E139="",F139=""),"",F139-E139)</f>
        <v/>
      </c>
      <c r="H139" s="20">
        <f>IF(OR(E139="",F139="",E139=0),"",(F139-E139)/E139)</f>
        <v/>
      </c>
      <c r="I139" s="21" t="n"/>
      <c r="J139" s="22">
        <f>IF(OR(E139="",I139=""),"",E139*I139)</f>
        <v/>
      </c>
      <c r="K139" s="22">
        <f>IF(OR(F139="",I139=""),"",F139*I139)</f>
        <v/>
      </c>
      <c r="L139" s="23">
        <f>IF(B139="","",IF(E139="","Cetvelde yok",IF(F139="","Projede bulunamadı",IF(H139&gt;MetrajTol,"Cetvelde eksik",IF(H139&lt;-MetrajTol,"Cetvelde fazla","Uygun")))))</f>
        <v/>
      </c>
      <c r="M139" s="21" t="n"/>
      <c r="N139" s="5" t="n"/>
    </row>
    <row r="140">
      <c r="A140" s="5" t="n"/>
      <c r="B140" s="5" t="n"/>
      <c r="C140" s="5" t="n"/>
      <c r="D140" s="5" t="n"/>
      <c r="E140" s="18" t="n"/>
      <c r="F140" s="18" t="n"/>
      <c r="G140" s="19">
        <f>IF(OR(E140="",F140=""),"",F140-E140)</f>
        <v/>
      </c>
      <c r="H140" s="20">
        <f>IF(OR(E140="",F140="",E140=0),"",(F140-E140)/E140)</f>
        <v/>
      </c>
      <c r="I140" s="21" t="n"/>
      <c r="J140" s="22">
        <f>IF(OR(E140="",I140=""),"",E140*I140)</f>
        <v/>
      </c>
      <c r="K140" s="22">
        <f>IF(OR(F140="",I140=""),"",F140*I140)</f>
        <v/>
      </c>
      <c r="L140" s="23">
        <f>IF(B140="","",IF(E140="","Cetvelde yok",IF(F140="","Projede bulunamadı",IF(H140&gt;MetrajTol,"Cetvelde eksik",IF(H140&lt;-MetrajTol,"Cetvelde fazla","Uygun")))))</f>
        <v/>
      </c>
      <c r="M140" s="21" t="n"/>
      <c r="N140" s="5" t="n"/>
    </row>
    <row r="141">
      <c r="A141" s="5" t="n"/>
      <c r="B141" s="5" t="n"/>
      <c r="C141" s="5" t="n"/>
      <c r="D141" s="5" t="n"/>
      <c r="E141" s="18" t="n"/>
      <c r="F141" s="18" t="n"/>
      <c r="G141" s="19">
        <f>IF(OR(E141="",F141=""),"",F141-E141)</f>
        <v/>
      </c>
      <c r="H141" s="20">
        <f>IF(OR(E141="",F141="",E141=0),"",(F141-E141)/E141)</f>
        <v/>
      </c>
      <c r="I141" s="21" t="n"/>
      <c r="J141" s="22">
        <f>IF(OR(E141="",I141=""),"",E141*I141)</f>
        <v/>
      </c>
      <c r="K141" s="22">
        <f>IF(OR(F141="",I141=""),"",F141*I141)</f>
        <v/>
      </c>
      <c r="L141" s="23">
        <f>IF(B141="","",IF(E141="","Cetvelde yok",IF(F141="","Projede bulunamadı",IF(H141&gt;MetrajTol,"Cetvelde eksik",IF(H141&lt;-MetrajTol,"Cetvelde fazla","Uygun")))))</f>
        <v/>
      </c>
      <c r="M141" s="21" t="n"/>
      <c r="N141" s="5" t="n"/>
    </row>
    <row r="142">
      <c r="A142" s="5" t="n"/>
      <c r="B142" s="5" t="n"/>
      <c r="C142" s="5" t="n"/>
      <c r="D142" s="5" t="n"/>
      <c r="E142" s="18" t="n"/>
      <c r="F142" s="18" t="n"/>
      <c r="G142" s="19">
        <f>IF(OR(E142="",F142=""),"",F142-E142)</f>
        <v/>
      </c>
      <c r="H142" s="20">
        <f>IF(OR(E142="",F142="",E142=0),"",(F142-E142)/E142)</f>
        <v/>
      </c>
      <c r="I142" s="21" t="n"/>
      <c r="J142" s="22">
        <f>IF(OR(E142="",I142=""),"",E142*I142)</f>
        <v/>
      </c>
      <c r="K142" s="22">
        <f>IF(OR(F142="",I142=""),"",F142*I142)</f>
        <v/>
      </c>
      <c r="L142" s="23">
        <f>IF(B142="","",IF(E142="","Cetvelde yok",IF(F142="","Projede bulunamadı",IF(H142&gt;MetrajTol,"Cetvelde eksik",IF(H142&lt;-MetrajTol,"Cetvelde fazla","Uygun")))))</f>
        <v/>
      </c>
      <c r="M142" s="21" t="n"/>
      <c r="N142" s="5" t="n"/>
    </row>
    <row r="143">
      <c r="A143" s="5" t="n"/>
      <c r="B143" s="5" t="n"/>
      <c r="C143" s="5" t="n"/>
      <c r="D143" s="5" t="n"/>
      <c r="E143" s="18" t="n"/>
      <c r="F143" s="18" t="n"/>
      <c r="G143" s="19">
        <f>IF(OR(E143="",F143=""),"",F143-E143)</f>
        <v/>
      </c>
      <c r="H143" s="20">
        <f>IF(OR(E143="",F143="",E143=0),"",(F143-E143)/E143)</f>
        <v/>
      </c>
      <c r="I143" s="21" t="n"/>
      <c r="J143" s="22">
        <f>IF(OR(E143="",I143=""),"",E143*I143)</f>
        <v/>
      </c>
      <c r="K143" s="22">
        <f>IF(OR(F143="",I143=""),"",F143*I143)</f>
        <v/>
      </c>
      <c r="L143" s="23">
        <f>IF(B143="","",IF(E143="","Cetvelde yok",IF(F143="","Projede bulunamadı",IF(H143&gt;MetrajTol,"Cetvelde eksik",IF(H143&lt;-MetrajTol,"Cetvelde fazla","Uygun")))))</f>
        <v/>
      </c>
      <c r="M143" s="21" t="n"/>
      <c r="N143" s="5" t="n"/>
    </row>
    <row r="144">
      <c r="A144" s="5" t="n"/>
      <c r="B144" s="5" t="n"/>
      <c r="C144" s="5" t="n"/>
      <c r="D144" s="5" t="n"/>
      <c r="E144" s="18" t="n"/>
      <c r="F144" s="18" t="n"/>
      <c r="G144" s="19">
        <f>IF(OR(E144="",F144=""),"",F144-E144)</f>
        <v/>
      </c>
      <c r="H144" s="20">
        <f>IF(OR(E144="",F144="",E144=0),"",(F144-E144)/E144)</f>
        <v/>
      </c>
      <c r="I144" s="21" t="n"/>
      <c r="J144" s="22">
        <f>IF(OR(E144="",I144=""),"",E144*I144)</f>
        <v/>
      </c>
      <c r="K144" s="22">
        <f>IF(OR(F144="",I144=""),"",F144*I144)</f>
        <v/>
      </c>
      <c r="L144" s="23">
        <f>IF(B144="","",IF(E144="","Cetvelde yok",IF(F144="","Projede bulunamadı",IF(H144&gt;MetrajTol,"Cetvelde eksik",IF(H144&lt;-MetrajTol,"Cetvelde fazla","Uygun")))))</f>
        <v/>
      </c>
      <c r="M144" s="21" t="n"/>
      <c r="N144" s="5" t="n"/>
    </row>
    <row r="145">
      <c r="A145" s="5" t="n"/>
      <c r="B145" s="5" t="n"/>
      <c r="C145" s="5" t="n"/>
      <c r="D145" s="5" t="n"/>
      <c r="E145" s="18" t="n"/>
      <c r="F145" s="18" t="n"/>
      <c r="G145" s="19">
        <f>IF(OR(E145="",F145=""),"",F145-E145)</f>
        <v/>
      </c>
      <c r="H145" s="20">
        <f>IF(OR(E145="",F145="",E145=0),"",(F145-E145)/E145)</f>
        <v/>
      </c>
      <c r="I145" s="21" t="n"/>
      <c r="J145" s="22">
        <f>IF(OR(E145="",I145=""),"",E145*I145)</f>
        <v/>
      </c>
      <c r="K145" s="22">
        <f>IF(OR(F145="",I145=""),"",F145*I145)</f>
        <v/>
      </c>
      <c r="L145" s="23">
        <f>IF(B145="","",IF(E145="","Cetvelde yok",IF(F145="","Projede bulunamadı",IF(H145&gt;MetrajTol,"Cetvelde eksik",IF(H145&lt;-MetrajTol,"Cetvelde fazla","Uygun")))))</f>
        <v/>
      </c>
      <c r="M145" s="21" t="n"/>
      <c r="N145" s="5" t="n"/>
    </row>
    <row r="146">
      <c r="A146" s="5" t="n"/>
      <c r="B146" s="5" t="n"/>
      <c r="C146" s="5" t="n"/>
      <c r="D146" s="5" t="n"/>
      <c r="E146" s="18" t="n"/>
      <c r="F146" s="18" t="n"/>
      <c r="G146" s="19">
        <f>IF(OR(E146="",F146=""),"",F146-E146)</f>
        <v/>
      </c>
      <c r="H146" s="20">
        <f>IF(OR(E146="",F146="",E146=0),"",(F146-E146)/E146)</f>
        <v/>
      </c>
      <c r="I146" s="21" t="n"/>
      <c r="J146" s="22">
        <f>IF(OR(E146="",I146=""),"",E146*I146)</f>
        <v/>
      </c>
      <c r="K146" s="22">
        <f>IF(OR(F146="",I146=""),"",F146*I146)</f>
        <v/>
      </c>
      <c r="L146" s="23">
        <f>IF(B146="","",IF(E146="","Cetvelde yok",IF(F146="","Projede bulunamadı",IF(H146&gt;MetrajTol,"Cetvelde eksik",IF(H146&lt;-MetrajTol,"Cetvelde fazla","Uygun")))))</f>
        <v/>
      </c>
      <c r="M146" s="21" t="n"/>
      <c r="N146" s="5" t="n"/>
    </row>
    <row r="147">
      <c r="A147" s="5" t="n"/>
      <c r="B147" s="5" t="n"/>
      <c r="C147" s="5" t="n"/>
      <c r="D147" s="5" t="n"/>
      <c r="E147" s="18" t="n"/>
      <c r="F147" s="18" t="n"/>
      <c r="G147" s="19">
        <f>IF(OR(E147="",F147=""),"",F147-E147)</f>
        <v/>
      </c>
      <c r="H147" s="20">
        <f>IF(OR(E147="",F147="",E147=0),"",(F147-E147)/E147)</f>
        <v/>
      </c>
      <c r="I147" s="21" t="n"/>
      <c r="J147" s="22">
        <f>IF(OR(E147="",I147=""),"",E147*I147)</f>
        <v/>
      </c>
      <c r="K147" s="22">
        <f>IF(OR(F147="",I147=""),"",F147*I147)</f>
        <v/>
      </c>
      <c r="L147" s="23">
        <f>IF(B147="","",IF(E147="","Cetvelde yok",IF(F147="","Projede bulunamadı",IF(H147&gt;MetrajTol,"Cetvelde eksik",IF(H147&lt;-MetrajTol,"Cetvelde fazla","Uygun")))))</f>
        <v/>
      </c>
      <c r="M147" s="21" t="n"/>
      <c r="N147" s="5" t="n"/>
    </row>
    <row r="148">
      <c r="A148" s="5" t="n"/>
      <c r="B148" s="5" t="n"/>
      <c r="C148" s="5" t="n"/>
      <c r="D148" s="5" t="n"/>
      <c r="E148" s="18" t="n"/>
      <c r="F148" s="18" t="n"/>
      <c r="G148" s="19">
        <f>IF(OR(E148="",F148=""),"",F148-E148)</f>
        <v/>
      </c>
      <c r="H148" s="20">
        <f>IF(OR(E148="",F148="",E148=0),"",(F148-E148)/E148)</f>
        <v/>
      </c>
      <c r="I148" s="21" t="n"/>
      <c r="J148" s="22">
        <f>IF(OR(E148="",I148=""),"",E148*I148)</f>
        <v/>
      </c>
      <c r="K148" s="22">
        <f>IF(OR(F148="",I148=""),"",F148*I148)</f>
        <v/>
      </c>
      <c r="L148" s="23">
        <f>IF(B148="","",IF(E148="","Cetvelde yok",IF(F148="","Projede bulunamadı",IF(H148&gt;MetrajTol,"Cetvelde eksik",IF(H148&lt;-MetrajTol,"Cetvelde fazla","Uygun")))))</f>
        <v/>
      </c>
      <c r="M148" s="21" t="n"/>
      <c r="N148" s="5" t="n"/>
    </row>
    <row r="149">
      <c r="A149" s="5" t="n"/>
      <c r="B149" s="5" t="n"/>
      <c r="C149" s="5" t="n"/>
      <c r="D149" s="5" t="n"/>
      <c r="E149" s="18" t="n"/>
      <c r="F149" s="18" t="n"/>
      <c r="G149" s="19">
        <f>IF(OR(E149="",F149=""),"",F149-E149)</f>
        <v/>
      </c>
      <c r="H149" s="20">
        <f>IF(OR(E149="",F149="",E149=0),"",(F149-E149)/E149)</f>
        <v/>
      </c>
      <c r="I149" s="21" t="n"/>
      <c r="J149" s="22">
        <f>IF(OR(E149="",I149=""),"",E149*I149)</f>
        <v/>
      </c>
      <c r="K149" s="22">
        <f>IF(OR(F149="",I149=""),"",F149*I149)</f>
        <v/>
      </c>
      <c r="L149" s="23">
        <f>IF(B149="","",IF(E149="","Cetvelde yok",IF(F149="","Projede bulunamadı",IF(H149&gt;MetrajTol,"Cetvelde eksik",IF(H149&lt;-MetrajTol,"Cetvelde fazla","Uygun")))))</f>
        <v/>
      </c>
      <c r="M149" s="21" t="n"/>
      <c r="N149" s="5" t="n"/>
    </row>
    <row r="150">
      <c r="A150" s="5" t="n"/>
      <c r="B150" s="5" t="n"/>
      <c r="C150" s="5" t="n"/>
      <c r="D150" s="5" t="n"/>
      <c r="E150" s="18" t="n"/>
      <c r="F150" s="18" t="n"/>
      <c r="G150" s="19">
        <f>IF(OR(E150="",F150=""),"",F150-E150)</f>
        <v/>
      </c>
      <c r="H150" s="20">
        <f>IF(OR(E150="",F150="",E150=0),"",(F150-E150)/E150)</f>
        <v/>
      </c>
      <c r="I150" s="21" t="n"/>
      <c r="J150" s="22">
        <f>IF(OR(E150="",I150=""),"",E150*I150)</f>
        <v/>
      </c>
      <c r="K150" s="22">
        <f>IF(OR(F150="",I150=""),"",F150*I150)</f>
        <v/>
      </c>
      <c r="L150" s="23">
        <f>IF(B150="","",IF(E150="","Cetvelde yok",IF(F150="","Projede bulunamadı",IF(H150&gt;MetrajTol,"Cetvelde eksik",IF(H150&lt;-MetrajTol,"Cetvelde fazla","Uygun")))))</f>
        <v/>
      </c>
      <c r="M150" s="21" t="n"/>
      <c r="N150" s="5" t="n"/>
    </row>
    <row r="151">
      <c r="A151" s="5" t="n"/>
      <c r="B151" s="5" t="n"/>
      <c r="C151" s="5" t="n"/>
      <c r="D151" s="5" t="n"/>
      <c r="E151" s="18" t="n"/>
      <c r="F151" s="18" t="n"/>
      <c r="G151" s="19">
        <f>IF(OR(E151="",F151=""),"",F151-E151)</f>
        <v/>
      </c>
      <c r="H151" s="20">
        <f>IF(OR(E151="",F151="",E151=0),"",(F151-E151)/E151)</f>
        <v/>
      </c>
      <c r="I151" s="21" t="n"/>
      <c r="J151" s="22">
        <f>IF(OR(E151="",I151=""),"",E151*I151)</f>
        <v/>
      </c>
      <c r="K151" s="22">
        <f>IF(OR(F151="",I151=""),"",F151*I151)</f>
        <v/>
      </c>
      <c r="L151" s="23">
        <f>IF(B151="","",IF(E151="","Cetvelde yok",IF(F151="","Projede bulunamadı",IF(H151&gt;MetrajTol,"Cetvelde eksik",IF(H151&lt;-MetrajTol,"Cetvelde fazla","Uygun")))))</f>
        <v/>
      </c>
      <c r="M151" s="21" t="n"/>
      <c r="N151" s="5" t="n"/>
    </row>
    <row r="152">
      <c r="A152" s="5" t="n"/>
      <c r="B152" s="5" t="n"/>
      <c r="C152" s="5" t="n"/>
      <c r="D152" s="5" t="n"/>
      <c r="E152" s="18" t="n"/>
      <c r="F152" s="18" t="n"/>
      <c r="G152" s="19">
        <f>IF(OR(E152="",F152=""),"",F152-E152)</f>
        <v/>
      </c>
      <c r="H152" s="20">
        <f>IF(OR(E152="",F152="",E152=0),"",(F152-E152)/E152)</f>
        <v/>
      </c>
      <c r="I152" s="21" t="n"/>
      <c r="J152" s="22">
        <f>IF(OR(E152="",I152=""),"",E152*I152)</f>
        <v/>
      </c>
      <c r="K152" s="22">
        <f>IF(OR(F152="",I152=""),"",F152*I152)</f>
        <v/>
      </c>
      <c r="L152" s="23">
        <f>IF(B152="","",IF(E152="","Cetvelde yok",IF(F152="","Projede bulunamadı",IF(H152&gt;MetrajTol,"Cetvelde eksik",IF(H152&lt;-MetrajTol,"Cetvelde fazla","Uygun")))))</f>
        <v/>
      </c>
      <c r="M152" s="21" t="n"/>
      <c r="N152" s="5" t="n"/>
    </row>
    <row r="153">
      <c r="A153" s="5" t="n"/>
      <c r="B153" s="5" t="n"/>
      <c r="C153" s="5" t="n"/>
      <c r="D153" s="5" t="n"/>
      <c r="E153" s="18" t="n"/>
      <c r="F153" s="18" t="n"/>
      <c r="G153" s="19">
        <f>IF(OR(E153="",F153=""),"",F153-E153)</f>
        <v/>
      </c>
      <c r="H153" s="20">
        <f>IF(OR(E153="",F153="",E153=0),"",(F153-E153)/E153)</f>
        <v/>
      </c>
      <c r="I153" s="21" t="n"/>
      <c r="J153" s="22">
        <f>IF(OR(E153="",I153=""),"",E153*I153)</f>
        <v/>
      </c>
      <c r="K153" s="22">
        <f>IF(OR(F153="",I153=""),"",F153*I153)</f>
        <v/>
      </c>
      <c r="L153" s="23">
        <f>IF(B153="","",IF(E153="","Cetvelde yok",IF(F153="","Projede bulunamadı",IF(H153&gt;MetrajTol,"Cetvelde eksik",IF(H153&lt;-MetrajTol,"Cetvelde fazla","Uygun")))))</f>
        <v/>
      </c>
      <c r="M153" s="21" t="n"/>
      <c r="N153" s="5" t="n"/>
    </row>
    <row r="154">
      <c r="A154" s="5" t="n"/>
      <c r="B154" s="5" t="n"/>
      <c r="C154" s="5" t="n"/>
      <c r="D154" s="5" t="n"/>
      <c r="E154" s="18" t="n"/>
      <c r="F154" s="18" t="n"/>
      <c r="G154" s="19">
        <f>IF(OR(E154="",F154=""),"",F154-E154)</f>
        <v/>
      </c>
      <c r="H154" s="20">
        <f>IF(OR(E154="",F154="",E154=0),"",(F154-E154)/E154)</f>
        <v/>
      </c>
      <c r="I154" s="21" t="n"/>
      <c r="J154" s="22">
        <f>IF(OR(E154="",I154=""),"",E154*I154)</f>
        <v/>
      </c>
      <c r="K154" s="22">
        <f>IF(OR(F154="",I154=""),"",F154*I154)</f>
        <v/>
      </c>
      <c r="L154" s="23">
        <f>IF(B154="","",IF(E154="","Cetvelde yok",IF(F154="","Projede bulunamadı",IF(H154&gt;MetrajTol,"Cetvelde eksik",IF(H154&lt;-MetrajTol,"Cetvelde fazla","Uygun")))))</f>
        <v/>
      </c>
      <c r="M154" s="21" t="n"/>
      <c r="N154" s="5" t="n"/>
    </row>
    <row r="155">
      <c r="A155" s="5" t="n"/>
      <c r="B155" s="5" t="n"/>
      <c r="C155" s="5" t="n"/>
      <c r="D155" s="5" t="n"/>
      <c r="E155" s="18" t="n"/>
      <c r="F155" s="18" t="n"/>
      <c r="G155" s="19">
        <f>IF(OR(E155="",F155=""),"",F155-E155)</f>
        <v/>
      </c>
      <c r="H155" s="20">
        <f>IF(OR(E155="",F155="",E155=0),"",(F155-E155)/E155)</f>
        <v/>
      </c>
      <c r="I155" s="21" t="n"/>
      <c r="J155" s="22">
        <f>IF(OR(E155="",I155=""),"",E155*I155)</f>
        <v/>
      </c>
      <c r="K155" s="22">
        <f>IF(OR(F155="",I155=""),"",F155*I155)</f>
        <v/>
      </c>
      <c r="L155" s="23">
        <f>IF(B155="","",IF(E155="","Cetvelde yok",IF(F155="","Projede bulunamadı",IF(H155&gt;MetrajTol,"Cetvelde eksik",IF(H155&lt;-MetrajTol,"Cetvelde fazla","Uygun")))))</f>
        <v/>
      </c>
      <c r="M155" s="21" t="n"/>
      <c r="N155" s="5" t="n"/>
    </row>
    <row r="156">
      <c r="A156" s="5" t="n"/>
      <c r="B156" s="5" t="n"/>
      <c r="C156" s="5" t="n"/>
      <c r="D156" s="5" t="n"/>
      <c r="E156" s="18" t="n"/>
      <c r="F156" s="18" t="n"/>
      <c r="G156" s="19">
        <f>IF(OR(E156="",F156=""),"",F156-E156)</f>
        <v/>
      </c>
      <c r="H156" s="20">
        <f>IF(OR(E156="",F156="",E156=0),"",(F156-E156)/E156)</f>
        <v/>
      </c>
      <c r="I156" s="21" t="n"/>
      <c r="J156" s="22">
        <f>IF(OR(E156="",I156=""),"",E156*I156)</f>
        <v/>
      </c>
      <c r="K156" s="22">
        <f>IF(OR(F156="",I156=""),"",F156*I156)</f>
        <v/>
      </c>
      <c r="L156" s="23">
        <f>IF(B156="","",IF(E156="","Cetvelde yok",IF(F156="","Projede bulunamadı",IF(H156&gt;MetrajTol,"Cetvelde eksik",IF(H156&lt;-MetrajTol,"Cetvelde fazla","Uygun")))))</f>
        <v/>
      </c>
      <c r="M156" s="21" t="n"/>
      <c r="N156" s="5" t="n"/>
    </row>
    <row r="157">
      <c r="A157" s="5" t="n"/>
      <c r="B157" s="5" t="n"/>
      <c r="C157" s="5" t="n"/>
      <c r="D157" s="5" t="n"/>
      <c r="E157" s="18" t="n"/>
      <c r="F157" s="18" t="n"/>
      <c r="G157" s="19">
        <f>IF(OR(E157="",F157=""),"",F157-E157)</f>
        <v/>
      </c>
      <c r="H157" s="20">
        <f>IF(OR(E157="",F157="",E157=0),"",(F157-E157)/E157)</f>
        <v/>
      </c>
      <c r="I157" s="21" t="n"/>
      <c r="J157" s="22">
        <f>IF(OR(E157="",I157=""),"",E157*I157)</f>
        <v/>
      </c>
      <c r="K157" s="22">
        <f>IF(OR(F157="",I157=""),"",F157*I157)</f>
        <v/>
      </c>
      <c r="L157" s="23">
        <f>IF(B157="","",IF(E157="","Cetvelde yok",IF(F157="","Projede bulunamadı",IF(H157&gt;MetrajTol,"Cetvelde eksik",IF(H157&lt;-MetrajTol,"Cetvelde fazla","Uygun")))))</f>
        <v/>
      </c>
      <c r="M157" s="21" t="n"/>
      <c r="N157" s="5" t="n"/>
    </row>
    <row r="158">
      <c r="A158" s="5" t="n"/>
      <c r="B158" s="5" t="n"/>
      <c r="C158" s="5" t="n"/>
      <c r="D158" s="5" t="n"/>
      <c r="E158" s="18" t="n"/>
      <c r="F158" s="18" t="n"/>
      <c r="G158" s="19">
        <f>IF(OR(E158="",F158=""),"",F158-E158)</f>
        <v/>
      </c>
      <c r="H158" s="20">
        <f>IF(OR(E158="",F158="",E158=0),"",(F158-E158)/E158)</f>
        <v/>
      </c>
      <c r="I158" s="21" t="n"/>
      <c r="J158" s="22">
        <f>IF(OR(E158="",I158=""),"",E158*I158)</f>
        <v/>
      </c>
      <c r="K158" s="22">
        <f>IF(OR(F158="",I158=""),"",F158*I158)</f>
        <v/>
      </c>
      <c r="L158" s="23">
        <f>IF(B158="","",IF(E158="","Cetvelde yok",IF(F158="","Projede bulunamadı",IF(H158&gt;MetrajTol,"Cetvelde eksik",IF(H158&lt;-MetrajTol,"Cetvelde fazla","Uygun")))))</f>
        <v/>
      </c>
      <c r="M158" s="21" t="n"/>
      <c r="N158" s="5" t="n"/>
    </row>
    <row r="159">
      <c r="A159" s="5" t="n"/>
      <c r="B159" s="5" t="n"/>
      <c r="C159" s="5" t="n"/>
      <c r="D159" s="5" t="n"/>
      <c r="E159" s="18" t="n"/>
      <c r="F159" s="18" t="n"/>
      <c r="G159" s="19">
        <f>IF(OR(E159="",F159=""),"",F159-E159)</f>
        <v/>
      </c>
      <c r="H159" s="20">
        <f>IF(OR(E159="",F159="",E159=0),"",(F159-E159)/E159)</f>
        <v/>
      </c>
      <c r="I159" s="21" t="n"/>
      <c r="J159" s="22">
        <f>IF(OR(E159="",I159=""),"",E159*I159)</f>
        <v/>
      </c>
      <c r="K159" s="22">
        <f>IF(OR(F159="",I159=""),"",F159*I159)</f>
        <v/>
      </c>
      <c r="L159" s="23">
        <f>IF(B159="","",IF(E159="","Cetvelde yok",IF(F159="","Projede bulunamadı",IF(H159&gt;MetrajTol,"Cetvelde eksik",IF(H159&lt;-MetrajTol,"Cetvelde fazla","Uygun")))))</f>
        <v/>
      </c>
      <c r="M159" s="21" t="n"/>
      <c r="N159" s="5" t="n"/>
    </row>
    <row r="160">
      <c r="A160" s="5" t="n"/>
      <c r="B160" s="5" t="n"/>
      <c r="C160" s="5" t="n"/>
      <c r="D160" s="5" t="n"/>
      <c r="E160" s="18" t="n"/>
      <c r="F160" s="18" t="n"/>
      <c r="G160" s="19">
        <f>IF(OR(E160="",F160=""),"",F160-E160)</f>
        <v/>
      </c>
      <c r="H160" s="20">
        <f>IF(OR(E160="",F160="",E160=0),"",(F160-E160)/E160)</f>
        <v/>
      </c>
      <c r="I160" s="21" t="n"/>
      <c r="J160" s="22">
        <f>IF(OR(E160="",I160=""),"",E160*I160)</f>
        <v/>
      </c>
      <c r="K160" s="22">
        <f>IF(OR(F160="",I160=""),"",F160*I160)</f>
        <v/>
      </c>
      <c r="L160" s="23">
        <f>IF(B160="","",IF(E160="","Cetvelde yok",IF(F160="","Projede bulunamadı",IF(H160&gt;MetrajTol,"Cetvelde eksik",IF(H160&lt;-MetrajTol,"Cetvelde fazla","Uygun")))))</f>
        <v/>
      </c>
      <c r="M160" s="21" t="n"/>
      <c r="N160" s="5" t="n"/>
    </row>
    <row r="161">
      <c r="A161" s="5" t="n"/>
      <c r="B161" s="5" t="n"/>
      <c r="C161" s="5" t="n"/>
      <c r="D161" s="5" t="n"/>
      <c r="E161" s="18" t="n"/>
      <c r="F161" s="18" t="n"/>
      <c r="G161" s="19">
        <f>IF(OR(E161="",F161=""),"",F161-E161)</f>
        <v/>
      </c>
      <c r="H161" s="20">
        <f>IF(OR(E161="",F161="",E161=0),"",(F161-E161)/E161)</f>
        <v/>
      </c>
      <c r="I161" s="21" t="n"/>
      <c r="J161" s="22">
        <f>IF(OR(E161="",I161=""),"",E161*I161)</f>
        <v/>
      </c>
      <c r="K161" s="22">
        <f>IF(OR(F161="",I161=""),"",F161*I161)</f>
        <v/>
      </c>
      <c r="L161" s="23">
        <f>IF(B161="","",IF(E161="","Cetvelde yok",IF(F161="","Projede bulunamadı",IF(H161&gt;MetrajTol,"Cetvelde eksik",IF(H161&lt;-MetrajTol,"Cetvelde fazla","Uygun")))))</f>
        <v/>
      </c>
      <c r="M161" s="21" t="n"/>
      <c r="N161" s="5" t="n"/>
    </row>
    <row r="162">
      <c r="A162" s="5" t="n"/>
      <c r="B162" s="5" t="n"/>
      <c r="C162" s="5" t="n"/>
      <c r="D162" s="5" t="n"/>
      <c r="E162" s="18" t="n"/>
      <c r="F162" s="18" t="n"/>
      <c r="G162" s="19">
        <f>IF(OR(E162="",F162=""),"",F162-E162)</f>
        <v/>
      </c>
      <c r="H162" s="20">
        <f>IF(OR(E162="",F162="",E162=0),"",(F162-E162)/E162)</f>
        <v/>
      </c>
      <c r="I162" s="21" t="n"/>
      <c r="J162" s="22">
        <f>IF(OR(E162="",I162=""),"",E162*I162)</f>
        <v/>
      </c>
      <c r="K162" s="22">
        <f>IF(OR(F162="",I162=""),"",F162*I162)</f>
        <v/>
      </c>
      <c r="L162" s="23">
        <f>IF(B162="","",IF(E162="","Cetvelde yok",IF(F162="","Projede bulunamadı",IF(H162&gt;MetrajTol,"Cetvelde eksik",IF(H162&lt;-MetrajTol,"Cetvelde fazla","Uygun")))))</f>
        <v/>
      </c>
      <c r="M162" s="21" t="n"/>
      <c r="N162" s="5" t="n"/>
    </row>
    <row r="163">
      <c r="A163" s="5" t="n"/>
      <c r="B163" s="5" t="n"/>
      <c r="C163" s="5" t="n"/>
      <c r="D163" s="5" t="n"/>
      <c r="E163" s="18" t="n"/>
      <c r="F163" s="18" t="n"/>
      <c r="G163" s="19">
        <f>IF(OR(E163="",F163=""),"",F163-E163)</f>
        <v/>
      </c>
      <c r="H163" s="20">
        <f>IF(OR(E163="",F163="",E163=0),"",(F163-E163)/E163)</f>
        <v/>
      </c>
      <c r="I163" s="21" t="n"/>
      <c r="J163" s="22">
        <f>IF(OR(E163="",I163=""),"",E163*I163)</f>
        <v/>
      </c>
      <c r="K163" s="22">
        <f>IF(OR(F163="",I163=""),"",F163*I163)</f>
        <v/>
      </c>
      <c r="L163" s="23">
        <f>IF(B163="","",IF(E163="","Cetvelde yok",IF(F163="","Projede bulunamadı",IF(H163&gt;MetrajTol,"Cetvelde eksik",IF(H163&lt;-MetrajTol,"Cetvelde fazla","Uygun")))))</f>
        <v/>
      </c>
      <c r="M163" s="21" t="n"/>
      <c r="N163" s="5" t="n"/>
    </row>
    <row r="164">
      <c r="A164" s="5" t="n"/>
      <c r="B164" s="5" t="n"/>
      <c r="C164" s="5" t="n"/>
      <c r="D164" s="5" t="n"/>
      <c r="E164" s="18" t="n"/>
      <c r="F164" s="18" t="n"/>
      <c r="G164" s="19">
        <f>IF(OR(E164="",F164=""),"",F164-E164)</f>
        <v/>
      </c>
      <c r="H164" s="20">
        <f>IF(OR(E164="",F164="",E164=0),"",(F164-E164)/E164)</f>
        <v/>
      </c>
      <c r="I164" s="21" t="n"/>
      <c r="J164" s="22">
        <f>IF(OR(E164="",I164=""),"",E164*I164)</f>
        <v/>
      </c>
      <c r="K164" s="22">
        <f>IF(OR(F164="",I164=""),"",F164*I164)</f>
        <v/>
      </c>
      <c r="L164" s="23">
        <f>IF(B164="","",IF(E164="","Cetvelde yok",IF(F164="","Projede bulunamadı",IF(H164&gt;MetrajTol,"Cetvelde eksik",IF(H164&lt;-MetrajTol,"Cetvelde fazla","Uygun")))))</f>
        <v/>
      </c>
      <c r="M164" s="21" t="n"/>
      <c r="N164" s="5" t="n"/>
    </row>
    <row r="165">
      <c r="A165" s="5" t="n"/>
      <c r="B165" s="5" t="n"/>
      <c r="C165" s="5" t="n"/>
      <c r="D165" s="5" t="n"/>
      <c r="E165" s="18" t="n"/>
      <c r="F165" s="18" t="n"/>
      <c r="G165" s="19">
        <f>IF(OR(E165="",F165=""),"",F165-E165)</f>
        <v/>
      </c>
      <c r="H165" s="20">
        <f>IF(OR(E165="",F165="",E165=0),"",(F165-E165)/E165)</f>
        <v/>
      </c>
      <c r="I165" s="21" t="n"/>
      <c r="J165" s="22">
        <f>IF(OR(E165="",I165=""),"",E165*I165)</f>
        <v/>
      </c>
      <c r="K165" s="22">
        <f>IF(OR(F165="",I165=""),"",F165*I165)</f>
        <v/>
      </c>
      <c r="L165" s="23">
        <f>IF(B165="","",IF(E165="","Cetvelde yok",IF(F165="","Projede bulunamadı",IF(H165&gt;MetrajTol,"Cetvelde eksik",IF(H165&lt;-MetrajTol,"Cetvelde fazla","Uygun")))))</f>
        <v/>
      </c>
      <c r="M165" s="21" t="n"/>
      <c r="N165" s="5" t="n"/>
    </row>
    <row r="166">
      <c r="A166" s="5" t="n"/>
      <c r="B166" s="5" t="n"/>
      <c r="C166" s="5" t="n"/>
      <c r="D166" s="5" t="n"/>
      <c r="E166" s="18" t="n"/>
      <c r="F166" s="18" t="n"/>
      <c r="G166" s="19">
        <f>IF(OR(E166="",F166=""),"",F166-E166)</f>
        <v/>
      </c>
      <c r="H166" s="20">
        <f>IF(OR(E166="",F166="",E166=0),"",(F166-E166)/E166)</f>
        <v/>
      </c>
      <c r="I166" s="21" t="n"/>
      <c r="J166" s="22">
        <f>IF(OR(E166="",I166=""),"",E166*I166)</f>
        <v/>
      </c>
      <c r="K166" s="22">
        <f>IF(OR(F166="",I166=""),"",F166*I166)</f>
        <v/>
      </c>
      <c r="L166" s="23">
        <f>IF(B166="","",IF(E166="","Cetvelde yok",IF(F166="","Projede bulunamadı",IF(H166&gt;MetrajTol,"Cetvelde eksik",IF(H166&lt;-MetrajTol,"Cetvelde fazla","Uygun")))))</f>
        <v/>
      </c>
      <c r="M166" s="21" t="n"/>
      <c r="N166" s="5" t="n"/>
    </row>
    <row r="167">
      <c r="A167" s="5" t="n"/>
      <c r="B167" s="5" t="n"/>
      <c r="C167" s="5" t="n"/>
      <c r="D167" s="5" t="n"/>
      <c r="E167" s="18" t="n"/>
      <c r="F167" s="18" t="n"/>
      <c r="G167" s="19">
        <f>IF(OR(E167="",F167=""),"",F167-E167)</f>
        <v/>
      </c>
      <c r="H167" s="20">
        <f>IF(OR(E167="",F167="",E167=0),"",(F167-E167)/E167)</f>
        <v/>
      </c>
      <c r="I167" s="21" t="n"/>
      <c r="J167" s="22">
        <f>IF(OR(E167="",I167=""),"",E167*I167)</f>
        <v/>
      </c>
      <c r="K167" s="22">
        <f>IF(OR(F167="",I167=""),"",F167*I167)</f>
        <v/>
      </c>
      <c r="L167" s="23">
        <f>IF(B167="","",IF(E167="","Cetvelde yok",IF(F167="","Projede bulunamadı",IF(H167&gt;MetrajTol,"Cetvelde eksik",IF(H167&lt;-MetrajTol,"Cetvelde fazla","Uygun")))))</f>
        <v/>
      </c>
      <c r="M167" s="21" t="n"/>
      <c r="N167" s="5" t="n"/>
    </row>
    <row r="168">
      <c r="A168" s="5" t="n"/>
      <c r="B168" s="5" t="n"/>
      <c r="C168" s="5" t="n"/>
      <c r="D168" s="5" t="n"/>
      <c r="E168" s="18" t="n"/>
      <c r="F168" s="18" t="n"/>
      <c r="G168" s="19">
        <f>IF(OR(E168="",F168=""),"",F168-E168)</f>
        <v/>
      </c>
      <c r="H168" s="20">
        <f>IF(OR(E168="",F168="",E168=0),"",(F168-E168)/E168)</f>
        <v/>
      </c>
      <c r="I168" s="21" t="n"/>
      <c r="J168" s="22">
        <f>IF(OR(E168="",I168=""),"",E168*I168)</f>
        <v/>
      </c>
      <c r="K168" s="22">
        <f>IF(OR(F168="",I168=""),"",F168*I168)</f>
        <v/>
      </c>
      <c r="L168" s="23">
        <f>IF(B168="","",IF(E168="","Cetvelde yok",IF(F168="","Projede bulunamadı",IF(H168&gt;MetrajTol,"Cetvelde eksik",IF(H168&lt;-MetrajTol,"Cetvelde fazla","Uygun")))))</f>
        <v/>
      </c>
      <c r="M168" s="21" t="n"/>
      <c r="N168" s="5" t="n"/>
    </row>
    <row r="169">
      <c r="A169" s="5" t="n"/>
      <c r="B169" s="5" t="n"/>
      <c r="C169" s="5" t="n"/>
      <c r="D169" s="5" t="n"/>
      <c r="E169" s="18" t="n"/>
      <c r="F169" s="18" t="n"/>
      <c r="G169" s="19">
        <f>IF(OR(E169="",F169=""),"",F169-E169)</f>
        <v/>
      </c>
      <c r="H169" s="20">
        <f>IF(OR(E169="",F169="",E169=0),"",(F169-E169)/E169)</f>
        <v/>
      </c>
      <c r="I169" s="21" t="n"/>
      <c r="J169" s="22">
        <f>IF(OR(E169="",I169=""),"",E169*I169)</f>
        <v/>
      </c>
      <c r="K169" s="22">
        <f>IF(OR(F169="",I169=""),"",F169*I169)</f>
        <v/>
      </c>
      <c r="L169" s="23">
        <f>IF(B169="","",IF(E169="","Cetvelde yok",IF(F169="","Projede bulunamadı",IF(H169&gt;MetrajTol,"Cetvelde eksik",IF(H169&lt;-MetrajTol,"Cetvelde fazla","Uygun")))))</f>
        <v/>
      </c>
      <c r="M169" s="21" t="n"/>
      <c r="N169" s="5" t="n"/>
    </row>
    <row r="170">
      <c r="A170" s="5" t="n"/>
      <c r="B170" s="5" t="n"/>
      <c r="C170" s="5" t="n"/>
      <c r="D170" s="5" t="n"/>
      <c r="E170" s="18" t="n"/>
      <c r="F170" s="18" t="n"/>
      <c r="G170" s="19">
        <f>IF(OR(E170="",F170=""),"",F170-E170)</f>
        <v/>
      </c>
      <c r="H170" s="20">
        <f>IF(OR(E170="",F170="",E170=0),"",(F170-E170)/E170)</f>
        <v/>
      </c>
      <c r="I170" s="21" t="n"/>
      <c r="J170" s="22">
        <f>IF(OR(E170="",I170=""),"",E170*I170)</f>
        <v/>
      </c>
      <c r="K170" s="22">
        <f>IF(OR(F170="",I170=""),"",F170*I170)</f>
        <v/>
      </c>
      <c r="L170" s="23">
        <f>IF(B170="","",IF(E170="","Cetvelde yok",IF(F170="","Projede bulunamadı",IF(H170&gt;MetrajTol,"Cetvelde eksik",IF(H170&lt;-MetrajTol,"Cetvelde fazla","Uygun")))))</f>
        <v/>
      </c>
      <c r="M170" s="21" t="n"/>
      <c r="N170" s="5" t="n"/>
    </row>
    <row r="171">
      <c r="A171" s="5" t="n"/>
      <c r="B171" s="5" t="n"/>
      <c r="C171" s="5" t="n"/>
      <c r="D171" s="5" t="n"/>
      <c r="E171" s="18" t="n"/>
      <c r="F171" s="18" t="n"/>
      <c r="G171" s="19">
        <f>IF(OR(E171="",F171=""),"",F171-E171)</f>
        <v/>
      </c>
      <c r="H171" s="20">
        <f>IF(OR(E171="",F171="",E171=0),"",(F171-E171)/E171)</f>
        <v/>
      </c>
      <c r="I171" s="21" t="n"/>
      <c r="J171" s="22">
        <f>IF(OR(E171="",I171=""),"",E171*I171)</f>
        <v/>
      </c>
      <c r="K171" s="22">
        <f>IF(OR(F171="",I171=""),"",F171*I171)</f>
        <v/>
      </c>
      <c r="L171" s="23">
        <f>IF(B171="","",IF(E171="","Cetvelde yok",IF(F171="","Projede bulunamadı",IF(H171&gt;MetrajTol,"Cetvelde eksik",IF(H171&lt;-MetrajTol,"Cetvelde fazla","Uygun")))))</f>
        <v/>
      </c>
      <c r="M171" s="21" t="n"/>
      <c r="N171" s="5" t="n"/>
    </row>
    <row r="172">
      <c r="A172" s="5" t="n"/>
      <c r="B172" s="5" t="n"/>
      <c r="C172" s="5" t="n"/>
      <c r="D172" s="5" t="n"/>
      <c r="E172" s="18" t="n"/>
      <c r="F172" s="18" t="n"/>
      <c r="G172" s="19">
        <f>IF(OR(E172="",F172=""),"",F172-E172)</f>
        <v/>
      </c>
      <c r="H172" s="20">
        <f>IF(OR(E172="",F172="",E172=0),"",(F172-E172)/E172)</f>
        <v/>
      </c>
      <c r="I172" s="21" t="n"/>
      <c r="J172" s="22">
        <f>IF(OR(E172="",I172=""),"",E172*I172)</f>
        <v/>
      </c>
      <c r="K172" s="22">
        <f>IF(OR(F172="",I172=""),"",F172*I172)</f>
        <v/>
      </c>
      <c r="L172" s="23">
        <f>IF(B172="","",IF(E172="","Cetvelde yok",IF(F172="","Projede bulunamadı",IF(H172&gt;MetrajTol,"Cetvelde eksik",IF(H172&lt;-MetrajTol,"Cetvelde fazla","Uygun")))))</f>
        <v/>
      </c>
      <c r="M172" s="21" t="n"/>
      <c r="N172" s="5" t="n"/>
    </row>
    <row r="173">
      <c r="A173" s="5" t="n"/>
      <c r="B173" s="5" t="n"/>
      <c r="C173" s="5" t="n"/>
      <c r="D173" s="5" t="n"/>
      <c r="E173" s="18" t="n"/>
      <c r="F173" s="18" t="n"/>
      <c r="G173" s="19">
        <f>IF(OR(E173="",F173=""),"",F173-E173)</f>
        <v/>
      </c>
      <c r="H173" s="20">
        <f>IF(OR(E173="",F173="",E173=0),"",(F173-E173)/E173)</f>
        <v/>
      </c>
      <c r="I173" s="21" t="n"/>
      <c r="J173" s="22">
        <f>IF(OR(E173="",I173=""),"",E173*I173)</f>
        <v/>
      </c>
      <c r="K173" s="22">
        <f>IF(OR(F173="",I173=""),"",F173*I173)</f>
        <v/>
      </c>
      <c r="L173" s="23">
        <f>IF(B173="","",IF(E173="","Cetvelde yok",IF(F173="","Projede bulunamadı",IF(H173&gt;MetrajTol,"Cetvelde eksik",IF(H173&lt;-MetrajTol,"Cetvelde fazla","Uygun")))))</f>
        <v/>
      </c>
      <c r="M173" s="21" t="n"/>
      <c r="N173" s="5" t="n"/>
    </row>
    <row r="174">
      <c r="A174" s="5" t="n"/>
      <c r="B174" s="5" t="n"/>
      <c r="C174" s="5" t="n"/>
      <c r="D174" s="5" t="n"/>
      <c r="E174" s="18" t="n"/>
      <c r="F174" s="18" t="n"/>
      <c r="G174" s="19">
        <f>IF(OR(E174="",F174=""),"",F174-E174)</f>
        <v/>
      </c>
      <c r="H174" s="20">
        <f>IF(OR(E174="",F174="",E174=0),"",(F174-E174)/E174)</f>
        <v/>
      </c>
      <c r="I174" s="21" t="n"/>
      <c r="J174" s="22">
        <f>IF(OR(E174="",I174=""),"",E174*I174)</f>
        <v/>
      </c>
      <c r="K174" s="22">
        <f>IF(OR(F174="",I174=""),"",F174*I174)</f>
        <v/>
      </c>
      <c r="L174" s="23">
        <f>IF(B174="","",IF(E174="","Cetvelde yok",IF(F174="","Projede bulunamadı",IF(H174&gt;MetrajTol,"Cetvelde eksik",IF(H174&lt;-MetrajTol,"Cetvelde fazla","Uygun")))))</f>
        <v/>
      </c>
      <c r="M174" s="21" t="n"/>
      <c r="N174" s="5" t="n"/>
    </row>
    <row r="175">
      <c r="A175" s="5" t="n"/>
      <c r="B175" s="5" t="n"/>
      <c r="C175" s="5" t="n"/>
      <c r="D175" s="5" t="n"/>
      <c r="E175" s="18" t="n"/>
      <c r="F175" s="18" t="n"/>
      <c r="G175" s="19">
        <f>IF(OR(E175="",F175=""),"",F175-E175)</f>
        <v/>
      </c>
      <c r="H175" s="20">
        <f>IF(OR(E175="",F175="",E175=0),"",(F175-E175)/E175)</f>
        <v/>
      </c>
      <c r="I175" s="21" t="n"/>
      <c r="J175" s="22">
        <f>IF(OR(E175="",I175=""),"",E175*I175)</f>
        <v/>
      </c>
      <c r="K175" s="22">
        <f>IF(OR(F175="",I175=""),"",F175*I175)</f>
        <v/>
      </c>
      <c r="L175" s="23">
        <f>IF(B175="","",IF(E175="","Cetvelde yok",IF(F175="","Projede bulunamadı",IF(H175&gt;MetrajTol,"Cetvelde eksik",IF(H175&lt;-MetrajTol,"Cetvelde fazla","Uygun")))))</f>
        <v/>
      </c>
      <c r="M175" s="21" t="n"/>
      <c r="N175" s="5" t="n"/>
    </row>
    <row r="176">
      <c r="A176" s="5" t="n"/>
      <c r="B176" s="5" t="n"/>
      <c r="C176" s="5" t="n"/>
      <c r="D176" s="5" t="n"/>
      <c r="E176" s="18" t="n"/>
      <c r="F176" s="18" t="n"/>
      <c r="G176" s="19">
        <f>IF(OR(E176="",F176=""),"",F176-E176)</f>
        <v/>
      </c>
      <c r="H176" s="20">
        <f>IF(OR(E176="",F176="",E176=0),"",(F176-E176)/E176)</f>
        <v/>
      </c>
      <c r="I176" s="21" t="n"/>
      <c r="J176" s="22">
        <f>IF(OR(E176="",I176=""),"",E176*I176)</f>
        <v/>
      </c>
      <c r="K176" s="22">
        <f>IF(OR(F176="",I176=""),"",F176*I176)</f>
        <v/>
      </c>
      <c r="L176" s="23">
        <f>IF(B176="","",IF(E176="","Cetvelde yok",IF(F176="","Projede bulunamadı",IF(H176&gt;MetrajTol,"Cetvelde eksik",IF(H176&lt;-MetrajTol,"Cetvelde fazla","Uygun")))))</f>
        <v/>
      </c>
      <c r="M176" s="21" t="n"/>
      <c r="N176" s="5" t="n"/>
    </row>
    <row r="177">
      <c r="A177" s="5" t="n"/>
      <c r="B177" s="5" t="n"/>
      <c r="C177" s="5" t="n"/>
      <c r="D177" s="5" t="n"/>
      <c r="E177" s="18" t="n"/>
      <c r="F177" s="18" t="n"/>
      <c r="G177" s="19">
        <f>IF(OR(E177="",F177=""),"",F177-E177)</f>
        <v/>
      </c>
      <c r="H177" s="20">
        <f>IF(OR(E177="",F177="",E177=0),"",(F177-E177)/E177)</f>
        <v/>
      </c>
      <c r="I177" s="21" t="n"/>
      <c r="J177" s="22">
        <f>IF(OR(E177="",I177=""),"",E177*I177)</f>
        <v/>
      </c>
      <c r="K177" s="22">
        <f>IF(OR(F177="",I177=""),"",F177*I177)</f>
        <v/>
      </c>
      <c r="L177" s="23">
        <f>IF(B177="","",IF(E177="","Cetvelde yok",IF(F177="","Projede bulunamadı",IF(H177&gt;MetrajTol,"Cetvelde eksik",IF(H177&lt;-MetrajTol,"Cetvelde fazla","Uygun")))))</f>
        <v/>
      </c>
      <c r="M177" s="21" t="n"/>
      <c r="N177" s="5" t="n"/>
    </row>
    <row r="178">
      <c r="A178" s="5" t="n"/>
      <c r="B178" s="5" t="n"/>
      <c r="C178" s="5" t="n"/>
      <c r="D178" s="5" t="n"/>
      <c r="E178" s="18" t="n"/>
      <c r="F178" s="18" t="n"/>
      <c r="G178" s="19">
        <f>IF(OR(E178="",F178=""),"",F178-E178)</f>
        <v/>
      </c>
      <c r="H178" s="20">
        <f>IF(OR(E178="",F178="",E178=0),"",(F178-E178)/E178)</f>
        <v/>
      </c>
      <c r="I178" s="21" t="n"/>
      <c r="J178" s="22">
        <f>IF(OR(E178="",I178=""),"",E178*I178)</f>
        <v/>
      </c>
      <c r="K178" s="22">
        <f>IF(OR(F178="",I178=""),"",F178*I178)</f>
        <v/>
      </c>
      <c r="L178" s="23">
        <f>IF(B178="","",IF(E178="","Cetvelde yok",IF(F178="","Projede bulunamadı",IF(H178&gt;MetrajTol,"Cetvelde eksik",IF(H178&lt;-MetrajTol,"Cetvelde fazla","Uygun")))))</f>
        <v/>
      </c>
      <c r="M178" s="21" t="n"/>
      <c r="N178" s="5" t="n"/>
    </row>
    <row r="179">
      <c r="A179" s="5" t="n"/>
      <c r="B179" s="5" t="n"/>
      <c r="C179" s="5" t="n"/>
      <c r="D179" s="5" t="n"/>
      <c r="E179" s="18" t="n"/>
      <c r="F179" s="18" t="n"/>
      <c r="G179" s="19">
        <f>IF(OR(E179="",F179=""),"",F179-E179)</f>
        <v/>
      </c>
      <c r="H179" s="20">
        <f>IF(OR(E179="",F179="",E179=0),"",(F179-E179)/E179)</f>
        <v/>
      </c>
      <c r="I179" s="21" t="n"/>
      <c r="J179" s="22">
        <f>IF(OR(E179="",I179=""),"",E179*I179)</f>
        <v/>
      </c>
      <c r="K179" s="22">
        <f>IF(OR(F179="",I179=""),"",F179*I179)</f>
        <v/>
      </c>
      <c r="L179" s="23">
        <f>IF(B179="","",IF(E179="","Cetvelde yok",IF(F179="","Projede bulunamadı",IF(H179&gt;MetrajTol,"Cetvelde eksik",IF(H179&lt;-MetrajTol,"Cetvelde fazla","Uygun")))))</f>
        <v/>
      </c>
      <c r="M179" s="21" t="n"/>
      <c r="N179" s="5" t="n"/>
    </row>
    <row r="180">
      <c r="A180" s="5" t="n"/>
      <c r="B180" s="5" t="n"/>
      <c r="C180" s="5" t="n"/>
      <c r="D180" s="5" t="n"/>
      <c r="E180" s="18" t="n"/>
      <c r="F180" s="18" t="n"/>
      <c r="G180" s="19">
        <f>IF(OR(E180="",F180=""),"",F180-E180)</f>
        <v/>
      </c>
      <c r="H180" s="20">
        <f>IF(OR(E180="",F180="",E180=0),"",(F180-E180)/E180)</f>
        <v/>
      </c>
      <c r="I180" s="21" t="n"/>
      <c r="J180" s="22">
        <f>IF(OR(E180="",I180=""),"",E180*I180)</f>
        <v/>
      </c>
      <c r="K180" s="22">
        <f>IF(OR(F180="",I180=""),"",F180*I180)</f>
        <v/>
      </c>
      <c r="L180" s="23">
        <f>IF(B180="","",IF(E180="","Cetvelde yok",IF(F180="","Projede bulunamadı",IF(H180&gt;MetrajTol,"Cetvelde eksik",IF(H180&lt;-MetrajTol,"Cetvelde fazla","Uygun")))))</f>
        <v/>
      </c>
      <c r="M180" s="21" t="n"/>
      <c r="N180" s="5" t="n"/>
    </row>
    <row r="181">
      <c r="A181" s="5" t="n"/>
      <c r="B181" s="5" t="n"/>
      <c r="C181" s="5" t="n"/>
      <c r="D181" s="5" t="n"/>
      <c r="E181" s="18" t="n"/>
      <c r="F181" s="18" t="n"/>
      <c r="G181" s="19">
        <f>IF(OR(E181="",F181=""),"",F181-E181)</f>
        <v/>
      </c>
      <c r="H181" s="20">
        <f>IF(OR(E181="",F181="",E181=0),"",(F181-E181)/E181)</f>
        <v/>
      </c>
      <c r="I181" s="21" t="n"/>
      <c r="J181" s="22">
        <f>IF(OR(E181="",I181=""),"",E181*I181)</f>
        <v/>
      </c>
      <c r="K181" s="22">
        <f>IF(OR(F181="",I181=""),"",F181*I181)</f>
        <v/>
      </c>
      <c r="L181" s="23">
        <f>IF(B181="","",IF(E181="","Cetvelde yok",IF(F181="","Projede bulunamadı",IF(H181&gt;MetrajTol,"Cetvelde eksik",IF(H181&lt;-MetrajTol,"Cetvelde fazla","Uygun")))))</f>
        <v/>
      </c>
      <c r="M181" s="21" t="n"/>
      <c r="N181" s="5" t="n"/>
    </row>
    <row r="182">
      <c r="A182" s="5" t="n"/>
      <c r="B182" s="5" t="n"/>
      <c r="C182" s="5" t="n"/>
      <c r="D182" s="5" t="n"/>
      <c r="E182" s="18" t="n"/>
      <c r="F182" s="18" t="n"/>
      <c r="G182" s="19">
        <f>IF(OR(E182="",F182=""),"",F182-E182)</f>
        <v/>
      </c>
      <c r="H182" s="20">
        <f>IF(OR(E182="",F182="",E182=0),"",(F182-E182)/E182)</f>
        <v/>
      </c>
      <c r="I182" s="21" t="n"/>
      <c r="J182" s="22">
        <f>IF(OR(E182="",I182=""),"",E182*I182)</f>
        <v/>
      </c>
      <c r="K182" s="22">
        <f>IF(OR(F182="",I182=""),"",F182*I182)</f>
        <v/>
      </c>
      <c r="L182" s="23">
        <f>IF(B182="","",IF(E182="","Cetvelde yok",IF(F182="","Projede bulunamadı",IF(H182&gt;MetrajTol,"Cetvelde eksik",IF(H182&lt;-MetrajTol,"Cetvelde fazla","Uygun")))))</f>
        <v/>
      </c>
      <c r="M182" s="21" t="n"/>
      <c r="N182" s="5" t="n"/>
    </row>
    <row r="183">
      <c r="A183" s="5" t="n"/>
      <c r="B183" s="5" t="n"/>
      <c r="C183" s="5" t="n"/>
      <c r="D183" s="5" t="n"/>
      <c r="E183" s="18" t="n"/>
      <c r="F183" s="18" t="n"/>
      <c r="G183" s="19">
        <f>IF(OR(E183="",F183=""),"",F183-E183)</f>
        <v/>
      </c>
      <c r="H183" s="20">
        <f>IF(OR(E183="",F183="",E183=0),"",(F183-E183)/E183)</f>
        <v/>
      </c>
      <c r="I183" s="21" t="n"/>
      <c r="J183" s="22">
        <f>IF(OR(E183="",I183=""),"",E183*I183)</f>
        <v/>
      </c>
      <c r="K183" s="22">
        <f>IF(OR(F183="",I183=""),"",F183*I183)</f>
        <v/>
      </c>
      <c r="L183" s="23">
        <f>IF(B183="","",IF(E183="","Cetvelde yok",IF(F183="","Projede bulunamadı",IF(H183&gt;MetrajTol,"Cetvelde eksik",IF(H183&lt;-MetrajTol,"Cetvelde fazla","Uygun")))))</f>
        <v/>
      </c>
      <c r="M183" s="21" t="n"/>
      <c r="N183" s="5" t="n"/>
    </row>
    <row r="184">
      <c r="A184" s="5" t="n"/>
      <c r="B184" s="5" t="n"/>
      <c r="C184" s="5" t="n"/>
      <c r="D184" s="5" t="n"/>
      <c r="E184" s="18" t="n"/>
      <c r="F184" s="18" t="n"/>
      <c r="G184" s="19">
        <f>IF(OR(E184="",F184=""),"",F184-E184)</f>
        <v/>
      </c>
      <c r="H184" s="20">
        <f>IF(OR(E184="",F184="",E184=0),"",(F184-E184)/E184)</f>
        <v/>
      </c>
      <c r="I184" s="21" t="n"/>
      <c r="J184" s="22">
        <f>IF(OR(E184="",I184=""),"",E184*I184)</f>
        <v/>
      </c>
      <c r="K184" s="22">
        <f>IF(OR(F184="",I184=""),"",F184*I184)</f>
        <v/>
      </c>
      <c r="L184" s="23">
        <f>IF(B184="","",IF(E184="","Cetvelde yok",IF(F184="","Projede bulunamadı",IF(H184&gt;MetrajTol,"Cetvelde eksik",IF(H184&lt;-MetrajTol,"Cetvelde fazla","Uygun")))))</f>
        <v/>
      </c>
      <c r="M184" s="21" t="n"/>
      <c r="N184" s="5" t="n"/>
    </row>
    <row r="185">
      <c r="A185" s="5" t="n"/>
      <c r="B185" s="5" t="n"/>
      <c r="C185" s="5" t="n"/>
      <c r="D185" s="5" t="n"/>
      <c r="E185" s="18" t="n"/>
      <c r="F185" s="18" t="n"/>
      <c r="G185" s="19">
        <f>IF(OR(E185="",F185=""),"",F185-E185)</f>
        <v/>
      </c>
      <c r="H185" s="20">
        <f>IF(OR(E185="",F185="",E185=0),"",(F185-E185)/E185)</f>
        <v/>
      </c>
      <c r="I185" s="21" t="n"/>
      <c r="J185" s="22">
        <f>IF(OR(E185="",I185=""),"",E185*I185)</f>
        <v/>
      </c>
      <c r="K185" s="22">
        <f>IF(OR(F185="",I185=""),"",F185*I185)</f>
        <v/>
      </c>
      <c r="L185" s="23">
        <f>IF(B185="","",IF(E185="","Cetvelde yok",IF(F185="","Projede bulunamadı",IF(H185&gt;MetrajTol,"Cetvelde eksik",IF(H185&lt;-MetrajTol,"Cetvelde fazla","Uygun")))))</f>
        <v/>
      </c>
      <c r="M185" s="21" t="n"/>
      <c r="N185" s="5" t="n"/>
    </row>
    <row r="186">
      <c r="A186" s="5" t="n"/>
      <c r="B186" s="5" t="n"/>
      <c r="C186" s="5" t="n"/>
      <c r="D186" s="5" t="n"/>
      <c r="E186" s="18" t="n"/>
      <c r="F186" s="18" t="n"/>
      <c r="G186" s="19">
        <f>IF(OR(E186="",F186=""),"",F186-E186)</f>
        <v/>
      </c>
      <c r="H186" s="20">
        <f>IF(OR(E186="",F186="",E186=0),"",(F186-E186)/E186)</f>
        <v/>
      </c>
      <c r="I186" s="21" t="n"/>
      <c r="J186" s="22">
        <f>IF(OR(E186="",I186=""),"",E186*I186)</f>
        <v/>
      </c>
      <c r="K186" s="22">
        <f>IF(OR(F186="",I186=""),"",F186*I186)</f>
        <v/>
      </c>
      <c r="L186" s="23">
        <f>IF(B186="","",IF(E186="","Cetvelde yok",IF(F186="","Projede bulunamadı",IF(H186&gt;MetrajTol,"Cetvelde eksik",IF(H186&lt;-MetrajTol,"Cetvelde fazla","Uygun")))))</f>
        <v/>
      </c>
      <c r="M186" s="21" t="n"/>
      <c r="N186" s="5" t="n"/>
    </row>
    <row r="187">
      <c r="A187" s="5" t="n"/>
      <c r="B187" s="5" t="n"/>
      <c r="C187" s="5" t="n"/>
      <c r="D187" s="5" t="n"/>
      <c r="E187" s="18" t="n"/>
      <c r="F187" s="18" t="n"/>
      <c r="G187" s="19">
        <f>IF(OR(E187="",F187=""),"",F187-E187)</f>
        <v/>
      </c>
      <c r="H187" s="20">
        <f>IF(OR(E187="",F187="",E187=0),"",(F187-E187)/E187)</f>
        <v/>
      </c>
      <c r="I187" s="21" t="n"/>
      <c r="J187" s="22">
        <f>IF(OR(E187="",I187=""),"",E187*I187)</f>
        <v/>
      </c>
      <c r="K187" s="22">
        <f>IF(OR(F187="",I187=""),"",F187*I187)</f>
        <v/>
      </c>
      <c r="L187" s="23">
        <f>IF(B187="","",IF(E187="","Cetvelde yok",IF(F187="","Projede bulunamadı",IF(H187&gt;MetrajTol,"Cetvelde eksik",IF(H187&lt;-MetrajTol,"Cetvelde fazla","Uygun")))))</f>
        <v/>
      </c>
      <c r="M187" s="21" t="n"/>
      <c r="N187" s="5" t="n"/>
    </row>
    <row r="188">
      <c r="A188" s="5" t="n"/>
      <c r="B188" s="5" t="n"/>
      <c r="C188" s="5" t="n"/>
      <c r="D188" s="5" t="n"/>
      <c r="E188" s="18" t="n"/>
      <c r="F188" s="18" t="n"/>
      <c r="G188" s="19">
        <f>IF(OR(E188="",F188=""),"",F188-E188)</f>
        <v/>
      </c>
      <c r="H188" s="20">
        <f>IF(OR(E188="",F188="",E188=0),"",(F188-E188)/E188)</f>
        <v/>
      </c>
      <c r="I188" s="21" t="n"/>
      <c r="J188" s="22">
        <f>IF(OR(E188="",I188=""),"",E188*I188)</f>
        <v/>
      </c>
      <c r="K188" s="22">
        <f>IF(OR(F188="",I188=""),"",F188*I188)</f>
        <v/>
      </c>
      <c r="L188" s="23">
        <f>IF(B188="","",IF(E188="","Cetvelde yok",IF(F188="","Projede bulunamadı",IF(H188&gt;MetrajTol,"Cetvelde eksik",IF(H188&lt;-MetrajTol,"Cetvelde fazla","Uygun")))))</f>
        <v/>
      </c>
      <c r="M188" s="21" t="n"/>
      <c r="N188" s="5" t="n"/>
    </row>
    <row r="189">
      <c r="A189" s="5" t="n"/>
      <c r="B189" s="5" t="n"/>
      <c r="C189" s="5" t="n"/>
      <c r="D189" s="5" t="n"/>
      <c r="E189" s="18" t="n"/>
      <c r="F189" s="18" t="n"/>
      <c r="G189" s="19">
        <f>IF(OR(E189="",F189=""),"",F189-E189)</f>
        <v/>
      </c>
      <c r="H189" s="20">
        <f>IF(OR(E189="",F189="",E189=0),"",(F189-E189)/E189)</f>
        <v/>
      </c>
      <c r="I189" s="21" t="n"/>
      <c r="J189" s="22">
        <f>IF(OR(E189="",I189=""),"",E189*I189)</f>
        <v/>
      </c>
      <c r="K189" s="22">
        <f>IF(OR(F189="",I189=""),"",F189*I189)</f>
        <v/>
      </c>
      <c r="L189" s="23">
        <f>IF(B189="","",IF(E189="","Cetvelde yok",IF(F189="","Projede bulunamadı",IF(H189&gt;MetrajTol,"Cetvelde eksik",IF(H189&lt;-MetrajTol,"Cetvelde fazla","Uygun")))))</f>
        <v/>
      </c>
      <c r="M189" s="21" t="n"/>
      <c r="N189" s="5" t="n"/>
    </row>
    <row r="190">
      <c r="A190" s="5" t="n"/>
      <c r="B190" s="5" t="n"/>
      <c r="C190" s="5" t="n"/>
      <c r="D190" s="5" t="n"/>
      <c r="E190" s="18" t="n"/>
      <c r="F190" s="18" t="n"/>
      <c r="G190" s="19">
        <f>IF(OR(E190="",F190=""),"",F190-E190)</f>
        <v/>
      </c>
      <c r="H190" s="20">
        <f>IF(OR(E190="",F190="",E190=0),"",(F190-E190)/E190)</f>
        <v/>
      </c>
      <c r="I190" s="21" t="n"/>
      <c r="J190" s="22">
        <f>IF(OR(E190="",I190=""),"",E190*I190)</f>
        <v/>
      </c>
      <c r="K190" s="22">
        <f>IF(OR(F190="",I190=""),"",F190*I190)</f>
        <v/>
      </c>
      <c r="L190" s="23">
        <f>IF(B190="","",IF(E190="","Cetvelde yok",IF(F190="","Projede bulunamadı",IF(H190&gt;MetrajTol,"Cetvelde eksik",IF(H190&lt;-MetrajTol,"Cetvelde fazla","Uygun")))))</f>
        <v/>
      </c>
      <c r="M190" s="21" t="n"/>
      <c r="N190" s="5" t="n"/>
    </row>
    <row r="191">
      <c r="A191" s="5" t="n"/>
      <c r="B191" s="5" t="n"/>
      <c r="C191" s="5" t="n"/>
      <c r="D191" s="5" t="n"/>
      <c r="E191" s="18" t="n"/>
      <c r="F191" s="18" t="n"/>
      <c r="G191" s="19">
        <f>IF(OR(E191="",F191=""),"",F191-E191)</f>
        <v/>
      </c>
      <c r="H191" s="20">
        <f>IF(OR(E191="",F191="",E191=0),"",(F191-E191)/E191)</f>
        <v/>
      </c>
      <c r="I191" s="21" t="n"/>
      <c r="J191" s="22">
        <f>IF(OR(E191="",I191=""),"",E191*I191)</f>
        <v/>
      </c>
      <c r="K191" s="22">
        <f>IF(OR(F191="",I191=""),"",F191*I191)</f>
        <v/>
      </c>
      <c r="L191" s="23">
        <f>IF(B191="","",IF(E191="","Cetvelde yok",IF(F191="","Projede bulunamadı",IF(H191&gt;MetrajTol,"Cetvelde eksik",IF(H191&lt;-MetrajTol,"Cetvelde fazla","Uygun")))))</f>
        <v/>
      </c>
      <c r="M191" s="21" t="n"/>
      <c r="N191" s="5" t="n"/>
    </row>
    <row r="192">
      <c r="A192" s="5" t="n"/>
      <c r="B192" s="5" t="n"/>
      <c r="C192" s="5" t="n"/>
      <c r="D192" s="5" t="n"/>
      <c r="E192" s="18" t="n"/>
      <c r="F192" s="18" t="n"/>
      <c r="G192" s="19">
        <f>IF(OR(E192="",F192=""),"",F192-E192)</f>
        <v/>
      </c>
      <c r="H192" s="20">
        <f>IF(OR(E192="",F192="",E192=0),"",(F192-E192)/E192)</f>
        <v/>
      </c>
      <c r="I192" s="21" t="n"/>
      <c r="J192" s="22">
        <f>IF(OR(E192="",I192=""),"",E192*I192)</f>
        <v/>
      </c>
      <c r="K192" s="22">
        <f>IF(OR(F192="",I192=""),"",F192*I192)</f>
        <v/>
      </c>
      <c r="L192" s="23">
        <f>IF(B192="","",IF(E192="","Cetvelde yok",IF(F192="","Projede bulunamadı",IF(H192&gt;MetrajTol,"Cetvelde eksik",IF(H192&lt;-MetrajTol,"Cetvelde fazla","Uygun")))))</f>
        <v/>
      </c>
      <c r="M192" s="21" t="n"/>
      <c r="N192" s="5" t="n"/>
    </row>
    <row r="193">
      <c r="A193" s="5" t="n"/>
      <c r="B193" s="5" t="n"/>
      <c r="C193" s="5" t="n"/>
      <c r="D193" s="5" t="n"/>
      <c r="E193" s="18" t="n"/>
      <c r="F193" s="18" t="n"/>
      <c r="G193" s="19">
        <f>IF(OR(E193="",F193=""),"",F193-E193)</f>
        <v/>
      </c>
      <c r="H193" s="20">
        <f>IF(OR(E193="",F193="",E193=0),"",(F193-E193)/E193)</f>
        <v/>
      </c>
      <c r="I193" s="21" t="n"/>
      <c r="J193" s="22">
        <f>IF(OR(E193="",I193=""),"",E193*I193)</f>
        <v/>
      </c>
      <c r="K193" s="22">
        <f>IF(OR(F193="",I193=""),"",F193*I193)</f>
        <v/>
      </c>
      <c r="L193" s="23">
        <f>IF(B193="","",IF(E193="","Cetvelde yok",IF(F193="","Projede bulunamadı",IF(H193&gt;MetrajTol,"Cetvelde eksik",IF(H193&lt;-MetrajTol,"Cetvelde fazla","Uygun")))))</f>
        <v/>
      </c>
      <c r="M193" s="21" t="n"/>
      <c r="N193" s="5" t="n"/>
    </row>
    <row r="194">
      <c r="A194" s="5" t="n"/>
      <c r="B194" s="5" t="n"/>
      <c r="C194" s="5" t="n"/>
      <c r="D194" s="5" t="n"/>
      <c r="E194" s="18" t="n"/>
      <c r="F194" s="18" t="n"/>
      <c r="G194" s="19">
        <f>IF(OR(E194="",F194=""),"",F194-E194)</f>
        <v/>
      </c>
      <c r="H194" s="20">
        <f>IF(OR(E194="",F194="",E194=0),"",(F194-E194)/E194)</f>
        <v/>
      </c>
      <c r="I194" s="21" t="n"/>
      <c r="J194" s="22">
        <f>IF(OR(E194="",I194=""),"",E194*I194)</f>
        <v/>
      </c>
      <c r="K194" s="22">
        <f>IF(OR(F194="",I194=""),"",F194*I194)</f>
        <v/>
      </c>
      <c r="L194" s="23">
        <f>IF(B194="","",IF(E194="","Cetvelde yok",IF(F194="","Projede bulunamadı",IF(H194&gt;MetrajTol,"Cetvelde eksik",IF(H194&lt;-MetrajTol,"Cetvelde fazla","Uygun")))))</f>
        <v/>
      </c>
      <c r="M194" s="21" t="n"/>
      <c r="N194" s="5" t="n"/>
    </row>
    <row r="195">
      <c r="A195" s="5" t="n"/>
      <c r="B195" s="5" t="n"/>
      <c r="C195" s="5" t="n"/>
      <c r="D195" s="5" t="n"/>
      <c r="E195" s="18" t="n"/>
      <c r="F195" s="18" t="n"/>
      <c r="G195" s="19">
        <f>IF(OR(E195="",F195=""),"",F195-E195)</f>
        <v/>
      </c>
      <c r="H195" s="20">
        <f>IF(OR(E195="",F195="",E195=0),"",(F195-E195)/E195)</f>
        <v/>
      </c>
      <c r="I195" s="21" t="n"/>
      <c r="J195" s="22">
        <f>IF(OR(E195="",I195=""),"",E195*I195)</f>
        <v/>
      </c>
      <c r="K195" s="22">
        <f>IF(OR(F195="",I195=""),"",F195*I195)</f>
        <v/>
      </c>
      <c r="L195" s="23">
        <f>IF(B195="","",IF(E195="","Cetvelde yok",IF(F195="","Projede bulunamadı",IF(H195&gt;MetrajTol,"Cetvelde eksik",IF(H195&lt;-MetrajTol,"Cetvelde fazla","Uygun")))))</f>
        <v/>
      </c>
      <c r="M195" s="21" t="n"/>
      <c r="N195" s="5" t="n"/>
    </row>
    <row r="196">
      <c r="A196" s="5" t="n"/>
      <c r="B196" s="5" t="n"/>
      <c r="C196" s="5" t="n"/>
      <c r="D196" s="5" t="n"/>
      <c r="E196" s="18" t="n"/>
      <c r="F196" s="18" t="n"/>
      <c r="G196" s="19">
        <f>IF(OR(E196="",F196=""),"",F196-E196)</f>
        <v/>
      </c>
      <c r="H196" s="20">
        <f>IF(OR(E196="",F196="",E196=0),"",(F196-E196)/E196)</f>
        <v/>
      </c>
      <c r="I196" s="21" t="n"/>
      <c r="J196" s="22">
        <f>IF(OR(E196="",I196=""),"",E196*I196)</f>
        <v/>
      </c>
      <c r="K196" s="22">
        <f>IF(OR(F196="",I196=""),"",F196*I196)</f>
        <v/>
      </c>
      <c r="L196" s="23">
        <f>IF(B196="","",IF(E196="","Cetvelde yok",IF(F196="","Projede bulunamadı",IF(H196&gt;MetrajTol,"Cetvelde eksik",IF(H196&lt;-MetrajTol,"Cetvelde fazla","Uygun")))))</f>
        <v/>
      </c>
      <c r="M196" s="21" t="n"/>
      <c r="N196" s="5" t="n"/>
    </row>
    <row r="197">
      <c r="A197" s="5" t="n"/>
      <c r="B197" s="5" t="n"/>
      <c r="C197" s="5" t="n"/>
      <c r="D197" s="5" t="n"/>
      <c r="E197" s="18" t="n"/>
      <c r="F197" s="18" t="n"/>
      <c r="G197" s="19">
        <f>IF(OR(E197="",F197=""),"",F197-E197)</f>
        <v/>
      </c>
      <c r="H197" s="20">
        <f>IF(OR(E197="",F197="",E197=0),"",(F197-E197)/E197)</f>
        <v/>
      </c>
      <c r="I197" s="21" t="n"/>
      <c r="J197" s="22">
        <f>IF(OR(E197="",I197=""),"",E197*I197)</f>
        <v/>
      </c>
      <c r="K197" s="22">
        <f>IF(OR(F197="",I197=""),"",F197*I197)</f>
        <v/>
      </c>
      <c r="L197" s="23">
        <f>IF(B197="","",IF(E197="","Cetvelde yok",IF(F197="","Projede bulunamadı",IF(H197&gt;MetrajTol,"Cetvelde eksik",IF(H197&lt;-MetrajTol,"Cetvelde fazla","Uygun")))))</f>
        <v/>
      </c>
      <c r="M197" s="21" t="n"/>
      <c r="N197" s="5" t="n"/>
    </row>
    <row r="198">
      <c r="A198" s="5" t="n"/>
      <c r="B198" s="5" t="n"/>
      <c r="C198" s="5" t="n"/>
      <c r="D198" s="5" t="n"/>
      <c r="E198" s="18" t="n"/>
      <c r="F198" s="18" t="n"/>
      <c r="G198" s="19">
        <f>IF(OR(E198="",F198=""),"",F198-E198)</f>
        <v/>
      </c>
      <c r="H198" s="20">
        <f>IF(OR(E198="",F198="",E198=0),"",(F198-E198)/E198)</f>
        <v/>
      </c>
      <c r="I198" s="21" t="n"/>
      <c r="J198" s="22">
        <f>IF(OR(E198="",I198=""),"",E198*I198)</f>
        <v/>
      </c>
      <c r="K198" s="22">
        <f>IF(OR(F198="",I198=""),"",F198*I198)</f>
        <v/>
      </c>
      <c r="L198" s="23">
        <f>IF(B198="","",IF(E198="","Cetvelde yok",IF(F198="","Projede bulunamadı",IF(H198&gt;MetrajTol,"Cetvelde eksik",IF(H198&lt;-MetrajTol,"Cetvelde fazla","Uygun")))))</f>
        <v/>
      </c>
      <c r="M198" s="21" t="n"/>
      <c r="N198" s="5" t="n"/>
    </row>
    <row r="199">
      <c r="A199" s="5" t="n"/>
      <c r="B199" s="5" t="n"/>
      <c r="C199" s="5" t="n"/>
      <c r="D199" s="5" t="n"/>
      <c r="E199" s="18" t="n"/>
      <c r="F199" s="18" t="n"/>
      <c r="G199" s="19">
        <f>IF(OR(E199="",F199=""),"",F199-E199)</f>
        <v/>
      </c>
      <c r="H199" s="20">
        <f>IF(OR(E199="",F199="",E199=0),"",(F199-E199)/E199)</f>
        <v/>
      </c>
      <c r="I199" s="21" t="n"/>
      <c r="J199" s="22">
        <f>IF(OR(E199="",I199=""),"",E199*I199)</f>
        <v/>
      </c>
      <c r="K199" s="22">
        <f>IF(OR(F199="",I199=""),"",F199*I199)</f>
        <v/>
      </c>
      <c r="L199" s="23">
        <f>IF(B199="","",IF(E199="","Cetvelde yok",IF(F199="","Projede bulunamadı",IF(H199&gt;MetrajTol,"Cetvelde eksik",IF(H199&lt;-MetrajTol,"Cetvelde fazla","Uygun")))))</f>
        <v/>
      </c>
      <c r="M199" s="21" t="n"/>
      <c r="N199" s="5" t="n"/>
    </row>
    <row r="200">
      <c r="A200" s="5" t="n"/>
      <c r="B200" s="5" t="n"/>
      <c r="C200" s="5" t="n"/>
      <c r="D200" s="5" t="n"/>
      <c r="E200" s="18" t="n"/>
      <c r="F200" s="18" t="n"/>
      <c r="G200" s="19">
        <f>IF(OR(E200="",F200=""),"",F200-E200)</f>
        <v/>
      </c>
      <c r="H200" s="20">
        <f>IF(OR(E200="",F200="",E200=0),"",(F200-E200)/E200)</f>
        <v/>
      </c>
      <c r="I200" s="21" t="n"/>
      <c r="J200" s="22">
        <f>IF(OR(E200="",I200=""),"",E200*I200)</f>
        <v/>
      </c>
      <c r="K200" s="22">
        <f>IF(OR(F200="",I200=""),"",F200*I200)</f>
        <v/>
      </c>
      <c r="L200" s="23">
        <f>IF(B200="","",IF(E200="","Cetvelde yok",IF(F200="","Projede bulunamadı",IF(H200&gt;MetrajTol,"Cetvelde eksik",IF(H200&lt;-MetrajTol,"Cetvelde fazla","Uygun")))))</f>
        <v/>
      </c>
      <c r="M200" s="21" t="n"/>
      <c r="N200" s="5" t="n"/>
    </row>
    <row r="201">
      <c r="A201" s="5" t="n"/>
      <c r="B201" s="5" t="n"/>
      <c r="C201" s="5" t="n"/>
      <c r="D201" s="5" t="n"/>
      <c r="E201" s="18" t="n"/>
      <c r="F201" s="18" t="n"/>
      <c r="G201" s="19">
        <f>IF(OR(E201="",F201=""),"",F201-E201)</f>
        <v/>
      </c>
      <c r="H201" s="20">
        <f>IF(OR(E201="",F201="",E201=0),"",(F201-E201)/E201)</f>
        <v/>
      </c>
      <c r="I201" s="21" t="n"/>
      <c r="J201" s="22">
        <f>IF(OR(E201="",I201=""),"",E201*I201)</f>
        <v/>
      </c>
      <c r="K201" s="22">
        <f>IF(OR(F201="",I201=""),"",F201*I201)</f>
        <v/>
      </c>
      <c r="L201" s="23">
        <f>IF(B201="","",IF(E201="","Cetvelde yok",IF(F201="","Projede bulunamadı",IF(H201&gt;MetrajTol,"Cetvelde eksik",IF(H201&lt;-MetrajTol,"Cetvelde fazla","Uygun")))))</f>
        <v/>
      </c>
      <c r="M201" s="21" t="n"/>
      <c r="N201" s="5" t="n"/>
    </row>
    <row r="202">
      <c r="A202" s="5" t="n"/>
      <c r="B202" s="5" t="n"/>
      <c r="C202" s="5" t="n"/>
      <c r="D202" s="5" t="n"/>
      <c r="E202" s="18" t="n"/>
      <c r="F202" s="18" t="n"/>
      <c r="G202" s="19">
        <f>IF(OR(E202="",F202=""),"",F202-E202)</f>
        <v/>
      </c>
      <c r="H202" s="20">
        <f>IF(OR(E202="",F202="",E202=0),"",(F202-E202)/E202)</f>
        <v/>
      </c>
      <c r="I202" s="21" t="n"/>
      <c r="J202" s="22">
        <f>IF(OR(E202="",I202=""),"",E202*I202)</f>
        <v/>
      </c>
      <c r="K202" s="22">
        <f>IF(OR(F202="",I202=""),"",F202*I202)</f>
        <v/>
      </c>
      <c r="L202" s="23">
        <f>IF(B202="","",IF(E202="","Cetvelde yok",IF(F202="","Projede bulunamadı",IF(H202&gt;MetrajTol,"Cetvelde eksik",IF(H202&lt;-MetrajTol,"Cetvelde fazla","Uygun")))))</f>
        <v/>
      </c>
      <c r="M202" s="21" t="n"/>
      <c r="N202" s="5" t="n"/>
    </row>
    <row r="203">
      <c r="A203" s="5" t="n"/>
      <c r="B203" s="5" t="n"/>
      <c r="C203" s="5" t="n"/>
      <c r="D203" s="5" t="n"/>
      <c r="E203" s="18" t="n"/>
      <c r="F203" s="18" t="n"/>
      <c r="G203" s="19">
        <f>IF(OR(E203="",F203=""),"",F203-E203)</f>
        <v/>
      </c>
      <c r="H203" s="20">
        <f>IF(OR(E203="",F203="",E203=0),"",(F203-E203)/E203)</f>
        <v/>
      </c>
      <c r="I203" s="21" t="n"/>
      <c r="J203" s="22">
        <f>IF(OR(E203="",I203=""),"",E203*I203)</f>
        <v/>
      </c>
      <c r="K203" s="22">
        <f>IF(OR(F203="",I203=""),"",F203*I203)</f>
        <v/>
      </c>
      <c r="L203" s="23">
        <f>IF(B203="","",IF(E203="","Cetvelde yok",IF(F203="","Projede bulunamadı",IF(H203&gt;MetrajTol,"Cetvelde eksik",IF(H203&lt;-MetrajTol,"Cetvelde fazla","Uygun")))))</f>
        <v/>
      </c>
      <c r="M203" s="21" t="n"/>
      <c r="N203" s="5" t="n"/>
    </row>
    <row r="204">
      <c r="A204" s="5" t="n"/>
      <c r="B204" s="5" t="n"/>
      <c r="C204" s="5" t="n"/>
      <c r="D204" s="5" t="n"/>
      <c r="E204" s="18" t="n"/>
      <c r="F204" s="18" t="n"/>
      <c r="G204" s="19">
        <f>IF(OR(E204="",F204=""),"",F204-E204)</f>
        <v/>
      </c>
      <c r="H204" s="20">
        <f>IF(OR(E204="",F204="",E204=0),"",(F204-E204)/E204)</f>
        <v/>
      </c>
      <c r="I204" s="21" t="n"/>
      <c r="J204" s="22">
        <f>IF(OR(E204="",I204=""),"",E204*I204)</f>
        <v/>
      </c>
      <c r="K204" s="22">
        <f>IF(OR(F204="",I204=""),"",F204*I204)</f>
        <v/>
      </c>
      <c r="L204" s="23">
        <f>IF(B204="","",IF(E204="","Cetvelde yok",IF(F204="","Projede bulunamadı",IF(H204&gt;MetrajTol,"Cetvelde eksik",IF(H204&lt;-MetrajTol,"Cetvelde fazla","Uygun")))))</f>
        <v/>
      </c>
      <c r="M204" s="21" t="n"/>
      <c r="N204" s="5" t="n"/>
    </row>
    <row r="205">
      <c r="A205" s="5" t="n"/>
      <c r="B205" s="5" t="n"/>
      <c r="C205" s="5" t="n"/>
      <c r="D205" s="5" t="n"/>
      <c r="E205" s="18" t="n"/>
      <c r="F205" s="18" t="n"/>
      <c r="G205" s="19">
        <f>IF(OR(E205="",F205=""),"",F205-E205)</f>
        <v/>
      </c>
      <c r="H205" s="20">
        <f>IF(OR(E205="",F205="",E205=0),"",(F205-E205)/E205)</f>
        <v/>
      </c>
      <c r="I205" s="21" t="n"/>
      <c r="J205" s="22">
        <f>IF(OR(E205="",I205=""),"",E205*I205)</f>
        <v/>
      </c>
      <c r="K205" s="22">
        <f>IF(OR(F205="",I205=""),"",F205*I205)</f>
        <v/>
      </c>
      <c r="L205" s="23">
        <f>IF(B205="","",IF(E205="","Cetvelde yok",IF(F205="","Projede bulunamadı",IF(H205&gt;MetrajTol,"Cetvelde eksik",IF(H205&lt;-MetrajTol,"Cetvelde fazla","Uygun")))))</f>
        <v/>
      </c>
      <c r="M205" s="21" t="n"/>
      <c r="N205" s="5" t="n"/>
    </row>
    <row r="206">
      <c r="A206" s="5" t="n"/>
      <c r="B206" s="5" t="n"/>
      <c r="C206" s="5" t="n"/>
      <c r="D206" s="5" t="n"/>
      <c r="E206" s="18" t="n"/>
      <c r="F206" s="18" t="n"/>
      <c r="G206" s="19">
        <f>IF(OR(E206="",F206=""),"",F206-E206)</f>
        <v/>
      </c>
      <c r="H206" s="20">
        <f>IF(OR(E206="",F206="",E206=0),"",(F206-E206)/E206)</f>
        <v/>
      </c>
      <c r="I206" s="21" t="n"/>
      <c r="J206" s="22">
        <f>IF(OR(E206="",I206=""),"",E206*I206)</f>
        <v/>
      </c>
      <c r="K206" s="22">
        <f>IF(OR(F206="",I206=""),"",F206*I206)</f>
        <v/>
      </c>
      <c r="L206" s="23">
        <f>IF(B206="","",IF(E206="","Cetvelde yok",IF(F206="","Projede bulunamadı",IF(H206&gt;MetrajTol,"Cetvelde eksik",IF(H206&lt;-MetrajTol,"Cetvelde fazla","Uygun")))))</f>
        <v/>
      </c>
      <c r="M206" s="21" t="n"/>
      <c r="N206" s="5" t="n"/>
    </row>
    <row r="207">
      <c r="A207" s="5" t="n"/>
      <c r="B207" s="5" t="n"/>
      <c r="C207" s="5" t="n"/>
      <c r="D207" s="5" t="n"/>
      <c r="E207" s="18" t="n"/>
      <c r="F207" s="18" t="n"/>
      <c r="G207" s="19">
        <f>IF(OR(E207="",F207=""),"",F207-E207)</f>
        <v/>
      </c>
      <c r="H207" s="20">
        <f>IF(OR(E207="",F207="",E207=0),"",(F207-E207)/E207)</f>
        <v/>
      </c>
      <c r="I207" s="21" t="n"/>
      <c r="J207" s="22">
        <f>IF(OR(E207="",I207=""),"",E207*I207)</f>
        <v/>
      </c>
      <c r="K207" s="22">
        <f>IF(OR(F207="",I207=""),"",F207*I207)</f>
        <v/>
      </c>
      <c r="L207" s="23">
        <f>IF(B207="","",IF(E207="","Cetvelde yok",IF(F207="","Projede bulunamadı",IF(H207&gt;MetrajTol,"Cetvelde eksik",IF(H207&lt;-MetrajTol,"Cetvelde fazla","Uygun")))))</f>
        <v/>
      </c>
      <c r="M207" s="21" t="n"/>
      <c r="N207" s="5" t="n"/>
    </row>
    <row r="208">
      <c r="A208" s="5" t="n"/>
      <c r="B208" s="5" t="n"/>
      <c r="C208" s="5" t="n"/>
      <c r="D208" s="5" t="n"/>
      <c r="E208" s="18" t="n"/>
      <c r="F208" s="18" t="n"/>
      <c r="G208" s="19">
        <f>IF(OR(E208="",F208=""),"",F208-E208)</f>
        <v/>
      </c>
      <c r="H208" s="20">
        <f>IF(OR(E208="",F208="",E208=0),"",(F208-E208)/E208)</f>
        <v/>
      </c>
      <c r="I208" s="21" t="n"/>
      <c r="J208" s="22">
        <f>IF(OR(E208="",I208=""),"",E208*I208)</f>
        <v/>
      </c>
      <c r="K208" s="22">
        <f>IF(OR(F208="",I208=""),"",F208*I208)</f>
        <v/>
      </c>
      <c r="L208" s="23">
        <f>IF(B208="","",IF(E208="","Cetvelde yok",IF(F208="","Projede bulunamadı",IF(H208&gt;MetrajTol,"Cetvelde eksik",IF(H208&lt;-MetrajTol,"Cetvelde fazla","Uygun")))))</f>
        <v/>
      </c>
      <c r="M208" s="21" t="n"/>
      <c r="N208" s="5" t="n"/>
    </row>
    <row r="209">
      <c r="A209" s="5" t="n"/>
      <c r="B209" s="5" t="n"/>
      <c r="C209" s="5" t="n"/>
      <c r="D209" s="5" t="n"/>
      <c r="E209" s="18" t="n"/>
      <c r="F209" s="18" t="n"/>
      <c r="G209" s="19">
        <f>IF(OR(E209="",F209=""),"",F209-E209)</f>
        <v/>
      </c>
      <c r="H209" s="20">
        <f>IF(OR(E209="",F209="",E209=0),"",(F209-E209)/E209)</f>
        <v/>
      </c>
      <c r="I209" s="21" t="n"/>
      <c r="J209" s="22">
        <f>IF(OR(E209="",I209=""),"",E209*I209)</f>
        <v/>
      </c>
      <c r="K209" s="22">
        <f>IF(OR(F209="",I209=""),"",F209*I209)</f>
        <v/>
      </c>
      <c r="L209" s="23">
        <f>IF(B209="","",IF(E209="","Cetvelde yok",IF(F209="","Projede bulunamadı",IF(H209&gt;MetrajTol,"Cetvelde eksik",IF(H209&lt;-MetrajTol,"Cetvelde fazla","Uygun")))))</f>
        <v/>
      </c>
      <c r="M209" s="21" t="n"/>
      <c r="N209" s="5" t="n"/>
    </row>
    <row r="210">
      <c r="A210" s="5" t="n"/>
      <c r="B210" s="5" t="n"/>
      <c r="C210" s="5" t="n"/>
      <c r="D210" s="5" t="n"/>
      <c r="E210" s="18" t="n"/>
      <c r="F210" s="18" t="n"/>
      <c r="G210" s="19">
        <f>IF(OR(E210="",F210=""),"",F210-E210)</f>
        <v/>
      </c>
      <c r="H210" s="20">
        <f>IF(OR(E210="",F210="",E210=0),"",(F210-E210)/E210)</f>
        <v/>
      </c>
      <c r="I210" s="21" t="n"/>
      <c r="J210" s="22">
        <f>IF(OR(E210="",I210=""),"",E210*I210)</f>
        <v/>
      </c>
      <c r="K210" s="22">
        <f>IF(OR(F210="",I210=""),"",F210*I210)</f>
        <v/>
      </c>
      <c r="L210" s="23">
        <f>IF(B210="","",IF(E210="","Cetvelde yok",IF(F210="","Projede bulunamadı",IF(H210&gt;MetrajTol,"Cetvelde eksik",IF(H210&lt;-MetrajTol,"Cetvelde fazla","Uygun")))))</f>
        <v/>
      </c>
      <c r="M210" s="21" t="n"/>
      <c r="N210" s="5" t="n"/>
    </row>
    <row r="211">
      <c r="A211" s="5" t="n"/>
      <c r="B211" s="5" t="n"/>
      <c r="C211" s="5" t="n"/>
      <c r="D211" s="5" t="n"/>
      <c r="E211" s="18" t="n"/>
      <c r="F211" s="18" t="n"/>
      <c r="G211" s="19">
        <f>IF(OR(E211="",F211=""),"",F211-E211)</f>
        <v/>
      </c>
      <c r="H211" s="20">
        <f>IF(OR(E211="",F211="",E211=0),"",(F211-E211)/E211)</f>
        <v/>
      </c>
      <c r="I211" s="21" t="n"/>
      <c r="J211" s="22">
        <f>IF(OR(E211="",I211=""),"",E211*I211)</f>
        <v/>
      </c>
      <c r="K211" s="22">
        <f>IF(OR(F211="",I211=""),"",F211*I211)</f>
        <v/>
      </c>
      <c r="L211" s="23">
        <f>IF(B211="","",IF(E211="","Cetvelde yok",IF(F211="","Projede bulunamadı",IF(H211&gt;MetrajTol,"Cetvelde eksik",IF(H211&lt;-MetrajTol,"Cetvelde fazla","Uygun")))))</f>
        <v/>
      </c>
      <c r="M211" s="21" t="n"/>
      <c r="N211" s="5" t="n"/>
    </row>
    <row r="212">
      <c r="A212" s="5" t="n"/>
      <c r="B212" s="5" t="n"/>
      <c r="C212" s="5" t="n"/>
      <c r="D212" s="5" t="n"/>
      <c r="E212" s="18" t="n"/>
      <c r="F212" s="18" t="n"/>
      <c r="G212" s="19">
        <f>IF(OR(E212="",F212=""),"",F212-E212)</f>
        <v/>
      </c>
      <c r="H212" s="20">
        <f>IF(OR(E212="",F212="",E212=0),"",(F212-E212)/E212)</f>
        <v/>
      </c>
      <c r="I212" s="21" t="n"/>
      <c r="J212" s="22">
        <f>IF(OR(E212="",I212=""),"",E212*I212)</f>
        <v/>
      </c>
      <c r="K212" s="22">
        <f>IF(OR(F212="",I212=""),"",F212*I212)</f>
        <v/>
      </c>
      <c r="L212" s="23">
        <f>IF(B212="","",IF(E212="","Cetvelde yok",IF(F212="","Projede bulunamadı",IF(H212&gt;MetrajTol,"Cetvelde eksik",IF(H212&lt;-MetrajTol,"Cetvelde fazla","Uygun")))))</f>
        <v/>
      </c>
      <c r="M212" s="21" t="n"/>
      <c r="N212" s="5" t="n"/>
    </row>
    <row r="213">
      <c r="A213" s="5" t="n"/>
      <c r="B213" s="5" t="n"/>
      <c r="C213" s="5" t="n"/>
      <c r="D213" s="5" t="n"/>
      <c r="E213" s="18" t="n"/>
      <c r="F213" s="18" t="n"/>
      <c r="G213" s="19">
        <f>IF(OR(E213="",F213=""),"",F213-E213)</f>
        <v/>
      </c>
      <c r="H213" s="20">
        <f>IF(OR(E213="",F213="",E213=0),"",(F213-E213)/E213)</f>
        <v/>
      </c>
      <c r="I213" s="21" t="n"/>
      <c r="J213" s="22">
        <f>IF(OR(E213="",I213=""),"",E213*I213)</f>
        <v/>
      </c>
      <c r="K213" s="22">
        <f>IF(OR(F213="",I213=""),"",F213*I213)</f>
        <v/>
      </c>
      <c r="L213" s="23">
        <f>IF(B213="","",IF(E213="","Cetvelde yok",IF(F213="","Projede bulunamadı",IF(H213&gt;MetrajTol,"Cetvelde eksik",IF(H213&lt;-MetrajTol,"Cetvelde fazla","Uygun")))))</f>
        <v/>
      </c>
      <c r="M213" s="21" t="n"/>
      <c r="N213" s="5" t="n"/>
    </row>
    <row r="214">
      <c r="A214" s="5" t="n"/>
      <c r="B214" s="5" t="n"/>
      <c r="C214" s="5" t="n"/>
      <c r="D214" s="5" t="n"/>
      <c r="E214" s="18" t="n"/>
      <c r="F214" s="18" t="n"/>
      <c r="G214" s="19">
        <f>IF(OR(E214="",F214=""),"",F214-E214)</f>
        <v/>
      </c>
      <c r="H214" s="20">
        <f>IF(OR(E214="",F214="",E214=0),"",(F214-E214)/E214)</f>
        <v/>
      </c>
      <c r="I214" s="21" t="n"/>
      <c r="J214" s="22">
        <f>IF(OR(E214="",I214=""),"",E214*I214)</f>
        <v/>
      </c>
      <c r="K214" s="22">
        <f>IF(OR(F214="",I214=""),"",F214*I214)</f>
        <v/>
      </c>
      <c r="L214" s="23">
        <f>IF(B214="","",IF(E214="","Cetvelde yok",IF(F214="","Projede bulunamadı",IF(H214&gt;MetrajTol,"Cetvelde eksik",IF(H214&lt;-MetrajTol,"Cetvelde fazla","Uygun")))))</f>
        <v/>
      </c>
      <c r="M214" s="21" t="n"/>
      <c r="N214" s="5" t="n"/>
    </row>
    <row r="215">
      <c r="A215" s="5" t="n"/>
      <c r="B215" s="5" t="n"/>
      <c r="C215" s="5" t="n"/>
      <c r="D215" s="5" t="n"/>
      <c r="E215" s="18" t="n"/>
      <c r="F215" s="18" t="n"/>
      <c r="G215" s="19">
        <f>IF(OR(E215="",F215=""),"",F215-E215)</f>
        <v/>
      </c>
      <c r="H215" s="20">
        <f>IF(OR(E215="",F215="",E215=0),"",(F215-E215)/E215)</f>
        <v/>
      </c>
      <c r="I215" s="21" t="n"/>
      <c r="J215" s="22">
        <f>IF(OR(E215="",I215=""),"",E215*I215)</f>
        <v/>
      </c>
      <c r="K215" s="22">
        <f>IF(OR(F215="",I215=""),"",F215*I215)</f>
        <v/>
      </c>
      <c r="L215" s="23">
        <f>IF(B215="","",IF(E215="","Cetvelde yok",IF(F215="","Projede bulunamadı",IF(H215&gt;MetrajTol,"Cetvelde eksik",IF(H215&lt;-MetrajTol,"Cetvelde fazla","Uygun")))))</f>
        <v/>
      </c>
      <c r="M215" s="21" t="n"/>
      <c r="N215" s="5" t="n"/>
    </row>
    <row r="216">
      <c r="A216" s="5" t="n"/>
      <c r="B216" s="5" t="n"/>
      <c r="C216" s="5" t="n"/>
      <c r="D216" s="5" t="n"/>
      <c r="E216" s="18" t="n"/>
      <c r="F216" s="18" t="n"/>
      <c r="G216" s="19">
        <f>IF(OR(E216="",F216=""),"",F216-E216)</f>
        <v/>
      </c>
      <c r="H216" s="20">
        <f>IF(OR(E216="",F216="",E216=0),"",(F216-E216)/E216)</f>
        <v/>
      </c>
      <c r="I216" s="21" t="n"/>
      <c r="J216" s="22">
        <f>IF(OR(E216="",I216=""),"",E216*I216)</f>
        <v/>
      </c>
      <c r="K216" s="22">
        <f>IF(OR(F216="",I216=""),"",F216*I216)</f>
        <v/>
      </c>
      <c r="L216" s="23">
        <f>IF(B216="","",IF(E216="","Cetvelde yok",IF(F216="","Projede bulunamadı",IF(H216&gt;MetrajTol,"Cetvelde eksik",IF(H216&lt;-MetrajTol,"Cetvelde fazla","Uygun")))))</f>
        <v/>
      </c>
      <c r="M216" s="21" t="n"/>
      <c r="N216" s="5" t="n"/>
    </row>
    <row r="217">
      <c r="A217" s="5" t="n"/>
      <c r="B217" s="5" t="n"/>
      <c r="C217" s="5" t="n"/>
      <c r="D217" s="5" t="n"/>
      <c r="E217" s="18" t="n"/>
      <c r="F217" s="18" t="n"/>
      <c r="G217" s="19">
        <f>IF(OR(E217="",F217=""),"",F217-E217)</f>
        <v/>
      </c>
      <c r="H217" s="20">
        <f>IF(OR(E217="",F217="",E217=0),"",(F217-E217)/E217)</f>
        <v/>
      </c>
      <c r="I217" s="21" t="n"/>
      <c r="J217" s="22">
        <f>IF(OR(E217="",I217=""),"",E217*I217)</f>
        <v/>
      </c>
      <c r="K217" s="22">
        <f>IF(OR(F217="",I217=""),"",F217*I217)</f>
        <v/>
      </c>
      <c r="L217" s="23">
        <f>IF(B217="","",IF(E217="","Cetvelde yok",IF(F217="","Projede bulunamadı",IF(H217&gt;MetrajTol,"Cetvelde eksik",IF(H217&lt;-MetrajTol,"Cetvelde fazla","Uygun")))))</f>
        <v/>
      </c>
      <c r="M217" s="21" t="n"/>
      <c r="N217" s="5" t="n"/>
    </row>
    <row r="218">
      <c r="A218" s="5" t="n"/>
      <c r="B218" s="5" t="n"/>
      <c r="C218" s="5" t="n"/>
      <c r="D218" s="5" t="n"/>
      <c r="E218" s="18" t="n"/>
      <c r="F218" s="18" t="n"/>
      <c r="G218" s="19">
        <f>IF(OR(E218="",F218=""),"",F218-E218)</f>
        <v/>
      </c>
      <c r="H218" s="20">
        <f>IF(OR(E218="",F218="",E218=0),"",(F218-E218)/E218)</f>
        <v/>
      </c>
      <c r="I218" s="21" t="n"/>
      <c r="J218" s="22">
        <f>IF(OR(E218="",I218=""),"",E218*I218)</f>
        <v/>
      </c>
      <c r="K218" s="22">
        <f>IF(OR(F218="",I218=""),"",F218*I218)</f>
        <v/>
      </c>
      <c r="L218" s="23">
        <f>IF(B218="","",IF(E218="","Cetvelde yok",IF(F218="","Projede bulunamadı",IF(H218&gt;MetrajTol,"Cetvelde eksik",IF(H218&lt;-MetrajTol,"Cetvelde fazla","Uygun")))))</f>
        <v/>
      </c>
      <c r="M218" s="21" t="n"/>
      <c r="N218" s="5" t="n"/>
    </row>
    <row r="219">
      <c r="A219" s="5" t="n"/>
      <c r="B219" s="5" t="n"/>
      <c r="C219" s="5" t="n"/>
      <c r="D219" s="5" t="n"/>
      <c r="E219" s="18" t="n"/>
      <c r="F219" s="18" t="n"/>
      <c r="G219" s="19">
        <f>IF(OR(E219="",F219=""),"",F219-E219)</f>
        <v/>
      </c>
      <c r="H219" s="20">
        <f>IF(OR(E219="",F219="",E219=0),"",(F219-E219)/E219)</f>
        <v/>
      </c>
      <c r="I219" s="21" t="n"/>
      <c r="J219" s="22">
        <f>IF(OR(E219="",I219=""),"",E219*I219)</f>
        <v/>
      </c>
      <c r="K219" s="22">
        <f>IF(OR(F219="",I219=""),"",F219*I219)</f>
        <v/>
      </c>
      <c r="L219" s="23">
        <f>IF(B219="","",IF(E219="","Cetvelde yok",IF(F219="","Projede bulunamadı",IF(H219&gt;MetrajTol,"Cetvelde eksik",IF(H219&lt;-MetrajTol,"Cetvelde fazla","Uygun")))))</f>
        <v/>
      </c>
      <c r="M219" s="21" t="n"/>
      <c r="N219" s="5" t="n"/>
    </row>
    <row r="220">
      <c r="A220" s="5" t="n"/>
      <c r="B220" s="5" t="n"/>
      <c r="C220" s="5" t="n"/>
      <c r="D220" s="5" t="n"/>
      <c r="E220" s="18" t="n"/>
      <c r="F220" s="18" t="n"/>
      <c r="G220" s="19">
        <f>IF(OR(E220="",F220=""),"",F220-E220)</f>
        <v/>
      </c>
      <c r="H220" s="20">
        <f>IF(OR(E220="",F220="",E220=0),"",(F220-E220)/E220)</f>
        <v/>
      </c>
      <c r="I220" s="21" t="n"/>
      <c r="J220" s="22">
        <f>IF(OR(E220="",I220=""),"",E220*I220)</f>
        <v/>
      </c>
      <c r="K220" s="22">
        <f>IF(OR(F220="",I220=""),"",F220*I220)</f>
        <v/>
      </c>
      <c r="L220" s="23">
        <f>IF(B220="","",IF(E220="","Cetvelde yok",IF(F220="","Projede bulunamadı",IF(H220&gt;MetrajTol,"Cetvelde eksik",IF(H220&lt;-MetrajTol,"Cetvelde fazla","Uygun")))))</f>
        <v/>
      </c>
      <c r="M220" s="21" t="n"/>
      <c r="N220" s="5" t="n"/>
    </row>
    <row r="221">
      <c r="A221" s="5" t="n"/>
      <c r="B221" s="5" t="n"/>
      <c r="C221" s="5" t="n"/>
      <c r="D221" s="5" t="n"/>
      <c r="E221" s="18" t="n"/>
      <c r="F221" s="18" t="n"/>
      <c r="G221" s="19">
        <f>IF(OR(E221="",F221=""),"",F221-E221)</f>
        <v/>
      </c>
      <c r="H221" s="20">
        <f>IF(OR(E221="",F221="",E221=0),"",(F221-E221)/E221)</f>
        <v/>
      </c>
      <c r="I221" s="21" t="n"/>
      <c r="J221" s="22">
        <f>IF(OR(E221="",I221=""),"",E221*I221)</f>
        <v/>
      </c>
      <c r="K221" s="22">
        <f>IF(OR(F221="",I221=""),"",F221*I221)</f>
        <v/>
      </c>
      <c r="L221" s="23">
        <f>IF(B221="","",IF(E221="","Cetvelde yok",IF(F221="","Projede bulunamadı",IF(H221&gt;MetrajTol,"Cetvelde eksik",IF(H221&lt;-MetrajTol,"Cetvelde fazla","Uygun")))))</f>
        <v/>
      </c>
      <c r="M221" s="21" t="n"/>
      <c r="N221" s="5" t="n"/>
    </row>
    <row r="222">
      <c r="A222" s="5" t="n"/>
      <c r="B222" s="5" t="n"/>
      <c r="C222" s="5" t="n"/>
      <c r="D222" s="5" t="n"/>
      <c r="E222" s="18" t="n"/>
      <c r="F222" s="18" t="n"/>
      <c r="G222" s="19">
        <f>IF(OR(E222="",F222=""),"",F222-E222)</f>
        <v/>
      </c>
      <c r="H222" s="20">
        <f>IF(OR(E222="",F222="",E222=0),"",(F222-E222)/E222)</f>
        <v/>
      </c>
      <c r="I222" s="21" t="n"/>
      <c r="J222" s="22">
        <f>IF(OR(E222="",I222=""),"",E222*I222)</f>
        <v/>
      </c>
      <c r="K222" s="22">
        <f>IF(OR(F222="",I222=""),"",F222*I222)</f>
        <v/>
      </c>
      <c r="L222" s="23">
        <f>IF(B222="","",IF(E222="","Cetvelde yok",IF(F222="","Projede bulunamadı",IF(H222&gt;MetrajTol,"Cetvelde eksik",IF(H222&lt;-MetrajTol,"Cetvelde fazla","Uygun")))))</f>
        <v/>
      </c>
      <c r="M222" s="21" t="n"/>
      <c r="N222" s="5" t="n"/>
    </row>
    <row r="223">
      <c r="A223" s="5" t="n"/>
      <c r="B223" s="5" t="n"/>
      <c r="C223" s="5" t="n"/>
      <c r="D223" s="5" t="n"/>
      <c r="E223" s="18" t="n"/>
      <c r="F223" s="18" t="n"/>
      <c r="G223" s="19">
        <f>IF(OR(E223="",F223=""),"",F223-E223)</f>
        <v/>
      </c>
      <c r="H223" s="20">
        <f>IF(OR(E223="",F223="",E223=0),"",(F223-E223)/E223)</f>
        <v/>
      </c>
      <c r="I223" s="21" t="n"/>
      <c r="J223" s="22">
        <f>IF(OR(E223="",I223=""),"",E223*I223)</f>
        <v/>
      </c>
      <c r="K223" s="22">
        <f>IF(OR(F223="",I223=""),"",F223*I223)</f>
        <v/>
      </c>
      <c r="L223" s="23">
        <f>IF(B223="","",IF(E223="","Cetvelde yok",IF(F223="","Projede bulunamadı",IF(H223&gt;MetrajTol,"Cetvelde eksik",IF(H223&lt;-MetrajTol,"Cetvelde fazla","Uygun")))))</f>
        <v/>
      </c>
      <c r="M223" s="21" t="n"/>
      <c r="N223" s="5" t="n"/>
    </row>
    <row r="224">
      <c r="A224" s="5" t="n"/>
      <c r="B224" s="5" t="n"/>
      <c r="C224" s="5" t="n"/>
      <c r="D224" s="5" t="n"/>
      <c r="E224" s="18" t="n"/>
      <c r="F224" s="18" t="n"/>
      <c r="G224" s="19">
        <f>IF(OR(E224="",F224=""),"",F224-E224)</f>
        <v/>
      </c>
      <c r="H224" s="20">
        <f>IF(OR(E224="",F224="",E224=0),"",(F224-E224)/E224)</f>
        <v/>
      </c>
      <c r="I224" s="21" t="n"/>
      <c r="J224" s="22">
        <f>IF(OR(E224="",I224=""),"",E224*I224)</f>
        <v/>
      </c>
      <c r="K224" s="22">
        <f>IF(OR(F224="",I224=""),"",F224*I224)</f>
        <v/>
      </c>
      <c r="L224" s="23">
        <f>IF(B224="","",IF(E224="","Cetvelde yok",IF(F224="","Projede bulunamadı",IF(H224&gt;MetrajTol,"Cetvelde eksik",IF(H224&lt;-MetrajTol,"Cetvelde fazla","Uygun")))))</f>
        <v/>
      </c>
      <c r="M224" s="21" t="n"/>
      <c r="N224" s="5" t="n"/>
    </row>
    <row r="225">
      <c r="A225" s="5" t="n"/>
      <c r="B225" s="5" t="n"/>
      <c r="C225" s="5" t="n"/>
      <c r="D225" s="5" t="n"/>
      <c r="E225" s="18" t="n"/>
      <c r="F225" s="18" t="n"/>
      <c r="G225" s="19">
        <f>IF(OR(E225="",F225=""),"",F225-E225)</f>
        <v/>
      </c>
      <c r="H225" s="20">
        <f>IF(OR(E225="",F225="",E225=0),"",(F225-E225)/E225)</f>
        <v/>
      </c>
      <c r="I225" s="21" t="n"/>
      <c r="J225" s="22">
        <f>IF(OR(E225="",I225=""),"",E225*I225)</f>
        <v/>
      </c>
      <c r="K225" s="22">
        <f>IF(OR(F225="",I225=""),"",F225*I225)</f>
        <v/>
      </c>
      <c r="L225" s="23">
        <f>IF(B225="","",IF(E225="","Cetvelde yok",IF(F225="","Projede bulunamadı",IF(H225&gt;MetrajTol,"Cetvelde eksik",IF(H225&lt;-MetrajTol,"Cetvelde fazla","Uygun")))))</f>
        <v/>
      </c>
      <c r="M225" s="21" t="n"/>
      <c r="N225" s="5" t="n"/>
    </row>
    <row r="226">
      <c r="A226" s="5" t="n"/>
      <c r="B226" s="5" t="n"/>
      <c r="C226" s="5" t="n"/>
      <c r="D226" s="5" t="n"/>
      <c r="E226" s="18" t="n"/>
      <c r="F226" s="18" t="n"/>
      <c r="G226" s="19">
        <f>IF(OR(E226="",F226=""),"",F226-E226)</f>
        <v/>
      </c>
      <c r="H226" s="20">
        <f>IF(OR(E226="",F226="",E226=0),"",(F226-E226)/E226)</f>
        <v/>
      </c>
      <c r="I226" s="21" t="n"/>
      <c r="J226" s="22">
        <f>IF(OR(E226="",I226=""),"",E226*I226)</f>
        <v/>
      </c>
      <c r="K226" s="22">
        <f>IF(OR(F226="",I226=""),"",F226*I226)</f>
        <v/>
      </c>
      <c r="L226" s="23">
        <f>IF(B226="","",IF(E226="","Cetvelde yok",IF(F226="","Projede bulunamadı",IF(H226&gt;MetrajTol,"Cetvelde eksik",IF(H226&lt;-MetrajTol,"Cetvelde fazla","Uygun")))))</f>
        <v/>
      </c>
      <c r="M226" s="21" t="n"/>
      <c r="N226" s="5" t="n"/>
    </row>
    <row r="227">
      <c r="A227" s="5" t="n"/>
      <c r="B227" s="5" t="n"/>
      <c r="C227" s="5" t="n"/>
      <c r="D227" s="5" t="n"/>
      <c r="E227" s="18" t="n"/>
      <c r="F227" s="18" t="n"/>
      <c r="G227" s="19">
        <f>IF(OR(E227="",F227=""),"",F227-E227)</f>
        <v/>
      </c>
      <c r="H227" s="20">
        <f>IF(OR(E227="",F227="",E227=0),"",(F227-E227)/E227)</f>
        <v/>
      </c>
      <c r="I227" s="21" t="n"/>
      <c r="J227" s="22">
        <f>IF(OR(E227="",I227=""),"",E227*I227)</f>
        <v/>
      </c>
      <c r="K227" s="22">
        <f>IF(OR(F227="",I227=""),"",F227*I227)</f>
        <v/>
      </c>
      <c r="L227" s="23">
        <f>IF(B227="","",IF(E227="","Cetvelde yok",IF(F227="","Projede bulunamadı",IF(H227&gt;MetrajTol,"Cetvelde eksik",IF(H227&lt;-MetrajTol,"Cetvelde fazla","Uygun")))))</f>
        <v/>
      </c>
      <c r="M227" s="21" t="n"/>
      <c r="N227" s="5" t="n"/>
    </row>
    <row r="228">
      <c r="A228" s="5" t="n"/>
      <c r="B228" s="5" t="n"/>
      <c r="C228" s="5" t="n"/>
      <c r="D228" s="5" t="n"/>
      <c r="E228" s="18" t="n"/>
      <c r="F228" s="18" t="n"/>
      <c r="G228" s="19">
        <f>IF(OR(E228="",F228=""),"",F228-E228)</f>
        <v/>
      </c>
      <c r="H228" s="20">
        <f>IF(OR(E228="",F228="",E228=0),"",(F228-E228)/E228)</f>
        <v/>
      </c>
      <c r="I228" s="21" t="n"/>
      <c r="J228" s="22">
        <f>IF(OR(E228="",I228=""),"",E228*I228)</f>
        <v/>
      </c>
      <c r="K228" s="22">
        <f>IF(OR(F228="",I228=""),"",F228*I228)</f>
        <v/>
      </c>
      <c r="L228" s="23">
        <f>IF(B228="","",IF(E228="","Cetvelde yok",IF(F228="","Projede bulunamadı",IF(H228&gt;MetrajTol,"Cetvelde eksik",IF(H228&lt;-MetrajTol,"Cetvelde fazla","Uygun")))))</f>
        <v/>
      </c>
      <c r="M228" s="21" t="n"/>
      <c r="N228" s="5" t="n"/>
    </row>
    <row r="229">
      <c r="A229" s="5" t="n"/>
      <c r="B229" s="5" t="n"/>
      <c r="C229" s="5" t="n"/>
      <c r="D229" s="5" t="n"/>
      <c r="E229" s="18" t="n"/>
      <c r="F229" s="18" t="n"/>
      <c r="G229" s="19">
        <f>IF(OR(E229="",F229=""),"",F229-E229)</f>
        <v/>
      </c>
      <c r="H229" s="20">
        <f>IF(OR(E229="",F229="",E229=0),"",(F229-E229)/E229)</f>
        <v/>
      </c>
      <c r="I229" s="21" t="n"/>
      <c r="J229" s="22">
        <f>IF(OR(E229="",I229=""),"",E229*I229)</f>
        <v/>
      </c>
      <c r="K229" s="22">
        <f>IF(OR(F229="",I229=""),"",F229*I229)</f>
        <v/>
      </c>
      <c r="L229" s="23">
        <f>IF(B229="","",IF(E229="","Cetvelde yok",IF(F229="","Projede bulunamadı",IF(H229&gt;MetrajTol,"Cetvelde eksik",IF(H229&lt;-MetrajTol,"Cetvelde fazla","Uygun")))))</f>
        <v/>
      </c>
      <c r="M229" s="21" t="n"/>
      <c r="N229" s="5" t="n"/>
    </row>
    <row r="230">
      <c r="A230" s="5" t="n"/>
      <c r="B230" s="5" t="n"/>
      <c r="C230" s="5" t="n"/>
      <c r="D230" s="5" t="n"/>
      <c r="E230" s="18" t="n"/>
      <c r="F230" s="18" t="n"/>
      <c r="G230" s="19">
        <f>IF(OR(E230="",F230=""),"",F230-E230)</f>
        <v/>
      </c>
      <c r="H230" s="20">
        <f>IF(OR(E230="",F230="",E230=0),"",(F230-E230)/E230)</f>
        <v/>
      </c>
      <c r="I230" s="21" t="n"/>
      <c r="J230" s="22">
        <f>IF(OR(E230="",I230=""),"",E230*I230)</f>
        <v/>
      </c>
      <c r="K230" s="22">
        <f>IF(OR(F230="",I230=""),"",F230*I230)</f>
        <v/>
      </c>
      <c r="L230" s="23">
        <f>IF(B230="","",IF(E230="","Cetvelde yok",IF(F230="","Projede bulunamadı",IF(H230&gt;MetrajTol,"Cetvelde eksik",IF(H230&lt;-MetrajTol,"Cetvelde fazla","Uygun")))))</f>
        <v/>
      </c>
      <c r="M230" s="21" t="n"/>
      <c r="N230" s="5" t="n"/>
    </row>
    <row r="231">
      <c r="A231" s="5" t="n"/>
      <c r="B231" s="5" t="n"/>
      <c r="C231" s="5" t="n"/>
      <c r="D231" s="5" t="n"/>
      <c r="E231" s="18" t="n"/>
      <c r="F231" s="18" t="n"/>
      <c r="G231" s="19">
        <f>IF(OR(E231="",F231=""),"",F231-E231)</f>
        <v/>
      </c>
      <c r="H231" s="20">
        <f>IF(OR(E231="",F231="",E231=0),"",(F231-E231)/E231)</f>
        <v/>
      </c>
      <c r="I231" s="21" t="n"/>
      <c r="J231" s="22">
        <f>IF(OR(E231="",I231=""),"",E231*I231)</f>
        <v/>
      </c>
      <c r="K231" s="22">
        <f>IF(OR(F231="",I231=""),"",F231*I231)</f>
        <v/>
      </c>
      <c r="L231" s="23">
        <f>IF(B231="","",IF(E231="","Cetvelde yok",IF(F231="","Projede bulunamadı",IF(H231&gt;MetrajTol,"Cetvelde eksik",IF(H231&lt;-MetrajTol,"Cetvelde fazla","Uygun")))))</f>
        <v/>
      </c>
      <c r="M231" s="21" t="n"/>
      <c r="N231" s="5" t="n"/>
    </row>
    <row r="232">
      <c r="A232" s="5" t="n"/>
      <c r="B232" s="5" t="n"/>
      <c r="C232" s="5" t="n"/>
      <c r="D232" s="5" t="n"/>
      <c r="E232" s="18" t="n"/>
      <c r="F232" s="18" t="n"/>
      <c r="G232" s="19">
        <f>IF(OR(E232="",F232=""),"",F232-E232)</f>
        <v/>
      </c>
      <c r="H232" s="20">
        <f>IF(OR(E232="",F232="",E232=0),"",(F232-E232)/E232)</f>
        <v/>
      </c>
      <c r="I232" s="21" t="n"/>
      <c r="J232" s="22">
        <f>IF(OR(E232="",I232=""),"",E232*I232)</f>
        <v/>
      </c>
      <c r="K232" s="22">
        <f>IF(OR(F232="",I232=""),"",F232*I232)</f>
        <v/>
      </c>
      <c r="L232" s="23">
        <f>IF(B232="","",IF(E232="","Cetvelde yok",IF(F232="","Projede bulunamadı",IF(H232&gt;MetrajTol,"Cetvelde eksik",IF(H232&lt;-MetrajTol,"Cetvelde fazla","Uygun")))))</f>
        <v/>
      </c>
      <c r="M232" s="21" t="n"/>
      <c r="N232" s="5" t="n"/>
    </row>
    <row r="233">
      <c r="A233" s="5" t="n"/>
      <c r="B233" s="5" t="n"/>
      <c r="C233" s="5" t="n"/>
      <c r="D233" s="5" t="n"/>
      <c r="E233" s="18" t="n"/>
      <c r="F233" s="18" t="n"/>
      <c r="G233" s="19">
        <f>IF(OR(E233="",F233=""),"",F233-E233)</f>
        <v/>
      </c>
      <c r="H233" s="20">
        <f>IF(OR(E233="",F233="",E233=0),"",(F233-E233)/E233)</f>
        <v/>
      </c>
      <c r="I233" s="21" t="n"/>
      <c r="J233" s="22">
        <f>IF(OR(E233="",I233=""),"",E233*I233)</f>
        <v/>
      </c>
      <c r="K233" s="22">
        <f>IF(OR(F233="",I233=""),"",F233*I233)</f>
        <v/>
      </c>
      <c r="L233" s="23">
        <f>IF(B233="","",IF(E233="","Cetvelde yok",IF(F233="","Projede bulunamadı",IF(H233&gt;MetrajTol,"Cetvelde eksik",IF(H233&lt;-MetrajTol,"Cetvelde fazla","Uygun")))))</f>
        <v/>
      </c>
      <c r="M233" s="21" t="n"/>
      <c r="N233" s="5" t="n"/>
    </row>
    <row r="234">
      <c r="A234" s="5" t="n"/>
      <c r="B234" s="5" t="n"/>
      <c r="C234" s="5" t="n"/>
      <c r="D234" s="5" t="n"/>
      <c r="E234" s="18" t="n"/>
      <c r="F234" s="18" t="n"/>
      <c r="G234" s="19">
        <f>IF(OR(E234="",F234=""),"",F234-E234)</f>
        <v/>
      </c>
      <c r="H234" s="20">
        <f>IF(OR(E234="",F234="",E234=0),"",(F234-E234)/E234)</f>
        <v/>
      </c>
      <c r="I234" s="21" t="n"/>
      <c r="J234" s="22">
        <f>IF(OR(E234="",I234=""),"",E234*I234)</f>
        <v/>
      </c>
      <c r="K234" s="22">
        <f>IF(OR(F234="",I234=""),"",F234*I234)</f>
        <v/>
      </c>
      <c r="L234" s="23">
        <f>IF(B234="","",IF(E234="","Cetvelde yok",IF(F234="","Projede bulunamadı",IF(H234&gt;MetrajTol,"Cetvelde eksik",IF(H234&lt;-MetrajTol,"Cetvelde fazla","Uygun")))))</f>
        <v/>
      </c>
      <c r="M234" s="21" t="n"/>
      <c r="N234" s="5" t="n"/>
    </row>
    <row r="235">
      <c r="A235" s="5" t="n"/>
      <c r="B235" s="5" t="n"/>
      <c r="C235" s="5" t="n"/>
      <c r="D235" s="5" t="n"/>
      <c r="E235" s="18" t="n"/>
      <c r="F235" s="18" t="n"/>
      <c r="G235" s="19">
        <f>IF(OR(E235="",F235=""),"",F235-E235)</f>
        <v/>
      </c>
      <c r="H235" s="20">
        <f>IF(OR(E235="",F235="",E235=0),"",(F235-E235)/E235)</f>
        <v/>
      </c>
      <c r="I235" s="21" t="n"/>
      <c r="J235" s="22">
        <f>IF(OR(E235="",I235=""),"",E235*I235)</f>
        <v/>
      </c>
      <c r="K235" s="22">
        <f>IF(OR(F235="",I235=""),"",F235*I235)</f>
        <v/>
      </c>
      <c r="L235" s="23">
        <f>IF(B235="","",IF(E235="","Cetvelde yok",IF(F235="","Projede bulunamadı",IF(H235&gt;MetrajTol,"Cetvelde eksik",IF(H235&lt;-MetrajTol,"Cetvelde fazla","Uygun")))))</f>
        <v/>
      </c>
      <c r="M235" s="21" t="n"/>
      <c r="N235" s="5" t="n"/>
    </row>
    <row r="236">
      <c r="A236" s="5" t="n"/>
      <c r="B236" s="5" t="n"/>
      <c r="C236" s="5" t="n"/>
      <c r="D236" s="5" t="n"/>
      <c r="E236" s="18" t="n"/>
      <c r="F236" s="18" t="n"/>
      <c r="G236" s="19">
        <f>IF(OR(E236="",F236=""),"",F236-E236)</f>
        <v/>
      </c>
      <c r="H236" s="20">
        <f>IF(OR(E236="",F236="",E236=0),"",(F236-E236)/E236)</f>
        <v/>
      </c>
      <c r="I236" s="21" t="n"/>
      <c r="J236" s="22">
        <f>IF(OR(E236="",I236=""),"",E236*I236)</f>
        <v/>
      </c>
      <c r="K236" s="22">
        <f>IF(OR(F236="",I236=""),"",F236*I236)</f>
        <v/>
      </c>
      <c r="L236" s="23">
        <f>IF(B236="","",IF(E236="","Cetvelde yok",IF(F236="","Projede bulunamadı",IF(H236&gt;MetrajTol,"Cetvelde eksik",IF(H236&lt;-MetrajTol,"Cetvelde fazla","Uygun")))))</f>
        <v/>
      </c>
      <c r="M236" s="21" t="n"/>
      <c r="N236" s="5" t="n"/>
    </row>
    <row r="237">
      <c r="A237" s="5" t="n"/>
      <c r="B237" s="5" t="n"/>
      <c r="C237" s="5" t="n"/>
      <c r="D237" s="5" t="n"/>
      <c r="E237" s="18" t="n"/>
      <c r="F237" s="18" t="n"/>
      <c r="G237" s="19">
        <f>IF(OR(E237="",F237=""),"",F237-E237)</f>
        <v/>
      </c>
      <c r="H237" s="20">
        <f>IF(OR(E237="",F237="",E237=0),"",(F237-E237)/E237)</f>
        <v/>
      </c>
      <c r="I237" s="21" t="n"/>
      <c r="J237" s="22">
        <f>IF(OR(E237="",I237=""),"",E237*I237)</f>
        <v/>
      </c>
      <c r="K237" s="22">
        <f>IF(OR(F237="",I237=""),"",F237*I237)</f>
        <v/>
      </c>
      <c r="L237" s="23">
        <f>IF(B237="","",IF(E237="","Cetvelde yok",IF(F237="","Projede bulunamadı",IF(H237&gt;MetrajTol,"Cetvelde eksik",IF(H237&lt;-MetrajTol,"Cetvelde fazla","Uygun")))))</f>
        <v/>
      </c>
      <c r="M237" s="21" t="n"/>
      <c r="N237" s="5" t="n"/>
    </row>
    <row r="238">
      <c r="A238" s="5" t="n"/>
      <c r="B238" s="5" t="n"/>
      <c r="C238" s="5" t="n"/>
      <c r="D238" s="5" t="n"/>
      <c r="E238" s="18" t="n"/>
      <c r="F238" s="18" t="n"/>
      <c r="G238" s="19">
        <f>IF(OR(E238="",F238=""),"",F238-E238)</f>
        <v/>
      </c>
      <c r="H238" s="20">
        <f>IF(OR(E238="",F238="",E238=0),"",(F238-E238)/E238)</f>
        <v/>
      </c>
      <c r="I238" s="21" t="n"/>
      <c r="J238" s="22">
        <f>IF(OR(E238="",I238=""),"",E238*I238)</f>
        <v/>
      </c>
      <c r="K238" s="22">
        <f>IF(OR(F238="",I238=""),"",F238*I238)</f>
        <v/>
      </c>
      <c r="L238" s="23">
        <f>IF(B238="","",IF(E238="","Cetvelde yok",IF(F238="","Projede bulunamadı",IF(H238&gt;MetrajTol,"Cetvelde eksik",IF(H238&lt;-MetrajTol,"Cetvelde fazla","Uygun")))))</f>
        <v/>
      </c>
      <c r="M238" s="21" t="n"/>
      <c r="N238" s="5" t="n"/>
    </row>
    <row r="239">
      <c r="A239" s="5" t="n"/>
      <c r="B239" s="5" t="n"/>
      <c r="C239" s="5" t="n"/>
      <c r="D239" s="5" t="n"/>
      <c r="E239" s="18" t="n"/>
      <c r="F239" s="18" t="n"/>
      <c r="G239" s="19">
        <f>IF(OR(E239="",F239=""),"",F239-E239)</f>
        <v/>
      </c>
      <c r="H239" s="20">
        <f>IF(OR(E239="",F239="",E239=0),"",(F239-E239)/E239)</f>
        <v/>
      </c>
      <c r="I239" s="21" t="n"/>
      <c r="J239" s="22">
        <f>IF(OR(E239="",I239=""),"",E239*I239)</f>
        <v/>
      </c>
      <c r="K239" s="22">
        <f>IF(OR(F239="",I239=""),"",F239*I239)</f>
        <v/>
      </c>
      <c r="L239" s="23">
        <f>IF(B239="","",IF(E239="","Cetvelde yok",IF(F239="","Projede bulunamadı",IF(H239&gt;MetrajTol,"Cetvelde eksik",IF(H239&lt;-MetrajTol,"Cetvelde fazla","Uygun")))))</f>
        <v/>
      </c>
      <c r="M239" s="21" t="n"/>
      <c r="N239" s="5" t="n"/>
    </row>
    <row r="240">
      <c r="A240" s="5" t="n"/>
      <c r="B240" s="5" t="n"/>
      <c r="C240" s="5" t="n"/>
      <c r="D240" s="5" t="n"/>
      <c r="E240" s="18" t="n"/>
      <c r="F240" s="18" t="n"/>
      <c r="G240" s="19">
        <f>IF(OR(E240="",F240=""),"",F240-E240)</f>
        <v/>
      </c>
      <c r="H240" s="20">
        <f>IF(OR(E240="",F240="",E240=0),"",(F240-E240)/E240)</f>
        <v/>
      </c>
      <c r="I240" s="21" t="n"/>
      <c r="J240" s="22">
        <f>IF(OR(E240="",I240=""),"",E240*I240)</f>
        <v/>
      </c>
      <c r="K240" s="22">
        <f>IF(OR(F240="",I240=""),"",F240*I240)</f>
        <v/>
      </c>
      <c r="L240" s="23">
        <f>IF(B240="","",IF(E240="","Cetvelde yok",IF(F240="","Projede bulunamadı",IF(H240&gt;MetrajTol,"Cetvelde eksik",IF(H240&lt;-MetrajTol,"Cetvelde fazla","Uygun")))))</f>
        <v/>
      </c>
      <c r="M240" s="21" t="n"/>
      <c r="N240" s="5" t="n"/>
    </row>
    <row r="241">
      <c r="A241" s="5" t="n"/>
      <c r="B241" s="5" t="n"/>
      <c r="C241" s="5" t="n"/>
      <c r="D241" s="5" t="n"/>
      <c r="E241" s="18" t="n"/>
      <c r="F241" s="18" t="n"/>
      <c r="G241" s="19">
        <f>IF(OR(E241="",F241=""),"",F241-E241)</f>
        <v/>
      </c>
      <c r="H241" s="20">
        <f>IF(OR(E241="",F241="",E241=0),"",(F241-E241)/E241)</f>
        <v/>
      </c>
      <c r="I241" s="21" t="n"/>
      <c r="J241" s="22">
        <f>IF(OR(E241="",I241=""),"",E241*I241)</f>
        <v/>
      </c>
      <c r="K241" s="22">
        <f>IF(OR(F241="",I241=""),"",F241*I241)</f>
        <v/>
      </c>
      <c r="L241" s="23">
        <f>IF(B241="","",IF(E241="","Cetvelde yok",IF(F241="","Projede bulunamadı",IF(H241&gt;MetrajTol,"Cetvelde eksik",IF(H241&lt;-MetrajTol,"Cetvelde fazla","Uygun")))))</f>
        <v/>
      </c>
      <c r="M241" s="21" t="n"/>
      <c r="N241" s="5" t="n"/>
    </row>
    <row r="242">
      <c r="A242" s="5" t="n"/>
      <c r="B242" s="5" t="n"/>
      <c r="C242" s="5" t="n"/>
      <c r="D242" s="5" t="n"/>
      <c r="E242" s="18" t="n"/>
      <c r="F242" s="18" t="n"/>
      <c r="G242" s="19">
        <f>IF(OR(E242="",F242=""),"",F242-E242)</f>
        <v/>
      </c>
      <c r="H242" s="20">
        <f>IF(OR(E242="",F242="",E242=0),"",(F242-E242)/E242)</f>
        <v/>
      </c>
      <c r="I242" s="21" t="n"/>
      <c r="J242" s="22">
        <f>IF(OR(E242="",I242=""),"",E242*I242)</f>
        <v/>
      </c>
      <c r="K242" s="22">
        <f>IF(OR(F242="",I242=""),"",F242*I242)</f>
        <v/>
      </c>
      <c r="L242" s="23">
        <f>IF(B242="","",IF(E242="","Cetvelde yok",IF(F242="","Projede bulunamadı",IF(H242&gt;MetrajTol,"Cetvelde eksik",IF(H242&lt;-MetrajTol,"Cetvelde fazla","Uygun")))))</f>
        <v/>
      </c>
      <c r="M242" s="21" t="n"/>
      <c r="N242" s="5" t="n"/>
    </row>
    <row r="243">
      <c r="A243" s="5" t="n"/>
      <c r="B243" s="5" t="n"/>
      <c r="C243" s="5" t="n"/>
      <c r="D243" s="5" t="n"/>
      <c r="E243" s="18" t="n"/>
      <c r="F243" s="18" t="n"/>
      <c r="G243" s="19">
        <f>IF(OR(E243="",F243=""),"",F243-E243)</f>
        <v/>
      </c>
      <c r="H243" s="20">
        <f>IF(OR(E243="",F243="",E243=0),"",(F243-E243)/E243)</f>
        <v/>
      </c>
      <c r="I243" s="21" t="n"/>
      <c r="J243" s="22">
        <f>IF(OR(E243="",I243=""),"",E243*I243)</f>
        <v/>
      </c>
      <c r="K243" s="22">
        <f>IF(OR(F243="",I243=""),"",F243*I243)</f>
        <v/>
      </c>
      <c r="L243" s="23">
        <f>IF(B243="","",IF(E243="","Cetvelde yok",IF(F243="","Projede bulunamadı",IF(H243&gt;MetrajTol,"Cetvelde eksik",IF(H243&lt;-MetrajTol,"Cetvelde fazla","Uygun")))))</f>
        <v/>
      </c>
      <c r="M243" s="21" t="n"/>
      <c r="N243" s="5" t="n"/>
    </row>
    <row r="244">
      <c r="A244" s="5" t="n"/>
      <c r="B244" s="5" t="n"/>
      <c r="C244" s="5" t="n"/>
      <c r="D244" s="5" t="n"/>
      <c r="E244" s="18" t="n"/>
      <c r="F244" s="18" t="n"/>
      <c r="G244" s="19">
        <f>IF(OR(E244="",F244=""),"",F244-E244)</f>
        <v/>
      </c>
      <c r="H244" s="20">
        <f>IF(OR(E244="",F244="",E244=0),"",(F244-E244)/E244)</f>
        <v/>
      </c>
      <c r="I244" s="21" t="n"/>
      <c r="J244" s="22">
        <f>IF(OR(E244="",I244=""),"",E244*I244)</f>
        <v/>
      </c>
      <c r="K244" s="22">
        <f>IF(OR(F244="",I244=""),"",F244*I244)</f>
        <v/>
      </c>
      <c r="L244" s="23">
        <f>IF(B244="","",IF(E244="","Cetvelde yok",IF(F244="","Projede bulunamadı",IF(H244&gt;MetrajTol,"Cetvelde eksik",IF(H244&lt;-MetrajTol,"Cetvelde fazla","Uygun")))))</f>
        <v/>
      </c>
      <c r="M244" s="21" t="n"/>
      <c r="N244" s="5" t="n"/>
    </row>
    <row r="245">
      <c r="A245" s="5" t="n"/>
      <c r="B245" s="5" t="n"/>
      <c r="C245" s="5" t="n"/>
      <c r="D245" s="5" t="n"/>
      <c r="E245" s="18" t="n"/>
      <c r="F245" s="18" t="n"/>
      <c r="G245" s="19">
        <f>IF(OR(E245="",F245=""),"",F245-E245)</f>
        <v/>
      </c>
      <c r="H245" s="20">
        <f>IF(OR(E245="",F245="",E245=0),"",(F245-E245)/E245)</f>
        <v/>
      </c>
      <c r="I245" s="21" t="n"/>
      <c r="J245" s="22">
        <f>IF(OR(E245="",I245=""),"",E245*I245)</f>
        <v/>
      </c>
      <c r="K245" s="22">
        <f>IF(OR(F245="",I245=""),"",F245*I245)</f>
        <v/>
      </c>
      <c r="L245" s="23">
        <f>IF(B245="","",IF(E245="","Cetvelde yok",IF(F245="","Projede bulunamadı",IF(H245&gt;MetrajTol,"Cetvelde eksik",IF(H245&lt;-MetrajTol,"Cetvelde fazla","Uygun")))))</f>
        <v/>
      </c>
      <c r="M245" s="21" t="n"/>
      <c r="N245" s="5" t="n"/>
    </row>
    <row r="246">
      <c r="A246" s="5" t="n"/>
      <c r="B246" s="5" t="n"/>
      <c r="C246" s="5" t="n"/>
      <c r="D246" s="5" t="n"/>
      <c r="E246" s="18" t="n"/>
      <c r="F246" s="18" t="n"/>
      <c r="G246" s="19">
        <f>IF(OR(E246="",F246=""),"",F246-E246)</f>
        <v/>
      </c>
      <c r="H246" s="20">
        <f>IF(OR(E246="",F246="",E246=0),"",(F246-E246)/E246)</f>
        <v/>
      </c>
      <c r="I246" s="21" t="n"/>
      <c r="J246" s="22">
        <f>IF(OR(E246="",I246=""),"",E246*I246)</f>
        <v/>
      </c>
      <c r="K246" s="22">
        <f>IF(OR(F246="",I246=""),"",F246*I246)</f>
        <v/>
      </c>
      <c r="L246" s="23">
        <f>IF(B246="","",IF(E246="","Cetvelde yok",IF(F246="","Projede bulunamadı",IF(H246&gt;MetrajTol,"Cetvelde eksik",IF(H246&lt;-MetrajTol,"Cetvelde fazla","Uygun")))))</f>
        <v/>
      </c>
      <c r="M246" s="21" t="n"/>
      <c r="N246" s="5" t="n"/>
    </row>
    <row r="247">
      <c r="A247" s="5" t="n"/>
      <c r="B247" s="5" t="n"/>
      <c r="C247" s="5" t="n"/>
      <c r="D247" s="5" t="n"/>
      <c r="E247" s="18" t="n"/>
      <c r="F247" s="18" t="n"/>
      <c r="G247" s="19">
        <f>IF(OR(E247="",F247=""),"",F247-E247)</f>
        <v/>
      </c>
      <c r="H247" s="20">
        <f>IF(OR(E247="",F247="",E247=0),"",(F247-E247)/E247)</f>
        <v/>
      </c>
      <c r="I247" s="21" t="n"/>
      <c r="J247" s="22">
        <f>IF(OR(E247="",I247=""),"",E247*I247)</f>
        <v/>
      </c>
      <c r="K247" s="22">
        <f>IF(OR(F247="",I247=""),"",F247*I247)</f>
        <v/>
      </c>
      <c r="L247" s="23">
        <f>IF(B247="","",IF(E247="","Cetvelde yok",IF(F247="","Projede bulunamadı",IF(H247&gt;MetrajTol,"Cetvelde eksik",IF(H247&lt;-MetrajTol,"Cetvelde fazla","Uygun")))))</f>
        <v/>
      </c>
      <c r="M247" s="21" t="n"/>
      <c r="N247" s="5" t="n"/>
    </row>
    <row r="248">
      <c r="A248" s="5" t="n"/>
      <c r="B248" s="5" t="n"/>
      <c r="C248" s="5" t="n"/>
      <c r="D248" s="5" t="n"/>
      <c r="E248" s="18" t="n"/>
      <c r="F248" s="18" t="n"/>
      <c r="G248" s="19">
        <f>IF(OR(E248="",F248=""),"",F248-E248)</f>
        <v/>
      </c>
      <c r="H248" s="20">
        <f>IF(OR(E248="",F248="",E248=0),"",(F248-E248)/E248)</f>
        <v/>
      </c>
      <c r="I248" s="21" t="n"/>
      <c r="J248" s="22">
        <f>IF(OR(E248="",I248=""),"",E248*I248)</f>
        <v/>
      </c>
      <c r="K248" s="22">
        <f>IF(OR(F248="",I248=""),"",F248*I248)</f>
        <v/>
      </c>
      <c r="L248" s="23">
        <f>IF(B248="","",IF(E248="","Cetvelde yok",IF(F248="","Projede bulunamadı",IF(H248&gt;MetrajTol,"Cetvelde eksik",IF(H248&lt;-MetrajTol,"Cetvelde fazla","Uygun")))))</f>
        <v/>
      </c>
      <c r="M248" s="21" t="n"/>
      <c r="N248" s="5" t="n"/>
    </row>
    <row r="249">
      <c r="A249" s="5" t="n"/>
      <c r="B249" s="5" t="n"/>
      <c r="C249" s="5" t="n"/>
      <c r="D249" s="5" t="n"/>
      <c r="E249" s="18" t="n"/>
      <c r="F249" s="18" t="n"/>
      <c r="G249" s="19">
        <f>IF(OR(E249="",F249=""),"",F249-E249)</f>
        <v/>
      </c>
      <c r="H249" s="20">
        <f>IF(OR(E249="",F249="",E249=0),"",(F249-E249)/E249)</f>
        <v/>
      </c>
      <c r="I249" s="21" t="n"/>
      <c r="J249" s="22">
        <f>IF(OR(E249="",I249=""),"",E249*I249)</f>
        <v/>
      </c>
      <c r="K249" s="22">
        <f>IF(OR(F249="",I249=""),"",F249*I249)</f>
        <v/>
      </c>
      <c r="L249" s="23">
        <f>IF(B249="","",IF(E249="","Cetvelde yok",IF(F249="","Projede bulunamadı",IF(H249&gt;MetrajTol,"Cetvelde eksik",IF(H249&lt;-MetrajTol,"Cetvelde fazla","Uygun")))))</f>
        <v/>
      </c>
      <c r="M249" s="21" t="n"/>
      <c r="N249" s="5" t="n"/>
    </row>
    <row r="250">
      <c r="A250" s="5" t="n"/>
      <c r="B250" s="5" t="n"/>
      <c r="C250" s="5" t="n"/>
      <c r="D250" s="5" t="n"/>
      <c r="E250" s="18" t="n"/>
      <c r="F250" s="18" t="n"/>
      <c r="G250" s="19">
        <f>IF(OR(E250="",F250=""),"",F250-E250)</f>
        <v/>
      </c>
      <c r="H250" s="20">
        <f>IF(OR(E250="",F250="",E250=0),"",(F250-E250)/E250)</f>
        <v/>
      </c>
      <c r="I250" s="21" t="n"/>
      <c r="J250" s="22">
        <f>IF(OR(E250="",I250=""),"",E250*I250)</f>
        <v/>
      </c>
      <c r="K250" s="22">
        <f>IF(OR(F250="",I250=""),"",F250*I250)</f>
        <v/>
      </c>
      <c r="L250" s="23">
        <f>IF(B250="","",IF(E250="","Cetvelde yok",IF(F250="","Projede bulunamadı",IF(H250&gt;MetrajTol,"Cetvelde eksik",IF(H250&lt;-MetrajTol,"Cetvelde fazla","Uygun")))))</f>
        <v/>
      </c>
      <c r="M250" s="21" t="n"/>
      <c r="N250" s="5" t="n"/>
    </row>
    <row r="251">
      <c r="A251" s="5" t="n"/>
      <c r="B251" s="5" t="n"/>
      <c r="C251" s="5" t="n"/>
      <c r="D251" s="5" t="n"/>
      <c r="E251" s="18" t="n"/>
      <c r="F251" s="18" t="n"/>
      <c r="G251" s="19">
        <f>IF(OR(E251="",F251=""),"",F251-E251)</f>
        <v/>
      </c>
      <c r="H251" s="20">
        <f>IF(OR(E251="",F251="",E251=0),"",(F251-E251)/E251)</f>
        <v/>
      </c>
      <c r="I251" s="21" t="n"/>
      <c r="J251" s="22">
        <f>IF(OR(E251="",I251=""),"",E251*I251)</f>
        <v/>
      </c>
      <c r="K251" s="22">
        <f>IF(OR(F251="",I251=""),"",F251*I251)</f>
        <v/>
      </c>
      <c r="L251" s="23">
        <f>IF(B251="","",IF(E251="","Cetvelde yok",IF(F251="","Projede bulunamadı",IF(H251&gt;MetrajTol,"Cetvelde eksik",IF(H251&lt;-MetrajTol,"Cetvelde fazla","Uygun")))))</f>
        <v/>
      </c>
      <c r="M251" s="21" t="n"/>
      <c r="N251" s="5" t="n"/>
    </row>
    <row r="252">
      <c r="A252" s="5" t="n"/>
      <c r="B252" s="5" t="n"/>
      <c r="C252" s="5" t="n"/>
      <c r="D252" s="5" t="n"/>
      <c r="E252" s="18" t="n"/>
      <c r="F252" s="18" t="n"/>
      <c r="G252" s="19">
        <f>IF(OR(E252="",F252=""),"",F252-E252)</f>
        <v/>
      </c>
      <c r="H252" s="20">
        <f>IF(OR(E252="",F252="",E252=0),"",(F252-E252)/E252)</f>
        <v/>
      </c>
      <c r="I252" s="21" t="n"/>
      <c r="J252" s="22">
        <f>IF(OR(E252="",I252=""),"",E252*I252)</f>
        <v/>
      </c>
      <c r="K252" s="22">
        <f>IF(OR(F252="",I252=""),"",F252*I252)</f>
        <v/>
      </c>
      <c r="L252" s="23">
        <f>IF(B252="","",IF(E252="","Cetvelde yok",IF(F252="","Projede bulunamadı",IF(H252&gt;MetrajTol,"Cetvelde eksik",IF(H252&lt;-MetrajTol,"Cetvelde fazla","Uygun")))))</f>
        <v/>
      </c>
      <c r="M252" s="21" t="n"/>
      <c r="N252" s="5" t="n"/>
    </row>
    <row r="253">
      <c r="A253" s="5" t="n"/>
      <c r="B253" s="5" t="n"/>
      <c r="C253" s="5" t="n"/>
      <c r="D253" s="5" t="n"/>
      <c r="E253" s="18" t="n"/>
      <c r="F253" s="18" t="n"/>
      <c r="G253" s="19">
        <f>IF(OR(E253="",F253=""),"",F253-E253)</f>
        <v/>
      </c>
      <c r="H253" s="20">
        <f>IF(OR(E253="",F253="",E253=0),"",(F253-E253)/E253)</f>
        <v/>
      </c>
      <c r="I253" s="21" t="n"/>
      <c r="J253" s="22">
        <f>IF(OR(E253="",I253=""),"",E253*I253)</f>
        <v/>
      </c>
      <c r="K253" s="22">
        <f>IF(OR(F253="",I253=""),"",F253*I253)</f>
        <v/>
      </c>
      <c r="L253" s="23">
        <f>IF(B253="","",IF(E253="","Cetvelde yok",IF(F253="","Projede bulunamadı",IF(H253&gt;MetrajTol,"Cetvelde eksik",IF(H253&lt;-MetrajTol,"Cetvelde fazla","Uygun")))))</f>
        <v/>
      </c>
      <c r="M253" s="21" t="n"/>
      <c r="N253" s="5" t="n"/>
    </row>
    <row r="254">
      <c r="A254" s="5" t="n"/>
      <c r="B254" s="5" t="n"/>
      <c r="C254" s="5" t="n"/>
      <c r="D254" s="5" t="n"/>
      <c r="E254" s="18" t="n"/>
      <c r="F254" s="18" t="n"/>
      <c r="G254" s="19">
        <f>IF(OR(E254="",F254=""),"",F254-E254)</f>
        <v/>
      </c>
      <c r="H254" s="20">
        <f>IF(OR(E254="",F254="",E254=0),"",(F254-E254)/E254)</f>
        <v/>
      </c>
      <c r="I254" s="21" t="n"/>
      <c r="J254" s="22">
        <f>IF(OR(E254="",I254=""),"",E254*I254)</f>
        <v/>
      </c>
      <c r="K254" s="22">
        <f>IF(OR(F254="",I254=""),"",F254*I254)</f>
        <v/>
      </c>
      <c r="L254" s="23">
        <f>IF(B254="","",IF(E254="","Cetvelde yok",IF(F254="","Projede bulunamadı",IF(H254&gt;MetrajTol,"Cetvelde eksik",IF(H254&lt;-MetrajTol,"Cetvelde fazla","Uygun")))))</f>
        <v/>
      </c>
      <c r="M254" s="21" t="n"/>
      <c r="N254" s="5" t="n"/>
    </row>
    <row r="255">
      <c r="A255" s="5" t="n"/>
      <c r="B255" s="5" t="n"/>
      <c r="C255" s="5" t="n"/>
      <c r="D255" s="5" t="n"/>
      <c r="E255" s="18" t="n"/>
      <c r="F255" s="18" t="n"/>
      <c r="G255" s="19">
        <f>IF(OR(E255="",F255=""),"",F255-E255)</f>
        <v/>
      </c>
      <c r="H255" s="20">
        <f>IF(OR(E255="",F255="",E255=0),"",(F255-E255)/E255)</f>
        <v/>
      </c>
      <c r="I255" s="21" t="n"/>
      <c r="J255" s="22">
        <f>IF(OR(E255="",I255=""),"",E255*I255)</f>
        <v/>
      </c>
      <c r="K255" s="22">
        <f>IF(OR(F255="",I255=""),"",F255*I255)</f>
        <v/>
      </c>
      <c r="L255" s="23">
        <f>IF(B255="","",IF(E255="","Cetvelde yok",IF(F255="","Projede bulunamadı",IF(H255&gt;MetrajTol,"Cetvelde eksik",IF(H255&lt;-MetrajTol,"Cetvelde fazla","Uygun")))))</f>
        <v/>
      </c>
      <c r="M255" s="21" t="n"/>
      <c r="N255" s="5" t="n"/>
    </row>
    <row r="256">
      <c r="A256" s="5" t="n"/>
      <c r="B256" s="5" t="n"/>
      <c r="C256" s="5" t="n"/>
      <c r="D256" s="5" t="n"/>
      <c r="E256" s="18" t="n"/>
      <c r="F256" s="18" t="n"/>
      <c r="G256" s="19">
        <f>IF(OR(E256="",F256=""),"",F256-E256)</f>
        <v/>
      </c>
      <c r="H256" s="20">
        <f>IF(OR(E256="",F256="",E256=0),"",(F256-E256)/E256)</f>
        <v/>
      </c>
      <c r="I256" s="21" t="n"/>
      <c r="J256" s="22">
        <f>IF(OR(E256="",I256=""),"",E256*I256)</f>
        <v/>
      </c>
      <c r="K256" s="22">
        <f>IF(OR(F256="",I256=""),"",F256*I256)</f>
        <v/>
      </c>
      <c r="L256" s="23">
        <f>IF(B256="","",IF(E256="","Cetvelde yok",IF(F256="","Projede bulunamadı",IF(H256&gt;MetrajTol,"Cetvelde eksik",IF(H256&lt;-MetrajTol,"Cetvelde fazla","Uygun")))))</f>
        <v/>
      </c>
      <c r="M256" s="21" t="n"/>
      <c r="N256" s="5" t="n"/>
    </row>
    <row r="257">
      <c r="A257" s="5" t="n"/>
      <c r="B257" s="5" t="n"/>
      <c r="C257" s="5" t="n"/>
      <c r="D257" s="5" t="n"/>
      <c r="E257" s="18" t="n"/>
      <c r="F257" s="18" t="n"/>
      <c r="G257" s="19">
        <f>IF(OR(E257="",F257=""),"",F257-E257)</f>
        <v/>
      </c>
      <c r="H257" s="20">
        <f>IF(OR(E257="",F257="",E257=0),"",(F257-E257)/E257)</f>
        <v/>
      </c>
      <c r="I257" s="21" t="n"/>
      <c r="J257" s="22">
        <f>IF(OR(E257="",I257=""),"",E257*I257)</f>
        <v/>
      </c>
      <c r="K257" s="22">
        <f>IF(OR(F257="",I257=""),"",F257*I257)</f>
        <v/>
      </c>
      <c r="L257" s="23">
        <f>IF(B257="","",IF(E257="","Cetvelde yok",IF(F257="","Projede bulunamadı",IF(H257&gt;MetrajTol,"Cetvelde eksik",IF(H257&lt;-MetrajTol,"Cetvelde fazla","Uygun")))))</f>
        <v/>
      </c>
      <c r="M257" s="21" t="n"/>
      <c r="N257" s="5" t="n"/>
    </row>
    <row r="258">
      <c r="A258" s="5" t="n"/>
      <c r="B258" s="5" t="n"/>
      <c r="C258" s="5" t="n"/>
      <c r="D258" s="5" t="n"/>
      <c r="E258" s="18" t="n"/>
      <c r="F258" s="18" t="n"/>
      <c r="G258" s="19">
        <f>IF(OR(E258="",F258=""),"",F258-E258)</f>
        <v/>
      </c>
      <c r="H258" s="20">
        <f>IF(OR(E258="",F258="",E258=0),"",(F258-E258)/E258)</f>
        <v/>
      </c>
      <c r="I258" s="21" t="n"/>
      <c r="J258" s="22">
        <f>IF(OR(E258="",I258=""),"",E258*I258)</f>
        <v/>
      </c>
      <c r="K258" s="22">
        <f>IF(OR(F258="",I258=""),"",F258*I258)</f>
        <v/>
      </c>
      <c r="L258" s="23">
        <f>IF(B258="","",IF(E258="","Cetvelde yok",IF(F258="","Projede bulunamadı",IF(H258&gt;MetrajTol,"Cetvelde eksik",IF(H258&lt;-MetrajTol,"Cetvelde fazla","Uygun")))))</f>
        <v/>
      </c>
      <c r="M258" s="21" t="n"/>
      <c r="N258" s="5" t="n"/>
    </row>
    <row r="259">
      <c r="A259" s="5" t="n"/>
      <c r="B259" s="5" t="n"/>
      <c r="C259" s="5" t="n"/>
      <c r="D259" s="5" t="n"/>
      <c r="E259" s="18" t="n"/>
      <c r="F259" s="18" t="n"/>
      <c r="G259" s="19">
        <f>IF(OR(E259="",F259=""),"",F259-E259)</f>
        <v/>
      </c>
      <c r="H259" s="20">
        <f>IF(OR(E259="",F259="",E259=0),"",(F259-E259)/E259)</f>
        <v/>
      </c>
      <c r="I259" s="21" t="n"/>
      <c r="J259" s="22">
        <f>IF(OR(E259="",I259=""),"",E259*I259)</f>
        <v/>
      </c>
      <c r="K259" s="22">
        <f>IF(OR(F259="",I259=""),"",F259*I259)</f>
        <v/>
      </c>
      <c r="L259" s="23">
        <f>IF(B259="","",IF(E259="","Cetvelde yok",IF(F259="","Projede bulunamadı",IF(H259&gt;MetrajTol,"Cetvelde eksik",IF(H259&lt;-MetrajTol,"Cetvelde fazla","Uygun")))))</f>
        <v/>
      </c>
      <c r="M259" s="21" t="n"/>
      <c r="N259" s="5" t="n"/>
    </row>
    <row r="260">
      <c r="A260" s="5" t="n"/>
      <c r="B260" s="5" t="n"/>
      <c r="C260" s="5" t="n"/>
      <c r="D260" s="5" t="n"/>
      <c r="E260" s="18" t="n"/>
      <c r="F260" s="18" t="n"/>
      <c r="G260" s="19">
        <f>IF(OR(E260="",F260=""),"",F260-E260)</f>
        <v/>
      </c>
      <c r="H260" s="20">
        <f>IF(OR(E260="",F260="",E260=0),"",(F260-E260)/E260)</f>
        <v/>
      </c>
      <c r="I260" s="21" t="n"/>
      <c r="J260" s="22">
        <f>IF(OR(E260="",I260=""),"",E260*I260)</f>
        <v/>
      </c>
      <c r="K260" s="22">
        <f>IF(OR(F260="",I260=""),"",F260*I260)</f>
        <v/>
      </c>
      <c r="L260" s="23">
        <f>IF(B260="","",IF(E260="","Cetvelde yok",IF(F260="","Projede bulunamadı",IF(H260&gt;MetrajTol,"Cetvelde eksik",IF(H260&lt;-MetrajTol,"Cetvelde fazla","Uygun")))))</f>
        <v/>
      </c>
      <c r="M260" s="21" t="n"/>
      <c r="N260" s="5" t="n"/>
    </row>
    <row r="261">
      <c r="A261" s="5" t="n"/>
      <c r="B261" s="5" t="n"/>
      <c r="C261" s="5" t="n"/>
      <c r="D261" s="5" t="n"/>
      <c r="E261" s="18" t="n"/>
      <c r="F261" s="18" t="n"/>
      <c r="G261" s="19">
        <f>IF(OR(E261="",F261=""),"",F261-E261)</f>
        <v/>
      </c>
      <c r="H261" s="20">
        <f>IF(OR(E261="",F261="",E261=0),"",(F261-E261)/E261)</f>
        <v/>
      </c>
      <c r="I261" s="21" t="n"/>
      <c r="J261" s="22">
        <f>IF(OR(E261="",I261=""),"",E261*I261)</f>
        <v/>
      </c>
      <c r="K261" s="22">
        <f>IF(OR(F261="",I261=""),"",F261*I261)</f>
        <v/>
      </c>
      <c r="L261" s="23">
        <f>IF(B261="","",IF(E261="","Cetvelde yok",IF(F261="","Projede bulunamadı",IF(H261&gt;MetrajTol,"Cetvelde eksik",IF(H261&lt;-MetrajTol,"Cetvelde fazla","Uygun")))))</f>
        <v/>
      </c>
      <c r="M261" s="21" t="n"/>
      <c r="N261" s="5" t="n"/>
    </row>
    <row r="262">
      <c r="A262" s="5" t="n"/>
      <c r="B262" s="5" t="n"/>
      <c r="C262" s="5" t="n"/>
      <c r="D262" s="5" t="n"/>
      <c r="E262" s="18" t="n"/>
      <c r="F262" s="18" t="n"/>
      <c r="G262" s="19">
        <f>IF(OR(E262="",F262=""),"",F262-E262)</f>
        <v/>
      </c>
      <c r="H262" s="20">
        <f>IF(OR(E262="",F262="",E262=0),"",(F262-E262)/E262)</f>
        <v/>
      </c>
      <c r="I262" s="21" t="n"/>
      <c r="J262" s="22">
        <f>IF(OR(E262="",I262=""),"",E262*I262)</f>
        <v/>
      </c>
      <c r="K262" s="22">
        <f>IF(OR(F262="",I262=""),"",F262*I262)</f>
        <v/>
      </c>
      <c r="L262" s="23">
        <f>IF(B262="","",IF(E262="","Cetvelde yok",IF(F262="","Projede bulunamadı",IF(H262&gt;MetrajTol,"Cetvelde eksik",IF(H262&lt;-MetrajTol,"Cetvelde fazla","Uygun")))))</f>
        <v/>
      </c>
      <c r="M262" s="21" t="n"/>
      <c r="N262" s="5" t="n"/>
    </row>
    <row r="263">
      <c r="A263" s="5" t="n"/>
      <c r="B263" s="5" t="n"/>
      <c r="C263" s="5" t="n"/>
      <c r="D263" s="5" t="n"/>
      <c r="E263" s="18" t="n"/>
      <c r="F263" s="18" t="n"/>
      <c r="G263" s="19">
        <f>IF(OR(E263="",F263=""),"",F263-E263)</f>
        <v/>
      </c>
      <c r="H263" s="20">
        <f>IF(OR(E263="",F263="",E263=0),"",(F263-E263)/E263)</f>
        <v/>
      </c>
      <c r="I263" s="21" t="n"/>
      <c r="J263" s="22">
        <f>IF(OR(E263="",I263=""),"",E263*I263)</f>
        <v/>
      </c>
      <c r="K263" s="22">
        <f>IF(OR(F263="",I263=""),"",F263*I263)</f>
        <v/>
      </c>
      <c r="L263" s="23">
        <f>IF(B263="","",IF(E263="","Cetvelde yok",IF(F263="","Projede bulunamadı",IF(H263&gt;MetrajTol,"Cetvelde eksik",IF(H263&lt;-MetrajTol,"Cetvelde fazla","Uygun")))))</f>
        <v/>
      </c>
      <c r="M263" s="21" t="n"/>
      <c r="N263" s="5" t="n"/>
    </row>
    <row r="264">
      <c r="A264" s="5" t="n"/>
      <c r="B264" s="5" t="n"/>
      <c r="C264" s="5" t="n"/>
      <c r="D264" s="5" t="n"/>
      <c r="E264" s="18" t="n"/>
      <c r="F264" s="18" t="n"/>
      <c r="G264" s="19">
        <f>IF(OR(E264="",F264=""),"",F264-E264)</f>
        <v/>
      </c>
      <c r="H264" s="20">
        <f>IF(OR(E264="",F264="",E264=0),"",(F264-E264)/E264)</f>
        <v/>
      </c>
      <c r="I264" s="21" t="n"/>
      <c r="J264" s="22">
        <f>IF(OR(E264="",I264=""),"",E264*I264)</f>
        <v/>
      </c>
      <c r="K264" s="22">
        <f>IF(OR(F264="",I264=""),"",F264*I264)</f>
        <v/>
      </c>
      <c r="L264" s="23">
        <f>IF(B264="","",IF(E264="","Cetvelde yok",IF(F264="","Projede bulunamadı",IF(H264&gt;MetrajTol,"Cetvelde eksik",IF(H264&lt;-MetrajTol,"Cetvelde fazla","Uygun")))))</f>
        <v/>
      </c>
      <c r="M264" s="21" t="n"/>
      <c r="N264" s="5" t="n"/>
    </row>
    <row r="265">
      <c r="A265" s="5" t="n"/>
      <c r="B265" s="5" t="n"/>
      <c r="C265" s="5" t="n"/>
      <c r="D265" s="5" t="n"/>
      <c r="E265" s="18" t="n"/>
      <c r="F265" s="18" t="n"/>
      <c r="G265" s="19">
        <f>IF(OR(E265="",F265=""),"",F265-E265)</f>
        <v/>
      </c>
      <c r="H265" s="20">
        <f>IF(OR(E265="",F265="",E265=0),"",(F265-E265)/E265)</f>
        <v/>
      </c>
      <c r="I265" s="21" t="n"/>
      <c r="J265" s="22">
        <f>IF(OR(E265="",I265=""),"",E265*I265)</f>
        <v/>
      </c>
      <c r="K265" s="22">
        <f>IF(OR(F265="",I265=""),"",F265*I265)</f>
        <v/>
      </c>
      <c r="L265" s="23">
        <f>IF(B265="","",IF(E265="","Cetvelde yok",IF(F265="","Projede bulunamadı",IF(H265&gt;MetrajTol,"Cetvelde eksik",IF(H265&lt;-MetrajTol,"Cetvelde fazla","Uygun")))))</f>
        <v/>
      </c>
      <c r="M265" s="21" t="n"/>
      <c r="N265" s="5" t="n"/>
    </row>
    <row r="266">
      <c r="A266" s="5" t="n"/>
      <c r="B266" s="5" t="n"/>
      <c r="C266" s="5" t="n"/>
      <c r="D266" s="5" t="n"/>
      <c r="E266" s="18" t="n"/>
      <c r="F266" s="18" t="n"/>
      <c r="G266" s="19">
        <f>IF(OR(E266="",F266=""),"",F266-E266)</f>
        <v/>
      </c>
      <c r="H266" s="20">
        <f>IF(OR(E266="",F266="",E266=0),"",(F266-E266)/E266)</f>
        <v/>
      </c>
      <c r="I266" s="21" t="n"/>
      <c r="J266" s="22">
        <f>IF(OR(E266="",I266=""),"",E266*I266)</f>
        <v/>
      </c>
      <c r="K266" s="22">
        <f>IF(OR(F266="",I266=""),"",F266*I266)</f>
        <v/>
      </c>
      <c r="L266" s="23">
        <f>IF(B266="","",IF(E266="","Cetvelde yok",IF(F266="","Projede bulunamadı",IF(H266&gt;MetrajTol,"Cetvelde eksik",IF(H266&lt;-MetrajTol,"Cetvelde fazla","Uygun")))))</f>
        <v/>
      </c>
      <c r="M266" s="21" t="n"/>
      <c r="N266" s="5" t="n"/>
    </row>
    <row r="267">
      <c r="A267" s="5" t="n"/>
      <c r="B267" s="5" t="n"/>
      <c r="C267" s="5" t="n"/>
      <c r="D267" s="5" t="n"/>
      <c r="E267" s="18" t="n"/>
      <c r="F267" s="18" t="n"/>
      <c r="G267" s="19">
        <f>IF(OR(E267="",F267=""),"",F267-E267)</f>
        <v/>
      </c>
      <c r="H267" s="20">
        <f>IF(OR(E267="",F267="",E267=0),"",(F267-E267)/E267)</f>
        <v/>
      </c>
      <c r="I267" s="21" t="n"/>
      <c r="J267" s="22">
        <f>IF(OR(E267="",I267=""),"",E267*I267)</f>
        <v/>
      </c>
      <c r="K267" s="22">
        <f>IF(OR(F267="",I267=""),"",F267*I267)</f>
        <v/>
      </c>
      <c r="L267" s="23">
        <f>IF(B267="","",IF(E267="","Cetvelde yok",IF(F267="","Projede bulunamadı",IF(H267&gt;MetrajTol,"Cetvelde eksik",IF(H267&lt;-MetrajTol,"Cetvelde fazla","Uygun")))))</f>
        <v/>
      </c>
      <c r="M267" s="21" t="n"/>
      <c r="N267" s="5" t="n"/>
    </row>
    <row r="268">
      <c r="A268" s="5" t="n"/>
      <c r="B268" s="5" t="n"/>
      <c r="C268" s="5" t="n"/>
      <c r="D268" s="5" t="n"/>
      <c r="E268" s="18" t="n"/>
      <c r="F268" s="18" t="n"/>
      <c r="G268" s="19">
        <f>IF(OR(E268="",F268=""),"",F268-E268)</f>
        <v/>
      </c>
      <c r="H268" s="20">
        <f>IF(OR(E268="",F268="",E268=0),"",(F268-E268)/E268)</f>
        <v/>
      </c>
      <c r="I268" s="21" t="n"/>
      <c r="J268" s="22">
        <f>IF(OR(E268="",I268=""),"",E268*I268)</f>
        <v/>
      </c>
      <c r="K268" s="22">
        <f>IF(OR(F268="",I268=""),"",F268*I268)</f>
        <v/>
      </c>
      <c r="L268" s="23">
        <f>IF(B268="","",IF(E268="","Cetvelde yok",IF(F268="","Projede bulunamadı",IF(H268&gt;MetrajTol,"Cetvelde eksik",IF(H268&lt;-MetrajTol,"Cetvelde fazla","Uygun")))))</f>
        <v/>
      </c>
      <c r="M268" s="21" t="n"/>
      <c r="N268" s="5" t="n"/>
    </row>
    <row r="269">
      <c r="A269" s="5" t="n"/>
      <c r="B269" s="5" t="n"/>
      <c r="C269" s="5" t="n"/>
      <c r="D269" s="5" t="n"/>
      <c r="E269" s="18" t="n"/>
      <c r="F269" s="18" t="n"/>
      <c r="G269" s="19">
        <f>IF(OR(E269="",F269=""),"",F269-E269)</f>
        <v/>
      </c>
      <c r="H269" s="20">
        <f>IF(OR(E269="",F269="",E269=0),"",(F269-E269)/E269)</f>
        <v/>
      </c>
      <c r="I269" s="21" t="n"/>
      <c r="J269" s="22">
        <f>IF(OR(E269="",I269=""),"",E269*I269)</f>
        <v/>
      </c>
      <c r="K269" s="22">
        <f>IF(OR(F269="",I269=""),"",F269*I269)</f>
        <v/>
      </c>
      <c r="L269" s="23">
        <f>IF(B269="","",IF(E269="","Cetvelde yok",IF(F269="","Projede bulunamadı",IF(H269&gt;MetrajTol,"Cetvelde eksik",IF(H269&lt;-MetrajTol,"Cetvelde fazla","Uygun")))))</f>
        <v/>
      </c>
      <c r="M269" s="21" t="n"/>
      <c r="N269" s="5" t="n"/>
    </row>
    <row r="270">
      <c r="A270" s="5" t="n"/>
      <c r="B270" s="5" t="n"/>
      <c r="C270" s="5" t="n"/>
      <c r="D270" s="5" t="n"/>
      <c r="E270" s="18" t="n"/>
      <c r="F270" s="18" t="n"/>
      <c r="G270" s="19">
        <f>IF(OR(E270="",F270=""),"",F270-E270)</f>
        <v/>
      </c>
      <c r="H270" s="20">
        <f>IF(OR(E270="",F270="",E270=0),"",(F270-E270)/E270)</f>
        <v/>
      </c>
      <c r="I270" s="21" t="n"/>
      <c r="J270" s="22">
        <f>IF(OR(E270="",I270=""),"",E270*I270)</f>
        <v/>
      </c>
      <c r="K270" s="22">
        <f>IF(OR(F270="",I270=""),"",F270*I270)</f>
        <v/>
      </c>
      <c r="L270" s="23">
        <f>IF(B270="","",IF(E270="","Cetvelde yok",IF(F270="","Projede bulunamadı",IF(H270&gt;MetrajTol,"Cetvelde eksik",IF(H270&lt;-MetrajTol,"Cetvelde fazla","Uygun")))))</f>
        <v/>
      </c>
      <c r="M270" s="21" t="n"/>
      <c r="N270" s="5" t="n"/>
    </row>
    <row r="271">
      <c r="A271" s="5" t="n"/>
      <c r="B271" s="5" t="n"/>
      <c r="C271" s="5" t="n"/>
      <c r="D271" s="5" t="n"/>
      <c r="E271" s="18" t="n"/>
      <c r="F271" s="18" t="n"/>
      <c r="G271" s="19">
        <f>IF(OR(E271="",F271=""),"",F271-E271)</f>
        <v/>
      </c>
      <c r="H271" s="20">
        <f>IF(OR(E271="",F271="",E271=0),"",(F271-E271)/E271)</f>
        <v/>
      </c>
      <c r="I271" s="21" t="n"/>
      <c r="J271" s="22">
        <f>IF(OR(E271="",I271=""),"",E271*I271)</f>
        <v/>
      </c>
      <c r="K271" s="22">
        <f>IF(OR(F271="",I271=""),"",F271*I271)</f>
        <v/>
      </c>
      <c r="L271" s="23">
        <f>IF(B271="","",IF(E271="","Cetvelde yok",IF(F271="","Projede bulunamadı",IF(H271&gt;MetrajTol,"Cetvelde eksik",IF(H271&lt;-MetrajTol,"Cetvelde fazla","Uygun")))))</f>
        <v/>
      </c>
      <c r="M271" s="21" t="n"/>
      <c r="N271" s="5" t="n"/>
    </row>
    <row r="272">
      <c r="A272" s="5" t="n"/>
      <c r="B272" s="5" t="n"/>
      <c r="C272" s="5" t="n"/>
      <c r="D272" s="5" t="n"/>
      <c r="E272" s="18" t="n"/>
      <c r="F272" s="18" t="n"/>
      <c r="G272" s="19">
        <f>IF(OR(E272="",F272=""),"",F272-E272)</f>
        <v/>
      </c>
      <c r="H272" s="20">
        <f>IF(OR(E272="",F272="",E272=0),"",(F272-E272)/E272)</f>
        <v/>
      </c>
      <c r="I272" s="21" t="n"/>
      <c r="J272" s="22">
        <f>IF(OR(E272="",I272=""),"",E272*I272)</f>
        <v/>
      </c>
      <c r="K272" s="22">
        <f>IF(OR(F272="",I272=""),"",F272*I272)</f>
        <v/>
      </c>
      <c r="L272" s="23">
        <f>IF(B272="","",IF(E272="","Cetvelde yok",IF(F272="","Projede bulunamadı",IF(H272&gt;MetrajTol,"Cetvelde eksik",IF(H272&lt;-MetrajTol,"Cetvelde fazla","Uygun")))))</f>
        <v/>
      </c>
      <c r="M272" s="21" t="n"/>
      <c r="N272" s="5" t="n"/>
    </row>
    <row r="273">
      <c r="A273" s="5" t="n"/>
      <c r="B273" s="5" t="n"/>
      <c r="C273" s="5" t="n"/>
      <c r="D273" s="5" t="n"/>
      <c r="E273" s="18" t="n"/>
      <c r="F273" s="18" t="n"/>
      <c r="G273" s="19">
        <f>IF(OR(E273="",F273=""),"",F273-E273)</f>
        <v/>
      </c>
      <c r="H273" s="20">
        <f>IF(OR(E273="",F273="",E273=0),"",(F273-E273)/E273)</f>
        <v/>
      </c>
      <c r="I273" s="21" t="n"/>
      <c r="J273" s="22">
        <f>IF(OR(E273="",I273=""),"",E273*I273)</f>
        <v/>
      </c>
      <c r="K273" s="22">
        <f>IF(OR(F273="",I273=""),"",F273*I273)</f>
        <v/>
      </c>
      <c r="L273" s="23">
        <f>IF(B273="","",IF(E273="","Cetvelde yok",IF(F273="","Projede bulunamadı",IF(H273&gt;MetrajTol,"Cetvelde eksik",IF(H273&lt;-MetrajTol,"Cetvelde fazla","Uygun")))))</f>
        <v/>
      </c>
      <c r="M273" s="21" t="n"/>
      <c r="N273" s="5" t="n"/>
    </row>
    <row r="274">
      <c r="A274" s="5" t="n"/>
      <c r="B274" s="5" t="n"/>
      <c r="C274" s="5" t="n"/>
      <c r="D274" s="5" t="n"/>
      <c r="E274" s="18" t="n"/>
      <c r="F274" s="18" t="n"/>
      <c r="G274" s="19">
        <f>IF(OR(E274="",F274=""),"",F274-E274)</f>
        <v/>
      </c>
      <c r="H274" s="20">
        <f>IF(OR(E274="",F274="",E274=0),"",(F274-E274)/E274)</f>
        <v/>
      </c>
      <c r="I274" s="21" t="n"/>
      <c r="J274" s="22">
        <f>IF(OR(E274="",I274=""),"",E274*I274)</f>
        <v/>
      </c>
      <c r="K274" s="22">
        <f>IF(OR(F274="",I274=""),"",F274*I274)</f>
        <v/>
      </c>
      <c r="L274" s="23">
        <f>IF(B274="","",IF(E274="","Cetvelde yok",IF(F274="","Projede bulunamadı",IF(H274&gt;MetrajTol,"Cetvelde eksik",IF(H274&lt;-MetrajTol,"Cetvelde fazla","Uygun")))))</f>
        <v/>
      </c>
      <c r="M274" s="21" t="n"/>
      <c r="N274" s="5" t="n"/>
    </row>
    <row r="275">
      <c r="A275" s="5" t="n"/>
      <c r="B275" s="5" t="n"/>
      <c r="C275" s="5" t="n"/>
      <c r="D275" s="5" t="n"/>
      <c r="E275" s="18" t="n"/>
      <c r="F275" s="18" t="n"/>
      <c r="G275" s="19">
        <f>IF(OR(E275="",F275=""),"",F275-E275)</f>
        <v/>
      </c>
      <c r="H275" s="20">
        <f>IF(OR(E275="",F275="",E275=0),"",(F275-E275)/E275)</f>
        <v/>
      </c>
      <c r="I275" s="21" t="n"/>
      <c r="J275" s="22">
        <f>IF(OR(E275="",I275=""),"",E275*I275)</f>
        <v/>
      </c>
      <c r="K275" s="22">
        <f>IF(OR(F275="",I275=""),"",F275*I275)</f>
        <v/>
      </c>
      <c r="L275" s="23">
        <f>IF(B275="","",IF(E275="","Cetvelde yok",IF(F275="","Projede bulunamadı",IF(H275&gt;MetrajTol,"Cetvelde eksik",IF(H275&lt;-MetrajTol,"Cetvelde fazla","Uygun")))))</f>
        <v/>
      </c>
      <c r="M275" s="21" t="n"/>
      <c r="N275" s="5" t="n"/>
    </row>
    <row r="276">
      <c r="A276" s="5" t="n"/>
      <c r="B276" s="5" t="n"/>
      <c r="C276" s="5" t="n"/>
      <c r="D276" s="5" t="n"/>
      <c r="E276" s="18" t="n"/>
      <c r="F276" s="18" t="n"/>
      <c r="G276" s="19">
        <f>IF(OR(E276="",F276=""),"",F276-E276)</f>
        <v/>
      </c>
      <c r="H276" s="20">
        <f>IF(OR(E276="",F276="",E276=0),"",(F276-E276)/E276)</f>
        <v/>
      </c>
      <c r="I276" s="21" t="n"/>
      <c r="J276" s="22">
        <f>IF(OR(E276="",I276=""),"",E276*I276)</f>
        <v/>
      </c>
      <c r="K276" s="22">
        <f>IF(OR(F276="",I276=""),"",F276*I276)</f>
        <v/>
      </c>
      <c r="L276" s="23">
        <f>IF(B276="","",IF(E276="","Cetvelde yok",IF(F276="","Projede bulunamadı",IF(H276&gt;MetrajTol,"Cetvelde eksik",IF(H276&lt;-MetrajTol,"Cetvelde fazla","Uygun")))))</f>
        <v/>
      </c>
      <c r="M276" s="21" t="n"/>
      <c r="N276" s="5" t="n"/>
    </row>
    <row r="277">
      <c r="A277" s="5" t="n"/>
      <c r="B277" s="5" t="n"/>
      <c r="C277" s="5" t="n"/>
      <c r="D277" s="5" t="n"/>
      <c r="E277" s="18" t="n"/>
      <c r="F277" s="18" t="n"/>
      <c r="G277" s="19">
        <f>IF(OR(E277="",F277=""),"",F277-E277)</f>
        <v/>
      </c>
      <c r="H277" s="20">
        <f>IF(OR(E277="",F277="",E277=0),"",(F277-E277)/E277)</f>
        <v/>
      </c>
      <c r="I277" s="21" t="n"/>
      <c r="J277" s="22">
        <f>IF(OR(E277="",I277=""),"",E277*I277)</f>
        <v/>
      </c>
      <c r="K277" s="22">
        <f>IF(OR(F277="",I277=""),"",F277*I277)</f>
        <v/>
      </c>
      <c r="L277" s="23">
        <f>IF(B277="","",IF(E277="","Cetvelde yok",IF(F277="","Projede bulunamadı",IF(H277&gt;MetrajTol,"Cetvelde eksik",IF(H277&lt;-MetrajTol,"Cetvelde fazla","Uygun")))))</f>
        <v/>
      </c>
      <c r="M277" s="21" t="n"/>
      <c r="N277" s="5" t="n"/>
    </row>
    <row r="278">
      <c r="A278" s="5" t="n"/>
      <c r="B278" s="5" t="n"/>
      <c r="C278" s="5" t="n"/>
      <c r="D278" s="5" t="n"/>
      <c r="E278" s="18" t="n"/>
      <c r="F278" s="18" t="n"/>
      <c r="G278" s="19">
        <f>IF(OR(E278="",F278=""),"",F278-E278)</f>
        <v/>
      </c>
      <c r="H278" s="20">
        <f>IF(OR(E278="",F278="",E278=0),"",(F278-E278)/E278)</f>
        <v/>
      </c>
      <c r="I278" s="21" t="n"/>
      <c r="J278" s="22">
        <f>IF(OR(E278="",I278=""),"",E278*I278)</f>
        <v/>
      </c>
      <c r="K278" s="22">
        <f>IF(OR(F278="",I278=""),"",F278*I278)</f>
        <v/>
      </c>
      <c r="L278" s="23">
        <f>IF(B278="","",IF(E278="","Cetvelde yok",IF(F278="","Projede bulunamadı",IF(H278&gt;MetrajTol,"Cetvelde eksik",IF(H278&lt;-MetrajTol,"Cetvelde fazla","Uygun")))))</f>
        <v/>
      </c>
      <c r="M278" s="21" t="n"/>
      <c r="N278" s="5" t="n"/>
    </row>
    <row r="279">
      <c r="A279" s="5" t="n"/>
      <c r="B279" s="5" t="n"/>
      <c r="C279" s="5" t="n"/>
      <c r="D279" s="5" t="n"/>
      <c r="E279" s="18" t="n"/>
      <c r="F279" s="18" t="n"/>
      <c r="G279" s="19">
        <f>IF(OR(E279="",F279=""),"",F279-E279)</f>
        <v/>
      </c>
      <c r="H279" s="20">
        <f>IF(OR(E279="",F279="",E279=0),"",(F279-E279)/E279)</f>
        <v/>
      </c>
      <c r="I279" s="21" t="n"/>
      <c r="J279" s="22">
        <f>IF(OR(E279="",I279=""),"",E279*I279)</f>
        <v/>
      </c>
      <c r="K279" s="22">
        <f>IF(OR(F279="",I279=""),"",F279*I279)</f>
        <v/>
      </c>
      <c r="L279" s="23">
        <f>IF(B279="","",IF(E279="","Cetvelde yok",IF(F279="","Projede bulunamadı",IF(H279&gt;MetrajTol,"Cetvelde eksik",IF(H279&lt;-MetrajTol,"Cetvelde fazla","Uygun")))))</f>
        <v/>
      </c>
      <c r="M279" s="21" t="n"/>
      <c r="N279" s="5" t="n"/>
    </row>
    <row r="280">
      <c r="A280" s="5" t="n"/>
      <c r="B280" s="5" t="n"/>
      <c r="C280" s="5" t="n"/>
      <c r="D280" s="5" t="n"/>
      <c r="E280" s="18" t="n"/>
      <c r="F280" s="18" t="n"/>
      <c r="G280" s="19">
        <f>IF(OR(E280="",F280=""),"",F280-E280)</f>
        <v/>
      </c>
      <c r="H280" s="20">
        <f>IF(OR(E280="",F280="",E280=0),"",(F280-E280)/E280)</f>
        <v/>
      </c>
      <c r="I280" s="21" t="n"/>
      <c r="J280" s="22">
        <f>IF(OR(E280="",I280=""),"",E280*I280)</f>
        <v/>
      </c>
      <c r="K280" s="22">
        <f>IF(OR(F280="",I280=""),"",F280*I280)</f>
        <v/>
      </c>
      <c r="L280" s="23">
        <f>IF(B280="","",IF(E280="","Cetvelde yok",IF(F280="","Projede bulunamadı",IF(H280&gt;MetrajTol,"Cetvelde eksik",IF(H280&lt;-MetrajTol,"Cetvelde fazla","Uygun")))))</f>
        <v/>
      </c>
      <c r="M280" s="21" t="n"/>
      <c r="N280" s="5" t="n"/>
    </row>
    <row r="281">
      <c r="A281" s="5" t="n"/>
      <c r="B281" s="5" t="n"/>
      <c r="C281" s="5" t="n"/>
      <c r="D281" s="5" t="n"/>
      <c r="E281" s="18" t="n"/>
      <c r="F281" s="18" t="n"/>
      <c r="G281" s="19">
        <f>IF(OR(E281="",F281=""),"",F281-E281)</f>
        <v/>
      </c>
      <c r="H281" s="20">
        <f>IF(OR(E281="",F281="",E281=0),"",(F281-E281)/E281)</f>
        <v/>
      </c>
      <c r="I281" s="21" t="n"/>
      <c r="J281" s="22">
        <f>IF(OR(E281="",I281=""),"",E281*I281)</f>
        <v/>
      </c>
      <c r="K281" s="22">
        <f>IF(OR(F281="",I281=""),"",F281*I281)</f>
        <v/>
      </c>
      <c r="L281" s="23">
        <f>IF(B281="","",IF(E281="","Cetvelde yok",IF(F281="","Projede bulunamadı",IF(H281&gt;MetrajTol,"Cetvelde eksik",IF(H281&lt;-MetrajTol,"Cetvelde fazla","Uygun")))))</f>
        <v/>
      </c>
      <c r="M281" s="21" t="n"/>
      <c r="N281" s="5" t="n"/>
    </row>
    <row r="282">
      <c r="A282" s="5" t="n"/>
      <c r="B282" s="5" t="n"/>
      <c r="C282" s="5" t="n"/>
      <c r="D282" s="5" t="n"/>
      <c r="E282" s="18" t="n"/>
      <c r="F282" s="18" t="n"/>
      <c r="G282" s="19">
        <f>IF(OR(E282="",F282=""),"",F282-E282)</f>
        <v/>
      </c>
      <c r="H282" s="20">
        <f>IF(OR(E282="",F282="",E282=0),"",(F282-E282)/E282)</f>
        <v/>
      </c>
      <c r="I282" s="21" t="n"/>
      <c r="J282" s="22">
        <f>IF(OR(E282="",I282=""),"",E282*I282)</f>
        <v/>
      </c>
      <c r="K282" s="22">
        <f>IF(OR(F282="",I282=""),"",F282*I282)</f>
        <v/>
      </c>
      <c r="L282" s="23">
        <f>IF(B282="","",IF(E282="","Cetvelde yok",IF(F282="","Projede bulunamadı",IF(H282&gt;MetrajTol,"Cetvelde eksik",IF(H282&lt;-MetrajTol,"Cetvelde fazla","Uygun")))))</f>
        <v/>
      </c>
      <c r="M282" s="21" t="n"/>
      <c r="N282" s="5" t="n"/>
    </row>
    <row r="283">
      <c r="A283" s="5" t="n"/>
      <c r="B283" s="5" t="n"/>
      <c r="C283" s="5" t="n"/>
      <c r="D283" s="5" t="n"/>
      <c r="E283" s="18" t="n"/>
      <c r="F283" s="18" t="n"/>
      <c r="G283" s="19">
        <f>IF(OR(E283="",F283=""),"",F283-E283)</f>
        <v/>
      </c>
      <c r="H283" s="20">
        <f>IF(OR(E283="",F283="",E283=0),"",(F283-E283)/E283)</f>
        <v/>
      </c>
      <c r="I283" s="21" t="n"/>
      <c r="J283" s="22">
        <f>IF(OR(E283="",I283=""),"",E283*I283)</f>
        <v/>
      </c>
      <c r="K283" s="22">
        <f>IF(OR(F283="",I283=""),"",F283*I283)</f>
        <v/>
      </c>
      <c r="L283" s="23">
        <f>IF(B283="","",IF(E283="","Cetvelde yok",IF(F283="","Projede bulunamadı",IF(H283&gt;MetrajTol,"Cetvelde eksik",IF(H283&lt;-MetrajTol,"Cetvelde fazla","Uygun")))))</f>
        <v/>
      </c>
      <c r="M283" s="21" t="n"/>
      <c r="N283" s="5" t="n"/>
    </row>
    <row r="284">
      <c r="A284" s="5" t="n"/>
      <c r="B284" s="5" t="n"/>
      <c r="C284" s="5" t="n"/>
      <c r="D284" s="5" t="n"/>
      <c r="E284" s="18" t="n"/>
      <c r="F284" s="18" t="n"/>
      <c r="G284" s="19">
        <f>IF(OR(E284="",F284=""),"",F284-E284)</f>
        <v/>
      </c>
      <c r="H284" s="20">
        <f>IF(OR(E284="",F284="",E284=0),"",(F284-E284)/E284)</f>
        <v/>
      </c>
      <c r="I284" s="21" t="n"/>
      <c r="J284" s="22">
        <f>IF(OR(E284="",I284=""),"",E284*I284)</f>
        <v/>
      </c>
      <c r="K284" s="22">
        <f>IF(OR(F284="",I284=""),"",F284*I284)</f>
        <v/>
      </c>
      <c r="L284" s="23">
        <f>IF(B284="","",IF(E284="","Cetvelde yok",IF(F284="","Projede bulunamadı",IF(H284&gt;MetrajTol,"Cetvelde eksik",IF(H284&lt;-MetrajTol,"Cetvelde fazla","Uygun")))))</f>
        <v/>
      </c>
      <c r="M284" s="21" t="n"/>
      <c r="N284" s="5" t="n"/>
    </row>
    <row r="285">
      <c r="A285" s="5" t="n"/>
      <c r="B285" s="5" t="n"/>
      <c r="C285" s="5" t="n"/>
      <c r="D285" s="5" t="n"/>
      <c r="E285" s="18" t="n"/>
      <c r="F285" s="18" t="n"/>
      <c r="G285" s="19">
        <f>IF(OR(E285="",F285=""),"",F285-E285)</f>
        <v/>
      </c>
      <c r="H285" s="20">
        <f>IF(OR(E285="",F285="",E285=0),"",(F285-E285)/E285)</f>
        <v/>
      </c>
      <c r="I285" s="21" t="n"/>
      <c r="J285" s="22">
        <f>IF(OR(E285="",I285=""),"",E285*I285)</f>
        <v/>
      </c>
      <c r="K285" s="22">
        <f>IF(OR(F285="",I285=""),"",F285*I285)</f>
        <v/>
      </c>
      <c r="L285" s="23">
        <f>IF(B285="","",IF(E285="","Cetvelde yok",IF(F285="","Projede bulunamadı",IF(H285&gt;MetrajTol,"Cetvelde eksik",IF(H285&lt;-MetrajTol,"Cetvelde fazla","Uygun")))))</f>
        <v/>
      </c>
      <c r="M285" s="21" t="n"/>
      <c r="N285" s="5" t="n"/>
    </row>
    <row r="286">
      <c r="A286" s="5" t="n"/>
      <c r="B286" s="5" t="n"/>
      <c r="C286" s="5" t="n"/>
      <c r="D286" s="5" t="n"/>
      <c r="E286" s="18" t="n"/>
      <c r="F286" s="18" t="n"/>
      <c r="G286" s="19">
        <f>IF(OR(E286="",F286=""),"",F286-E286)</f>
        <v/>
      </c>
      <c r="H286" s="20">
        <f>IF(OR(E286="",F286="",E286=0),"",(F286-E286)/E286)</f>
        <v/>
      </c>
      <c r="I286" s="21" t="n"/>
      <c r="J286" s="22">
        <f>IF(OR(E286="",I286=""),"",E286*I286)</f>
        <v/>
      </c>
      <c r="K286" s="22">
        <f>IF(OR(F286="",I286=""),"",F286*I286)</f>
        <v/>
      </c>
      <c r="L286" s="23">
        <f>IF(B286="","",IF(E286="","Cetvelde yok",IF(F286="","Projede bulunamadı",IF(H286&gt;MetrajTol,"Cetvelde eksik",IF(H286&lt;-MetrajTol,"Cetvelde fazla","Uygun")))))</f>
        <v/>
      </c>
      <c r="M286" s="21" t="n"/>
      <c r="N286" s="5" t="n"/>
    </row>
    <row r="287">
      <c r="A287" s="5" t="n"/>
      <c r="B287" s="5" t="n"/>
      <c r="C287" s="5" t="n"/>
      <c r="D287" s="5" t="n"/>
      <c r="E287" s="18" t="n"/>
      <c r="F287" s="18" t="n"/>
      <c r="G287" s="19">
        <f>IF(OR(E287="",F287=""),"",F287-E287)</f>
        <v/>
      </c>
      <c r="H287" s="20">
        <f>IF(OR(E287="",F287="",E287=0),"",(F287-E287)/E287)</f>
        <v/>
      </c>
      <c r="I287" s="21" t="n"/>
      <c r="J287" s="22">
        <f>IF(OR(E287="",I287=""),"",E287*I287)</f>
        <v/>
      </c>
      <c r="K287" s="22">
        <f>IF(OR(F287="",I287=""),"",F287*I287)</f>
        <v/>
      </c>
      <c r="L287" s="23">
        <f>IF(B287="","",IF(E287="","Cetvelde yok",IF(F287="","Projede bulunamadı",IF(H287&gt;MetrajTol,"Cetvelde eksik",IF(H287&lt;-MetrajTol,"Cetvelde fazla","Uygun")))))</f>
        <v/>
      </c>
      <c r="M287" s="21" t="n"/>
      <c r="N287" s="5" t="n"/>
    </row>
    <row r="288">
      <c r="A288" s="5" t="n"/>
      <c r="B288" s="5" t="n"/>
      <c r="C288" s="5" t="n"/>
      <c r="D288" s="5" t="n"/>
      <c r="E288" s="18" t="n"/>
      <c r="F288" s="18" t="n"/>
      <c r="G288" s="19">
        <f>IF(OR(E288="",F288=""),"",F288-E288)</f>
        <v/>
      </c>
      <c r="H288" s="20">
        <f>IF(OR(E288="",F288="",E288=0),"",(F288-E288)/E288)</f>
        <v/>
      </c>
      <c r="I288" s="21" t="n"/>
      <c r="J288" s="22">
        <f>IF(OR(E288="",I288=""),"",E288*I288)</f>
        <v/>
      </c>
      <c r="K288" s="22">
        <f>IF(OR(F288="",I288=""),"",F288*I288)</f>
        <v/>
      </c>
      <c r="L288" s="23">
        <f>IF(B288="","",IF(E288="","Cetvelde yok",IF(F288="","Projede bulunamadı",IF(H288&gt;MetrajTol,"Cetvelde eksik",IF(H288&lt;-MetrajTol,"Cetvelde fazla","Uygun")))))</f>
        <v/>
      </c>
      <c r="M288" s="21" t="n"/>
      <c r="N288" s="5" t="n"/>
    </row>
    <row r="289">
      <c r="A289" s="5" t="n"/>
      <c r="B289" s="5" t="n"/>
      <c r="C289" s="5" t="n"/>
      <c r="D289" s="5" t="n"/>
      <c r="E289" s="18" t="n"/>
      <c r="F289" s="18" t="n"/>
      <c r="G289" s="19">
        <f>IF(OR(E289="",F289=""),"",F289-E289)</f>
        <v/>
      </c>
      <c r="H289" s="20">
        <f>IF(OR(E289="",F289="",E289=0),"",(F289-E289)/E289)</f>
        <v/>
      </c>
      <c r="I289" s="21" t="n"/>
      <c r="J289" s="22">
        <f>IF(OR(E289="",I289=""),"",E289*I289)</f>
        <v/>
      </c>
      <c r="K289" s="22">
        <f>IF(OR(F289="",I289=""),"",F289*I289)</f>
        <v/>
      </c>
      <c r="L289" s="23">
        <f>IF(B289="","",IF(E289="","Cetvelde yok",IF(F289="","Projede bulunamadı",IF(H289&gt;MetrajTol,"Cetvelde eksik",IF(H289&lt;-MetrajTol,"Cetvelde fazla","Uygun")))))</f>
        <v/>
      </c>
      <c r="M289" s="21" t="n"/>
      <c r="N289" s="5" t="n"/>
    </row>
    <row r="290">
      <c r="A290" s="5" t="n"/>
      <c r="B290" s="5" t="n"/>
      <c r="C290" s="5" t="n"/>
      <c r="D290" s="5" t="n"/>
      <c r="E290" s="18" t="n"/>
      <c r="F290" s="18" t="n"/>
      <c r="G290" s="19">
        <f>IF(OR(E290="",F290=""),"",F290-E290)</f>
        <v/>
      </c>
      <c r="H290" s="20">
        <f>IF(OR(E290="",F290="",E290=0),"",(F290-E290)/E290)</f>
        <v/>
      </c>
      <c r="I290" s="21" t="n"/>
      <c r="J290" s="22">
        <f>IF(OR(E290="",I290=""),"",E290*I290)</f>
        <v/>
      </c>
      <c r="K290" s="22">
        <f>IF(OR(F290="",I290=""),"",F290*I290)</f>
        <v/>
      </c>
      <c r="L290" s="23">
        <f>IF(B290="","",IF(E290="","Cetvelde yok",IF(F290="","Projede bulunamadı",IF(H290&gt;MetrajTol,"Cetvelde eksik",IF(H290&lt;-MetrajTol,"Cetvelde fazla","Uygun")))))</f>
        <v/>
      </c>
      <c r="M290" s="21" t="n"/>
      <c r="N290" s="5" t="n"/>
    </row>
    <row r="291">
      <c r="A291" s="5" t="n"/>
      <c r="B291" s="5" t="n"/>
      <c r="C291" s="5" t="n"/>
      <c r="D291" s="5" t="n"/>
      <c r="E291" s="18" t="n"/>
      <c r="F291" s="18" t="n"/>
      <c r="G291" s="19">
        <f>IF(OR(E291="",F291=""),"",F291-E291)</f>
        <v/>
      </c>
      <c r="H291" s="20">
        <f>IF(OR(E291="",F291="",E291=0),"",(F291-E291)/E291)</f>
        <v/>
      </c>
      <c r="I291" s="21" t="n"/>
      <c r="J291" s="22">
        <f>IF(OR(E291="",I291=""),"",E291*I291)</f>
        <v/>
      </c>
      <c r="K291" s="22">
        <f>IF(OR(F291="",I291=""),"",F291*I291)</f>
        <v/>
      </c>
      <c r="L291" s="23">
        <f>IF(B291="","",IF(E291="","Cetvelde yok",IF(F291="","Projede bulunamadı",IF(H291&gt;MetrajTol,"Cetvelde eksik",IF(H291&lt;-MetrajTol,"Cetvelde fazla","Uygun")))))</f>
        <v/>
      </c>
      <c r="M291" s="21" t="n"/>
      <c r="N291" s="5" t="n"/>
    </row>
    <row r="292">
      <c r="A292" s="5" t="n"/>
      <c r="B292" s="5" t="n"/>
      <c r="C292" s="5" t="n"/>
      <c r="D292" s="5" t="n"/>
      <c r="E292" s="18" t="n"/>
      <c r="F292" s="18" t="n"/>
      <c r="G292" s="19">
        <f>IF(OR(E292="",F292=""),"",F292-E292)</f>
        <v/>
      </c>
      <c r="H292" s="20">
        <f>IF(OR(E292="",F292="",E292=0),"",(F292-E292)/E292)</f>
        <v/>
      </c>
      <c r="I292" s="21" t="n"/>
      <c r="J292" s="22">
        <f>IF(OR(E292="",I292=""),"",E292*I292)</f>
        <v/>
      </c>
      <c r="K292" s="22">
        <f>IF(OR(F292="",I292=""),"",F292*I292)</f>
        <v/>
      </c>
      <c r="L292" s="23">
        <f>IF(B292="","",IF(E292="","Cetvelde yok",IF(F292="","Projede bulunamadı",IF(H292&gt;MetrajTol,"Cetvelde eksik",IF(H292&lt;-MetrajTol,"Cetvelde fazla","Uygun")))))</f>
        <v/>
      </c>
      <c r="M292" s="21" t="n"/>
      <c r="N292" s="5" t="n"/>
    </row>
    <row r="293">
      <c r="A293" s="5" t="n"/>
      <c r="B293" s="5" t="n"/>
      <c r="C293" s="5" t="n"/>
      <c r="D293" s="5" t="n"/>
      <c r="E293" s="18" t="n"/>
      <c r="F293" s="18" t="n"/>
      <c r="G293" s="19">
        <f>IF(OR(E293="",F293=""),"",F293-E293)</f>
        <v/>
      </c>
      <c r="H293" s="20">
        <f>IF(OR(E293="",F293="",E293=0),"",(F293-E293)/E293)</f>
        <v/>
      </c>
      <c r="I293" s="21" t="n"/>
      <c r="J293" s="22">
        <f>IF(OR(E293="",I293=""),"",E293*I293)</f>
        <v/>
      </c>
      <c r="K293" s="22">
        <f>IF(OR(F293="",I293=""),"",F293*I293)</f>
        <v/>
      </c>
      <c r="L293" s="23">
        <f>IF(B293="","",IF(E293="","Cetvelde yok",IF(F293="","Projede bulunamadı",IF(H293&gt;MetrajTol,"Cetvelde eksik",IF(H293&lt;-MetrajTol,"Cetvelde fazla","Uygun")))))</f>
        <v/>
      </c>
      <c r="M293" s="21" t="n"/>
      <c r="N293" s="5" t="n"/>
    </row>
    <row r="294">
      <c r="A294" s="5" t="n"/>
      <c r="B294" s="5" t="n"/>
      <c r="C294" s="5" t="n"/>
      <c r="D294" s="5" t="n"/>
      <c r="E294" s="18" t="n"/>
      <c r="F294" s="18" t="n"/>
      <c r="G294" s="19">
        <f>IF(OR(E294="",F294=""),"",F294-E294)</f>
        <v/>
      </c>
      <c r="H294" s="20">
        <f>IF(OR(E294="",F294="",E294=0),"",(F294-E294)/E294)</f>
        <v/>
      </c>
      <c r="I294" s="21" t="n"/>
      <c r="J294" s="22">
        <f>IF(OR(E294="",I294=""),"",E294*I294)</f>
        <v/>
      </c>
      <c r="K294" s="22">
        <f>IF(OR(F294="",I294=""),"",F294*I294)</f>
        <v/>
      </c>
      <c r="L294" s="23">
        <f>IF(B294="","",IF(E294="","Cetvelde yok",IF(F294="","Projede bulunamadı",IF(H294&gt;MetrajTol,"Cetvelde eksik",IF(H294&lt;-MetrajTol,"Cetvelde fazla","Uygun")))))</f>
        <v/>
      </c>
      <c r="M294" s="21" t="n"/>
      <c r="N294" s="5" t="n"/>
    </row>
    <row r="295">
      <c r="A295" s="5" t="n"/>
      <c r="B295" s="5" t="n"/>
      <c r="C295" s="5" t="n"/>
      <c r="D295" s="5" t="n"/>
      <c r="E295" s="18" t="n"/>
      <c r="F295" s="18" t="n"/>
      <c r="G295" s="19">
        <f>IF(OR(E295="",F295=""),"",F295-E295)</f>
        <v/>
      </c>
      <c r="H295" s="20">
        <f>IF(OR(E295="",F295="",E295=0),"",(F295-E295)/E295)</f>
        <v/>
      </c>
      <c r="I295" s="21" t="n"/>
      <c r="J295" s="22">
        <f>IF(OR(E295="",I295=""),"",E295*I295)</f>
        <v/>
      </c>
      <c r="K295" s="22">
        <f>IF(OR(F295="",I295=""),"",F295*I295)</f>
        <v/>
      </c>
      <c r="L295" s="23">
        <f>IF(B295="","",IF(E295="","Cetvelde yok",IF(F295="","Projede bulunamadı",IF(H295&gt;MetrajTol,"Cetvelde eksik",IF(H295&lt;-MetrajTol,"Cetvelde fazla","Uygun")))))</f>
        <v/>
      </c>
      <c r="M295" s="21" t="n"/>
      <c r="N295" s="5" t="n"/>
    </row>
    <row r="296">
      <c r="A296" s="5" t="n"/>
      <c r="B296" s="5" t="n"/>
      <c r="C296" s="5" t="n"/>
      <c r="D296" s="5" t="n"/>
      <c r="E296" s="18" t="n"/>
      <c r="F296" s="18" t="n"/>
      <c r="G296" s="19">
        <f>IF(OR(E296="",F296=""),"",F296-E296)</f>
        <v/>
      </c>
      <c r="H296" s="20">
        <f>IF(OR(E296="",F296="",E296=0),"",(F296-E296)/E296)</f>
        <v/>
      </c>
      <c r="I296" s="21" t="n"/>
      <c r="J296" s="22">
        <f>IF(OR(E296="",I296=""),"",E296*I296)</f>
        <v/>
      </c>
      <c r="K296" s="22">
        <f>IF(OR(F296="",I296=""),"",F296*I296)</f>
        <v/>
      </c>
      <c r="L296" s="23">
        <f>IF(B296="","",IF(E296="","Cetvelde yok",IF(F296="","Projede bulunamadı",IF(H296&gt;MetrajTol,"Cetvelde eksik",IF(H296&lt;-MetrajTol,"Cetvelde fazla","Uygun")))))</f>
        <v/>
      </c>
      <c r="M296" s="21" t="n"/>
      <c r="N296" s="5" t="n"/>
    </row>
    <row r="297">
      <c r="A297" s="5" t="n"/>
      <c r="B297" s="5" t="n"/>
      <c r="C297" s="5" t="n"/>
      <c r="D297" s="5" t="n"/>
      <c r="E297" s="18" t="n"/>
      <c r="F297" s="18" t="n"/>
      <c r="G297" s="19">
        <f>IF(OR(E297="",F297=""),"",F297-E297)</f>
        <v/>
      </c>
      <c r="H297" s="20">
        <f>IF(OR(E297="",F297="",E297=0),"",(F297-E297)/E297)</f>
        <v/>
      </c>
      <c r="I297" s="21" t="n"/>
      <c r="J297" s="22">
        <f>IF(OR(E297="",I297=""),"",E297*I297)</f>
        <v/>
      </c>
      <c r="K297" s="22">
        <f>IF(OR(F297="",I297=""),"",F297*I297)</f>
        <v/>
      </c>
      <c r="L297" s="23">
        <f>IF(B297="","",IF(E297="","Cetvelde yok",IF(F297="","Projede bulunamadı",IF(H297&gt;MetrajTol,"Cetvelde eksik",IF(H297&lt;-MetrajTol,"Cetvelde fazla","Uygun")))))</f>
        <v/>
      </c>
      <c r="M297" s="21" t="n"/>
      <c r="N297" s="5" t="n"/>
    </row>
    <row r="298">
      <c r="A298" s="5" t="n"/>
      <c r="B298" s="5" t="n"/>
      <c r="C298" s="5" t="n"/>
      <c r="D298" s="5" t="n"/>
      <c r="E298" s="18" t="n"/>
      <c r="F298" s="18" t="n"/>
      <c r="G298" s="19">
        <f>IF(OR(E298="",F298=""),"",F298-E298)</f>
        <v/>
      </c>
      <c r="H298" s="20">
        <f>IF(OR(E298="",F298="",E298=0),"",(F298-E298)/E298)</f>
        <v/>
      </c>
      <c r="I298" s="21" t="n"/>
      <c r="J298" s="22">
        <f>IF(OR(E298="",I298=""),"",E298*I298)</f>
        <v/>
      </c>
      <c r="K298" s="22">
        <f>IF(OR(F298="",I298=""),"",F298*I298)</f>
        <v/>
      </c>
      <c r="L298" s="23">
        <f>IF(B298="","",IF(E298="","Cetvelde yok",IF(F298="","Projede bulunamadı",IF(H298&gt;MetrajTol,"Cetvelde eksik",IF(H298&lt;-MetrajTol,"Cetvelde fazla","Uygun")))))</f>
        <v/>
      </c>
      <c r="M298" s="21" t="n"/>
      <c r="N298" s="5" t="n"/>
    </row>
    <row r="299">
      <c r="A299" s="5" t="n"/>
      <c r="B299" s="5" t="n"/>
      <c r="C299" s="5" t="n"/>
      <c r="D299" s="5" t="n"/>
      <c r="E299" s="18" t="n"/>
      <c r="F299" s="18" t="n"/>
      <c r="G299" s="19">
        <f>IF(OR(E299="",F299=""),"",F299-E299)</f>
        <v/>
      </c>
      <c r="H299" s="20">
        <f>IF(OR(E299="",F299="",E299=0),"",(F299-E299)/E299)</f>
        <v/>
      </c>
      <c r="I299" s="21" t="n"/>
      <c r="J299" s="22">
        <f>IF(OR(E299="",I299=""),"",E299*I299)</f>
        <v/>
      </c>
      <c r="K299" s="22">
        <f>IF(OR(F299="",I299=""),"",F299*I299)</f>
        <v/>
      </c>
      <c r="L299" s="23">
        <f>IF(B299="","",IF(E299="","Cetvelde yok",IF(F299="","Projede bulunamadı",IF(H299&gt;MetrajTol,"Cetvelde eksik",IF(H299&lt;-MetrajTol,"Cetvelde fazla","Uygun")))))</f>
        <v/>
      </c>
      <c r="M299" s="21" t="n"/>
      <c r="N299" s="5" t="n"/>
    </row>
    <row r="300">
      <c r="A300" s="5" t="n"/>
      <c r="B300" s="5" t="n"/>
      <c r="C300" s="5" t="n"/>
      <c r="D300" s="5" t="n"/>
      <c r="E300" s="18" t="n"/>
      <c r="F300" s="18" t="n"/>
      <c r="G300" s="19">
        <f>IF(OR(E300="",F300=""),"",F300-E300)</f>
        <v/>
      </c>
      <c r="H300" s="20">
        <f>IF(OR(E300="",F300="",E300=0),"",(F300-E300)/E300)</f>
        <v/>
      </c>
      <c r="I300" s="21" t="n"/>
      <c r="J300" s="22">
        <f>IF(OR(E300="",I300=""),"",E300*I300)</f>
        <v/>
      </c>
      <c r="K300" s="22">
        <f>IF(OR(F300="",I300=""),"",F300*I300)</f>
        <v/>
      </c>
      <c r="L300" s="23">
        <f>IF(B300="","",IF(E300="","Cetvelde yok",IF(F300="","Projede bulunamadı",IF(H300&gt;MetrajTol,"Cetvelde eksik",IF(H300&lt;-MetrajTol,"Cetvelde fazla","Uygun")))))</f>
        <v/>
      </c>
      <c r="M300" s="21" t="n"/>
      <c r="N300" s="5" t="n"/>
    </row>
    <row r="301">
      <c r="A301" s="5" t="n"/>
      <c r="B301" s="5" t="n"/>
      <c r="C301" s="5" t="n"/>
      <c r="D301" s="5" t="n"/>
      <c r="E301" s="18" t="n"/>
      <c r="F301" s="18" t="n"/>
      <c r="G301" s="19">
        <f>IF(OR(E301="",F301=""),"",F301-E301)</f>
        <v/>
      </c>
      <c r="H301" s="20">
        <f>IF(OR(E301="",F301="",E301=0),"",(F301-E301)/E301)</f>
        <v/>
      </c>
      <c r="I301" s="21" t="n"/>
      <c r="J301" s="22">
        <f>IF(OR(E301="",I301=""),"",E301*I301)</f>
        <v/>
      </c>
      <c r="K301" s="22">
        <f>IF(OR(F301="",I301=""),"",F301*I301)</f>
        <v/>
      </c>
      <c r="L301" s="23">
        <f>IF(B301="","",IF(E301="","Cetvelde yok",IF(F301="","Projede bulunamadı",IF(H301&gt;MetrajTol,"Cetvelde eksik",IF(H301&lt;-MetrajTol,"Cetvelde fazla","Uygun")))))</f>
        <v/>
      </c>
      <c r="M301" s="21" t="n"/>
      <c r="N301" s="5" t="n"/>
    </row>
    <row r="302">
      <c r="A302" s="5" t="n"/>
      <c r="B302" s="5" t="n"/>
      <c r="C302" s="5" t="n"/>
      <c r="D302" s="5" t="n"/>
      <c r="E302" s="18" t="n"/>
      <c r="F302" s="18" t="n"/>
      <c r="G302" s="19">
        <f>IF(OR(E302="",F302=""),"",F302-E302)</f>
        <v/>
      </c>
      <c r="H302" s="20">
        <f>IF(OR(E302="",F302="",E302=0),"",(F302-E302)/E302)</f>
        <v/>
      </c>
      <c r="I302" s="21" t="n"/>
      <c r="J302" s="22">
        <f>IF(OR(E302="",I302=""),"",E302*I302)</f>
        <v/>
      </c>
      <c r="K302" s="22">
        <f>IF(OR(F302="",I302=""),"",F302*I302)</f>
        <v/>
      </c>
      <c r="L302" s="23">
        <f>IF(B302="","",IF(E302="","Cetvelde yok",IF(F302="","Projede bulunamadı",IF(H302&gt;MetrajTol,"Cetvelde eksik",IF(H302&lt;-MetrajTol,"Cetvelde fazla","Uygun")))))</f>
        <v/>
      </c>
      <c r="M302" s="21" t="n"/>
      <c r="N302" s="5" t="n"/>
    </row>
    <row r="303">
      <c r="A303" s="5" t="n"/>
      <c r="B303" s="5" t="n"/>
      <c r="C303" s="5" t="n"/>
      <c r="D303" s="5" t="n"/>
      <c r="E303" s="18" t="n"/>
      <c r="F303" s="18" t="n"/>
      <c r="G303" s="19">
        <f>IF(OR(E303="",F303=""),"",F303-E303)</f>
        <v/>
      </c>
      <c r="H303" s="20">
        <f>IF(OR(E303="",F303="",E303=0),"",(F303-E303)/E303)</f>
        <v/>
      </c>
      <c r="I303" s="21" t="n"/>
      <c r="J303" s="22">
        <f>IF(OR(E303="",I303=""),"",E303*I303)</f>
        <v/>
      </c>
      <c r="K303" s="22">
        <f>IF(OR(F303="",I303=""),"",F303*I303)</f>
        <v/>
      </c>
      <c r="L303" s="23">
        <f>IF(B303="","",IF(E303="","Cetvelde yok",IF(F303="","Projede bulunamadı",IF(H303&gt;MetrajTol,"Cetvelde eksik",IF(H303&lt;-MetrajTol,"Cetvelde fazla","Uygun")))))</f>
        <v/>
      </c>
      <c r="M303" s="21" t="n"/>
      <c r="N303" s="5" t="n"/>
    </row>
    <row r="304">
      <c r="A304" s="5" t="n"/>
      <c r="B304" s="5" t="n"/>
      <c r="C304" s="5" t="n"/>
      <c r="D304" s="5" t="n"/>
      <c r="E304" s="18" t="n"/>
      <c r="F304" s="18" t="n"/>
      <c r="G304" s="19">
        <f>IF(OR(E304="",F304=""),"",F304-E304)</f>
        <v/>
      </c>
      <c r="H304" s="20">
        <f>IF(OR(E304="",F304="",E304=0),"",(F304-E304)/E304)</f>
        <v/>
      </c>
      <c r="I304" s="21" t="n"/>
      <c r="J304" s="22">
        <f>IF(OR(E304="",I304=""),"",E304*I304)</f>
        <v/>
      </c>
      <c r="K304" s="22">
        <f>IF(OR(F304="",I304=""),"",F304*I304)</f>
        <v/>
      </c>
      <c r="L304" s="23">
        <f>IF(B304="","",IF(E304="","Cetvelde yok",IF(F304="","Projede bulunamadı",IF(H304&gt;MetrajTol,"Cetvelde eksik",IF(H304&lt;-MetrajTol,"Cetvelde fazla","Uygun")))))</f>
        <v/>
      </c>
      <c r="M304" s="21" t="n"/>
      <c r="N304" s="5" t="n"/>
    </row>
    <row r="305">
      <c r="A305" s="5" t="n"/>
      <c r="B305" s="5" t="n"/>
      <c r="C305" s="5" t="n"/>
      <c r="D305" s="5" t="n"/>
      <c r="E305" s="18" t="n"/>
      <c r="F305" s="18" t="n"/>
      <c r="G305" s="19">
        <f>IF(OR(E305="",F305=""),"",F305-E305)</f>
        <v/>
      </c>
      <c r="H305" s="20">
        <f>IF(OR(E305="",F305="",E305=0),"",(F305-E305)/E305)</f>
        <v/>
      </c>
      <c r="I305" s="21" t="n"/>
      <c r="J305" s="22">
        <f>IF(OR(E305="",I305=""),"",E305*I305)</f>
        <v/>
      </c>
      <c r="K305" s="22">
        <f>IF(OR(F305="",I305=""),"",F305*I305)</f>
        <v/>
      </c>
      <c r="L305" s="23">
        <f>IF(B305="","",IF(E305="","Cetvelde yok",IF(F305="","Projede bulunamadı",IF(H305&gt;MetrajTol,"Cetvelde eksik",IF(H305&lt;-MetrajTol,"Cetvelde fazla","Uygun")))))</f>
        <v/>
      </c>
      <c r="M305" s="21" t="n"/>
      <c r="N305" s="5" t="n"/>
    </row>
    <row r="306">
      <c r="A306" s="5" t="n"/>
      <c r="B306" s="5" t="n"/>
      <c r="C306" s="5" t="n"/>
      <c r="D306" s="5" t="n"/>
      <c r="E306" s="18" t="n"/>
      <c r="F306" s="18" t="n"/>
      <c r="G306" s="19">
        <f>IF(OR(E306="",F306=""),"",F306-E306)</f>
        <v/>
      </c>
      <c r="H306" s="20">
        <f>IF(OR(E306="",F306="",E306=0),"",(F306-E306)/E306)</f>
        <v/>
      </c>
      <c r="I306" s="21" t="n"/>
      <c r="J306" s="22">
        <f>IF(OR(E306="",I306=""),"",E306*I306)</f>
        <v/>
      </c>
      <c r="K306" s="22">
        <f>IF(OR(F306="",I306=""),"",F306*I306)</f>
        <v/>
      </c>
      <c r="L306" s="23">
        <f>IF(B306="","",IF(E306="","Cetvelde yok",IF(F306="","Projede bulunamadı",IF(H306&gt;MetrajTol,"Cetvelde eksik",IF(H306&lt;-MetrajTol,"Cetvelde fazla","Uygun")))))</f>
        <v/>
      </c>
      <c r="M306" s="21" t="n"/>
      <c r="N306" s="5" t="n"/>
    </row>
    <row r="307">
      <c r="A307" s="5" t="n"/>
      <c r="B307" s="5" t="n"/>
      <c r="C307" s="5" t="n"/>
      <c r="D307" s="5" t="n"/>
      <c r="E307" s="18" t="n"/>
      <c r="F307" s="18" t="n"/>
      <c r="G307" s="19">
        <f>IF(OR(E307="",F307=""),"",F307-E307)</f>
        <v/>
      </c>
      <c r="H307" s="20">
        <f>IF(OR(E307="",F307="",E307=0),"",(F307-E307)/E307)</f>
        <v/>
      </c>
      <c r="I307" s="21" t="n"/>
      <c r="J307" s="22">
        <f>IF(OR(E307="",I307=""),"",E307*I307)</f>
        <v/>
      </c>
      <c r="K307" s="22">
        <f>IF(OR(F307="",I307=""),"",F307*I307)</f>
        <v/>
      </c>
      <c r="L307" s="23">
        <f>IF(B307="","",IF(E307="","Cetvelde yok",IF(F307="","Projede bulunamadı",IF(H307&gt;MetrajTol,"Cetvelde eksik",IF(H307&lt;-MetrajTol,"Cetvelde fazla","Uygun")))))</f>
        <v/>
      </c>
      <c r="M307" s="21" t="n"/>
      <c r="N307" s="5" t="n"/>
    </row>
    <row r="308">
      <c r="A308" s="5" t="n"/>
      <c r="B308" s="5" t="n"/>
      <c r="C308" s="5" t="n"/>
      <c r="D308" s="5" t="n"/>
      <c r="E308" s="18" t="n"/>
      <c r="F308" s="18" t="n"/>
      <c r="G308" s="19">
        <f>IF(OR(E308="",F308=""),"",F308-E308)</f>
        <v/>
      </c>
      <c r="H308" s="20">
        <f>IF(OR(E308="",F308="",E308=0),"",(F308-E308)/E308)</f>
        <v/>
      </c>
      <c r="I308" s="21" t="n"/>
      <c r="J308" s="22">
        <f>IF(OR(E308="",I308=""),"",E308*I308)</f>
        <v/>
      </c>
      <c r="K308" s="22">
        <f>IF(OR(F308="",I308=""),"",F308*I308)</f>
        <v/>
      </c>
      <c r="L308" s="23">
        <f>IF(B308="","",IF(E308="","Cetvelde yok",IF(F308="","Projede bulunamadı",IF(H308&gt;MetrajTol,"Cetvelde eksik",IF(H308&lt;-MetrajTol,"Cetvelde fazla","Uygun")))))</f>
        <v/>
      </c>
      <c r="M308" s="21" t="n"/>
      <c r="N308" s="5" t="n"/>
    </row>
    <row r="309">
      <c r="A309" s="5" t="n"/>
      <c r="B309" s="5" t="n"/>
      <c r="C309" s="5" t="n"/>
      <c r="D309" s="5" t="n"/>
      <c r="E309" s="18" t="n"/>
      <c r="F309" s="18" t="n"/>
      <c r="G309" s="19">
        <f>IF(OR(E309="",F309=""),"",F309-E309)</f>
        <v/>
      </c>
      <c r="H309" s="20">
        <f>IF(OR(E309="",F309="",E309=0),"",(F309-E309)/E309)</f>
        <v/>
      </c>
      <c r="I309" s="21" t="n"/>
      <c r="J309" s="22">
        <f>IF(OR(E309="",I309=""),"",E309*I309)</f>
        <v/>
      </c>
      <c r="K309" s="22">
        <f>IF(OR(F309="",I309=""),"",F309*I309)</f>
        <v/>
      </c>
      <c r="L309" s="23">
        <f>IF(B309="","",IF(E309="","Cetvelde yok",IF(F309="","Projede bulunamadı",IF(H309&gt;MetrajTol,"Cetvelde eksik",IF(H309&lt;-MetrajTol,"Cetvelde fazla","Uygun")))))</f>
        <v/>
      </c>
      <c r="M309" s="21" t="n"/>
      <c r="N309" s="5" t="n"/>
    </row>
    <row r="310">
      <c r="A310" s="5" t="n"/>
      <c r="B310" s="5" t="n"/>
      <c r="C310" s="5" t="n"/>
      <c r="D310" s="5" t="n"/>
      <c r="E310" s="18" t="n"/>
      <c r="F310" s="18" t="n"/>
      <c r="G310" s="19">
        <f>IF(OR(E310="",F310=""),"",F310-E310)</f>
        <v/>
      </c>
      <c r="H310" s="20">
        <f>IF(OR(E310="",F310="",E310=0),"",(F310-E310)/E310)</f>
        <v/>
      </c>
      <c r="I310" s="21" t="n"/>
      <c r="J310" s="22">
        <f>IF(OR(E310="",I310=""),"",E310*I310)</f>
        <v/>
      </c>
      <c r="K310" s="22">
        <f>IF(OR(F310="",I310=""),"",F310*I310)</f>
        <v/>
      </c>
      <c r="L310" s="23">
        <f>IF(B310="","",IF(E310="","Cetvelde yok",IF(F310="","Projede bulunamadı",IF(H310&gt;MetrajTol,"Cetvelde eksik",IF(H310&lt;-MetrajTol,"Cetvelde fazla","Uygun")))))</f>
        <v/>
      </c>
      <c r="M310" s="21" t="n"/>
      <c r="N310" s="5" t="n"/>
    </row>
    <row r="311">
      <c r="A311" s="5" t="n"/>
      <c r="B311" s="5" t="n"/>
      <c r="C311" s="5" t="n"/>
      <c r="D311" s="5" t="n"/>
      <c r="E311" s="18" t="n"/>
      <c r="F311" s="18" t="n"/>
      <c r="G311" s="19">
        <f>IF(OR(E311="",F311=""),"",F311-E311)</f>
        <v/>
      </c>
      <c r="H311" s="20">
        <f>IF(OR(E311="",F311="",E311=0),"",(F311-E311)/E311)</f>
        <v/>
      </c>
      <c r="I311" s="21" t="n"/>
      <c r="J311" s="22">
        <f>IF(OR(E311="",I311=""),"",E311*I311)</f>
        <v/>
      </c>
      <c r="K311" s="22">
        <f>IF(OR(F311="",I311=""),"",F311*I311)</f>
        <v/>
      </c>
      <c r="L311" s="23">
        <f>IF(B311="","",IF(E311="","Cetvelde yok",IF(F311="","Projede bulunamadı",IF(H311&gt;MetrajTol,"Cetvelde eksik",IF(H311&lt;-MetrajTol,"Cetvelde fazla","Uygun")))))</f>
        <v/>
      </c>
      <c r="M311" s="21" t="n"/>
      <c r="N311" s="5" t="n"/>
    </row>
    <row r="312">
      <c r="A312" s="5" t="n"/>
      <c r="B312" s="5" t="n"/>
      <c r="C312" s="5" t="n"/>
      <c r="D312" s="5" t="n"/>
      <c r="E312" s="18" t="n"/>
      <c r="F312" s="18" t="n"/>
      <c r="G312" s="19">
        <f>IF(OR(E312="",F312=""),"",F312-E312)</f>
        <v/>
      </c>
      <c r="H312" s="20">
        <f>IF(OR(E312="",F312="",E312=0),"",(F312-E312)/E312)</f>
        <v/>
      </c>
      <c r="I312" s="21" t="n"/>
      <c r="J312" s="22">
        <f>IF(OR(E312="",I312=""),"",E312*I312)</f>
        <v/>
      </c>
      <c r="K312" s="22">
        <f>IF(OR(F312="",I312=""),"",F312*I312)</f>
        <v/>
      </c>
      <c r="L312" s="23">
        <f>IF(B312="","",IF(E312="","Cetvelde yok",IF(F312="","Projede bulunamadı",IF(H312&gt;MetrajTol,"Cetvelde eksik",IF(H312&lt;-MetrajTol,"Cetvelde fazla","Uygun")))))</f>
        <v/>
      </c>
      <c r="M312" s="21" t="n"/>
      <c r="N312" s="5" t="n"/>
    </row>
    <row r="313">
      <c r="A313" s="5" t="n"/>
      <c r="B313" s="5" t="n"/>
      <c r="C313" s="5" t="n"/>
      <c r="D313" s="5" t="n"/>
      <c r="E313" s="18" t="n"/>
      <c r="F313" s="18" t="n"/>
      <c r="G313" s="19">
        <f>IF(OR(E313="",F313=""),"",F313-E313)</f>
        <v/>
      </c>
      <c r="H313" s="20">
        <f>IF(OR(E313="",F313="",E313=0),"",(F313-E313)/E313)</f>
        <v/>
      </c>
      <c r="I313" s="21" t="n"/>
      <c r="J313" s="22">
        <f>IF(OR(E313="",I313=""),"",E313*I313)</f>
        <v/>
      </c>
      <c r="K313" s="22">
        <f>IF(OR(F313="",I313=""),"",F313*I313)</f>
        <v/>
      </c>
      <c r="L313" s="23">
        <f>IF(B313="","",IF(E313="","Cetvelde yok",IF(F313="","Projede bulunamadı",IF(H313&gt;MetrajTol,"Cetvelde eksik",IF(H313&lt;-MetrajTol,"Cetvelde fazla","Uygun")))))</f>
        <v/>
      </c>
      <c r="M313" s="21" t="n"/>
      <c r="N313" s="5" t="n"/>
    </row>
    <row r="314">
      <c r="A314" s="5" t="n"/>
      <c r="B314" s="5" t="n"/>
      <c r="C314" s="5" t="n"/>
      <c r="D314" s="5" t="n"/>
      <c r="E314" s="18" t="n"/>
      <c r="F314" s="18" t="n"/>
      <c r="G314" s="19">
        <f>IF(OR(E314="",F314=""),"",F314-E314)</f>
        <v/>
      </c>
      <c r="H314" s="20">
        <f>IF(OR(E314="",F314="",E314=0),"",(F314-E314)/E314)</f>
        <v/>
      </c>
      <c r="I314" s="21" t="n"/>
      <c r="J314" s="22">
        <f>IF(OR(E314="",I314=""),"",E314*I314)</f>
        <v/>
      </c>
      <c r="K314" s="22">
        <f>IF(OR(F314="",I314=""),"",F314*I314)</f>
        <v/>
      </c>
      <c r="L314" s="23">
        <f>IF(B314="","",IF(E314="","Cetvelde yok",IF(F314="","Projede bulunamadı",IF(H314&gt;MetrajTol,"Cetvelde eksik",IF(H314&lt;-MetrajTol,"Cetvelde fazla","Uygun")))))</f>
        <v/>
      </c>
      <c r="M314" s="21" t="n"/>
      <c r="N314" s="5" t="n"/>
    </row>
    <row r="315">
      <c r="A315" s="5" t="n"/>
      <c r="B315" s="5" t="n"/>
      <c r="C315" s="5" t="n"/>
      <c r="D315" s="5" t="n"/>
      <c r="E315" s="18" t="n"/>
      <c r="F315" s="18" t="n"/>
      <c r="G315" s="19">
        <f>IF(OR(E315="",F315=""),"",F315-E315)</f>
        <v/>
      </c>
      <c r="H315" s="20">
        <f>IF(OR(E315="",F315="",E315=0),"",(F315-E315)/E315)</f>
        <v/>
      </c>
      <c r="I315" s="21" t="n"/>
      <c r="J315" s="22">
        <f>IF(OR(E315="",I315=""),"",E315*I315)</f>
        <v/>
      </c>
      <c r="K315" s="22">
        <f>IF(OR(F315="",I315=""),"",F315*I315)</f>
        <v/>
      </c>
      <c r="L315" s="23">
        <f>IF(B315="","",IF(E315="","Cetvelde yok",IF(F315="","Projede bulunamadı",IF(H315&gt;MetrajTol,"Cetvelde eksik",IF(H315&lt;-MetrajTol,"Cetvelde fazla","Uygun")))))</f>
        <v/>
      </c>
      <c r="M315" s="21" t="n"/>
      <c r="N315" s="5" t="n"/>
    </row>
    <row r="316">
      <c r="A316" s="5" t="n"/>
      <c r="B316" s="5" t="n"/>
      <c r="C316" s="5" t="n"/>
      <c r="D316" s="5" t="n"/>
      <c r="E316" s="18" t="n"/>
      <c r="F316" s="18" t="n"/>
      <c r="G316" s="19">
        <f>IF(OR(E316="",F316=""),"",F316-E316)</f>
        <v/>
      </c>
      <c r="H316" s="20">
        <f>IF(OR(E316="",F316="",E316=0),"",(F316-E316)/E316)</f>
        <v/>
      </c>
      <c r="I316" s="21" t="n"/>
      <c r="J316" s="22">
        <f>IF(OR(E316="",I316=""),"",E316*I316)</f>
        <v/>
      </c>
      <c r="K316" s="22">
        <f>IF(OR(F316="",I316=""),"",F316*I316)</f>
        <v/>
      </c>
      <c r="L316" s="23">
        <f>IF(B316="","",IF(E316="","Cetvelde yok",IF(F316="","Projede bulunamadı",IF(H316&gt;MetrajTol,"Cetvelde eksik",IF(H316&lt;-MetrajTol,"Cetvelde fazla","Uygun")))))</f>
        <v/>
      </c>
      <c r="M316" s="21" t="n"/>
      <c r="N316" s="5" t="n"/>
    </row>
    <row r="317">
      <c r="A317" s="5" t="n"/>
      <c r="B317" s="5" t="n"/>
      <c r="C317" s="5" t="n"/>
      <c r="D317" s="5" t="n"/>
      <c r="E317" s="18" t="n"/>
      <c r="F317" s="18" t="n"/>
      <c r="G317" s="19">
        <f>IF(OR(E317="",F317=""),"",F317-E317)</f>
        <v/>
      </c>
      <c r="H317" s="20">
        <f>IF(OR(E317="",F317="",E317=0),"",(F317-E317)/E317)</f>
        <v/>
      </c>
      <c r="I317" s="21" t="n"/>
      <c r="J317" s="22">
        <f>IF(OR(E317="",I317=""),"",E317*I317)</f>
        <v/>
      </c>
      <c r="K317" s="22">
        <f>IF(OR(F317="",I317=""),"",F317*I317)</f>
        <v/>
      </c>
      <c r="L317" s="23">
        <f>IF(B317="","",IF(E317="","Cetvelde yok",IF(F317="","Projede bulunamadı",IF(H317&gt;MetrajTol,"Cetvelde eksik",IF(H317&lt;-MetrajTol,"Cetvelde fazla","Uygun")))))</f>
        <v/>
      </c>
      <c r="M317" s="21" t="n"/>
      <c r="N317" s="5" t="n"/>
    </row>
    <row r="318">
      <c r="A318" s="5" t="n"/>
      <c r="B318" s="5" t="n"/>
      <c r="C318" s="5" t="n"/>
      <c r="D318" s="5" t="n"/>
      <c r="E318" s="18" t="n"/>
      <c r="F318" s="18" t="n"/>
      <c r="G318" s="19">
        <f>IF(OR(E318="",F318=""),"",F318-E318)</f>
        <v/>
      </c>
      <c r="H318" s="20">
        <f>IF(OR(E318="",F318="",E318=0),"",(F318-E318)/E318)</f>
        <v/>
      </c>
      <c r="I318" s="21" t="n"/>
      <c r="J318" s="22">
        <f>IF(OR(E318="",I318=""),"",E318*I318)</f>
        <v/>
      </c>
      <c r="K318" s="22">
        <f>IF(OR(F318="",I318=""),"",F318*I318)</f>
        <v/>
      </c>
      <c r="L318" s="23">
        <f>IF(B318="","",IF(E318="","Cetvelde yok",IF(F318="","Projede bulunamadı",IF(H318&gt;MetrajTol,"Cetvelde eksik",IF(H318&lt;-MetrajTol,"Cetvelde fazla","Uygun")))))</f>
        <v/>
      </c>
      <c r="M318" s="21" t="n"/>
      <c r="N318" s="5" t="n"/>
    </row>
    <row r="319">
      <c r="A319" s="5" t="n"/>
      <c r="B319" s="5" t="n"/>
      <c r="C319" s="5" t="n"/>
      <c r="D319" s="5" t="n"/>
      <c r="E319" s="18" t="n"/>
      <c r="F319" s="18" t="n"/>
      <c r="G319" s="19">
        <f>IF(OR(E319="",F319=""),"",F319-E319)</f>
        <v/>
      </c>
      <c r="H319" s="20">
        <f>IF(OR(E319="",F319="",E319=0),"",(F319-E319)/E319)</f>
        <v/>
      </c>
      <c r="I319" s="21" t="n"/>
      <c r="J319" s="22">
        <f>IF(OR(E319="",I319=""),"",E319*I319)</f>
        <v/>
      </c>
      <c r="K319" s="22">
        <f>IF(OR(F319="",I319=""),"",F319*I319)</f>
        <v/>
      </c>
      <c r="L319" s="23">
        <f>IF(B319="","",IF(E319="","Cetvelde yok",IF(F319="","Projede bulunamadı",IF(H319&gt;MetrajTol,"Cetvelde eksik",IF(H319&lt;-MetrajTol,"Cetvelde fazla","Uygun")))))</f>
        <v/>
      </c>
      <c r="M319" s="21" t="n"/>
      <c r="N319" s="5" t="n"/>
    </row>
    <row r="320">
      <c r="A320" s="5" t="n"/>
      <c r="B320" s="5" t="n"/>
      <c r="C320" s="5" t="n"/>
      <c r="D320" s="5" t="n"/>
      <c r="E320" s="18" t="n"/>
      <c r="F320" s="18" t="n"/>
      <c r="G320" s="19">
        <f>IF(OR(E320="",F320=""),"",F320-E320)</f>
        <v/>
      </c>
      <c r="H320" s="20">
        <f>IF(OR(E320="",F320="",E320=0),"",(F320-E320)/E320)</f>
        <v/>
      </c>
      <c r="I320" s="21" t="n"/>
      <c r="J320" s="22">
        <f>IF(OR(E320="",I320=""),"",E320*I320)</f>
        <v/>
      </c>
      <c r="K320" s="22">
        <f>IF(OR(F320="",I320=""),"",F320*I320)</f>
        <v/>
      </c>
      <c r="L320" s="23">
        <f>IF(B320="","",IF(E320="","Cetvelde yok",IF(F320="","Projede bulunamadı",IF(H320&gt;MetrajTol,"Cetvelde eksik",IF(H320&lt;-MetrajTol,"Cetvelde fazla","Uygun")))))</f>
        <v/>
      </c>
      <c r="M320" s="21" t="n"/>
      <c r="N320" s="5" t="n"/>
    </row>
    <row r="321">
      <c r="A321" s="5" t="n"/>
      <c r="B321" s="5" t="n"/>
      <c r="C321" s="5" t="n"/>
      <c r="D321" s="5" t="n"/>
      <c r="E321" s="18" t="n"/>
      <c r="F321" s="18" t="n"/>
      <c r="G321" s="19">
        <f>IF(OR(E321="",F321=""),"",F321-E321)</f>
        <v/>
      </c>
      <c r="H321" s="20">
        <f>IF(OR(E321="",F321="",E321=0),"",(F321-E321)/E321)</f>
        <v/>
      </c>
      <c r="I321" s="21" t="n"/>
      <c r="J321" s="22">
        <f>IF(OR(E321="",I321=""),"",E321*I321)</f>
        <v/>
      </c>
      <c r="K321" s="22">
        <f>IF(OR(F321="",I321=""),"",F321*I321)</f>
        <v/>
      </c>
      <c r="L321" s="23">
        <f>IF(B321="","",IF(E321="","Cetvelde yok",IF(F321="","Projede bulunamadı",IF(H321&gt;MetrajTol,"Cetvelde eksik",IF(H321&lt;-MetrajTol,"Cetvelde fazla","Uygun")))))</f>
        <v/>
      </c>
      <c r="M321" s="21" t="n"/>
      <c r="N321" s="5" t="n"/>
    </row>
    <row r="322">
      <c r="A322" s="5" t="n"/>
      <c r="B322" s="5" t="n"/>
      <c r="C322" s="5" t="n"/>
      <c r="D322" s="5" t="n"/>
      <c r="E322" s="18" t="n"/>
      <c r="F322" s="18" t="n"/>
      <c r="G322" s="19">
        <f>IF(OR(E322="",F322=""),"",F322-E322)</f>
        <v/>
      </c>
      <c r="H322" s="20">
        <f>IF(OR(E322="",F322="",E322=0),"",(F322-E322)/E322)</f>
        <v/>
      </c>
      <c r="I322" s="21" t="n"/>
      <c r="J322" s="22">
        <f>IF(OR(E322="",I322=""),"",E322*I322)</f>
        <v/>
      </c>
      <c r="K322" s="22">
        <f>IF(OR(F322="",I322=""),"",F322*I322)</f>
        <v/>
      </c>
      <c r="L322" s="23">
        <f>IF(B322="","",IF(E322="","Cetvelde yok",IF(F322="","Projede bulunamadı",IF(H322&gt;MetrajTol,"Cetvelde eksik",IF(H322&lt;-MetrajTol,"Cetvelde fazla","Uygun")))))</f>
        <v/>
      </c>
      <c r="M322" s="21" t="n"/>
      <c r="N322" s="5" t="n"/>
    </row>
    <row r="323">
      <c r="A323" s="5" t="n"/>
      <c r="B323" s="5" t="n"/>
      <c r="C323" s="5" t="n"/>
      <c r="D323" s="5" t="n"/>
      <c r="E323" s="18" t="n"/>
      <c r="F323" s="18" t="n"/>
      <c r="G323" s="19">
        <f>IF(OR(E323="",F323=""),"",F323-E323)</f>
        <v/>
      </c>
      <c r="H323" s="20">
        <f>IF(OR(E323="",F323="",E323=0),"",(F323-E323)/E323)</f>
        <v/>
      </c>
      <c r="I323" s="21" t="n"/>
      <c r="J323" s="22">
        <f>IF(OR(E323="",I323=""),"",E323*I323)</f>
        <v/>
      </c>
      <c r="K323" s="22">
        <f>IF(OR(F323="",I323=""),"",F323*I323)</f>
        <v/>
      </c>
      <c r="L323" s="23">
        <f>IF(B323="","",IF(E323="","Cetvelde yok",IF(F323="","Projede bulunamadı",IF(H323&gt;MetrajTol,"Cetvelde eksik",IF(H323&lt;-MetrajTol,"Cetvelde fazla","Uygun")))))</f>
        <v/>
      </c>
      <c r="M323" s="21" t="n"/>
      <c r="N323" s="5" t="n"/>
    </row>
    <row r="324">
      <c r="A324" s="5" t="n"/>
      <c r="B324" s="5" t="n"/>
      <c r="C324" s="5" t="n"/>
      <c r="D324" s="5" t="n"/>
      <c r="E324" s="18" t="n"/>
      <c r="F324" s="18" t="n"/>
      <c r="G324" s="19">
        <f>IF(OR(E324="",F324=""),"",F324-E324)</f>
        <v/>
      </c>
      <c r="H324" s="20">
        <f>IF(OR(E324="",F324="",E324=0),"",(F324-E324)/E324)</f>
        <v/>
      </c>
      <c r="I324" s="21" t="n"/>
      <c r="J324" s="22">
        <f>IF(OR(E324="",I324=""),"",E324*I324)</f>
        <v/>
      </c>
      <c r="K324" s="22">
        <f>IF(OR(F324="",I324=""),"",F324*I324)</f>
        <v/>
      </c>
      <c r="L324" s="23">
        <f>IF(B324="","",IF(E324="","Cetvelde yok",IF(F324="","Projede bulunamadı",IF(H324&gt;MetrajTol,"Cetvelde eksik",IF(H324&lt;-MetrajTol,"Cetvelde fazla","Uygun")))))</f>
        <v/>
      </c>
      <c r="M324" s="21" t="n"/>
      <c r="N324" s="5" t="n"/>
    </row>
    <row r="325">
      <c r="A325" s="5" t="n"/>
      <c r="B325" s="5" t="n"/>
      <c r="C325" s="5" t="n"/>
      <c r="D325" s="5" t="n"/>
      <c r="E325" s="18" t="n"/>
      <c r="F325" s="18" t="n"/>
      <c r="G325" s="19">
        <f>IF(OR(E325="",F325=""),"",F325-E325)</f>
        <v/>
      </c>
      <c r="H325" s="20">
        <f>IF(OR(E325="",F325="",E325=0),"",(F325-E325)/E325)</f>
        <v/>
      </c>
      <c r="I325" s="21" t="n"/>
      <c r="J325" s="22">
        <f>IF(OR(E325="",I325=""),"",E325*I325)</f>
        <v/>
      </c>
      <c r="K325" s="22">
        <f>IF(OR(F325="",I325=""),"",F325*I325)</f>
        <v/>
      </c>
      <c r="L325" s="23">
        <f>IF(B325="","",IF(E325="","Cetvelde yok",IF(F325="","Projede bulunamadı",IF(H325&gt;MetrajTol,"Cetvelde eksik",IF(H325&lt;-MetrajTol,"Cetvelde fazla","Uygun")))))</f>
        <v/>
      </c>
      <c r="M325" s="21" t="n"/>
      <c r="N325" s="5" t="n"/>
    </row>
    <row r="326">
      <c r="A326" s="5" t="n"/>
      <c r="B326" s="5" t="n"/>
      <c r="C326" s="5" t="n"/>
      <c r="D326" s="5" t="n"/>
      <c r="E326" s="18" t="n"/>
      <c r="F326" s="18" t="n"/>
      <c r="G326" s="19">
        <f>IF(OR(E326="",F326=""),"",F326-E326)</f>
        <v/>
      </c>
      <c r="H326" s="20">
        <f>IF(OR(E326="",F326="",E326=0),"",(F326-E326)/E326)</f>
        <v/>
      </c>
      <c r="I326" s="21" t="n"/>
      <c r="J326" s="22">
        <f>IF(OR(E326="",I326=""),"",E326*I326)</f>
        <v/>
      </c>
      <c r="K326" s="22">
        <f>IF(OR(F326="",I326=""),"",F326*I326)</f>
        <v/>
      </c>
      <c r="L326" s="23">
        <f>IF(B326="","",IF(E326="","Cetvelde yok",IF(F326="","Projede bulunamadı",IF(H326&gt;MetrajTol,"Cetvelde eksik",IF(H326&lt;-MetrajTol,"Cetvelde fazla","Uygun")))))</f>
        <v/>
      </c>
      <c r="M326" s="21" t="n"/>
      <c r="N326" s="5" t="n"/>
    </row>
    <row r="327">
      <c r="A327" s="5" t="n"/>
      <c r="B327" s="5" t="n"/>
      <c r="C327" s="5" t="n"/>
      <c r="D327" s="5" t="n"/>
      <c r="E327" s="18" t="n"/>
      <c r="F327" s="18" t="n"/>
      <c r="G327" s="19">
        <f>IF(OR(E327="",F327=""),"",F327-E327)</f>
        <v/>
      </c>
      <c r="H327" s="20">
        <f>IF(OR(E327="",F327="",E327=0),"",(F327-E327)/E327)</f>
        <v/>
      </c>
      <c r="I327" s="21" t="n"/>
      <c r="J327" s="22">
        <f>IF(OR(E327="",I327=""),"",E327*I327)</f>
        <v/>
      </c>
      <c r="K327" s="22">
        <f>IF(OR(F327="",I327=""),"",F327*I327)</f>
        <v/>
      </c>
      <c r="L327" s="23">
        <f>IF(B327="","",IF(E327="","Cetvelde yok",IF(F327="","Projede bulunamadı",IF(H327&gt;MetrajTol,"Cetvelde eksik",IF(H327&lt;-MetrajTol,"Cetvelde fazla","Uygun")))))</f>
        <v/>
      </c>
      <c r="M327" s="21" t="n"/>
      <c r="N327" s="5" t="n"/>
    </row>
    <row r="328">
      <c r="A328" s="5" t="n"/>
      <c r="B328" s="5" t="n"/>
      <c r="C328" s="5" t="n"/>
      <c r="D328" s="5" t="n"/>
      <c r="E328" s="18" t="n"/>
      <c r="F328" s="18" t="n"/>
      <c r="G328" s="19">
        <f>IF(OR(E328="",F328=""),"",F328-E328)</f>
        <v/>
      </c>
      <c r="H328" s="20">
        <f>IF(OR(E328="",F328="",E328=0),"",(F328-E328)/E328)</f>
        <v/>
      </c>
      <c r="I328" s="21" t="n"/>
      <c r="J328" s="22">
        <f>IF(OR(E328="",I328=""),"",E328*I328)</f>
        <v/>
      </c>
      <c r="K328" s="22">
        <f>IF(OR(F328="",I328=""),"",F328*I328)</f>
        <v/>
      </c>
      <c r="L328" s="23">
        <f>IF(B328="","",IF(E328="","Cetvelde yok",IF(F328="","Projede bulunamadı",IF(H328&gt;MetrajTol,"Cetvelde eksik",IF(H328&lt;-MetrajTol,"Cetvelde fazla","Uygun")))))</f>
        <v/>
      </c>
      <c r="M328" s="21" t="n"/>
      <c r="N328" s="5" t="n"/>
    </row>
    <row r="329">
      <c r="A329" s="5" t="n"/>
      <c r="B329" s="5" t="n"/>
      <c r="C329" s="5" t="n"/>
      <c r="D329" s="5" t="n"/>
      <c r="E329" s="18" t="n"/>
      <c r="F329" s="18" t="n"/>
      <c r="G329" s="19">
        <f>IF(OR(E329="",F329=""),"",F329-E329)</f>
        <v/>
      </c>
      <c r="H329" s="20">
        <f>IF(OR(E329="",F329="",E329=0),"",(F329-E329)/E329)</f>
        <v/>
      </c>
      <c r="I329" s="21" t="n"/>
      <c r="J329" s="22">
        <f>IF(OR(E329="",I329=""),"",E329*I329)</f>
        <v/>
      </c>
      <c r="K329" s="22">
        <f>IF(OR(F329="",I329=""),"",F329*I329)</f>
        <v/>
      </c>
      <c r="L329" s="23">
        <f>IF(B329="","",IF(E329="","Cetvelde yok",IF(F329="","Projede bulunamadı",IF(H329&gt;MetrajTol,"Cetvelde eksik",IF(H329&lt;-MetrajTol,"Cetvelde fazla","Uygun")))))</f>
        <v/>
      </c>
      <c r="M329" s="21" t="n"/>
      <c r="N329" s="5" t="n"/>
    </row>
    <row r="330">
      <c r="A330" s="5" t="n"/>
      <c r="B330" s="5" t="n"/>
      <c r="C330" s="5" t="n"/>
      <c r="D330" s="5" t="n"/>
      <c r="E330" s="18" t="n"/>
      <c r="F330" s="18" t="n"/>
      <c r="G330" s="19">
        <f>IF(OR(E330="",F330=""),"",F330-E330)</f>
        <v/>
      </c>
      <c r="H330" s="20">
        <f>IF(OR(E330="",F330="",E330=0),"",(F330-E330)/E330)</f>
        <v/>
      </c>
      <c r="I330" s="21" t="n"/>
      <c r="J330" s="22">
        <f>IF(OR(E330="",I330=""),"",E330*I330)</f>
        <v/>
      </c>
      <c r="K330" s="22">
        <f>IF(OR(F330="",I330=""),"",F330*I330)</f>
        <v/>
      </c>
      <c r="L330" s="23">
        <f>IF(B330="","",IF(E330="","Cetvelde yok",IF(F330="","Projede bulunamadı",IF(H330&gt;MetrajTol,"Cetvelde eksik",IF(H330&lt;-MetrajTol,"Cetvelde fazla","Uygun")))))</f>
        <v/>
      </c>
      <c r="M330" s="21" t="n"/>
      <c r="N330" s="5" t="n"/>
    </row>
    <row r="331">
      <c r="A331" s="5" t="n"/>
      <c r="B331" s="5" t="n"/>
      <c r="C331" s="5" t="n"/>
      <c r="D331" s="5" t="n"/>
      <c r="E331" s="18" t="n"/>
      <c r="F331" s="18" t="n"/>
      <c r="G331" s="19">
        <f>IF(OR(E331="",F331=""),"",F331-E331)</f>
        <v/>
      </c>
      <c r="H331" s="20">
        <f>IF(OR(E331="",F331="",E331=0),"",(F331-E331)/E331)</f>
        <v/>
      </c>
      <c r="I331" s="21" t="n"/>
      <c r="J331" s="22">
        <f>IF(OR(E331="",I331=""),"",E331*I331)</f>
        <v/>
      </c>
      <c r="K331" s="22">
        <f>IF(OR(F331="",I331=""),"",F331*I331)</f>
        <v/>
      </c>
      <c r="L331" s="23">
        <f>IF(B331="","",IF(E331="","Cetvelde yok",IF(F331="","Projede bulunamadı",IF(H331&gt;MetrajTol,"Cetvelde eksik",IF(H331&lt;-MetrajTol,"Cetvelde fazla","Uygun")))))</f>
        <v/>
      </c>
      <c r="M331" s="21" t="n"/>
      <c r="N331" s="5" t="n"/>
    </row>
    <row r="332">
      <c r="A332" s="5" t="n"/>
      <c r="B332" s="5" t="n"/>
      <c r="C332" s="5" t="n"/>
      <c r="D332" s="5" t="n"/>
      <c r="E332" s="18" t="n"/>
      <c r="F332" s="18" t="n"/>
      <c r="G332" s="19">
        <f>IF(OR(E332="",F332=""),"",F332-E332)</f>
        <v/>
      </c>
      <c r="H332" s="20">
        <f>IF(OR(E332="",F332="",E332=0),"",(F332-E332)/E332)</f>
        <v/>
      </c>
      <c r="I332" s="21" t="n"/>
      <c r="J332" s="22">
        <f>IF(OR(E332="",I332=""),"",E332*I332)</f>
        <v/>
      </c>
      <c r="K332" s="22">
        <f>IF(OR(F332="",I332=""),"",F332*I332)</f>
        <v/>
      </c>
      <c r="L332" s="23">
        <f>IF(B332="","",IF(E332="","Cetvelde yok",IF(F332="","Projede bulunamadı",IF(H332&gt;MetrajTol,"Cetvelde eksik",IF(H332&lt;-MetrajTol,"Cetvelde fazla","Uygun")))))</f>
        <v/>
      </c>
      <c r="M332" s="21" t="n"/>
      <c r="N332" s="5" t="n"/>
    </row>
    <row r="333">
      <c r="A333" s="5" t="n"/>
      <c r="B333" s="5" t="n"/>
      <c r="C333" s="5" t="n"/>
      <c r="D333" s="5" t="n"/>
      <c r="E333" s="18" t="n"/>
      <c r="F333" s="18" t="n"/>
      <c r="G333" s="19">
        <f>IF(OR(E333="",F333=""),"",F333-E333)</f>
        <v/>
      </c>
      <c r="H333" s="20">
        <f>IF(OR(E333="",F333="",E333=0),"",(F333-E333)/E333)</f>
        <v/>
      </c>
      <c r="I333" s="21" t="n"/>
      <c r="J333" s="22">
        <f>IF(OR(E333="",I333=""),"",E333*I333)</f>
        <v/>
      </c>
      <c r="K333" s="22">
        <f>IF(OR(F333="",I333=""),"",F333*I333)</f>
        <v/>
      </c>
      <c r="L333" s="23">
        <f>IF(B333="","",IF(E333="","Cetvelde yok",IF(F333="","Projede bulunamadı",IF(H333&gt;MetrajTol,"Cetvelde eksik",IF(H333&lt;-MetrajTol,"Cetvelde fazla","Uygun")))))</f>
        <v/>
      </c>
      <c r="M333" s="21" t="n"/>
      <c r="N333" s="5" t="n"/>
    </row>
    <row r="334">
      <c r="A334" s="5" t="n"/>
      <c r="B334" s="5" t="n"/>
      <c r="C334" s="5" t="n"/>
      <c r="D334" s="5" t="n"/>
      <c r="E334" s="18" t="n"/>
      <c r="F334" s="18" t="n"/>
      <c r="G334" s="19">
        <f>IF(OR(E334="",F334=""),"",F334-E334)</f>
        <v/>
      </c>
      <c r="H334" s="20">
        <f>IF(OR(E334="",F334="",E334=0),"",(F334-E334)/E334)</f>
        <v/>
      </c>
      <c r="I334" s="21" t="n"/>
      <c r="J334" s="22">
        <f>IF(OR(E334="",I334=""),"",E334*I334)</f>
        <v/>
      </c>
      <c r="K334" s="22">
        <f>IF(OR(F334="",I334=""),"",F334*I334)</f>
        <v/>
      </c>
      <c r="L334" s="23">
        <f>IF(B334="","",IF(E334="","Cetvelde yok",IF(F334="","Projede bulunamadı",IF(H334&gt;MetrajTol,"Cetvelde eksik",IF(H334&lt;-MetrajTol,"Cetvelde fazla","Uygun")))))</f>
        <v/>
      </c>
      <c r="M334" s="21" t="n"/>
      <c r="N334" s="5" t="n"/>
    </row>
    <row r="335">
      <c r="A335" s="5" t="n"/>
      <c r="B335" s="5" t="n"/>
      <c r="C335" s="5" t="n"/>
      <c r="D335" s="5" t="n"/>
      <c r="E335" s="18" t="n"/>
      <c r="F335" s="18" t="n"/>
      <c r="G335" s="19">
        <f>IF(OR(E335="",F335=""),"",F335-E335)</f>
        <v/>
      </c>
      <c r="H335" s="20">
        <f>IF(OR(E335="",F335="",E335=0),"",(F335-E335)/E335)</f>
        <v/>
      </c>
      <c r="I335" s="21" t="n"/>
      <c r="J335" s="22">
        <f>IF(OR(E335="",I335=""),"",E335*I335)</f>
        <v/>
      </c>
      <c r="K335" s="22">
        <f>IF(OR(F335="",I335=""),"",F335*I335)</f>
        <v/>
      </c>
      <c r="L335" s="23">
        <f>IF(B335="","",IF(E335="","Cetvelde yok",IF(F335="","Projede bulunamadı",IF(H335&gt;MetrajTol,"Cetvelde eksik",IF(H335&lt;-MetrajTol,"Cetvelde fazla","Uygun")))))</f>
        <v/>
      </c>
      <c r="M335" s="21" t="n"/>
      <c r="N335" s="5" t="n"/>
    </row>
    <row r="336">
      <c r="A336" s="5" t="n"/>
      <c r="B336" s="5" t="n"/>
      <c r="C336" s="5" t="n"/>
      <c r="D336" s="5" t="n"/>
      <c r="E336" s="18" t="n"/>
      <c r="F336" s="18" t="n"/>
      <c r="G336" s="19">
        <f>IF(OR(E336="",F336=""),"",F336-E336)</f>
        <v/>
      </c>
      <c r="H336" s="20">
        <f>IF(OR(E336="",F336="",E336=0),"",(F336-E336)/E336)</f>
        <v/>
      </c>
      <c r="I336" s="21" t="n"/>
      <c r="J336" s="22">
        <f>IF(OR(E336="",I336=""),"",E336*I336)</f>
        <v/>
      </c>
      <c r="K336" s="22">
        <f>IF(OR(F336="",I336=""),"",F336*I336)</f>
        <v/>
      </c>
      <c r="L336" s="23">
        <f>IF(B336="","",IF(E336="","Cetvelde yok",IF(F336="","Projede bulunamadı",IF(H336&gt;MetrajTol,"Cetvelde eksik",IF(H336&lt;-MetrajTol,"Cetvelde fazla","Uygun")))))</f>
        <v/>
      </c>
      <c r="M336" s="21" t="n"/>
      <c r="N336" s="5" t="n"/>
    </row>
    <row r="337">
      <c r="A337" s="5" t="n"/>
      <c r="B337" s="5" t="n"/>
      <c r="C337" s="5" t="n"/>
      <c r="D337" s="5" t="n"/>
      <c r="E337" s="18" t="n"/>
      <c r="F337" s="18" t="n"/>
      <c r="G337" s="19">
        <f>IF(OR(E337="",F337=""),"",F337-E337)</f>
        <v/>
      </c>
      <c r="H337" s="20">
        <f>IF(OR(E337="",F337="",E337=0),"",(F337-E337)/E337)</f>
        <v/>
      </c>
      <c r="I337" s="21" t="n"/>
      <c r="J337" s="22">
        <f>IF(OR(E337="",I337=""),"",E337*I337)</f>
        <v/>
      </c>
      <c r="K337" s="22">
        <f>IF(OR(F337="",I337=""),"",F337*I337)</f>
        <v/>
      </c>
      <c r="L337" s="23">
        <f>IF(B337="","",IF(E337="","Cetvelde yok",IF(F337="","Projede bulunamadı",IF(H337&gt;MetrajTol,"Cetvelde eksik",IF(H337&lt;-MetrajTol,"Cetvelde fazla","Uygun")))))</f>
        <v/>
      </c>
      <c r="M337" s="21" t="n"/>
      <c r="N337" s="5" t="n"/>
    </row>
    <row r="338">
      <c r="A338" s="5" t="n"/>
      <c r="B338" s="5" t="n"/>
      <c r="C338" s="5" t="n"/>
      <c r="D338" s="5" t="n"/>
      <c r="E338" s="18" t="n"/>
      <c r="F338" s="18" t="n"/>
      <c r="G338" s="19">
        <f>IF(OR(E338="",F338=""),"",F338-E338)</f>
        <v/>
      </c>
      <c r="H338" s="20">
        <f>IF(OR(E338="",F338="",E338=0),"",(F338-E338)/E338)</f>
        <v/>
      </c>
      <c r="I338" s="21" t="n"/>
      <c r="J338" s="22">
        <f>IF(OR(E338="",I338=""),"",E338*I338)</f>
        <v/>
      </c>
      <c r="K338" s="22">
        <f>IF(OR(F338="",I338=""),"",F338*I338)</f>
        <v/>
      </c>
      <c r="L338" s="23">
        <f>IF(B338="","",IF(E338="","Cetvelde yok",IF(F338="","Projede bulunamadı",IF(H338&gt;MetrajTol,"Cetvelde eksik",IF(H338&lt;-MetrajTol,"Cetvelde fazla","Uygun")))))</f>
        <v/>
      </c>
      <c r="M338" s="21" t="n"/>
      <c r="N338" s="5" t="n"/>
    </row>
    <row r="339">
      <c r="A339" s="5" t="n"/>
      <c r="B339" s="5" t="n"/>
      <c r="C339" s="5" t="n"/>
      <c r="D339" s="5" t="n"/>
      <c r="E339" s="18" t="n"/>
      <c r="F339" s="18" t="n"/>
      <c r="G339" s="19">
        <f>IF(OR(E339="",F339=""),"",F339-E339)</f>
        <v/>
      </c>
      <c r="H339" s="20">
        <f>IF(OR(E339="",F339="",E339=0),"",(F339-E339)/E339)</f>
        <v/>
      </c>
      <c r="I339" s="21" t="n"/>
      <c r="J339" s="22">
        <f>IF(OR(E339="",I339=""),"",E339*I339)</f>
        <v/>
      </c>
      <c r="K339" s="22">
        <f>IF(OR(F339="",I339=""),"",F339*I339)</f>
        <v/>
      </c>
      <c r="L339" s="23">
        <f>IF(B339="","",IF(E339="","Cetvelde yok",IF(F339="","Projede bulunamadı",IF(H339&gt;MetrajTol,"Cetvelde eksik",IF(H339&lt;-MetrajTol,"Cetvelde fazla","Uygun")))))</f>
        <v/>
      </c>
      <c r="M339" s="21" t="n"/>
      <c r="N339" s="5" t="n"/>
    </row>
    <row r="340">
      <c r="A340" s="5" t="n"/>
      <c r="B340" s="5" t="n"/>
      <c r="C340" s="5" t="n"/>
      <c r="D340" s="5" t="n"/>
      <c r="E340" s="18" t="n"/>
      <c r="F340" s="18" t="n"/>
      <c r="G340" s="19">
        <f>IF(OR(E340="",F340=""),"",F340-E340)</f>
        <v/>
      </c>
      <c r="H340" s="20">
        <f>IF(OR(E340="",F340="",E340=0),"",(F340-E340)/E340)</f>
        <v/>
      </c>
      <c r="I340" s="21" t="n"/>
      <c r="J340" s="22">
        <f>IF(OR(E340="",I340=""),"",E340*I340)</f>
        <v/>
      </c>
      <c r="K340" s="22">
        <f>IF(OR(F340="",I340=""),"",F340*I340)</f>
        <v/>
      </c>
      <c r="L340" s="23">
        <f>IF(B340="","",IF(E340="","Cetvelde yok",IF(F340="","Projede bulunamadı",IF(H340&gt;MetrajTol,"Cetvelde eksik",IF(H340&lt;-MetrajTol,"Cetvelde fazla","Uygun")))))</f>
        <v/>
      </c>
      <c r="M340" s="21" t="n"/>
      <c r="N340" s="5" t="n"/>
    </row>
    <row r="341">
      <c r="A341" s="5" t="n"/>
      <c r="B341" s="5" t="n"/>
      <c r="C341" s="5" t="n"/>
      <c r="D341" s="5" t="n"/>
      <c r="E341" s="18" t="n"/>
      <c r="F341" s="18" t="n"/>
      <c r="G341" s="19">
        <f>IF(OR(E341="",F341=""),"",F341-E341)</f>
        <v/>
      </c>
      <c r="H341" s="20">
        <f>IF(OR(E341="",F341="",E341=0),"",(F341-E341)/E341)</f>
        <v/>
      </c>
      <c r="I341" s="21" t="n"/>
      <c r="J341" s="22">
        <f>IF(OR(E341="",I341=""),"",E341*I341)</f>
        <v/>
      </c>
      <c r="K341" s="22">
        <f>IF(OR(F341="",I341=""),"",F341*I341)</f>
        <v/>
      </c>
      <c r="L341" s="23">
        <f>IF(B341="","",IF(E341="","Cetvelde yok",IF(F341="","Projede bulunamadı",IF(H341&gt;MetrajTol,"Cetvelde eksik",IF(H341&lt;-MetrajTol,"Cetvelde fazla","Uygun")))))</f>
        <v/>
      </c>
      <c r="M341" s="21" t="n"/>
      <c r="N341" s="5" t="n"/>
    </row>
    <row r="342">
      <c r="A342" s="5" t="n"/>
      <c r="B342" s="5" t="n"/>
      <c r="C342" s="5" t="n"/>
      <c r="D342" s="5" t="n"/>
      <c r="E342" s="18" t="n"/>
      <c r="F342" s="18" t="n"/>
      <c r="G342" s="19">
        <f>IF(OR(E342="",F342=""),"",F342-E342)</f>
        <v/>
      </c>
      <c r="H342" s="20">
        <f>IF(OR(E342="",F342="",E342=0),"",(F342-E342)/E342)</f>
        <v/>
      </c>
      <c r="I342" s="21" t="n"/>
      <c r="J342" s="22">
        <f>IF(OR(E342="",I342=""),"",E342*I342)</f>
        <v/>
      </c>
      <c r="K342" s="22">
        <f>IF(OR(F342="",I342=""),"",F342*I342)</f>
        <v/>
      </c>
      <c r="L342" s="23">
        <f>IF(B342="","",IF(E342="","Cetvelde yok",IF(F342="","Projede bulunamadı",IF(H342&gt;MetrajTol,"Cetvelde eksik",IF(H342&lt;-MetrajTol,"Cetvelde fazla","Uygun")))))</f>
        <v/>
      </c>
      <c r="M342" s="21" t="n"/>
      <c r="N342" s="5" t="n"/>
    </row>
    <row r="343">
      <c r="A343" s="5" t="n"/>
      <c r="B343" s="5" t="n"/>
      <c r="C343" s="5" t="n"/>
      <c r="D343" s="5" t="n"/>
      <c r="E343" s="18" t="n"/>
      <c r="F343" s="18" t="n"/>
      <c r="G343" s="19">
        <f>IF(OR(E343="",F343=""),"",F343-E343)</f>
        <v/>
      </c>
      <c r="H343" s="20">
        <f>IF(OR(E343="",F343="",E343=0),"",(F343-E343)/E343)</f>
        <v/>
      </c>
      <c r="I343" s="21" t="n"/>
      <c r="J343" s="22">
        <f>IF(OR(E343="",I343=""),"",E343*I343)</f>
        <v/>
      </c>
      <c r="K343" s="22">
        <f>IF(OR(F343="",I343=""),"",F343*I343)</f>
        <v/>
      </c>
      <c r="L343" s="23">
        <f>IF(B343="","",IF(E343="","Cetvelde yok",IF(F343="","Projede bulunamadı",IF(H343&gt;MetrajTol,"Cetvelde eksik",IF(H343&lt;-MetrajTol,"Cetvelde fazla","Uygun")))))</f>
        <v/>
      </c>
      <c r="M343" s="21" t="n"/>
      <c r="N343" s="5" t="n"/>
    </row>
    <row r="344">
      <c r="A344" s="5" t="n"/>
      <c r="B344" s="5" t="n"/>
      <c r="C344" s="5" t="n"/>
      <c r="D344" s="5" t="n"/>
      <c r="E344" s="18" t="n"/>
      <c r="F344" s="18" t="n"/>
      <c r="G344" s="19">
        <f>IF(OR(E344="",F344=""),"",F344-E344)</f>
        <v/>
      </c>
      <c r="H344" s="20">
        <f>IF(OR(E344="",F344="",E344=0),"",(F344-E344)/E344)</f>
        <v/>
      </c>
      <c r="I344" s="21" t="n"/>
      <c r="J344" s="22">
        <f>IF(OR(E344="",I344=""),"",E344*I344)</f>
        <v/>
      </c>
      <c r="K344" s="22">
        <f>IF(OR(F344="",I344=""),"",F344*I344)</f>
        <v/>
      </c>
      <c r="L344" s="23">
        <f>IF(B344="","",IF(E344="","Cetvelde yok",IF(F344="","Projede bulunamadı",IF(H344&gt;MetrajTol,"Cetvelde eksik",IF(H344&lt;-MetrajTol,"Cetvelde fazla","Uygun")))))</f>
        <v/>
      </c>
      <c r="M344" s="21" t="n"/>
      <c r="N344" s="5" t="n"/>
    </row>
    <row r="345">
      <c r="A345" s="5" t="n"/>
      <c r="B345" s="5" t="n"/>
      <c r="C345" s="5" t="n"/>
      <c r="D345" s="5" t="n"/>
      <c r="E345" s="18" t="n"/>
      <c r="F345" s="18" t="n"/>
      <c r="G345" s="19">
        <f>IF(OR(E345="",F345=""),"",F345-E345)</f>
        <v/>
      </c>
      <c r="H345" s="20">
        <f>IF(OR(E345="",F345="",E345=0),"",(F345-E345)/E345)</f>
        <v/>
      </c>
      <c r="I345" s="21" t="n"/>
      <c r="J345" s="22">
        <f>IF(OR(E345="",I345=""),"",E345*I345)</f>
        <v/>
      </c>
      <c r="K345" s="22">
        <f>IF(OR(F345="",I345=""),"",F345*I345)</f>
        <v/>
      </c>
      <c r="L345" s="23">
        <f>IF(B345="","",IF(E345="","Cetvelde yok",IF(F345="","Projede bulunamadı",IF(H345&gt;MetrajTol,"Cetvelde eksik",IF(H345&lt;-MetrajTol,"Cetvelde fazla","Uygun")))))</f>
        <v/>
      </c>
      <c r="M345" s="21" t="n"/>
      <c r="N345" s="5" t="n"/>
    </row>
    <row r="346">
      <c r="A346" s="5" t="n"/>
      <c r="B346" s="5" t="n"/>
      <c r="C346" s="5" t="n"/>
      <c r="D346" s="5" t="n"/>
      <c r="E346" s="18" t="n"/>
      <c r="F346" s="18" t="n"/>
      <c r="G346" s="19">
        <f>IF(OR(E346="",F346=""),"",F346-E346)</f>
        <v/>
      </c>
      <c r="H346" s="20">
        <f>IF(OR(E346="",F346="",E346=0),"",(F346-E346)/E346)</f>
        <v/>
      </c>
      <c r="I346" s="21" t="n"/>
      <c r="J346" s="22">
        <f>IF(OR(E346="",I346=""),"",E346*I346)</f>
        <v/>
      </c>
      <c r="K346" s="22">
        <f>IF(OR(F346="",I346=""),"",F346*I346)</f>
        <v/>
      </c>
      <c r="L346" s="23">
        <f>IF(B346="","",IF(E346="","Cetvelde yok",IF(F346="","Projede bulunamadı",IF(H346&gt;MetrajTol,"Cetvelde eksik",IF(H346&lt;-MetrajTol,"Cetvelde fazla","Uygun")))))</f>
        <v/>
      </c>
      <c r="M346" s="21" t="n"/>
      <c r="N346" s="5" t="n"/>
    </row>
    <row r="347">
      <c r="A347" s="5" t="n"/>
      <c r="B347" s="5" t="n"/>
      <c r="C347" s="5" t="n"/>
      <c r="D347" s="5" t="n"/>
      <c r="E347" s="18" t="n"/>
      <c r="F347" s="18" t="n"/>
      <c r="G347" s="19">
        <f>IF(OR(E347="",F347=""),"",F347-E347)</f>
        <v/>
      </c>
      <c r="H347" s="20">
        <f>IF(OR(E347="",F347="",E347=0),"",(F347-E347)/E347)</f>
        <v/>
      </c>
      <c r="I347" s="21" t="n"/>
      <c r="J347" s="22">
        <f>IF(OR(E347="",I347=""),"",E347*I347)</f>
        <v/>
      </c>
      <c r="K347" s="22">
        <f>IF(OR(F347="",I347=""),"",F347*I347)</f>
        <v/>
      </c>
      <c r="L347" s="23">
        <f>IF(B347="","",IF(E347="","Cetvelde yok",IF(F347="","Projede bulunamadı",IF(H347&gt;MetrajTol,"Cetvelde eksik",IF(H347&lt;-MetrajTol,"Cetvelde fazla","Uygun")))))</f>
        <v/>
      </c>
      <c r="M347" s="21" t="n"/>
      <c r="N347" s="5" t="n"/>
    </row>
    <row r="348">
      <c r="A348" s="5" t="n"/>
      <c r="B348" s="5" t="n"/>
      <c r="C348" s="5" t="n"/>
      <c r="D348" s="5" t="n"/>
      <c r="E348" s="18" t="n"/>
      <c r="F348" s="18" t="n"/>
      <c r="G348" s="19">
        <f>IF(OR(E348="",F348=""),"",F348-E348)</f>
        <v/>
      </c>
      <c r="H348" s="20">
        <f>IF(OR(E348="",F348="",E348=0),"",(F348-E348)/E348)</f>
        <v/>
      </c>
      <c r="I348" s="21" t="n"/>
      <c r="J348" s="22">
        <f>IF(OR(E348="",I348=""),"",E348*I348)</f>
        <v/>
      </c>
      <c r="K348" s="22">
        <f>IF(OR(F348="",I348=""),"",F348*I348)</f>
        <v/>
      </c>
      <c r="L348" s="23">
        <f>IF(B348="","",IF(E348="","Cetvelde yok",IF(F348="","Projede bulunamadı",IF(H348&gt;MetrajTol,"Cetvelde eksik",IF(H348&lt;-MetrajTol,"Cetvelde fazla","Uygun")))))</f>
        <v/>
      </c>
      <c r="M348" s="21" t="n"/>
      <c r="N348" s="5" t="n"/>
    </row>
    <row r="349">
      <c r="A349" s="5" t="n"/>
      <c r="B349" s="5" t="n"/>
      <c r="C349" s="5" t="n"/>
      <c r="D349" s="5" t="n"/>
      <c r="E349" s="18" t="n"/>
      <c r="F349" s="18" t="n"/>
      <c r="G349" s="19">
        <f>IF(OR(E349="",F349=""),"",F349-E349)</f>
        <v/>
      </c>
      <c r="H349" s="20">
        <f>IF(OR(E349="",F349="",E349=0),"",(F349-E349)/E349)</f>
        <v/>
      </c>
      <c r="I349" s="21" t="n"/>
      <c r="J349" s="22">
        <f>IF(OR(E349="",I349=""),"",E349*I349)</f>
        <v/>
      </c>
      <c r="K349" s="22">
        <f>IF(OR(F349="",I349=""),"",F349*I349)</f>
        <v/>
      </c>
      <c r="L349" s="23">
        <f>IF(B349="","",IF(E349="","Cetvelde yok",IF(F349="","Projede bulunamadı",IF(H349&gt;MetrajTol,"Cetvelde eksik",IF(H349&lt;-MetrajTol,"Cetvelde fazla","Uygun")))))</f>
        <v/>
      </c>
      <c r="M349" s="21" t="n"/>
      <c r="N349" s="5" t="n"/>
    </row>
    <row r="350">
      <c r="A350" s="5" t="n"/>
      <c r="B350" s="5" t="n"/>
      <c r="C350" s="5" t="n"/>
      <c r="D350" s="5" t="n"/>
      <c r="E350" s="18" t="n"/>
      <c r="F350" s="18" t="n"/>
      <c r="G350" s="19">
        <f>IF(OR(E350="",F350=""),"",F350-E350)</f>
        <v/>
      </c>
      <c r="H350" s="20">
        <f>IF(OR(E350="",F350="",E350=0),"",(F350-E350)/E350)</f>
        <v/>
      </c>
      <c r="I350" s="21" t="n"/>
      <c r="J350" s="22">
        <f>IF(OR(E350="",I350=""),"",E350*I350)</f>
        <v/>
      </c>
      <c r="K350" s="22">
        <f>IF(OR(F350="",I350=""),"",F350*I350)</f>
        <v/>
      </c>
      <c r="L350" s="23">
        <f>IF(B350="","",IF(E350="","Cetvelde yok",IF(F350="","Projede bulunamadı",IF(H350&gt;MetrajTol,"Cetvelde eksik",IF(H350&lt;-MetrajTol,"Cetvelde fazla","Uygun")))))</f>
        <v/>
      </c>
      <c r="M350" s="21" t="n"/>
      <c r="N350" s="5" t="n"/>
    </row>
    <row r="351">
      <c r="A351" s="5" t="n"/>
      <c r="B351" s="5" t="n"/>
      <c r="C351" s="5" t="n"/>
      <c r="D351" s="5" t="n"/>
      <c r="E351" s="18" t="n"/>
      <c r="F351" s="18" t="n"/>
      <c r="G351" s="19">
        <f>IF(OR(E351="",F351=""),"",F351-E351)</f>
        <v/>
      </c>
      <c r="H351" s="20">
        <f>IF(OR(E351="",F351="",E351=0),"",(F351-E351)/E351)</f>
        <v/>
      </c>
      <c r="I351" s="21" t="n"/>
      <c r="J351" s="22">
        <f>IF(OR(E351="",I351=""),"",E351*I351)</f>
        <v/>
      </c>
      <c r="K351" s="22">
        <f>IF(OR(F351="",I351=""),"",F351*I351)</f>
        <v/>
      </c>
      <c r="L351" s="23">
        <f>IF(B351="","",IF(E351="","Cetvelde yok",IF(F351="","Projede bulunamadı",IF(H351&gt;MetrajTol,"Cetvelde eksik",IF(H351&lt;-MetrajTol,"Cetvelde fazla","Uygun")))))</f>
        <v/>
      </c>
      <c r="M351" s="21" t="n"/>
      <c r="N351" s="5" t="n"/>
    </row>
    <row r="352">
      <c r="A352" s="5" t="n"/>
      <c r="B352" s="5" t="n"/>
      <c r="C352" s="5" t="n"/>
      <c r="D352" s="5" t="n"/>
      <c r="E352" s="18" t="n"/>
      <c r="F352" s="18" t="n"/>
      <c r="G352" s="19">
        <f>IF(OR(E352="",F352=""),"",F352-E352)</f>
        <v/>
      </c>
      <c r="H352" s="20">
        <f>IF(OR(E352="",F352="",E352=0),"",(F352-E352)/E352)</f>
        <v/>
      </c>
      <c r="I352" s="21" t="n"/>
      <c r="J352" s="22">
        <f>IF(OR(E352="",I352=""),"",E352*I352)</f>
        <v/>
      </c>
      <c r="K352" s="22">
        <f>IF(OR(F352="",I352=""),"",F352*I352)</f>
        <v/>
      </c>
      <c r="L352" s="23">
        <f>IF(B352="","",IF(E352="","Cetvelde yok",IF(F352="","Projede bulunamadı",IF(H352&gt;MetrajTol,"Cetvelde eksik",IF(H352&lt;-MetrajTol,"Cetvelde fazla","Uygun")))))</f>
        <v/>
      </c>
      <c r="M352" s="21" t="n"/>
      <c r="N352" s="5" t="n"/>
    </row>
    <row r="353">
      <c r="A353" s="5" t="n"/>
      <c r="B353" s="5" t="n"/>
      <c r="C353" s="5" t="n"/>
      <c r="D353" s="5" t="n"/>
      <c r="E353" s="18" t="n"/>
      <c r="F353" s="18" t="n"/>
      <c r="G353" s="19">
        <f>IF(OR(E353="",F353=""),"",F353-E353)</f>
        <v/>
      </c>
      <c r="H353" s="20">
        <f>IF(OR(E353="",F353="",E353=0),"",(F353-E353)/E353)</f>
        <v/>
      </c>
      <c r="I353" s="21" t="n"/>
      <c r="J353" s="22">
        <f>IF(OR(E353="",I353=""),"",E353*I353)</f>
        <v/>
      </c>
      <c r="K353" s="22">
        <f>IF(OR(F353="",I353=""),"",F353*I353)</f>
        <v/>
      </c>
      <c r="L353" s="23">
        <f>IF(B353="","",IF(E353="","Cetvelde yok",IF(F353="","Projede bulunamadı",IF(H353&gt;MetrajTol,"Cetvelde eksik",IF(H353&lt;-MetrajTol,"Cetvelde fazla","Uygun")))))</f>
        <v/>
      </c>
      <c r="M353" s="21" t="n"/>
      <c r="N353" s="5" t="n"/>
    </row>
    <row r="354">
      <c r="A354" s="5" t="n"/>
      <c r="B354" s="5" t="n"/>
      <c r="C354" s="5" t="n"/>
      <c r="D354" s="5" t="n"/>
      <c r="E354" s="18" t="n"/>
      <c r="F354" s="18" t="n"/>
      <c r="G354" s="19">
        <f>IF(OR(E354="",F354=""),"",F354-E354)</f>
        <v/>
      </c>
      <c r="H354" s="20">
        <f>IF(OR(E354="",F354="",E354=0),"",(F354-E354)/E354)</f>
        <v/>
      </c>
      <c r="I354" s="21" t="n"/>
      <c r="J354" s="22">
        <f>IF(OR(E354="",I354=""),"",E354*I354)</f>
        <v/>
      </c>
      <c r="K354" s="22">
        <f>IF(OR(F354="",I354=""),"",F354*I354)</f>
        <v/>
      </c>
      <c r="L354" s="23">
        <f>IF(B354="","",IF(E354="","Cetvelde yok",IF(F354="","Projede bulunamadı",IF(H354&gt;MetrajTol,"Cetvelde eksik",IF(H354&lt;-MetrajTol,"Cetvelde fazla","Uygun")))))</f>
        <v/>
      </c>
      <c r="M354" s="21" t="n"/>
      <c r="N354" s="5" t="n"/>
    </row>
    <row r="355">
      <c r="A355" s="5" t="n"/>
      <c r="B355" s="5" t="n"/>
      <c r="C355" s="5" t="n"/>
      <c r="D355" s="5" t="n"/>
      <c r="E355" s="18" t="n"/>
      <c r="F355" s="18" t="n"/>
      <c r="G355" s="19">
        <f>IF(OR(E355="",F355=""),"",F355-E355)</f>
        <v/>
      </c>
      <c r="H355" s="20">
        <f>IF(OR(E355="",F355="",E355=0),"",(F355-E355)/E355)</f>
        <v/>
      </c>
      <c r="I355" s="21" t="n"/>
      <c r="J355" s="22">
        <f>IF(OR(E355="",I355=""),"",E355*I355)</f>
        <v/>
      </c>
      <c r="K355" s="22">
        <f>IF(OR(F355="",I355=""),"",F355*I355)</f>
        <v/>
      </c>
      <c r="L355" s="23">
        <f>IF(B355="","",IF(E355="","Cetvelde yok",IF(F355="","Projede bulunamadı",IF(H355&gt;MetrajTol,"Cetvelde eksik",IF(H355&lt;-MetrajTol,"Cetvelde fazla","Uygun")))))</f>
        <v/>
      </c>
      <c r="M355" s="21" t="n"/>
      <c r="N355" s="5" t="n"/>
    </row>
    <row r="356">
      <c r="A356" s="5" t="n"/>
      <c r="B356" s="5" t="n"/>
      <c r="C356" s="5" t="n"/>
      <c r="D356" s="5" t="n"/>
      <c r="E356" s="18" t="n"/>
      <c r="F356" s="18" t="n"/>
      <c r="G356" s="19">
        <f>IF(OR(E356="",F356=""),"",F356-E356)</f>
        <v/>
      </c>
      <c r="H356" s="20">
        <f>IF(OR(E356="",F356="",E356=0),"",(F356-E356)/E356)</f>
        <v/>
      </c>
      <c r="I356" s="21" t="n"/>
      <c r="J356" s="22">
        <f>IF(OR(E356="",I356=""),"",E356*I356)</f>
        <v/>
      </c>
      <c r="K356" s="22">
        <f>IF(OR(F356="",I356=""),"",F356*I356)</f>
        <v/>
      </c>
      <c r="L356" s="23">
        <f>IF(B356="","",IF(E356="","Cetvelde yok",IF(F356="","Projede bulunamadı",IF(H356&gt;MetrajTol,"Cetvelde eksik",IF(H356&lt;-MetrajTol,"Cetvelde fazla","Uygun")))))</f>
        <v/>
      </c>
      <c r="M356" s="21" t="n"/>
      <c r="N356" s="5" t="n"/>
    </row>
    <row r="357">
      <c r="A357" s="5" t="n"/>
      <c r="B357" s="5" t="n"/>
      <c r="C357" s="5" t="n"/>
      <c r="D357" s="5" t="n"/>
      <c r="E357" s="18" t="n"/>
      <c r="F357" s="18" t="n"/>
      <c r="G357" s="19">
        <f>IF(OR(E357="",F357=""),"",F357-E357)</f>
        <v/>
      </c>
      <c r="H357" s="20">
        <f>IF(OR(E357="",F357="",E357=0),"",(F357-E357)/E357)</f>
        <v/>
      </c>
      <c r="I357" s="21" t="n"/>
      <c r="J357" s="22">
        <f>IF(OR(E357="",I357=""),"",E357*I357)</f>
        <v/>
      </c>
      <c r="K357" s="22">
        <f>IF(OR(F357="",I357=""),"",F357*I357)</f>
        <v/>
      </c>
      <c r="L357" s="23">
        <f>IF(B357="","",IF(E357="","Cetvelde yok",IF(F357="","Projede bulunamadı",IF(H357&gt;MetrajTol,"Cetvelde eksik",IF(H357&lt;-MetrajTol,"Cetvelde fazla","Uygun")))))</f>
        <v/>
      </c>
      <c r="M357" s="21" t="n"/>
      <c r="N357" s="5" t="n"/>
    </row>
    <row r="358">
      <c r="A358" s="5" t="n"/>
      <c r="B358" s="5" t="n"/>
      <c r="C358" s="5" t="n"/>
      <c r="D358" s="5" t="n"/>
      <c r="E358" s="18" t="n"/>
      <c r="F358" s="18" t="n"/>
      <c r="G358" s="19">
        <f>IF(OR(E358="",F358=""),"",F358-E358)</f>
        <v/>
      </c>
      <c r="H358" s="20">
        <f>IF(OR(E358="",F358="",E358=0),"",(F358-E358)/E358)</f>
        <v/>
      </c>
      <c r="I358" s="21" t="n"/>
      <c r="J358" s="22">
        <f>IF(OR(E358="",I358=""),"",E358*I358)</f>
        <v/>
      </c>
      <c r="K358" s="22">
        <f>IF(OR(F358="",I358=""),"",F358*I358)</f>
        <v/>
      </c>
      <c r="L358" s="23">
        <f>IF(B358="","",IF(E358="","Cetvelde yok",IF(F358="","Projede bulunamadı",IF(H358&gt;MetrajTol,"Cetvelde eksik",IF(H358&lt;-MetrajTol,"Cetvelde fazla","Uygun")))))</f>
        <v/>
      </c>
      <c r="M358" s="21" t="n"/>
      <c r="N358" s="5" t="n"/>
    </row>
    <row r="359">
      <c r="A359" s="5" t="n"/>
      <c r="B359" s="5" t="n"/>
      <c r="C359" s="5" t="n"/>
      <c r="D359" s="5" t="n"/>
      <c r="E359" s="18" t="n"/>
      <c r="F359" s="18" t="n"/>
      <c r="G359" s="19">
        <f>IF(OR(E359="",F359=""),"",F359-E359)</f>
        <v/>
      </c>
      <c r="H359" s="20">
        <f>IF(OR(E359="",F359="",E359=0),"",(F359-E359)/E359)</f>
        <v/>
      </c>
      <c r="I359" s="21" t="n"/>
      <c r="J359" s="22">
        <f>IF(OR(E359="",I359=""),"",E359*I359)</f>
        <v/>
      </c>
      <c r="K359" s="22">
        <f>IF(OR(F359="",I359=""),"",F359*I359)</f>
        <v/>
      </c>
      <c r="L359" s="23">
        <f>IF(B359="","",IF(E359="","Cetvelde yok",IF(F359="","Projede bulunamadı",IF(H359&gt;MetrajTol,"Cetvelde eksik",IF(H359&lt;-MetrajTol,"Cetvelde fazla","Uygun")))))</f>
        <v/>
      </c>
      <c r="M359" s="21" t="n"/>
      <c r="N359" s="5" t="n"/>
    </row>
    <row r="360">
      <c r="A360" s="5" t="n"/>
      <c r="B360" s="5" t="n"/>
      <c r="C360" s="5" t="n"/>
      <c r="D360" s="5" t="n"/>
      <c r="E360" s="18" t="n"/>
      <c r="F360" s="18" t="n"/>
      <c r="G360" s="19">
        <f>IF(OR(E360="",F360=""),"",F360-E360)</f>
        <v/>
      </c>
      <c r="H360" s="20">
        <f>IF(OR(E360="",F360="",E360=0),"",(F360-E360)/E360)</f>
        <v/>
      </c>
      <c r="I360" s="21" t="n"/>
      <c r="J360" s="22">
        <f>IF(OR(E360="",I360=""),"",E360*I360)</f>
        <v/>
      </c>
      <c r="K360" s="22">
        <f>IF(OR(F360="",I360=""),"",F360*I360)</f>
        <v/>
      </c>
      <c r="L360" s="23">
        <f>IF(B360="","",IF(E360="","Cetvelde yok",IF(F360="","Projede bulunamadı",IF(H360&gt;MetrajTol,"Cetvelde eksik",IF(H360&lt;-MetrajTol,"Cetvelde fazla","Uygun")))))</f>
        <v/>
      </c>
      <c r="M360" s="21" t="n"/>
      <c r="N360" s="5" t="n"/>
    </row>
    <row r="361">
      <c r="A361" s="5" t="n"/>
      <c r="B361" s="5" t="n"/>
      <c r="C361" s="5" t="n"/>
      <c r="D361" s="5" t="n"/>
      <c r="E361" s="18" t="n"/>
      <c r="F361" s="18" t="n"/>
      <c r="G361" s="19">
        <f>IF(OR(E361="",F361=""),"",F361-E361)</f>
        <v/>
      </c>
      <c r="H361" s="20">
        <f>IF(OR(E361="",F361="",E361=0),"",(F361-E361)/E361)</f>
        <v/>
      </c>
      <c r="I361" s="21" t="n"/>
      <c r="J361" s="22">
        <f>IF(OR(E361="",I361=""),"",E361*I361)</f>
        <v/>
      </c>
      <c r="K361" s="22">
        <f>IF(OR(F361="",I361=""),"",F361*I361)</f>
        <v/>
      </c>
      <c r="L361" s="23">
        <f>IF(B361="","",IF(E361="","Cetvelde yok",IF(F361="","Projede bulunamadı",IF(H361&gt;MetrajTol,"Cetvelde eksik",IF(H361&lt;-MetrajTol,"Cetvelde fazla","Uygun")))))</f>
        <v/>
      </c>
      <c r="M361" s="21" t="n"/>
      <c r="N361" s="5" t="n"/>
    </row>
    <row r="362">
      <c r="A362" s="5" t="n"/>
      <c r="B362" s="5" t="n"/>
      <c r="C362" s="5" t="n"/>
      <c r="D362" s="5" t="n"/>
      <c r="E362" s="18" t="n"/>
      <c r="F362" s="18" t="n"/>
      <c r="G362" s="19">
        <f>IF(OR(E362="",F362=""),"",F362-E362)</f>
        <v/>
      </c>
      <c r="H362" s="20">
        <f>IF(OR(E362="",F362="",E362=0),"",(F362-E362)/E362)</f>
        <v/>
      </c>
      <c r="I362" s="21" t="n"/>
      <c r="J362" s="22">
        <f>IF(OR(E362="",I362=""),"",E362*I362)</f>
        <v/>
      </c>
      <c r="K362" s="22">
        <f>IF(OR(F362="",I362=""),"",F362*I362)</f>
        <v/>
      </c>
      <c r="L362" s="23">
        <f>IF(B362="","",IF(E362="","Cetvelde yok",IF(F362="","Projede bulunamadı",IF(H362&gt;MetrajTol,"Cetvelde eksik",IF(H362&lt;-MetrajTol,"Cetvelde fazla","Uygun")))))</f>
        <v/>
      </c>
      <c r="M362" s="21" t="n"/>
      <c r="N362" s="5" t="n"/>
    </row>
    <row r="363">
      <c r="A363" s="5" t="n"/>
      <c r="B363" s="5" t="n"/>
      <c r="C363" s="5" t="n"/>
      <c r="D363" s="5" t="n"/>
      <c r="E363" s="18" t="n"/>
      <c r="F363" s="18" t="n"/>
      <c r="G363" s="19">
        <f>IF(OR(E363="",F363=""),"",F363-E363)</f>
        <v/>
      </c>
      <c r="H363" s="20">
        <f>IF(OR(E363="",F363="",E363=0),"",(F363-E363)/E363)</f>
        <v/>
      </c>
      <c r="I363" s="21" t="n"/>
      <c r="J363" s="22">
        <f>IF(OR(E363="",I363=""),"",E363*I363)</f>
        <v/>
      </c>
      <c r="K363" s="22">
        <f>IF(OR(F363="",I363=""),"",F363*I363)</f>
        <v/>
      </c>
      <c r="L363" s="23">
        <f>IF(B363="","",IF(E363="","Cetvelde yok",IF(F363="","Projede bulunamadı",IF(H363&gt;MetrajTol,"Cetvelde eksik",IF(H363&lt;-MetrajTol,"Cetvelde fazla","Uygun")))))</f>
        <v/>
      </c>
      <c r="M363" s="21" t="n"/>
      <c r="N363" s="5" t="n"/>
    </row>
    <row r="364">
      <c r="A364" s="5" t="n"/>
      <c r="B364" s="5" t="n"/>
      <c r="C364" s="5" t="n"/>
      <c r="D364" s="5" t="n"/>
      <c r="E364" s="18" t="n"/>
      <c r="F364" s="18" t="n"/>
      <c r="G364" s="19">
        <f>IF(OR(E364="",F364=""),"",F364-E364)</f>
        <v/>
      </c>
      <c r="H364" s="20">
        <f>IF(OR(E364="",F364="",E364=0),"",(F364-E364)/E364)</f>
        <v/>
      </c>
      <c r="I364" s="21" t="n"/>
      <c r="J364" s="22">
        <f>IF(OR(E364="",I364=""),"",E364*I364)</f>
        <v/>
      </c>
      <c r="K364" s="22">
        <f>IF(OR(F364="",I364=""),"",F364*I364)</f>
        <v/>
      </c>
      <c r="L364" s="23">
        <f>IF(B364="","",IF(E364="","Cetvelde yok",IF(F364="","Projede bulunamadı",IF(H364&gt;MetrajTol,"Cetvelde eksik",IF(H364&lt;-MetrajTol,"Cetvelde fazla","Uygun")))))</f>
        <v/>
      </c>
      <c r="M364" s="21" t="n"/>
      <c r="N364" s="5" t="n"/>
    </row>
    <row r="365">
      <c r="A365" s="5" t="n"/>
      <c r="B365" s="5" t="n"/>
      <c r="C365" s="5" t="n"/>
      <c r="D365" s="5" t="n"/>
      <c r="E365" s="18" t="n"/>
      <c r="F365" s="18" t="n"/>
      <c r="G365" s="19">
        <f>IF(OR(E365="",F365=""),"",F365-E365)</f>
        <v/>
      </c>
      <c r="H365" s="20">
        <f>IF(OR(E365="",F365="",E365=0),"",(F365-E365)/E365)</f>
        <v/>
      </c>
      <c r="I365" s="21" t="n"/>
      <c r="J365" s="22">
        <f>IF(OR(E365="",I365=""),"",E365*I365)</f>
        <v/>
      </c>
      <c r="K365" s="22">
        <f>IF(OR(F365="",I365=""),"",F365*I365)</f>
        <v/>
      </c>
      <c r="L365" s="23">
        <f>IF(B365="","",IF(E365="","Cetvelde yok",IF(F365="","Projede bulunamadı",IF(H365&gt;MetrajTol,"Cetvelde eksik",IF(H365&lt;-MetrajTol,"Cetvelde fazla","Uygun")))))</f>
        <v/>
      </c>
      <c r="M365" s="21" t="n"/>
      <c r="N365" s="5" t="n"/>
    </row>
    <row r="366">
      <c r="A366" s="5" t="n"/>
      <c r="B366" s="5" t="n"/>
      <c r="C366" s="5" t="n"/>
      <c r="D366" s="5" t="n"/>
      <c r="E366" s="18" t="n"/>
      <c r="F366" s="18" t="n"/>
      <c r="G366" s="19">
        <f>IF(OR(E366="",F366=""),"",F366-E366)</f>
        <v/>
      </c>
      <c r="H366" s="20">
        <f>IF(OR(E366="",F366="",E366=0),"",(F366-E366)/E366)</f>
        <v/>
      </c>
      <c r="I366" s="21" t="n"/>
      <c r="J366" s="22">
        <f>IF(OR(E366="",I366=""),"",E366*I366)</f>
        <v/>
      </c>
      <c r="K366" s="22">
        <f>IF(OR(F366="",I366=""),"",F366*I366)</f>
        <v/>
      </c>
      <c r="L366" s="23">
        <f>IF(B366="","",IF(E366="","Cetvelde yok",IF(F366="","Projede bulunamadı",IF(H366&gt;MetrajTol,"Cetvelde eksik",IF(H366&lt;-MetrajTol,"Cetvelde fazla","Uygun")))))</f>
        <v/>
      </c>
      <c r="M366" s="21" t="n"/>
      <c r="N366" s="5" t="n"/>
    </row>
    <row r="367">
      <c r="A367" s="5" t="n"/>
      <c r="B367" s="5" t="n"/>
      <c r="C367" s="5" t="n"/>
      <c r="D367" s="5" t="n"/>
      <c r="E367" s="18" t="n"/>
      <c r="F367" s="18" t="n"/>
      <c r="G367" s="19">
        <f>IF(OR(E367="",F367=""),"",F367-E367)</f>
        <v/>
      </c>
      <c r="H367" s="20">
        <f>IF(OR(E367="",F367="",E367=0),"",(F367-E367)/E367)</f>
        <v/>
      </c>
      <c r="I367" s="21" t="n"/>
      <c r="J367" s="22">
        <f>IF(OR(E367="",I367=""),"",E367*I367)</f>
        <v/>
      </c>
      <c r="K367" s="22">
        <f>IF(OR(F367="",I367=""),"",F367*I367)</f>
        <v/>
      </c>
      <c r="L367" s="23">
        <f>IF(B367="","",IF(E367="","Cetvelde yok",IF(F367="","Projede bulunamadı",IF(H367&gt;MetrajTol,"Cetvelde eksik",IF(H367&lt;-MetrajTol,"Cetvelde fazla","Uygun")))))</f>
        <v/>
      </c>
      <c r="M367" s="21" t="n"/>
      <c r="N367" s="5" t="n"/>
    </row>
    <row r="368">
      <c r="A368" s="5" t="n"/>
      <c r="B368" s="5" t="n"/>
      <c r="C368" s="5" t="n"/>
      <c r="D368" s="5" t="n"/>
      <c r="E368" s="18" t="n"/>
      <c r="F368" s="18" t="n"/>
      <c r="G368" s="19">
        <f>IF(OR(E368="",F368=""),"",F368-E368)</f>
        <v/>
      </c>
      <c r="H368" s="20">
        <f>IF(OR(E368="",F368="",E368=0),"",(F368-E368)/E368)</f>
        <v/>
      </c>
      <c r="I368" s="21" t="n"/>
      <c r="J368" s="22">
        <f>IF(OR(E368="",I368=""),"",E368*I368)</f>
        <v/>
      </c>
      <c r="K368" s="22">
        <f>IF(OR(F368="",I368=""),"",F368*I368)</f>
        <v/>
      </c>
      <c r="L368" s="23">
        <f>IF(B368="","",IF(E368="","Cetvelde yok",IF(F368="","Projede bulunamadı",IF(H368&gt;MetrajTol,"Cetvelde eksik",IF(H368&lt;-MetrajTol,"Cetvelde fazla","Uygun")))))</f>
        <v/>
      </c>
      <c r="M368" s="21" t="n"/>
      <c r="N368" s="5" t="n"/>
    </row>
    <row r="369">
      <c r="A369" s="5" t="n"/>
      <c r="B369" s="5" t="n"/>
      <c r="C369" s="5" t="n"/>
      <c r="D369" s="5" t="n"/>
      <c r="E369" s="18" t="n"/>
      <c r="F369" s="18" t="n"/>
      <c r="G369" s="19">
        <f>IF(OR(E369="",F369=""),"",F369-E369)</f>
        <v/>
      </c>
      <c r="H369" s="20">
        <f>IF(OR(E369="",F369="",E369=0),"",(F369-E369)/E369)</f>
        <v/>
      </c>
      <c r="I369" s="21" t="n"/>
      <c r="J369" s="22">
        <f>IF(OR(E369="",I369=""),"",E369*I369)</f>
        <v/>
      </c>
      <c r="K369" s="22">
        <f>IF(OR(F369="",I369=""),"",F369*I369)</f>
        <v/>
      </c>
      <c r="L369" s="23">
        <f>IF(B369="","",IF(E369="","Cetvelde yok",IF(F369="","Projede bulunamadı",IF(H369&gt;MetrajTol,"Cetvelde eksik",IF(H369&lt;-MetrajTol,"Cetvelde fazla","Uygun")))))</f>
        <v/>
      </c>
      <c r="M369" s="21" t="n"/>
      <c r="N369" s="5" t="n"/>
    </row>
    <row r="370">
      <c r="A370" s="5" t="n"/>
      <c r="B370" s="5" t="n"/>
      <c r="C370" s="5" t="n"/>
      <c r="D370" s="5" t="n"/>
      <c r="E370" s="18" t="n"/>
      <c r="F370" s="18" t="n"/>
      <c r="G370" s="19">
        <f>IF(OR(E370="",F370=""),"",F370-E370)</f>
        <v/>
      </c>
      <c r="H370" s="20">
        <f>IF(OR(E370="",F370="",E370=0),"",(F370-E370)/E370)</f>
        <v/>
      </c>
      <c r="I370" s="21" t="n"/>
      <c r="J370" s="22">
        <f>IF(OR(E370="",I370=""),"",E370*I370)</f>
        <v/>
      </c>
      <c r="K370" s="22">
        <f>IF(OR(F370="",I370=""),"",F370*I370)</f>
        <v/>
      </c>
      <c r="L370" s="23">
        <f>IF(B370="","",IF(E370="","Cetvelde yok",IF(F370="","Projede bulunamadı",IF(H370&gt;MetrajTol,"Cetvelde eksik",IF(H370&lt;-MetrajTol,"Cetvelde fazla","Uygun")))))</f>
        <v/>
      </c>
      <c r="M370" s="21" t="n"/>
      <c r="N370" s="5" t="n"/>
    </row>
    <row r="371">
      <c r="A371" s="5" t="n"/>
      <c r="B371" s="5" t="n"/>
      <c r="C371" s="5" t="n"/>
      <c r="D371" s="5" t="n"/>
      <c r="E371" s="18" t="n"/>
      <c r="F371" s="18" t="n"/>
      <c r="G371" s="19">
        <f>IF(OR(E371="",F371=""),"",F371-E371)</f>
        <v/>
      </c>
      <c r="H371" s="20">
        <f>IF(OR(E371="",F371="",E371=0),"",(F371-E371)/E371)</f>
        <v/>
      </c>
      <c r="I371" s="21" t="n"/>
      <c r="J371" s="22">
        <f>IF(OR(E371="",I371=""),"",E371*I371)</f>
        <v/>
      </c>
      <c r="K371" s="22">
        <f>IF(OR(F371="",I371=""),"",F371*I371)</f>
        <v/>
      </c>
      <c r="L371" s="23">
        <f>IF(B371="","",IF(E371="","Cetvelde yok",IF(F371="","Projede bulunamadı",IF(H371&gt;MetrajTol,"Cetvelde eksik",IF(H371&lt;-MetrajTol,"Cetvelde fazla","Uygun")))))</f>
        <v/>
      </c>
      <c r="M371" s="21" t="n"/>
      <c r="N371" s="5" t="n"/>
    </row>
    <row r="372">
      <c r="A372" s="5" t="n"/>
      <c r="B372" s="5" t="n"/>
      <c r="C372" s="5" t="n"/>
      <c r="D372" s="5" t="n"/>
      <c r="E372" s="18" t="n"/>
      <c r="F372" s="18" t="n"/>
      <c r="G372" s="19">
        <f>IF(OR(E372="",F372=""),"",F372-E372)</f>
        <v/>
      </c>
      <c r="H372" s="20">
        <f>IF(OR(E372="",F372="",E372=0),"",(F372-E372)/E372)</f>
        <v/>
      </c>
      <c r="I372" s="21" t="n"/>
      <c r="J372" s="22">
        <f>IF(OR(E372="",I372=""),"",E372*I372)</f>
        <v/>
      </c>
      <c r="K372" s="22">
        <f>IF(OR(F372="",I372=""),"",F372*I372)</f>
        <v/>
      </c>
      <c r="L372" s="23">
        <f>IF(B372="","",IF(E372="","Cetvelde yok",IF(F372="","Projede bulunamadı",IF(H372&gt;MetrajTol,"Cetvelde eksik",IF(H372&lt;-MetrajTol,"Cetvelde fazla","Uygun")))))</f>
        <v/>
      </c>
      <c r="M372" s="21" t="n"/>
      <c r="N372" s="5" t="n"/>
    </row>
    <row r="373">
      <c r="A373" s="5" t="n"/>
      <c r="B373" s="5" t="n"/>
      <c r="C373" s="5" t="n"/>
      <c r="D373" s="5" t="n"/>
      <c r="E373" s="18" t="n"/>
      <c r="F373" s="18" t="n"/>
      <c r="G373" s="19">
        <f>IF(OR(E373="",F373=""),"",F373-E373)</f>
        <v/>
      </c>
      <c r="H373" s="20">
        <f>IF(OR(E373="",F373="",E373=0),"",(F373-E373)/E373)</f>
        <v/>
      </c>
      <c r="I373" s="21" t="n"/>
      <c r="J373" s="22">
        <f>IF(OR(E373="",I373=""),"",E373*I373)</f>
        <v/>
      </c>
      <c r="K373" s="22">
        <f>IF(OR(F373="",I373=""),"",F373*I373)</f>
        <v/>
      </c>
      <c r="L373" s="23">
        <f>IF(B373="","",IF(E373="","Cetvelde yok",IF(F373="","Projede bulunamadı",IF(H373&gt;MetrajTol,"Cetvelde eksik",IF(H373&lt;-MetrajTol,"Cetvelde fazla","Uygun")))))</f>
        <v/>
      </c>
      <c r="M373" s="21" t="n"/>
      <c r="N373" s="5" t="n"/>
    </row>
    <row r="374">
      <c r="A374" s="5" t="n"/>
      <c r="B374" s="5" t="n"/>
      <c r="C374" s="5" t="n"/>
      <c r="D374" s="5" t="n"/>
      <c r="E374" s="18" t="n"/>
      <c r="F374" s="18" t="n"/>
      <c r="G374" s="19">
        <f>IF(OR(E374="",F374=""),"",F374-E374)</f>
        <v/>
      </c>
      <c r="H374" s="20">
        <f>IF(OR(E374="",F374="",E374=0),"",(F374-E374)/E374)</f>
        <v/>
      </c>
      <c r="I374" s="21" t="n"/>
      <c r="J374" s="22">
        <f>IF(OR(E374="",I374=""),"",E374*I374)</f>
        <v/>
      </c>
      <c r="K374" s="22">
        <f>IF(OR(F374="",I374=""),"",F374*I374)</f>
        <v/>
      </c>
      <c r="L374" s="23">
        <f>IF(B374="","",IF(E374="","Cetvelde yok",IF(F374="","Projede bulunamadı",IF(H374&gt;MetrajTol,"Cetvelde eksik",IF(H374&lt;-MetrajTol,"Cetvelde fazla","Uygun")))))</f>
        <v/>
      </c>
      <c r="M374" s="21" t="n"/>
      <c r="N374" s="5" t="n"/>
    </row>
    <row r="375">
      <c r="A375" s="5" t="n"/>
      <c r="B375" s="5" t="n"/>
      <c r="C375" s="5" t="n"/>
      <c r="D375" s="5" t="n"/>
      <c r="E375" s="18" t="n"/>
      <c r="F375" s="18" t="n"/>
      <c r="G375" s="19">
        <f>IF(OR(E375="",F375=""),"",F375-E375)</f>
        <v/>
      </c>
      <c r="H375" s="20">
        <f>IF(OR(E375="",F375="",E375=0),"",(F375-E375)/E375)</f>
        <v/>
      </c>
      <c r="I375" s="21" t="n"/>
      <c r="J375" s="22">
        <f>IF(OR(E375="",I375=""),"",E375*I375)</f>
        <v/>
      </c>
      <c r="K375" s="22">
        <f>IF(OR(F375="",I375=""),"",F375*I375)</f>
        <v/>
      </c>
      <c r="L375" s="23">
        <f>IF(B375="","",IF(E375="","Cetvelde yok",IF(F375="","Projede bulunamadı",IF(H375&gt;MetrajTol,"Cetvelde eksik",IF(H375&lt;-MetrajTol,"Cetvelde fazla","Uygun")))))</f>
        <v/>
      </c>
      <c r="M375" s="21" t="n"/>
      <c r="N375" s="5" t="n"/>
    </row>
    <row r="376">
      <c r="A376" s="5" t="n"/>
      <c r="B376" s="5" t="n"/>
      <c r="C376" s="5" t="n"/>
      <c r="D376" s="5" t="n"/>
      <c r="E376" s="18" t="n"/>
      <c r="F376" s="18" t="n"/>
      <c r="G376" s="19">
        <f>IF(OR(E376="",F376=""),"",F376-E376)</f>
        <v/>
      </c>
      <c r="H376" s="20">
        <f>IF(OR(E376="",F376="",E376=0),"",(F376-E376)/E376)</f>
        <v/>
      </c>
      <c r="I376" s="21" t="n"/>
      <c r="J376" s="22">
        <f>IF(OR(E376="",I376=""),"",E376*I376)</f>
        <v/>
      </c>
      <c r="K376" s="22">
        <f>IF(OR(F376="",I376=""),"",F376*I376)</f>
        <v/>
      </c>
      <c r="L376" s="23">
        <f>IF(B376="","",IF(E376="","Cetvelde yok",IF(F376="","Projede bulunamadı",IF(H376&gt;MetrajTol,"Cetvelde eksik",IF(H376&lt;-MetrajTol,"Cetvelde fazla","Uygun")))))</f>
        <v/>
      </c>
      <c r="M376" s="21" t="n"/>
      <c r="N376" s="5" t="n"/>
    </row>
    <row r="377">
      <c r="A377" s="5" t="n"/>
      <c r="B377" s="5" t="n"/>
      <c r="C377" s="5" t="n"/>
      <c r="D377" s="5" t="n"/>
      <c r="E377" s="18" t="n"/>
      <c r="F377" s="18" t="n"/>
      <c r="G377" s="19">
        <f>IF(OR(E377="",F377=""),"",F377-E377)</f>
        <v/>
      </c>
      <c r="H377" s="20">
        <f>IF(OR(E377="",F377="",E377=0),"",(F377-E377)/E377)</f>
        <v/>
      </c>
      <c r="I377" s="21" t="n"/>
      <c r="J377" s="22">
        <f>IF(OR(E377="",I377=""),"",E377*I377)</f>
        <v/>
      </c>
      <c r="K377" s="22">
        <f>IF(OR(F377="",I377=""),"",F377*I377)</f>
        <v/>
      </c>
      <c r="L377" s="23">
        <f>IF(B377="","",IF(E377="","Cetvelde yok",IF(F377="","Projede bulunamadı",IF(H377&gt;MetrajTol,"Cetvelde eksik",IF(H377&lt;-MetrajTol,"Cetvelde fazla","Uygun")))))</f>
        <v/>
      </c>
      <c r="M377" s="21" t="n"/>
      <c r="N377" s="5" t="n"/>
    </row>
    <row r="378">
      <c r="A378" s="5" t="n"/>
      <c r="B378" s="5" t="n"/>
      <c r="C378" s="5" t="n"/>
      <c r="D378" s="5" t="n"/>
      <c r="E378" s="18" t="n"/>
      <c r="F378" s="18" t="n"/>
      <c r="G378" s="19">
        <f>IF(OR(E378="",F378=""),"",F378-E378)</f>
        <v/>
      </c>
      <c r="H378" s="20">
        <f>IF(OR(E378="",F378="",E378=0),"",(F378-E378)/E378)</f>
        <v/>
      </c>
      <c r="I378" s="21" t="n"/>
      <c r="J378" s="22">
        <f>IF(OR(E378="",I378=""),"",E378*I378)</f>
        <v/>
      </c>
      <c r="K378" s="22">
        <f>IF(OR(F378="",I378=""),"",F378*I378)</f>
        <v/>
      </c>
      <c r="L378" s="23">
        <f>IF(B378="","",IF(E378="","Cetvelde yok",IF(F378="","Projede bulunamadı",IF(H378&gt;MetrajTol,"Cetvelde eksik",IF(H378&lt;-MetrajTol,"Cetvelde fazla","Uygun")))))</f>
        <v/>
      </c>
      <c r="M378" s="21" t="n"/>
      <c r="N378" s="5" t="n"/>
    </row>
    <row r="379">
      <c r="A379" s="5" t="n"/>
      <c r="B379" s="5" t="n"/>
      <c r="C379" s="5" t="n"/>
      <c r="D379" s="5" t="n"/>
      <c r="E379" s="18" t="n"/>
      <c r="F379" s="18" t="n"/>
      <c r="G379" s="19">
        <f>IF(OR(E379="",F379=""),"",F379-E379)</f>
        <v/>
      </c>
      <c r="H379" s="20">
        <f>IF(OR(E379="",F379="",E379=0),"",(F379-E379)/E379)</f>
        <v/>
      </c>
      <c r="I379" s="21" t="n"/>
      <c r="J379" s="22">
        <f>IF(OR(E379="",I379=""),"",E379*I379)</f>
        <v/>
      </c>
      <c r="K379" s="22">
        <f>IF(OR(F379="",I379=""),"",F379*I379)</f>
        <v/>
      </c>
      <c r="L379" s="23">
        <f>IF(B379="","",IF(E379="","Cetvelde yok",IF(F379="","Projede bulunamadı",IF(H379&gt;MetrajTol,"Cetvelde eksik",IF(H379&lt;-MetrajTol,"Cetvelde fazla","Uygun")))))</f>
        <v/>
      </c>
      <c r="M379" s="21" t="n"/>
      <c r="N379" s="5" t="n"/>
    </row>
    <row r="380">
      <c r="A380" s="5" t="n"/>
      <c r="B380" s="5" t="n"/>
      <c r="C380" s="5" t="n"/>
      <c r="D380" s="5" t="n"/>
      <c r="E380" s="18" t="n"/>
      <c r="F380" s="18" t="n"/>
      <c r="G380" s="19">
        <f>IF(OR(E380="",F380=""),"",F380-E380)</f>
        <v/>
      </c>
      <c r="H380" s="20">
        <f>IF(OR(E380="",F380="",E380=0),"",(F380-E380)/E380)</f>
        <v/>
      </c>
      <c r="I380" s="21" t="n"/>
      <c r="J380" s="22">
        <f>IF(OR(E380="",I380=""),"",E380*I380)</f>
        <v/>
      </c>
      <c r="K380" s="22">
        <f>IF(OR(F380="",I380=""),"",F380*I380)</f>
        <v/>
      </c>
      <c r="L380" s="23">
        <f>IF(B380="","",IF(E380="","Cetvelde yok",IF(F380="","Projede bulunamadı",IF(H380&gt;MetrajTol,"Cetvelde eksik",IF(H380&lt;-MetrajTol,"Cetvelde fazla","Uygun")))))</f>
        <v/>
      </c>
      <c r="M380" s="21" t="n"/>
      <c r="N380" s="5" t="n"/>
    </row>
    <row r="381">
      <c r="A381" s="5" t="n"/>
      <c r="B381" s="5" t="n"/>
      <c r="C381" s="5" t="n"/>
      <c r="D381" s="5" t="n"/>
      <c r="E381" s="18" t="n"/>
      <c r="F381" s="18" t="n"/>
      <c r="G381" s="19">
        <f>IF(OR(E381="",F381=""),"",F381-E381)</f>
        <v/>
      </c>
      <c r="H381" s="20">
        <f>IF(OR(E381="",F381="",E381=0),"",(F381-E381)/E381)</f>
        <v/>
      </c>
      <c r="I381" s="21" t="n"/>
      <c r="J381" s="22">
        <f>IF(OR(E381="",I381=""),"",E381*I381)</f>
        <v/>
      </c>
      <c r="K381" s="22">
        <f>IF(OR(F381="",I381=""),"",F381*I381)</f>
        <v/>
      </c>
      <c r="L381" s="23">
        <f>IF(B381="","",IF(E381="","Cetvelde yok",IF(F381="","Projede bulunamadı",IF(H381&gt;MetrajTol,"Cetvelde eksik",IF(H381&lt;-MetrajTol,"Cetvelde fazla","Uygun")))))</f>
        <v/>
      </c>
      <c r="M381" s="21" t="n"/>
      <c r="N381" s="5" t="n"/>
    </row>
    <row r="382">
      <c r="A382" s="5" t="n"/>
      <c r="B382" s="5" t="n"/>
      <c r="C382" s="5" t="n"/>
      <c r="D382" s="5" t="n"/>
      <c r="E382" s="18" t="n"/>
      <c r="F382" s="18" t="n"/>
      <c r="G382" s="19">
        <f>IF(OR(E382="",F382=""),"",F382-E382)</f>
        <v/>
      </c>
      <c r="H382" s="20">
        <f>IF(OR(E382="",F382="",E382=0),"",(F382-E382)/E382)</f>
        <v/>
      </c>
      <c r="I382" s="21" t="n"/>
      <c r="J382" s="22">
        <f>IF(OR(E382="",I382=""),"",E382*I382)</f>
        <v/>
      </c>
      <c r="K382" s="22">
        <f>IF(OR(F382="",I382=""),"",F382*I382)</f>
        <v/>
      </c>
      <c r="L382" s="23">
        <f>IF(B382="","",IF(E382="","Cetvelde yok",IF(F382="","Projede bulunamadı",IF(H382&gt;MetrajTol,"Cetvelde eksik",IF(H382&lt;-MetrajTol,"Cetvelde fazla","Uygun")))))</f>
        <v/>
      </c>
      <c r="M382" s="21" t="n"/>
      <c r="N382" s="5" t="n"/>
    </row>
    <row r="383">
      <c r="A383" s="5" t="n"/>
      <c r="B383" s="5" t="n"/>
      <c r="C383" s="5" t="n"/>
      <c r="D383" s="5" t="n"/>
      <c r="E383" s="18" t="n"/>
      <c r="F383" s="18" t="n"/>
      <c r="G383" s="19">
        <f>IF(OR(E383="",F383=""),"",F383-E383)</f>
        <v/>
      </c>
      <c r="H383" s="20">
        <f>IF(OR(E383="",F383="",E383=0),"",(F383-E383)/E383)</f>
        <v/>
      </c>
      <c r="I383" s="21" t="n"/>
      <c r="J383" s="22">
        <f>IF(OR(E383="",I383=""),"",E383*I383)</f>
        <v/>
      </c>
      <c r="K383" s="22">
        <f>IF(OR(F383="",I383=""),"",F383*I383)</f>
        <v/>
      </c>
      <c r="L383" s="23">
        <f>IF(B383="","",IF(E383="","Cetvelde yok",IF(F383="","Projede bulunamadı",IF(H383&gt;MetrajTol,"Cetvelde eksik",IF(H383&lt;-MetrajTol,"Cetvelde fazla","Uygun")))))</f>
        <v/>
      </c>
      <c r="M383" s="21" t="n"/>
      <c r="N383" s="5" t="n"/>
    </row>
    <row r="384">
      <c r="A384" s="5" t="n"/>
      <c r="B384" s="5" t="n"/>
      <c r="C384" s="5" t="n"/>
      <c r="D384" s="5" t="n"/>
      <c r="E384" s="18" t="n"/>
      <c r="F384" s="18" t="n"/>
      <c r="G384" s="19">
        <f>IF(OR(E384="",F384=""),"",F384-E384)</f>
        <v/>
      </c>
      <c r="H384" s="20">
        <f>IF(OR(E384="",F384="",E384=0),"",(F384-E384)/E384)</f>
        <v/>
      </c>
      <c r="I384" s="21" t="n"/>
      <c r="J384" s="22">
        <f>IF(OR(E384="",I384=""),"",E384*I384)</f>
        <v/>
      </c>
      <c r="K384" s="22">
        <f>IF(OR(F384="",I384=""),"",F384*I384)</f>
        <v/>
      </c>
      <c r="L384" s="23">
        <f>IF(B384="","",IF(E384="","Cetvelde yok",IF(F384="","Projede bulunamadı",IF(H384&gt;MetrajTol,"Cetvelde eksik",IF(H384&lt;-MetrajTol,"Cetvelde fazla","Uygun")))))</f>
        <v/>
      </c>
      <c r="M384" s="21" t="n"/>
      <c r="N384" s="5" t="n"/>
    </row>
    <row r="385">
      <c r="A385" s="5" t="n"/>
      <c r="B385" s="5" t="n"/>
      <c r="C385" s="5" t="n"/>
      <c r="D385" s="5" t="n"/>
      <c r="E385" s="18" t="n"/>
      <c r="F385" s="18" t="n"/>
      <c r="G385" s="19">
        <f>IF(OR(E385="",F385=""),"",F385-E385)</f>
        <v/>
      </c>
      <c r="H385" s="20">
        <f>IF(OR(E385="",F385="",E385=0),"",(F385-E385)/E385)</f>
        <v/>
      </c>
      <c r="I385" s="21" t="n"/>
      <c r="J385" s="22">
        <f>IF(OR(E385="",I385=""),"",E385*I385)</f>
        <v/>
      </c>
      <c r="K385" s="22">
        <f>IF(OR(F385="",I385=""),"",F385*I385)</f>
        <v/>
      </c>
      <c r="L385" s="23">
        <f>IF(B385="","",IF(E385="","Cetvelde yok",IF(F385="","Projede bulunamadı",IF(H385&gt;MetrajTol,"Cetvelde eksik",IF(H385&lt;-MetrajTol,"Cetvelde fazla","Uygun")))))</f>
        <v/>
      </c>
      <c r="M385" s="21" t="n"/>
      <c r="N385" s="5" t="n"/>
    </row>
    <row r="386">
      <c r="A386" s="5" t="n"/>
      <c r="B386" s="5" t="n"/>
      <c r="C386" s="5" t="n"/>
      <c r="D386" s="5" t="n"/>
      <c r="E386" s="18" t="n"/>
      <c r="F386" s="18" t="n"/>
      <c r="G386" s="19">
        <f>IF(OR(E386="",F386=""),"",F386-E386)</f>
        <v/>
      </c>
      <c r="H386" s="20">
        <f>IF(OR(E386="",F386="",E386=0),"",(F386-E386)/E386)</f>
        <v/>
      </c>
      <c r="I386" s="21" t="n"/>
      <c r="J386" s="22">
        <f>IF(OR(E386="",I386=""),"",E386*I386)</f>
        <v/>
      </c>
      <c r="K386" s="22">
        <f>IF(OR(F386="",I386=""),"",F386*I386)</f>
        <v/>
      </c>
      <c r="L386" s="23">
        <f>IF(B386="","",IF(E386="","Cetvelde yok",IF(F386="","Projede bulunamadı",IF(H386&gt;MetrajTol,"Cetvelde eksik",IF(H386&lt;-MetrajTol,"Cetvelde fazla","Uygun")))))</f>
        <v/>
      </c>
      <c r="M386" s="21" t="n"/>
      <c r="N386" s="5" t="n"/>
    </row>
    <row r="387">
      <c r="A387" s="5" t="n"/>
      <c r="B387" s="5" t="n"/>
      <c r="C387" s="5" t="n"/>
      <c r="D387" s="5" t="n"/>
      <c r="E387" s="18" t="n"/>
      <c r="F387" s="18" t="n"/>
      <c r="G387" s="19">
        <f>IF(OR(E387="",F387=""),"",F387-E387)</f>
        <v/>
      </c>
      <c r="H387" s="20">
        <f>IF(OR(E387="",F387="",E387=0),"",(F387-E387)/E387)</f>
        <v/>
      </c>
      <c r="I387" s="21" t="n"/>
      <c r="J387" s="22">
        <f>IF(OR(E387="",I387=""),"",E387*I387)</f>
        <v/>
      </c>
      <c r="K387" s="22">
        <f>IF(OR(F387="",I387=""),"",F387*I387)</f>
        <v/>
      </c>
      <c r="L387" s="23">
        <f>IF(B387="","",IF(E387="","Cetvelde yok",IF(F387="","Projede bulunamadı",IF(H387&gt;MetrajTol,"Cetvelde eksik",IF(H387&lt;-MetrajTol,"Cetvelde fazla","Uygun")))))</f>
        <v/>
      </c>
      <c r="M387" s="21" t="n"/>
      <c r="N387" s="5" t="n"/>
    </row>
    <row r="388">
      <c r="A388" s="5" t="n"/>
      <c r="B388" s="5" t="n"/>
      <c r="C388" s="5" t="n"/>
      <c r="D388" s="5" t="n"/>
      <c r="E388" s="18" t="n"/>
      <c r="F388" s="18" t="n"/>
      <c r="G388" s="19">
        <f>IF(OR(E388="",F388=""),"",F388-E388)</f>
        <v/>
      </c>
      <c r="H388" s="20">
        <f>IF(OR(E388="",F388="",E388=0),"",(F388-E388)/E388)</f>
        <v/>
      </c>
      <c r="I388" s="21" t="n"/>
      <c r="J388" s="22">
        <f>IF(OR(E388="",I388=""),"",E388*I388)</f>
        <v/>
      </c>
      <c r="K388" s="22">
        <f>IF(OR(F388="",I388=""),"",F388*I388)</f>
        <v/>
      </c>
      <c r="L388" s="23">
        <f>IF(B388="","",IF(E388="","Cetvelde yok",IF(F388="","Projede bulunamadı",IF(H388&gt;MetrajTol,"Cetvelde eksik",IF(H388&lt;-MetrajTol,"Cetvelde fazla","Uygun")))))</f>
        <v/>
      </c>
      <c r="M388" s="21" t="n"/>
      <c r="N388" s="5" t="n"/>
    </row>
    <row r="389">
      <c r="A389" s="5" t="n"/>
      <c r="B389" s="5" t="n"/>
      <c r="C389" s="5" t="n"/>
      <c r="D389" s="5" t="n"/>
      <c r="E389" s="18" t="n"/>
      <c r="F389" s="18" t="n"/>
      <c r="G389" s="19">
        <f>IF(OR(E389="",F389=""),"",F389-E389)</f>
        <v/>
      </c>
      <c r="H389" s="20">
        <f>IF(OR(E389="",F389="",E389=0),"",(F389-E389)/E389)</f>
        <v/>
      </c>
      <c r="I389" s="21" t="n"/>
      <c r="J389" s="22">
        <f>IF(OR(E389="",I389=""),"",E389*I389)</f>
        <v/>
      </c>
      <c r="K389" s="22">
        <f>IF(OR(F389="",I389=""),"",F389*I389)</f>
        <v/>
      </c>
      <c r="L389" s="23">
        <f>IF(B389="","",IF(E389="","Cetvelde yok",IF(F389="","Projede bulunamadı",IF(H389&gt;MetrajTol,"Cetvelde eksik",IF(H389&lt;-MetrajTol,"Cetvelde fazla","Uygun")))))</f>
        <v/>
      </c>
      <c r="M389" s="21" t="n"/>
      <c r="N389" s="5" t="n"/>
    </row>
    <row r="390">
      <c r="A390" s="5" t="n"/>
      <c r="B390" s="5" t="n"/>
      <c r="C390" s="5" t="n"/>
      <c r="D390" s="5" t="n"/>
      <c r="E390" s="18" t="n"/>
      <c r="F390" s="18" t="n"/>
      <c r="G390" s="19">
        <f>IF(OR(E390="",F390=""),"",F390-E390)</f>
        <v/>
      </c>
      <c r="H390" s="20">
        <f>IF(OR(E390="",F390="",E390=0),"",(F390-E390)/E390)</f>
        <v/>
      </c>
      <c r="I390" s="21" t="n"/>
      <c r="J390" s="22">
        <f>IF(OR(E390="",I390=""),"",E390*I390)</f>
        <v/>
      </c>
      <c r="K390" s="22">
        <f>IF(OR(F390="",I390=""),"",F390*I390)</f>
        <v/>
      </c>
      <c r="L390" s="23">
        <f>IF(B390="","",IF(E390="","Cetvelde yok",IF(F390="","Projede bulunamadı",IF(H390&gt;MetrajTol,"Cetvelde eksik",IF(H390&lt;-MetrajTol,"Cetvelde fazla","Uygun")))))</f>
        <v/>
      </c>
      <c r="M390" s="21" t="n"/>
      <c r="N390" s="5" t="n"/>
    </row>
    <row r="391">
      <c r="A391" s="5" t="n"/>
      <c r="B391" s="5" t="n"/>
      <c r="C391" s="5" t="n"/>
      <c r="D391" s="5" t="n"/>
      <c r="E391" s="18" t="n"/>
      <c r="F391" s="18" t="n"/>
      <c r="G391" s="19">
        <f>IF(OR(E391="",F391=""),"",F391-E391)</f>
        <v/>
      </c>
      <c r="H391" s="20">
        <f>IF(OR(E391="",F391="",E391=0),"",(F391-E391)/E391)</f>
        <v/>
      </c>
      <c r="I391" s="21" t="n"/>
      <c r="J391" s="22">
        <f>IF(OR(E391="",I391=""),"",E391*I391)</f>
        <v/>
      </c>
      <c r="K391" s="22">
        <f>IF(OR(F391="",I391=""),"",F391*I391)</f>
        <v/>
      </c>
      <c r="L391" s="23">
        <f>IF(B391="","",IF(E391="","Cetvelde yok",IF(F391="","Projede bulunamadı",IF(H391&gt;MetrajTol,"Cetvelde eksik",IF(H391&lt;-MetrajTol,"Cetvelde fazla","Uygun")))))</f>
        <v/>
      </c>
      <c r="M391" s="21" t="n"/>
      <c r="N391" s="5" t="n"/>
    </row>
    <row r="392">
      <c r="A392" s="5" t="n"/>
      <c r="B392" s="5" t="n"/>
      <c r="C392" s="5" t="n"/>
      <c r="D392" s="5" t="n"/>
      <c r="E392" s="18" t="n"/>
      <c r="F392" s="18" t="n"/>
      <c r="G392" s="19">
        <f>IF(OR(E392="",F392=""),"",F392-E392)</f>
        <v/>
      </c>
      <c r="H392" s="20">
        <f>IF(OR(E392="",F392="",E392=0),"",(F392-E392)/E392)</f>
        <v/>
      </c>
      <c r="I392" s="21" t="n"/>
      <c r="J392" s="22">
        <f>IF(OR(E392="",I392=""),"",E392*I392)</f>
        <v/>
      </c>
      <c r="K392" s="22">
        <f>IF(OR(F392="",I392=""),"",F392*I392)</f>
        <v/>
      </c>
      <c r="L392" s="23">
        <f>IF(B392="","",IF(E392="","Cetvelde yok",IF(F392="","Projede bulunamadı",IF(H392&gt;MetrajTol,"Cetvelde eksik",IF(H392&lt;-MetrajTol,"Cetvelde fazla","Uygun")))))</f>
        <v/>
      </c>
      <c r="M392" s="21" t="n"/>
      <c r="N392" s="5" t="n"/>
    </row>
    <row r="393">
      <c r="A393" s="5" t="n"/>
      <c r="B393" s="5" t="n"/>
      <c r="C393" s="5" t="n"/>
      <c r="D393" s="5" t="n"/>
      <c r="E393" s="18" t="n"/>
      <c r="F393" s="18" t="n"/>
      <c r="G393" s="19">
        <f>IF(OR(E393="",F393=""),"",F393-E393)</f>
        <v/>
      </c>
      <c r="H393" s="20">
        <f>IF(OR(E393="",F393="",E393=0),"",(F393-E393)/E393)</f>
        <v/>
      </c>
      <c r="I393" s="21" t="n"/>
      <c r="J393" s="22">
        <f>IF(OR(E393="",I393=""),"",E393*I393)</f>
        <v/>
      </c>
      <c r="K393" s="22">
        <f>IF(OR(F393="",I393=""),"",F393*I393)</f>
        <v/>
      </c>
      <c r="L393" s="23">
        <f>IF(B393="","",IF(E393="","Cetvelde yok",IF(F393="","Projede bulunamadı",IF(H393&gt;MetrajTol,"Cetvelde eksik",IF(H393&lt;-MetrajTol,"Cetvelde fazla","Uygun")))))</f>
        <v/>
      </c>
      <c r="M393" s="21" t="n"/>
      <c r="N393" s="5" t="n"/>
    </row>
    <row r="394">
      <c r="A394" s="5" t="n"/>
      <c r="B394" s="5" t="n"/>
      <c r="C394" s="5" t="n"/>
      <c r="D394" s="5" t="n"/>
      <c r="E394" s="18" t="n"/>
      <c r="F394" s="18" t="n"/>
      <c r="G394" s="19">
        <f>IF(OR(E394="",F394=""),"",F394-E394)</f>
        <v/>
      </c>
      <c r="H394" s="20">
        <f>IF(OR(E394="",F394="",E394=0),"",(F394-E394)/E394)</f>
        <v/>
      </c>
      <c r="I394" s="21" t="n"/>
      <c r="J394" s="22">
        <f>IF(OR(E394="",I394=""),"",E394*I394)</f>
        <v/>
      </c>
      <c r="K394" s="22">
        <f>IF(OR(F394="",I394=""),"",F394*I394)</f>
        <v/>
      </c>
      <c r="L394" s="23">
        <f>IF(B394="","",IF(E394="","Cetvelde yok",IF(F394="","Projede bulunamadı",IF(H394&gt;MetrajTol,"Cetvelde eksik",IF(H394&lt;-MetrajTol,"Cetvelde fazla","Uygun")))))</f>
        <v/>
      </c>
      <c r="M394" s="21" t="n"/>
      <c r="N394" s="5" t="n"/>
    </row>
    <row r="395">
      <c r="A395" s="5" t="n"/>
      <c r="B395" s="5" t="n"/>
      <c r="C395" s="5" t="n"/>
      <c r="D395" s="5" t="n"/>
      <c r="E395" s="18" t="n"/>
      <c r="F395" s="18" t="n"/>
      <c r="G395" s="19">
        <f>IF(OR(E395="",F395=""),"",F395-E395)</f>
        <v/>
      </c>
      <c r="H395" s="20">
        <f>IF(OR(E395="",F395="",E395=0),"",(F395-E395)/E395)</f>
        <v/>
      </c>
      <c r="I395" s="21" t="n"/>
      <c r="J395" s="22">
        <f>IF(OR(E395="",I395=""),"",E395*I395)</f>
        <v/>
      </c>
      <c r="K395" s="22">
        <f>IF(OR(F395="",I395=""),"",F395*I395)</f>
        <v/>
      </c>
      <c r="L395" s="23">
        <f>IF(B395="","",IF(E395="","Cetvelde yok",IF(F395="","Projede bulunamadı",IF(H395&gt;MetrajTol,"Cetvelde eksik",IF(H395&lt;-MetrajTol,"Cetvelde fazla","Uygun")))))</f>
        <v/>
      </c>
      <c r="M395" s="21" t="n"/>
      <c r="N395" s="5" t="n"/>
    </row>
    <row r="396">
      <c r="A396" s="5" t="n"/>
      <c r="B396" s="5" t="n"/>
      <c r="C396" s="5" t="n"/>
      <c r="D396" s="5" t="n"/>
      <c r="E396" s="18" t="n"/>
      <c r="F396" s="18" t="n"/>
      <c r="G396" s="19">
        <f>IF(OR(E396="",F396=""),"",F396-E396)</f>
        <v/>
      </c>
      <c r="H396" s="20">
        <f>IF(OR(E396="",F396="",E396=0),"",(F396-E396)/E396)</f>
        <v/>
      </c>
      <c r="I396" s="21" t="n"/>
      <c r="J396" s="22">
        <f>IF(OR(E396="",I396=""),"",E396*I396)</f>
        <v/>
      </c>
      <c r="K396" s="22">
        <f>IF(OR(F396="",I396=""),"",F396*I396)</f>
        <v/>
      </c>
      <c r="L396" s="23">
        <f>IF(B396="","",IF(E396="","Cetvelde yok",IF(F396="","Projede bulunamadı",IF(H396&gt;MetrajTol,"Cetvelde eksik",IF(H396&lt;-MetrajTol,"Cetvelde fazla","Uygun")))))</f>
        <v/>
      </c>
      <c r="M396" s="21" t="n"/>
      <c r="N396" s="5" t="n"/>
    </row>
    <row r="397">
      <c r="A397" s="5" t="n"/>
      <c r="B397" s="5" t="n"/>
      <c r="C397" s="5" t="n"/>
      <c r="D397" s="5" t="n"/>
      <c r="E397" s="18" t="n"/>
      <c r="F397" s="18" t="n"/>
      <c r="G397" s="19">
        <f>IF(OR(E397="",F397=""),"",F397-E397)</f>
        <v/>
      </c>
      <c r="H397" s="20">
        <f>IF(OR(E397="",F397="",E397=0),"",(F397-E397)/E397)</f>
        <v/>
      </c>
      <c r="I397" s="21" t="n"/>
      <c r="J397" s="22">
        <f>IF(OR(E397="",I397=""),"",E397*I397)</f>
        <v/>
      </c>
      <c r="K397" s="22">
        <f>IF(OR(F397="",I397=""),"",F397*I397)</f>
        <v/>
      </c>
      <c r="L397" s="23">
        <f>IF(B397="","",IF(E397="","Cetvelde yok",IF(F397="","Projede bulunamadı",IF(H397&gt;MetrajTol,"Cetvelde eksik",IF(H397&lt;-MetrajTol,"Cetvelde fazla","Uygun")))))</f>
        <v/>
      </c>
      <c r="M397" s="21" t="n"/>
      <c r="N397" s="5" t="n"/>
    </row>
    <row r="398">
      <c r="A398" s="5" t="n"/>
      <c r="B398" s="5" t="n"/>
      <c r="C398" s="5" t="n"/>
      <c r="D398" s="5" t="n"/>
      <c r="E398" s="18" t="n"/>
      <c r="F398" s="18" t="n"/>
      <c r="G398" s="19">
        <f>IF(OR(E398="",F398=""),"",F398-E398)</f>
        <v/>
      </c>
      <c r="H398" s="20">
        <f>IF(OR(E398="",F398="",E398=0),"",(F398-E398)/E398)</f>
        <v/>
      </c>
      <c r="I398" s="21" t="n"/>
      <c r="J398" s="22">
        <f>IF(OR(E398="",I398=""),"",E398*I398)</f>
        <v/>
      </c>
      <c r="K398" s="22">
        <f>IF(OR(F398="",I398=""),"",F398*I398)</f>
        <v/>
      </c>
      <c r="L398" s="23">
        <f>IF(B398="","",IF(E398="","Cetvelde yok",IF(F398="","Projede bulunamadı",IF(H398&gt;MetrajTol,"Cetvelde eksik",IF(H398&lt;-MetrajTol,"Cetvelde fazla","Uygun")))))</f>
        <v/>
      </c>
      <c r="M398" s="21" t="n"/>
      <c r="N398" s="5" t="n"/>
    </row>
    <row r="399">
      <c r="A399" s="5" t="n"/>
      <c r="B399" s="5" t="n"/>
      <c r="C399" s="5" t="n"/>
      <c r="D399" s="5" t="n"/>
      <c r="E399" s="18" t="n"/>
      <c r="F399" s="18" t="n"/>
      <c r="G399" s="19">
        <f>IF(OR(E399="",F399=""),"",F399-E399)</f>
        <v/>
      </c>
      <c r="H399" s="20">
        <f>IF(OR(E399="",F399="",E399=0),"",(F399-E399)/E399)</f>
        <v/>
      </c>
      <c r="I399" s="21" t="n"/>
      <c r="J399" s="22">
        <f>IF(OR(E399="",I399=""),"",E399*I399)</f>
        <v/>
      </c>
      <c r="K399" s="22">
        <f>IF(OR(F399="",I399=""),"",F399*I399)</f>
        <v/>
      </c>
      <c r="L399" s="23">
        <f>IF(B399="","",IF(E399="","Cetvelde yok",IF(F399="","Projede bulunamadı",IF(H399&gt;MetrajTol,"Cetvelde eksik",IF(H399&lt;-MetrajTol,"Cetvelde fazla","Uygun")))))</f>
        <v/>
      </c>
      <c r="M399" s="21" t="n"/>
      <c r="N399" s="5" t="n"/>
    </row>
    <row r="400">
      <c r="A400" s="5" t="n"/>
      <c r="B400" s="5" t="n"/>
      <c r="C400" s="5" t="n"/>
      <c r="D400" s="5" t="n"/>
      <c r="E400" s="18" t="n"/>
      <c r="F400" s="18" t="n"/>
      <c r="G400" s="19">
        <f>IF(OR(E400="",F400=""),"",F400-E400)</f>
        <v/>
      </c>
      <c r="H400" s="20">
        <f>IF(OR(E400="",F400="",E400=0),"",(F400-E400)/E400)</f>
        <v/>
      </c>
      <c r="I400" s="21" t="n"/>
      <c r="J400" s="22">
        <f>IF(OR(E400="",I400=""),"",E400*I400)</f>
        <v/>
      </c>
      <c r="K400" s="22">
        <f>IF(OR(F400="",I400=""),"",F400*I400)</f>
        <v/>
      </c>
      <c r="L400" s="23">
        <f>IF(B400="","",IF(E400="","Cetvelde yok",IF(F400="","Projede bulunamadı",IF(H400&gt;MetrajTol,"Cetvelde eksik",IF(H400&lt;-MetrajTol,"Cetvelde fazla","Uygun")))))</f>
        <v/>
      </c>
      <c r="M400" s="21" t="n"/>
      <c r="N400" s="5" t="n"/>
    </row>
    <row r="401">
      <c r="A401" s="5" t="n"/>
      <c r="B401" s="5" t="n"/>
      <c r="C401" s="5" t="n"/>
      <c r="D401" s="5" t="n"/>
      <c r="E401" s="18" t="n"/>
      <c r="F401" s="18" t="n"/>
      <c r="G401" s="19">
        <f>IF(OR(E401="",F401=""),"",F401-E401)</f>
        <v/>
      </c>
      <c r="H401" s="20">
        <f>IF(OR(E401="",F401="",E401=0),"",(F401-E401)/E401)</f>
        <v/>
      </c>
      <c r="I401" s="21" t="n"/>
      <c r="J401" s="22">
        <f>IF(OR(E401="",I401=""),"",E401*I401)</f>
        <v/>
      </c>
      <c r="K401" s="22">
        <f>IF(OR(F401="",I401=""),"",F401*I401)</f>
        <v/>
      </c>
      <c r="L401" s="23">
        <f>IF(B401="","",IF(E401="","Cetvelde yok",IF(F401="","Projede bulunamadı",IF(H401&gt;MetrajTol,"Cetvelde eksik",IF(H401&lt;-MetrajTol,"Cetvelde fazla","Uygun")))))</f>
        <v/>
      </c>
      <c r="M401" s="21" t="n"/>
      <c r="N401" s="5" t="n"/>
    </row>
    <row r="402">
      <c r="A402" s="5" t="n"/>
      <c r="B402" s="5" t="n"/>
      <c r="C402" s="5" t="n"/>
      <c r="D402" s="5" t="n"/>
      <c r="E402" s="18" t="n"/>
      <c r="F402" s="18" t="n"/>
      <c r="G402" s="19">
        <f>IF(OR(E402="",F402=""),"",F402-E402)</f>
        <v/>
      </c>
      <c r="H402" s="20">
        <f>IF(OR(E402="",F402="",E402=0),"",(F402-E402)/E402)</f>
        <v/>
      </c>
      <c r="I402" s="21" t="n"/>
      <c r="J402" s="22">
        <f>IF(OR(E402="",I402=""),"",E402*I402)</f>
        <v/>
      </c>
      <c r="K402" s="22">
        <f>IF(OR(F402="",I402=""),"",F402*I402)</f>
        <v/>
      </c>
      <c r="L402" s="23">
        <f>IF(B402="","",IF(E402="","Cetvelde yok",IF(F402="","Projede bulunamadı",IF(H402&gt;MetrajTol,"Cetvelde eksik",IF(H402&lt;-MetrajTol,"Cetvelde fazla","Uygun")))))</f>
        <v/>
      </c>
      <c r="M402" s="21" t="n"/>
      <c r="N402" s="5" t="n"/>
    </row>
    <row r="403">
      <c r="A403" s="5" t="n"/>
      <c r="B403" s="5" t="n"/>
      <c r="C403" s="5" t="n"/>
      <c r="D403" s="5" t="n"/>
      <c r="E403" s="18" t="n"/>
      <c r="F403" s="18" t="n"/>
      <c r="G403" s="19">
        <f>IF(OR(E403="",F403=""),"",F403-E403)</f>
        <v/>
      </c>
      <c r="H403" s="20">
        <f>IF(OR(E403="",F403="",E403=0),"",(F403-E403)/E403)</f>
        <v/>
      </c>
      <c r="I403" s="21" t="n"/>
      <c r="J403" s="22">
        <f>IF(OR(E403="",I403=""),"",E403*I403)</f>
        <v/>
      </c>
      <c r="K403" s="22">
        <f>IF(OR(F403="",I403=""),"",F403*I403)</f>
        <v/>
      </c>
      <c r="L403" s="23">
        <f>IF(B403="","",IF(E403="","Cetvelde yok",IF(F403="","Projede bulunamadı",IF(H403&gt;MetrajTol,"Cetvelde eksik",IF(H403&lt;-MetrajTol,"Cetvelde fazla","Uygun")))))</f>
        <v/>
      </c>
      <c r="M403" s="21" t="n"/>
      <c r="N403" s="5" t="n"/>
    </row>
    <row r="404">
      <c r="A404" s="5" t="n"/>
      <c r="B404" s="5" t="n"/>
      <c r="C404" s="5" t="n"/>
      <c r="D404" s="5" t="n"/>
      <c r="E404" s="18" t="n"/>
      <c r="F404" s="18" t="n"/>
      <c r="G404" s="19">
        <f>IF(OR(E404="",F404=""),"",F404-E404)</f>
        <v/>
      </c>
      <c r="H404" s="20">
        <f>IF(OR(E404="",F404="",E404=0),"",(F404-E404)/E404)</f>
        <v/>
      </c>
      <c r="I404" s="21" t="n"/>
      <c r="J404" s="22">
        <f>IF(OR(E404="",I404=""),"",E404*I404)</f>
        <v/>
      </c>
      <c r="K404" s="22">
        <f>IF(OR(F404="",I404=""),"",F404*I404)</f>
        <v/>
      </c>
      <c r="L404" s="23">
        <f>IF(B404="","",IF(E404="","Cetvelde yok",IF(F404="","Projede bulunamadı",IF(H404&gt;MetrajTol,"Cetvelde eksik",IF(H404&lt;-MetrajTol,"Cetvelde fazla","Uygun")))))</f>
        <v/>
      </c>
      <c r="M404" s="21" t="n"/>
      <c r="N404" s="5" t="n"/>
    </row>
    <row r="405">
      <c r="A405" s="5" t="n"/>
      <c r="B405" s="5" t="n"/>
      <c r="C405" s="5" t="n"/>
      <c r="D405" s="5" t="n"/>
      <c r="E405" s="18" t="n"/>
      <c r="F405" s="18" t="n"/>
      <c r="G405" s="19">
        <f>IF(OR(E405="",F405=""),"",F405-E405)</f>
        <v/>
      </c>
      <c r="H405" s="20">
        <f>IF(OR(E405="",F405="",E405=0),"",(F405-E405)/E405)</f>
        <v/>
      </c>
      <c r="I405" s="21" t="n"/>
      <c r="J405" s="22">
        <f>IF(OR(E405="",I405=""),"",E405*I405)</f>
        <v/>
      </c>
      <c r="K405" s="22">
        <f>IF(OR(F405="",I405=""),"",F405*I405)</f>
        <v/>
      </c>
      <c r="L405" s="23">
        <f>IF(B405="","",IF(E405="","Cetvelde yok",IF(F405="","Projede bulunamadı",IF(H405&gt;MetrajTol,"Cetvelde eksik",IF(H405&lt;-MetrajTol,"Cetvelde fazla","Uygun")))))</f>
        <v/>
      </c>
      <c r="M405" s="21" t="n"/>
      <c r="N405" s="5" t="n"/>
    </row>
    <row r="406">
      <c r="A406" s="5" t="n"/>
      <c r="B406" s="5" t="n"/>
      <c r="C406" s="5" t="n"/>
      <c r="D406" s="5" t="n"/>
      <c r="E406" s="18" t="n"/>
      <c r="F406" s="18" t="n"/>
      <c r="G406" s="19">
        <f>IF(OR(E406="",F406=""),"",F406-E406)</f>
        <v/>
      </c>
      <c r="H406" s="20">
        <f>IF(OR(E406="",F406="",E406=0),"",(F406-E406)/E406)</f>
        <v/>
      </c>
      <c r="I406" s="21" t="n"/>
      <c r="J406" s="22">
        <f>IF(OR(E406="",I406=""),"",E406*I406)</f>
        <v/>
      </c>
      <c r="K406" s="22">
        <f>IF(OR(F406="",I406=""),"",F406*I406)</f>
        <v/>
      </c>
      <c r="L406" s="23">
        <f>IF(B406="","",IF(E406="","Cetvelde yok",IF(F406="","Projede bulunamadı",IF(H406&gt;MetrajTol,"Cetvelde eksik",IF(H406&lt;-MetrajTol,"Cetvelde fazla","Uygun")))))</f>
        <v/>
      </c>
      <c r="M406" s="21" t="n"/>
      <c r="N406" s="5" t="n"/>
    </row>
    <row r="407">
      <c r="A407" s="5" t="n"/>
      <c r="B407" s="5" t="n"/>
      <c r="C407" s="5" t="n"/>
      <c r="D407" s="5" t="n"/>
      <c r="E407" s="18" t="n"/>
      <c r="F407" s="18" t="n"/>
      <c r="G407" s="19">
        <f>IF(OR(E407="",F407=""),"",F407-E407)</f>
        <v/>
      </c>
      <c r="H407" s="20">
        <f>IF(OR(E407="",F407="",E407=0),"",(F407-E407)/E407)</f>
        <v/>
      </c>
      <c r="I407" s="21" t="n"/>
      <c r="J407" s="22">
        <f>IF(OR(E407="",I407=""),"",E407*I407)</f>
        <v/>
      </c>
      <c r="K407" s="22">
        <f>IF(OR(F407="",I407=""),"",F407*I407)</f>
        <v/>
      </c>
      <c r="L407" s="23">
        <f>IF(B407="","",IF(E407="","Cetvelde yok",IF(F407="","Projede bulunamadı",IF(H407&gt;MetrajTol,"Cetvelde eksik",IF(H407&lt;-MetrajTol,"Cetvelde fazla","Uygun")))))</f>
        <v/>
      </c>
      <c r="M407" s="21" t="n"/>
      <c r="N407" s="5" t="n"/>
    </row>
    <row r="408">
      <c r="A408" s="5" t="n"/>
      <c r="B408" s="5" t="n"/>
      <c r="C408" s="5" t="n"/>
      <c r="D408" s="5" t="n"/>
      <c r="E408" s="18" t="n"/>
      <c r="F408" s="18" t="n"/>
      <c r="G408" s="19">
        <f>IF(OR(E408="",F408=""),"",F408-E408)</f>
        <v/>
      </c>
      <c r="H408" s="20">
        <f>IF(OR(E408="",F408="",E408=0),"",(F408-E408)/E408)</f>
        <v/>
      </c>
      <c r="I408" s="21" t="n"/>
      <c r="J408" s="22">
        <f>IF(OR(E408="",I408=""),"",E408*I408)</f>
        <v/>
      </c>
      <c r="K408" s="22">
        <f>IF(OR(F408="",I408=""),"",F408*I408)</f>
        <v/>
      </c>
      <c r="L408" s="23">
        <f>IF(B408="","",IF(E408="","Cetvelde yok",IF(F408="","Projede bulunamadı",IF(H408&gt;MetrajTol,"Cetvelde eksik",IF(H408&lt;-MetrajTol,"Cetvelde fazla","Uygun")))))</f>
        <v/>
      </c>
      <c r="M408" s="21" t="n"/>
      <c r="N408" s="5" t="n"/>
    </row>
    <row r="409">
      <c r="A409" s="5" t="n"/>
      <c r="B409" s="5" t="n"/>
      <c r="C409" s="5" t="n"/>
      <c r="D409" s="5" t="n"/>
      <c r="E409" s="18" t="n"/>
      <c r="F409" s="18" t="n"/>
      <c r="G409" s="19">
        <f>IF(OR(E409="",F409=""),"",F409-E409)</f>
        <v/>
      </c>
      <c r="H409" s="20">
        <f>IF(OR(E409="",F409="",E409=0),"",(F409-E409)/E409)</f>
        <v/>
      </c>
      <c r="I409" s="21" t="n"/>
      <c r="J409" s="22">
        <f>IF(OR(E409="",I409=""),"",E409*I409)</f>
        <v/>
      </c>
      <c r="K409" s="22">
        <f>IF(OR(F409="",I409=""),"",F409*I409)</f>
        <v/>
      </c>
      <c r="L409" s="23">
        <f>IF(B409="","",IF(E409="","Cetvelde yok",IF(F409="","Projede bulunamadı",IF(H409&gt;MetrajTol,"Cetvelde eksik",IF(H409&lt;-MetrajTol,"Cetvelde fazla","Uygun")))))</f>
        <v/>
      </c>
      <c r="M409" s="21" t="n"/>
      <c r="N409" s="5" t="n"/>
    </row>
    <row r="410">
      <c r="A410" s="5" t="n"/>
      <c r="B410" s="5" t="n"/>
      <c r="C410" s="5" t="n"/>
      <c r="D410" s="5" t="n"/>
      <c r="E410" s="18" t="n"/>
      <c r="F410" s="18" t="n"/>
      <c r="G410" s="19">
        <f>IF(OR(E410="",F410=""),"",F410-E410)</f>
        <v/>
      </c>
      <c r="H410" s="20">
        <f>IF(OR(E410="",F410="",E410=0),"",(F410-E410)/E410)</f>
        <v/>
      </c>
      <c r="I410" s="21" t="n"/>
      <c r="J410" s="22">
        <f>IF(OR(E410="",I410=""),"",E410*I410)</f>
        <v/>
      </c>
      <c r="K410" s="22">
        <f>IF(OR(F410="",I410=""),"",F410*I410)</f>
        <v/>
      </c>
      <c r="L410" s="23">
        <f>IF(B410="","",IF(E410="","Cetvelde yok",IF(F410="","Projede bulunamadı",IF(H410&gt;MetrajTol,"Cetvelde eksik",IF(H410&lt;-MetrajTol,"Cetvelde fazla","Uygun")))))</f>
        <v/>
      </c>
      <c r="M410" s="21" t="n"/>
      <c r="N410" s="5" t="n"/>
    </row>
    <row r="411">
      <c r="A411" s="5" t="n"/>
      <c r="B411" s="5" t="n"/>
      <c r="C411" s="5" t="n"/>
      <c r="D411" s="5" t="n"/>
      <c r="E411" s="18" t="n"/>
      <c r="F411" s="18" t="n"/>
      <c r="G411" s="19">
        <f>IF(OR(E411="",F411=""),"",F411-E411)</f>
        <v/>
      </c>
      <c r="H411" s="20">
        <f>IF(OR(E411="",F411="",E411=0),"",(F411-E411)/E411)</f>
        <v/>
      </c>
      <c r="I411" s="21" t="n"/>
      <c r="J411" s="22">
        <f>IF(OR(E411="",I411=""),"",E411*I411)</f>
        <v/>
      </c>
      <c r="K411" s="22">
        <f>IF(OR(F411="",I411=""),"",F411*I411)</f>
        <v/>
      </c>
      <c r="L411" s="23">
        <f>IF(B411="","",IF(E411="","Cetvelde yok",IF(F411="","Projede bulunamadı",IF(H411&gt;MetrajTol,"Cetvelde eksik",IF(H411&lt;-MetrajTol,"Cetvelde fazla","Uygun")))))</f>
        <v/>
      </c>
      <c r="M411" s="21" t="n"/>
      <c r="N411" s="5" t="n"/>
    </row>
    <row r="412">
      <c r="A412" s="5" t="n"/>
      <c r="B412" s="5" t="n"/>
      <c r="C412" s="5" t="n"/>
      <c r="D412" s="5" t="n"/>
      <c r="E412" s="18" t="n"/>
      <c r="F412" s="18" t="n"/>
      <c r="G412" s="19">
        <f>IF(OR(E412="",F412=""),"",F412-E412)</f>
        <v/>
      </c>
      <c r="H412" s="20">
        <f>IF(OR(E412="",F412="",E412=0),"",(F412-E412)/E412)</f>
        <v/>
      </c>
      <c r="I412" s="21" t="n"/>
      <c r="J412" s="22">
        <f>IF(OR(E412="",I412=""),"",E412*I412)</f>
        <v/>
      </c>
      <c r="K412" s="22">
        <f>IF(OR(F412="",I412=""),"",F412*I412)</f>
        <v/>
      </c>
      <c r="L412" s="23">
        <f>IF(B412="","",IF(E412="","Cetvelde yok",IF(F412="","Projede bulunamadı",IF(H412&gt;MetrajTol,"Cetvelde eksik",IF(H412&lt;-MetrajTol,"Cetvelde fazla","Uygun")))))</f>
        <v/>
      </c>
      <c r="M412" s="21" t="n"/>
      <c r="N412" s="5" t="n"/>
    </row>
    <row r="413">
      <c r="A413" s="5" t="n"/>
      <c r="B413" s="5" t="n"/>
      <c r="C413" s="5" t="n"/>
      <c r="D413" s="5" t="n"/>
      <c r="E413" s="18" t="n"/>
      <c r="F413" s="18" t="n"/>
      <c r="G413" s="19">
        <f>IF(OR(E413="",F413=""),"",F413-E413)</f>
        <v/>
      </c>
      <c r="H413" s="20">
        <f>IF(OR(E413="",F413="",E413=0),"",(F413-E413)/E413)</f>
        <v/>
      </c>
      <c r="I413" s="21" t="n"/>
      <c r="J413" s="22">
        <f>IF(OR(E413="",I413=""),"",E413*I413)</f>
        <v/>
      </c>
      <c r="K413" s="22">
        <f>IF(OR(F413="",I413=""),"",F413*I413)</f>
        <v/>
      </c>
      <c r="L413" s="23">
        <f>IF(B413="","",IF(E413="","Cetvelde yok",IF(F413="","Projede bulunamadı",IF(H413&gt;MetrajTol,"Cetvelde eksik",IF(H413&lt;-MetrajTol,"Cetvelde fazla","Uygun")))))</f>
        <v/>
      </c>
      <c r="M413" s="21" t="n"/>
      <c r="N413" s="5" t="n"/>
    </row>
    <row r="414">
      <c r="A414" s="5" t="n"/>
      <c r="B414" s="5" t="n"/>
      <c r="C414" s="5" t="n"/>
      <c r="D414" s="5" t="n"/>
      <c r="E414" s="18" t="n"/>
      <c r="F414" s="18" t="n"/>
      <c r="G414" s="19">
        <f>IF(OR(E414="",F414=""),"",F414-E414)</f>
        <v/>
      </c>
      <c r="H414" s="20">
        <f>IF(OR(E414="",F414="",E414=0),"",(F414-E414)/E414)</f>
        <v/>
      </c>
      <c r="I414" s="21" t="n"/>
      <c r="J414" s="22">
        <f>IF(OR(E414="",I414=""),"",E414*I414)</f>
        <v/>
      </c>
      <c r="K414" s="22">
        <f>IF(OR(F414="",I414=""),"",F414*I414)</f>
        <v/>
      </c>
      <c r="L414" s="23">
        <f>IF(B414="","",IF(E414="","Cetvelde yok",IF(F414="","Projede bulunamadı",IF(H414&gt;MetrajTol,"Cetvelde eksik",IF(H414&lt;-MetrajTol,"Cetvelde fazla","Uygun")))))</f>
        <v/>
      </c>
      <c r="M414" s="21" t="n"/>
      <c r="N414" s="5" t="n"/>
    </row>
    <row r="415">
      <c r="A415" s="5" t="n"/>
      <c r="B415" s="5" t="n"/>
      <c r="C415" s="5" t="n"/>
      <c r="D415" s="5" t="n"/>
      <c r="E415" s="18" t="n"/>
      <c r="F415" s="18" t="n"/>
      <c r="G415" s="19">
        <f>IF(OR(E415="",F415=""),"",F415-E415)</f>
        <v/>
      </c>
      <c r="H415" s="20">
        <f>IF(OR(E415="",F415="",E415=0),"",(F415-E415)/E415)</f>
        <v/>
      </c>
      <c r="I415" s="21" t="n"/>
      <c r="J415" s="22">
        <f>IF(OR(E415="",I415=""),"",E415*I415)</f>
        <v/>
      </c>
      <c r="K415" s="22">
        <f>IF(OR(F415="",I415=""),"",F415*I415)</f>
        <v/>
      </c>
      <c r="L415" s="23">
        <f>IF(B415="","",IF(E415="","Cetvelde yok",IF(F415="","Projede bulunamadı",IF(H415&gt;MetrajTol,"Cetvelde eksik",IF(H415&lt;-MetrajTol,"Cetvelde fazla","Uygun")))))</f>
        <v/>
      </c>
      <c r="M415" s="21" t="n"/>
      <c r="N415" s="5" t="n"/>
    </row>
    <row r="416">
      <c r="A416" s="5" t="n"/>
      <c r="B416" s="5" t="n"/>
      <c r="C416" s="5" t="n"/>
      <c r="D416" s="5" t="n"/>
      <c r="E416" s="18" t="n"/>
      <c r="F416" s="18" t="n"/>
      <c r="G416" s="19">
        <f>IF(OR(E416="",F416=""),"",F416-E416)</f>
        <v/>
      </c>
      <c r="H416" s="20">
        <f>IF(OR(E416="",F416="",E416=0),"",(F416-E416)/E416)</f>
        <v/>
      </c>
      <c r="I416" s="21" t="n"/>
      <c r="J416" s="22">
        <f>IF(OR(E416="",I416=""),"",E416*I416)</f>
        <v/>
      </c>
      <c r="K416" s="22">
        <f>IF(OR(F416="",I416=""),"",F416*I416)</f>
        <v/>
      </c>
      <c r="L416" s="23">
        <f>IF(B416="","",IF(E416="","Cetvelde yok",IF(F416="","Projede bulunamadı",IF(H416&gt;MetrajTol,"Cetvelde eksik",IF(H416&lt;-MetrajTol,"Cetvelde fazla","Uygun")))))</f>
        <v/>
      </c>
      <c r="M416" s="21" t="n"/>
      <c r="N416" s="5" t="n"/>
    </row>
    <row r="417">
      <c r="A417" s="5" t="n"/>
      <c r="B417" s="5" t="n"/>
      <c r="C417" s="5" t="n"/>
      <c r="D417" s="5" t="n"/>
      <c r="E417" s="18" t="n"/>
      <c r="F417" s="18" t="n"/>
      <c r="G417" s="19">
        <f>IF(OR(E417="",F417=""),"",F417-E417)</f>
        <v/>
      </c>
      <c r="H417" s="20">
        <f>IF(OR(E417="",F417="",E417=0),"",(F417-E417)/E417)</f>
        <v/>
      </c>
      <c r="I417" s="21" t="n"/>
      <c r="J417" s="22">
        <f>IF(OR(E417="",I417=""),"",E417*I417)</f>
        <v/>
      </c>
      <c r="K417" s="22">
        <f>IF(OR(F417="",I417=""),"",F417*I417)</f>
        <v/>
      </c>
      <c r="L417" s="23">
        <f>IF(B417="","",IF(E417="","Cetvelde yok",IF(F417="","Projede bulunamadı",IF(H417&gt;MetrajTol,"Cetvelde eksik",IF(H417&lt;-MetrajTol,"Cetvelde fazla","Uygun")))))</f>
        <v/>
      </c>
      <c r="M417" s="21" t="n"/>
      <c r="N417" s="5" t="n"/>
    </row>
    <row r="418">
      <c r="A418" s="5" t="n"/>
      <c r="B418" s="5" t="n"/>
      <c r="C418" s="5" t="n"/>
      <c r="D418" s="5" t="n"/>
      <c r="E418" s="18" t="n"/>
      <c r="F418" s="18" t="n"/>
      <c r="G418" s="19">
        <f>IF(OR(E418="",F418=""),"",F418-E418)</f>
        <v/>
      </c>
      <c r="H418" s="20">
        <f>IF(OR(E418="",F418="",E418=0),"",(F418-E418)/E418)</f>
        <v/>
      </c>
      <c r="I418" s="21" t="n"/>
      <c r="J418" s="22">
        <f>IF(OR(E418="",I418=""),"",E418*I418)</f>
        <v/>
      </c>
      <c r="K418" s="22">
        <f>IF(OR(F418="",I418=""),"",F418*I418)</f>
        <v/>
      </c>
      <c r="L418" s="23">
        <f>IF(B418="","",IF(E418="","Cetvelde yok",IF(F418="","Projede bulunamadı",IF(H418&gt;MetrajTol,"Cetvelde eksik",IF(H418&lt;-MetrajTol,"Cetvelde fazla","Uygun")))))</f>
        <v/>
      </c>
      <c r="M418" s="21" t="n"/>
      <c r="N418" s="5" t="n"/>
    </row>
    <row r="419">
      <c r="A419" s="5" t="n"/>
      <c r="B419" s="5" t="n"/>
      <c r="C419" s="5" t="n"/>
      <c r="D419" s="5" t="n"/>
      <c r="E419" s="18" t="n"/>
      <c r="F419" s="18" t="n"/>
      <c r="G419" s="19">
        <f>IF(OR(E419="",F419=""),"",F419-E419)</f>
        <v/>
      </c>
      <c r="H419" s="20">
        <f>IF(OR(E419="",F419="",E419=0),"",(F419-E419)/E419)</f>
        <v/>
      </c>
      <c r="I419" s="21" t="n"/>
      <c r="J419" s="22">
        <f>IF(OR(E419="",I419=""),"",E419*I419)</f>
        <v/>
      </c>
      <c r="K419" s="22">
        <f>IF(OR(F419="",I419=""),"",F419*I419)</f>
        <v/>
      </c>
      <c r="L419" s="23">
        <f>IF(B419="","",IF(E419="","Cetvelde yok",IF(F419="","Projede bulunamadı",IF(H419&gt;MetrajTol,"Cetvelde eksik",IF(H419&lt;-MetrajTol,"Cetvelde fazla","Uygun")))))</f>
        <v/>
      </c>
      <c r="M419" s="21" t="n"/>
      <c r="N419" s="5" t="n"/>
    </row>
    <row r="420">
      <c r="A420" s="5" t="n"/>
      <c r="B420" s="5" t="n"/>
      <c r="C420" s="5" t="n"/>
      <c r="D420" s="5" t="n"/>
      <c r="E420" s="18" t="n"/>
      <c r="F420" s="18" t="n"/>
      <c r="G420" s="19">
        <f>IF(OR(E420="",F420=""),"",F420-E420)</f>
        <v/>
      </c>
      <c r="H420" s="20">
        <f>IF(OR(E420="",F420="",E420=0),"",(F420-E420)/E420)</f>
        <v/>
      </c>
      <c r="I420" s="21" t="n"/>
      <c r="J420" s="22">
        <f>IF(OR(E420="",I420=""),"",E420*I420)</f>
        <v/>
      </c>
      <c r="K420" s="22">
        <f>IF(OR(F420="",I420=""),"",F420*I420)</f>
        <v/>
      </c>
      <c r="L420" s="23">
        <f>IF(B420="","",IF(E420="","Cetvelde yok",IF(F420="","Projede bulunamadı",IF(H420&gt;MetrajTol,"Cetvelde eksik",IF(H420&lt;-MetrajTol,"Cetvelde fazla","Uygun")))))</f>
        <v/>
      </c>
      <c r="M420" s="21" t="n"/>
      <c r="N420" s="5" t="n"/>
    </row>
    <row r="421">
      <c r="A421" s="5" t="n"/>
      <c r="B421" s="5" t="n"/>
      <c r="C421" s="5" t="n"/>
      <c r="D421" s="5" t="n"/>
      <c r="E421" s="18" t="n"/>
      <c r="F421" s="18" t="n"/>
      <c r="G421" s="19">
        <f>IF(OR(E421="",F421=""),"",F421-E421)</f>
        <v/>
      </c>
      <c r="H421" s="20">
        <f>IF(OR(E421="",F421="",E421=0),"",(F421-E421)/E421)</f>
        <v/>
      </c>
      <c r="I421" s="21" t="n"/>
      <c r="J421" s="22">
        <f>IF(OR(E421="",I421=""),"",E421*I421)</f>
        <v/>
      </c>
      <c r="K421" s="22">
        <f>IF(OR(F421="",I421=""),"",F421*I421)</f>
        <v/>
      </c>
      <c r="L421" s="23">
        <f>IF(B421="","",IF(E421="","Cetvelde yok",IF(F421="","Projede bulunamadı",IF(H421&gt;MetrajTol,"Cetvelde eksik",IF(H421&lt;-MetrajTol,"Cetvelde fazla","Uygun")))))</f>
        <v/>
      </c>
      <c r="M421" s="21" t="n"/>
      <c r="N421" s="5" t="n"/>
    </row>
    <row r="422">
      <c r="A422" s="5" t="n"/>
      <c r="B422" s="5" t="n"/>
      <c r="C422" s="5" t="n"/>
      <c r="D422" s="5" t="n"/>
      <c r="E422" s="18" t="n"/>
      <c r="F422" s="18" t="n"/>
      <c r="G422" s="19">
        <f>IF(OR(E422="",F422=""),"",F422-E422)</f>
        <v/>
      </c>
      <c r="H422" s="20">
        <f>IF(OR(E422="",F422="",E422=0),"",(F422-E422)/E422)</f>
        <v/>
      </c>
      <c r="I422" s="21" t="n"/>
      <c r="J422" s="22">
        <f>IF(OR(E422="",I422=""),"",E422*I422)</f>
        <v/>
      </c>
      <c r="K422" s="22">
        <f>IF(OR(F422="",I422=""),"",F422*I422)</f>
        <v/>
      </c>
      <c r="L422" s="23">
        <f>IF(B422="","",IF(E422="","Cetvelde yok",IF(F422="","Projede bulunamadı",IF(H422&gt;MetrajTol,"Cetvelde eksik",IF(H422&lt;-MetrajTol,"Cetvelde fazla","Uygun")))))</f>
        <v/>
      </c>
      <c r="M422" s="21" t="n"/>
      <c r="N422" s="5" t="n"/>
    </row>
    <row r="423">
      <c r="A423" s="5" t="n"/>
      <c r="B423" s="5" t="n"/>
      <c r="C423" s="5" t="n"/>
      <c r="D423" s="5" t="n"/>
      <c r="E423" s="18" t="n"/>
      <c r="F423" s="18" t="n"/>
      <c r="G423" s="19">
        <f>IF(OR(E423="",F423=""),"",F423-E423)</f>
        <v/>
      </c>
      <c r="H423" s="20">
        <f>IF(OR(E423="",F423="",E423=0),"",(F423-E423)/E423)</f>
        <v/>
      </c>
      <c r="I423" s="21" t="n"/>
      <c r="J423" s="22">
        <f>IF(OR(E423="",I423=""),"",E423*I423)</f>
        <v/>
      </c>
      <c r="K423" s="22">
        <f>IF(OR(F423="",I423=""),"",F423*I423)</f>
        <v/>
      </c>
      <c r="L423" s="23">
        <f>IF(B423="","",IF(E423="","Cetvelde yok",IF(F423="","Projede bulunamadı",IF(H423&gt;MetrajTol,"Cetvelde eksik",IF(H423&lt;-MetrajTol,"Cetvelde fazla","Uygun")))))</f>
        <v/>
      </c>
      <c r="M423" s="21" t="n"/>
      <c r="N423" s="5" t="n"/>
    </row>
    <row r="424">
      <c r="A424" s="5" t="n"/>
      <c r="B424" s="5" t="n"/>
      <c r="C424" s="5" t="n"/>
      <c r="D424" s="5" t="n"/>
      <c r="E424" s="18" t="n"/>
      <c r="F424" s="18" t="n"/>
      <c r="G424" s="19">
        <f>IF(OR(E424="",F424=""),"",F424-E424)</f>
        <v/>
      </c>
      <c r="H424" s="20">
        <f>IF(OR(E424="",F424="",E424=0),"",(F424-E424)/E424)</f>
        <v/>
      </c>
      <c r="I424" s="21" t="n"/>
      <c r="J424" s="22">
        <f>IF(OR(E424="",I424=""),"",E424*I424)</f>
        <v/>
      </c>
      <c r="K424" s="22">
        <f>IF(OR(F424="",I424=""),"",F424*I424)</f>
        <v/>
      </c>
      <c r="L424" s="23">
        <f>IF(B424="","",IF(E424="","Cetvelde yok",IF(F424="","Projede bulunamadı",IF(H424&gt;MetrajTol,"Cetvelde eksik",IF(H424&lt;-MetrajTol,"Cetvelde fazla","Uygun")))))</f>
        <v/>
      </c>
      <c r="M424" s="21" t="n"/>
      <c r="N424" s="5" t="n"/>
    </row>
    <row r="425">
      <c r="A425" s="5" t="n"/>
      <c r="B425" s="5" t="n"/>
      <c r="C425" s="5" t="n"/>
      <c r="D425" s="5" t="n"/>
      <c r="E425" s="18" t="n"/>
      <c r="F425" s="18" t="n"/>
      <c r="G425" s="19">
        <f>IF(OR(E425="",F425=""),"",F425-E425)</f>
        <v/>
      </c>
      <c r="H425" s="20">
        <f>IF(OR(E425="",F425="",E425=0),"",(F425-E425)/E425)</f>
        <v/>
      </c>
      <c r="I425" s="21" t="n"/>
      <c r="J425" s="22">
        <f>IF(OR(E425="",I425=""),"",E425*I425)</f>
        <v/>
      </c>
      <c r="K425" s="22">
        <f>IF(OR(F425="",I425=""),"",F425*I425)</f>
        <v/>
      </c>
      <c r="L425" s="23">
        <f>IF(B425="","",IF(E425="","Cetvelde yok",IF(F425="","Projede bulunamadı",IF(H425&gt;MetrajTol,"Cetvelde eksik",IF(H425&lt;-MetrajTol,"Cetvelde fazla","Uygun")))))</f>
        <v/>
      </c>
      <c r="M425" s="21" t="n"/>
      <c r="N425" s="5" t="n"/>
    </row>
    <row r="426">
      <c r="A426" s="5" t="n"/>
      <c r="B426" s="5" t="n"/>
      <c r="C426" s="5" t="n"/>
      <c r="D426" s="5" t="n"/>
      <c r="E426" s="18" t="n"/>
      <c r="F426" s="18" t="n"/>
      <c r="G426" s="19">
        <f>IF(OR(E426="",F426=""),"",F426-E426)</f>
        <v/>
      </c>
      <c r="H426" s="20">
        <f>IF(OR(E426="",F426="",E426=0),"",(F426-E426)/E426)</f>
        <v/>
      </c>
      <c r="I426" s="21" t="n"/>
      <c r="J426" s="22">
        <f>IF(OR(E426="",I426=""),"",E426*I426)</f>
        <v/>
      </c>
      <c r="K426" s="22">
        <f>IF(OR(F426="",I426=""),"",F426*I426)</f>
        <v/>
      </c>
      <c r="L426" s="23">
        <f>IF(B426="","",IF(E426="","Cetvelde yok",IF(F426="","Projede bulunamadı",IF(H426&gt;MetrajTol,"Cetvelde eksik",IF(H426&lt;-MetrajTol,"Cetvelde fazla","Uygun")))))</f>
        <v/>
      </c>
      <c r="M426" s="21" t="n"/>
      <c r="N426" s="5" t="n"/>
    </row>
    <row r="427">
      <c r="A427" s="5" t="n"/>
      <c r="B427" s="5" t="n"/>
      <c r="C427" s="5" t="n"/>
      <c r="D427" s="5" t="n"/>
      <c r="E427" s="18" t="n"/>
      <c r="F427" s="18" t="n"/>
      <c r="G427" s="19">
        <f>IF(OR(E427="",F427=""),"",F427-E427)</f>
        <v/>
      </c>
      <c r="H427" s="20">
        <f>IF(OR(E427="",F427="",E427=0),"",(F427-E427)/E427)</f>
        <v/>
      </c>
      <c r="I427" s="21" t="n"/>
      <c r="J427" s="22">
        <f>IF(OR(E427="",I427=""),"",E427*I427)</f>
        <v/>
      </c>
      <c r="K427" s="22">
        <f>IF(OR(F427="",I427=""),"",F427*I427)</f>
        <v/>
      </c>
      <c r="L427" s="23">
        <f>IF(B427="","",IF(E427="","Cetvelde yok",IF(F427="","Projede bulunamadı",IF(H427&gt;MetrajTol,"Cetvelde eksik",IF(H427&lt;-MetrajTol,"Cetvelde fazla","Uygun")))))</f>
        <v/>
      </c>
      <c r="M427" s="21" t="n"/>
      <c r="N427" s="5" t="n"/>
    </row>
    <row r="428">
      <c r="A428" s="5" t="n"/>
      <c r="B428" s="5" t="n"/>
      <c r="C428" s="5" t="n"/>
      <c r="D428" s="5" t="n"/>
      <c r="E428" s="18" t="n"/>
      <c r="F428" s="18" t="n"/>
      <c r="G428" s="19">
        <f>IF(OR(E428="",F428=""),"",F428-E428)</f>
        <v/>
      </c>
      <c r="H428" s="20">
        <f>IF(OR(E428="",F428="",E428=0),"",(F428-E428)/E428)</f>
        <v/>
      </c>
      <c r="I428" s="21" t="n"/>
      <c r="J428" s="22">
        <f>IF(OR(E428="",I428=""),"",E428*I428)</f>
        <v/>
      </c>
      <c r="K428" s="22">
        <f>IF(OR(F428="",I428=""),"",F428*I428)</f>
        <v/>
      </c>
      <c r="L428" s="23">
        <f>IF(B428="","",IF(E428="","Cetvelde yok",IF(F428="","Projede bulunamadı",IF(H428&gt;MetrajTol,"Cetvelde eksik",IF(H428&lt;-MetrajTol,"Cetvelde fazla","Uygun")))))</f>
        <v/>
      </c>
      <c r="M428" s="21" t="n"/>
      <c r="N428" s="5" t="n"/>
    </row>
    <row r="429">
      <c r="A429" s="5" t="n"/>
      <c r="B429" s="5" t="n"/>
      <c r="C429" s="5" t="n"/>
      <c r="D429" s="5" t="n"/>
      <c r="E429" s="18" t="n"/>
      <c r="F429" s="18" t="n"/>
      <c r="G429" s="19">
        <f>IF(OR(E429="",F429=""),"",F429-E429)</f>
        <v/>
      </c>
      <c r="H429" s="20">
        <f>IF(OR(E429="",F429="",E429=0),"",(F429-E429)/E429)</f>
        <v/>
      </c>
      <c r="I429" s="21" t="n"/>
      <c r="J429" s="22">
        <f>IF(OR(E429="",I429=""),"",E429*I429)</f>
        <v/>
      </c>
      <c r="K429" s="22">
        <f>IF(OR(F429="",I429=""),"",F429*I429)</f>
        <v/>
      </c>
      <c r="L429" s="23">
        <f>IF(B429="","",IF(E429="","Cetvelde yok",IF(F429="","Projede bulunamadı",IF(H429&gt;MetrajTol,"Cetvelde eksik",IF(H429&lt;-MetrajTol,"Cetvelde fazla","Uygun")))))</f>
        <v/>
      </c>
      <c r="M429" s="21" t="n"/>
      <c r="N429" s="5" t="n"/>
    </row>
    <row r="430">
      <c r="A430" s="5" t="n"/>
      <c r="B430" s="5" t="n"/>
      <c r="C430" s="5" t="n"/>
      <c r="D430" s="5" t="n"/>
      <c r="E430" s="18" t="n"/>
      <c r="F430" s="18" t="n"/>
      <c r="G430" s="19">
        <f>IF(OR(E430="",F430=""),"",F430-E430)</f>
        <v/>
      </c>
      <c r="H430" s="20">
        <f>IF(OR(E430="",F430="",E430=0),"",(F430-E430)/E430)</f>
        <v/>
      </c>
      <c r="I430" s="21" t="n"/>
      <c r="J430" s="22">
        <f>IF(OR(E430="",I430=""),"",E430*I430)</f>
        <v/>
      </c>
      <c r="K430" s="22">
        <f>IF(OR(F430="",I430=""),"",F430*I430)</f>
        <v/>
      </c>
      <c r="L430" s="23">
        <f>IF(B430="","",IF(E430="","Cetvelde yok",IF(F430="","Projede bulunamadı",IF(H430&gt;MetrajTol,"Cetvelde eksik",IF(H430&lt;-MetrajTol,"Cetvelde fazla","Uygun")))))</f>
        <v/>
      </c>
      <c r="M430" s="21" t="n"/>
      <c r="N430" s="5" t="n"/>
    </row>
    <row r="431">
      <c r="A431" s="5" t="n"/>
      <c r="B431" s="5" t="n"/>
      <c r="C431" s="5" t="n"/>
      <c r="D431" s="5" t="n"/>
      <c r="E431" s="18" t="n"/>
      <c r="F431" s="18" t="n"/>
      <c r="G431" s="19">
        <f>IF(OR(E431="",F431=""),"",F431-E431)</f>
        <v/>
      </c>
      <c r="H431" s="20">
        <f>IF(OR(E431="",F431="",E431=0),"",(F431-E431)/E431)</f>
        <v/>
      </c>
      <c r="I431" s="21" t="n"/>
      <c r="J431" s="22">
        <f>IF(OR(E431="",I431=""),"",E431*I431)</f>
        <v/>
      </c>
      <c r="K431" s="22">
        <f>IF(OR(F431="",I431=""),"",F431*I431)</f>
        <v/>
      </c>
      <c r="L431" s="23">
        <f>IF(B431="","",IF(E431="","Cetvelde yok",IF(F431="","Projede bulunamadı",IF(H431&gt;MetrajTol,"Cetvelde eksik",IF(H431&lt;-MetrajTol,"Cetvelde fazla","Uygun")))))</f>
        <v/>
      </c>
      <c r="M431" s="21" t="n"/>
      <c r="N431" s="5" t="n"/>
    </row>
    <row r="432">
      <c r="A432" s="5" t="n"/>
      <c r="B432" s="5" t="n"/>
      <c r="C432" s="5" t="n"/>
      <c r="D432" s="5" t="n"/>
      <c r="E432" s="18" t="n"/>
      <c r="F432" s="18" t="n"/>
      <c r="G432" s="19">
        <f>IF(OR(E432="",F432=""),"",F432-E432)</f>
        <v/>
      </c>
      <c r="H432" s="20">
        <f>IF(OR(E432="",F432="",E432=0),"",(F432-E432)/E432)</f>
        <v/>
      </c>
      <c r="I432" s="21" t="n"/>
      <c r="J432" s="22">
        <f>IF(OR(E432="",I432=""),"",E432*I432)</f>
        <v/>
      </c>
      <c r="K432" s="22">
        <f>IF(OR(F432="",I432=""),"",F432*I432)</f>
        <v/>
      </c>
      <c r="L432" s="23">
        <f>IF(B432="","",IF(E432="","Cetvelde yok",IF(F432="","Projede bulunamadı",IF(H432&gt;MetrajTol,"Cetvelde eksik",IF(H432&lt;-MetrajTol,"Cetvelde fazla","Uygun")))))</f>
        <v/>
      </c>
      <c r="M432" s="21" t="n"/>
      <c r="N432" s="5" t="n"/>
    </row>
    <row r="433">
      <c r="A433" s="5" t="n"/>
      <c r="B433" s="5" t="n"/>
      <c r="C433" s="5" t="n"/>
      <c r="D433" s="5" t="n"/>
      <c r="E433" s="18" t="n"/>
      <c r="F433" s="18" t="n"/>
      <c r="G433" s="19">
        <f>IF(OR(E433="",F433=""),"",F433-E433)</f>
        <v/>
      </c>
      <c r="H433" s="20">
        <f>IF(OR(E433="",F433="",E433=0),"",(F433-E433)/E433)</f>
        <v/>
      </c>
      <c r="I433" s="21" t="n"/>
      <c r="J433" s="22">
        <f>IF(OR(E433="",I433=""),"",E433*I433)</f>
        <v/>
      </c>
      <c r="K433" s="22">
        <f>IF(OR(F433="",I433=""),"",F433*I433)</f>
        <v/>
      </c>
      <c r="L433" s="23">
        <f>IF(B433="","",IF(E433="","Cetvelde yok",IF(F433="","Projede bulunamadı",IF(H433&gt;MetrajTol,"Cetvelde eksik",IF(H433&lt;-MetrajTol,"Cetvelde fazla","Uygun")))))</f>
        <v/>
      </c>
      <c r="M433" s="21" t="n"/>
      <c r="N433" s="5" t="n"/>
    </row>
    <row r="434">
      <c r="A434" s="5" t="n"/>
      <c r="B434" s="5" t="n"/>
      <c r="C434" s="5" t="n"/>
      <c r="D434" s="5" t="n"/>
      <c r="E434" s="18" t="n"/>
      <c r="F434" s="18" t="n"/>
      <c r="G434" s="19">
        <f>IF(OR(E434="",F434=""),"",F434-E434)</f>
        <v/>
      </c>
      <c r="H434" s="20">
        <f>IF(OR(E434="",F434="",E434=0),"",(F434-E434)/E434)</f>
        <v/>
      </c>
      <c r="I434" s="21" t="n"/>
      <c r="J434" s="22">
        <f>IF(OR(E434="",I434=""),"",E434*I434)</f>
        <v/>
      </c>
      <c r="K434" s="22">
        <f>IF(OR(F434="",I434=""),"",F434*I434)</f>
        <v/>
      </c>
      <c r="L434" s="23">
        <f>IF(B434="","",IF(E434="","Cetvelde yok",IF(F434="","Projede bulunamadı",IF(H434&gt;MetrajTol,"Cetvelde eksik",IF(H434&lt;-MetrajTol,"Cetvelde fazla","Uygun")))))</f>
        <v/>
      </c>
      <c r="M434" s="21" t="n"/>
      <c r="N434" s="5" t="n"/>
    </row>
    <row r="435">
      <c r="A435" s="5" t="n"/>
      <c r="B435" s="5" t="n"/>
      <c r="C435" s="5" t="n"/>
      <c r="D435" s="5" t="n"/>
      <c r="E435" s="18" t="n"/>
      <c r="F435" s="18" t="n"/>
      <c r="G435" s="19">
        <f>IF(OR(E435="",F435=""),"",F435-E435)</f>
        <v/>
      </c>
      <c r="H435" s="20">
        <f>IF(OR(E435="",F435="",E435=0),"",(F435-E435)/E435)</f>
        <v/>
      </c>
      <c r="I435" s="21" t="n"/>
      <c r="J435" s="22">
        <f>IF(OR(E435="",I435=""),"",E435*I435)</f>
        <v/>
      </c>
      <c r="K435" s="22">
        <f>IF(OR(F435="",I435=""),"",F435*I435)</f>
        <v/>
      </c>
      <c r="L435" s="23">
        <f>IF(B435="","",IF(E435="","Cetvelde yok",IF(F435="","Projede bulunamadı",IF(H435&gt;MetrajTol,"Cetvelde eksik",IF(H435&lt;-MetrajTol,"Cetvelde fazla","Uygun")))))</f>
        <v/>
      </c>
      <c r="M435" s="21" t="n"/>
      <c r="N435" s="5" t="n"/>
    </row>
    <row r="436">
      <c r="A436" s="5" t="n"/>
      <c r="B436" s="5" t="n"/>
      <c r="C436" s="5" t="n"/>
      <c r="D436" s="5" t="n"/>
      <c r="E436" s="18" t="n"/>
      <c r="F436" s="18" t="n"/>
      <c r="G436" s="19">
        <f>IF(OR(E436="",F436=""),"",F436-E436)</f>
        <v/>
      </c>
      <c r="H436" s="20">
        <f>IF(OR(E436="",F436="",E436=0),"",(F436-E436)/E436)</f>
        <v/>
      </c>
      <c r="I436" s="21" t="n"/>
      <c r="J436" s="22">
        <f>IF(OR(E436="",I436=""),"",E436*I436)</f>
        <v/>
      </c>
      <c r="K436" s="22">
        <f>IF(OR(F436="",I436=""),"",F436*I436)</f>
        <v/>
      </c>
      <c r="L436" s="23">
        <f>IF(B436="","",IF(E436="","Cetvelde yok",IF(F436="","Projede bulunamadı",IF(H436&gt;MetrajTol,"Cetvelde eksik",IF(H436&lt;-MetrajTol,"Cetvelde fazla","Uygun")))))</f>
        <v/>
      </c>
      <c r="M436" s="21" t="n"/>
      <c r="N436" s="5" t="n"/>
    </row>
    <row r="437">
      <c r="A437" s="5" t="n"/>
      <c r="B437" s="5" t="n"/>
      <c r="C437" s="5" t="n"/>
      <c r="D437" s="5" t="n"/>
      <c r="E437" s="18" t="n"/>
      <c r="F437" s="18" t="n"/>
      <c r="G437" s="19">
        <f>IF(OR(E437="",F437=""),"",F437-E437)</f>
        <v/>
      </c>
      <c r="H437" s="20">
        <f>IF(OR(E437="",F437="",E437=0),"",(F437-E437)/E437)</f>
        <v/>
      </c>
      <c r="I437" s="21" t="n"/>
      <c r="J437" s="22">
        <f>IF(OR(E437="",I437=""),"",E437*I437)</f>
        <v/>
      </c>
      <c r="K437" s="22">
        <f>IF(OR(F437="",I437=""),"",F437*I437)</f>
        <v/>
      </c>
      <c r="L437" s="23">
        <f>IF(B437="","",IF(E437="","Cetvelde yok",IF(F437="","Projede bulunamadı",IF(H437&gt;MetrajTol,"Cetvelde eksik",IF(H437&lt;-MetrajTol,"Cetvelde fazla","Uygun")))))</f>
        <v/>
      </c>
      <c r="M437" s="21" t="n"/>
      <c r="N437" s="5" t="n"/>
    </row>
    <row r="438">
      <c r="A438" s="5" t="n"/>
      <c r="B438" s="5" t="n"/>
      <c r="C438" s="5" t="n"/>
      <c r="D438" s="5" t="n"/>
      <c r="E438" s="18" t="n"/>
      <c r="F438" s="18" t="n"/>
      <c r="G438" s="19">
        <f>IF(OR(E438="",F438=""),"",F438-E438)</f>
        <v/>
      </c>
      <c r="H438" s="20">
        <f>IF(OR(E438="",F438="",E438=0),"",(F438-E438)/E438)</f>
        <v/>
      </c>
      <c r="I438" s="21" t="n"/>
      <c r="J438" s="22">
        <f>IF(OR(E438="",I438=""),"",E438*I438)</f>
        <v/>
      </c>
      <c r="K438" s="22">
        <f>IF(OR(F438="",I438=""),"",F438*I438)</f>
        <v/>
      </c>
      <c r="L438" s="23">
        <f>IF(B438="","",IF(E438="","Cetvelde yok",IF(F438="","Projede bulunamadı",IF(H438&gt;MetrajTol,"Cetvelde eksik",IF(H438&lt;-MetrajTol,"Cetvelde fazla","Uygun")))))</f>
        <v/>
      </c>
      <c r="M438" s="21" t="n"/>
      <c r="N438" s="5" t="n"/>
    </row>
    <row r="439">
      <c r="A439" s="5" t="n"/>
      <c r="B439" s="5" t="n"/>
      <c r="C439" s="5" t="n"/>
      <c r="D439" s="5" t="n"/>
      <c r="E439" s="18" t="n"/>
      <c r="F439" s="18" t="n"/>
      <c r="G439" s="19">
        <f>IF(OR(E439="",F439=""),"",F439-E439)</f>
        <v/>
      </c>
      <c r="H439" s="20">
        <f>IF(OR(E439="",F439="",E439=0),"",(F439-E439)/E439)</f>
        <v/>
      </c>
      <c r="I439" s="21" t="n"/>
      <c r="J439" s="22">
        <f>IF(OR(E439="",I439=""),"",E439*I439)</f>
        <v/>
      </c>
      <c r="K439" s="22">
        <f>IF(OR(F439="",I439=""),"",F439*I439)</f>
        <v/>
      </c>
      <c r="L439" s="23">
        <f>IF(B439="","",IF(E439="","Cetvelde yok",IF(F439="","Projede bulunamadı",IF(H439&gt;MetrajTol,"Cetvelde eksik",IF(H439&lt;-MetrajTol,"Cetvelde fazla","Uygun")))))</f>
        <v/>
      </c>
      <c r="M439" s="21" t="n"/>
      <c r="N439" s="5" t="n"/>
    </row>
    <row r="440">
      <c r="A440" s="5" t="n"/>
      <c r="B440" s="5" t="n"/>
      <c r="C440" s="5" t="n"/>
      <c r="D440" s="5" t="n"/>
      <c r="E440" s="18" t="n"/>
      <c r="F440" s="18" t="n"/>
      <c r="G440" s="19">
        <f>IF(OR(E440="",F440=""),"",F440-E440)</f>
        <v/>
      </c>
      <c r="H440" s="20">
        <f>IF(OR(E440="",F440="",E440=0),"",(F440-E440)/E440)</f>
        <v/>
      </c>
      <c r="I440" s="21" t="n"/>
      <c r="J440" s="22">
        <f>IF(OR(E440="",I440=""),"",E440*I440)</f>
        <v/>
      </c>
      <c r="K440" s="22">
        <f>IF(OR(F440="",I440=""),"",F440*I440)</f>
        <v/>
      </c>
      <c r="L440" s="23">
        <f>IF(B440="","",IF(E440="","Cetvelde yok",IF(F440="","Projede bulunamadı",IF(H440&gt;MetrajTol,"Cetvelde eksik",IF(H440&lt;-MetrajTol,"Cetvelde fazla","Uygun")))))</f>
        <v/>
      </c>
      <c r="M440" s="21" t="n"/>
      <c r="N440" s="5" t="n"/>
    </row>
    <row r="441">
      <c r="A441" s="5" t="n"/>
      <c r="B441" s="5" t="n"/>
      <c r="C441" s="5" t="n"/>
      <c r="D441" s="5" t="n"/>
      <c r="E441" s="18" t="n"/>
      <c r="F441" s="18" t="n"/>
      <c r="G441" s="19">
        <f>IF(OR(E441="",F441=""),"",F441-E441)</f>
        <v/>
      </c>
      <c r="H441" s="20">
        <f>IF(OR(E441="",F441="",E441=0),"",(F441-E441)/E441)</f>
        <v/>
      </c>
      <c r="I441" s="21" t="n"/>
      <c r="J441" s="22">
        <f>IF(OR(E441="",I441=""),"",E441*I441)</f>
        <v/>
      </c>
      <c r="K441" s="22">
        <f>IF(OR(F441="",I441=""),"",F441*I441)</f>
        <v/>
      </c>
      <c r="L441" s="23">
        <f>IF(B441="","",IF(E441="","Cetvelde yok",IF(F441="","Projede bulunamadı",IF(H441&gt;MetrajTol,"Cetvelde eksik",IF(H441&lt;-MetrajTol,"Cetvelde fazla","Uygun")))))</f>
        <v/>
      </c>
      <c r="M441" s="21" t="n"/>
      <c r="N441" s="5" t="n"/>
    </row>
    <row r="442">
      <c r="A442" s="5" t="n"/>
      <c r="B442" s="5" t="n"/>
      <c r="C442" s="5" t="n"/>
      <c r="D442" s="5" t="n"/>
      <c r="E442" s="18" t="n"/>
      <c r="F442" s="18" t="n"/>
      <c r="G442" s="19">
        <f>IF(OR(E442="",F442=""),"",F442-E442)</f>
        <v/>
      </c>
      <c r="H442" s="20">
        <f>IF(OR(E442="",F442="",E442=0),"",(F442-E442)/E442)</f>
        <v/>
      </c>
      <c r="I442" s="21" t="n"/>
      <c r="J442" s="22">
        <f>IF(OR(E442="",I442=""),"",E442*I442)</f>
        <v/>
      </c>
      <c r="K442" s="22">
        <f>IF(OR(F442="",I442=""),"",F442*I442)</f>
        <v/>
      </c>
      <c r="L442" s="23">
        <f>IF(B442="","",IF(E442="","Cetvelde yok",IF(F442="","Projede bulunamadı",IF(H442&gt;MetrajTol,"Cetvelde eksik",IF(H442&lt;-MetrajTol,"Cetvelde fazla","Uygun")))))</f>
        <v/>
      </c>
      <c r="M442" s="21" t="n"/>
      <c r="N442" s="5" t="n"/>
    </row>
    <row r="443">
      <c r="A443" s="5" t="n"/>
      <c r="B443" s="5" t="n"/>
      <c r="C443" s="5" t="n"/>
      <c r="D443" s="5" t="n"/>
      <c r="E443" s="18" t="n"/>
      <c r="F443" s="18" t="n"/>
      <c r="G443" s="19">
        <f>IF(OR(E443="",F443=""),"",F443-E443)</f>
        <v/>
      </c>
      <c r="H443" s="20">
        <f>IF(OR(E443="",F443="",E443=0),"",(F443-E443)/E443)</f>
        <v/>
      </c>
      <c r="I443" s="21" t="n"/>
      <c r="J443" s="22">
        <f>IF(OR(E443="",I443=""),"",E443*I443)</f>
        <v/>
      </c>
      <c r="K443" s="22">
        <f>IF(OR(F443="",I443=""),"",F443*I443)</f>
        <v/>
      </c>
      <c r="L443" s="23">
        <f>IF(B443="","",IF(E443="","Cetvelde yok",IF(F443="","Projede bulunamadı",IF(H443&gt;MetrajTol,"Cetvelde eksik",IF(H443&lt;-MetrajTol,"Cetvelde fazla","Uygun")))))</f>
        <v/>
      </c>
      <c r="M443" s="21" t="n"/>
      <c r="N443" s="5" t="n"/>
    </row>
    <row r="444">
      <c r="A444" s="5" t="n"/>
      <c r="B444" s="5" t="n"/>
      <c r="C444" s="5" t="n"/>
      <c r="D444" s="5" t="n"/>
      <c r="E444" s="18" t="n"/>
      <c r="F444" s="18" t="n"/>
      <c r="G444" s="19">
        <f>IF(OR(E444="",F444=""),"",F444-E444)</f>
        <v/>
      </c>
      <c r="H444" s="20">
        <f>IF(OR(E444="",F444="",E444=0),"",(F444-E444)/E444)</f>
        <v/>
      </c>
      <c r="I444" s="21" t="n"/>
      <c r="J444" s="22">
        <f>IF(OR(E444="",I444=""),"",E444*I444)</f>
        <v/>
      </c>
      <c r="K444" s="22">
        <f>IF(OR(F444="",I444=""),"",F444*I444)</f>
        <v/>
      </c>
      <c r="L444" s="23">
        <f>IF(B444="","",IF(E444="","Cetvelde yok",IF(F444="","Projede bulunamadı",IF(H444&gt;MetrajTol,"Cetvelde eksik",IF(H444&lt;-MetrajTol,"Cetvelde fazla","Uygun")))))</f>
        <v/>
      </c>
      <c r="M444" s="21" t="n"/>
      <c r="N444" s="5" t="n"/>
    </row>
    <row r="445">
      <c r="A445" s="5" t="n"/>
      <c r="B445" s="5" t="n"/>
      <c r="C445" s="5" t="n"/>
      <c r="D445" s="5" t="n"/>
      <c r="E445" s="18" t="n"/>
      <c r="F445" s="18" t="n"/>
      <c r="G445" s="19">
        <f>IF(OR(E445="",F445=""),"",F445-E445)</f>
        <v/>
      </c>
      <c r="H445" s="20">
        <f>IF(OR(E445="",F445="",E445=0),"",(F445-E445)/E445)</f>
        <v/>
      </c>
      <c r="I445" s="21" t="n"/>
      <c r="J445" s="22">
        <f>IF(OR(E445="",I445=""),"",E445*I445)</f>
        <v/>
      </c>
      <c r="K445" s="22">
        <f>IF(OR(F445="",I445=""),"",F445*I445)</f>
        <v/>
      </c>
      <c r="L445" s="23">
        <f>IF(B445="","",IF(E445="","Cetvelde yok",IF(F445="","Projede bulunamadı",IF(H445&gt;MetrajTol,"Cetvelde eksik",IF(H445&lt;-MetrajTol,"Cetvelde fazla","Uygun")))))</f>
        <v/>
      </c>
      <c r="M445" s="21" t="n"/>
      <c r="N445" s="5" t="n"/>
    </row>
    <row r="446">
      <c r="A446" s="5" t="n"/>
      <c r="B446" s="5" t="n"/>
      <c r="C446" s="5" t="n"/>
      <c r="D446" s="5" t="n"/>
      <c r="E446" s="18" t="n"/>
      <c r="F446" s="18" t="n"/>
      <c r="G446" s="19">
        <f>IF(OR(E446="",F446=""),"",F446-E446)</f>
        <v/>
      </c>
      <c r="H446" s="20">
        <f>IF(OR(E446="",F446="",E446=0),"",(F446-E446)/E446)</f>
        <v/>
      </c>
      <c r="I446" s="21" t="n"/>
      <c r="J446" s="22">
        <f>IF(OR(E446="",I446=""),"",E446*I446)</f>
        <v/>
      </c>
      <c r="K446" s="22">
        <f>IF(OR(F446="",I446=""),"",F446*I446)</f>
        <v/>
      </c>
      <c r="L446" s="23">
        <f>IF(B446="","",IF(E446="","Cetvelde yok",IF(F446="","Projede bulunamadı",IF(H446&gt;MetrajTol,"Cetvelde eksik",IF(H446&lt;-MetrajTol,"Cetvelde fazla","Uygun")))))</f>
        <v/>
      </c>
      <c r="M446" s="21" t="n"/>
      <c r="N446" s="5" t="n"/>
    </row>
    <row r="447">
      <c r="A447" s="5" t="n"/>
      <c r="B447" s="5" t="n"/>
      <c r="C447" s="5" t="n"/>
      <c r="D447" s="5" t="n"/>
      <c r="E447" s="18" t="n"/>
      <c r="F447" s="18" t="n"/>
      <c r="G447" s="19">
        <f>IF(OR(E447="",F447=""),"",F447-E447)</f>
        <v/>
      </c>
      <c r="H447" s="20">
        <f>IF(OR(E447="",F447="",E447=0),"",(F447-E447)/E447)</f>
        <v/>
      </c>
      <c r="I447" s="21" t="n"/>
      <c r="J447" s="22">
        <f>IF(OR(E447="",I447=""),"",E447*I447)</f>
        <v/>
      </c>
      <c r="K447" s="22">
        <f>IF(OR(F447="",I447=""),"",F447*I447)</f>
        <v/>
      </c>
      <c r="L447" s="23">
        <f>IF(B447="","",IF(E447="","Cetvelde yok",IF(F447="","Projede bulunamadı",IF(H447&gt;MetrajTol,"Cetvelde eksik",IF(H447&lt;-MetrajTol,"Cetvelde fazla","Uygun")))))</f>
        <v/>
      </c>
      <c r="M447" s="21" t="n"/>
      <c r="N447" s="5" t="n"/>
    </row>
    <row r="448">
      <c r="A448" s="5" t="n"/>
      <c r="B448" s="5" t="n"/>
      <c r="C448" s="5" t="n"/>
      <c r="D448" s="5" t="n"/>
      <c r="E448" s="18" t="n"/>
      <c r="F448" s="18" t="n"/>
      <c r="G448" s="19">
        <f>IF(OR(E448="",F448=""),"",F448-E448)</f>
        <v/>
      </c>
      <c r="H448" s="20">
        <f>IF(OR(E448="",F448="",E448=0),"",(F448-E448)/E448)</f>
        <v/>
      </c>
      <c r="I448" s="21" t="n"/>
      <c r="J448" s="22">
        <f>IF(OR(E448="",I448=""),"",E448*I448)</f>
        <v/>
      </c>
      <c r="K448" s="22">
        <f>IF(OR(F448="",I448=""),"",F448*I448)</f>
        <v/>
      </c>
      <c r="L448" s="23">
        <f>IF(B448="","",IF(E448="","Cetvelde yok",IF(F448="","Projede bulunamadı",IF(H448&gt;MetrajTol,"Cetvelde eksik",IF(H448&lt;-MetrajTol,"Cetvelde fazla","Uygun")))))</f>
        <v/>
      </c>
      <c r="M448" s="21" t="n"/>
      <c r="N448" s="5" t="n"/>
    </row>
    <row r="449">
      <c r="A449" s="5" t="n"/>
      <c r="B449" s="5" t="n"/>
      <c r="C449" s="5" t="n"/>
      <c r="D449" s="5" t="n"/>
      <c r="E449" s="18" t="n"/>
      <c r="F449" s="18" t="n"/>
      <c r="G449" s="19">
        <f>IF(OR(E449="",F449=""),"",F449-E449)</f>
        <v/>
      </c>
      <c r="H449" s="20">
        <f>IF(OR(E449="",F449="",E449=0),"",(F449-E449)/E449)</f>
        <v/>
      </c>
      <c r="I449" s="21" t="n"/>
      <c r="J449" s="22">
        <f>IF(OR(E449="",I449=""),"",E449*I449)</f>
        <v/>
      </c>
      <c r="K449" s="22">
        <f>IF(OR(F449="",I449=""),"",F449*I449)</f>
        <v/>
      </c>
      <c r="L449" s="23">
        <f>IF(B449="","",IF(E449="","Cetvelde yok",IF(F449="","Projede bulunamadı",IF(H449&gt;MetrajTol,"Cetvelde eksik",IF(H449&lt;-MetrajTol,"Cetvelde fazla","Uygun")))))</f>
        <v/>
      </c>
      <c r="M449" s="21" t="n"/>
      <c r="N449" s="5" t="n"/>
    </row>
    <row r="450">
      <c r="A450" s="5" t="n"/>
      <c r="B450" s="5" t="n"/>
      <c r="C450" s="5" t="n"/>
      <c r="D450" s="5" t="n"/>
      <c r="E450" s="18" t="n"/>
      <c r="F450" s="18" t="n"/>
      <c r="G450" s="19">
        <f>IF(OR(E450="",F450=""),"",F450-E450)</f>
        <v/>
      </c>
      <c r="H450" s="20">
        <f>IF(OR(E450="",F450="",E450=0),"",(F450-E450)/E450)</f>
        <v/>
      </c>
      <c r="I450" s="21" t="n"/>
      <c r="J450" s="22">
        <f>IF(OR(E450="",I450=""),"",E450*I450)</f>
        <v/>
      </c>
      <c r="K450" s="22">
        <f>IF(OR(F450="",I450=""),"",F450*I450)</f>
        <v/>
      </c>
      <c r="L450" s="23">
        <f>IF(B450="","",IF(E450="","Cetvelde yok",IF(F450="","Projede bulunamadı",IF(H450&gt;MetrajTol,"Cetvelde eksik",IF(H450&lt;-MetrajTol,"Cetvelde fazla","Uygun")))))</f>
        <v/>
      </c>
      <c r="M450" s="21" t="n"/>
      <c r="N450" s="5" t="n"/>
    </row>
    <row r="451">
      <c r="A451" s="5" t="n"/>
      <c r="B451" s="5" t="n"/>
      <c r="C451" s="5" t="n"/>
      <c r="D451" s="5" t="n"/>
      <c r="E451" s="18" t="n"/>
      <c r="F451" s="18" t="n"/>
      <c r="G451" s="19">
        <f>IF(OR(E451="",F451=""),"",F451-E451)</f>
        <v/>
      </c>
      <c r="H451" s="20">
        <f>IF(OR(E451="",F451="",E451=0),"",(F451-E451)/E451)</f>
        <v/>
      </c>
      <c r="I451" s="21" t="n"/>
      <c r="J451" s="22">
        <f>IF(OR(E451="",I451=""),"",E451*I451)</f>
        <v/>
      </c>
      <c r="K451" s="22">
        <f>IF(OR(F451="",I451=""),"",F451*I451)</f>
        <v/>
      </c>
      <c r="L451" s="23">
        <f>IF(B451="","",IF(E451="","Cetvelde yok",IF(F451="","Projede bulunamadı",IF(H451&gt;MetrajTol,"Cetvelde eksik",IF(H451&lt;-MetrajTol,"Cetvelde fazla","Uygun")))))</f>
        <v/>
      </c>
      <c r="M451" s="21" t="n"/>
      <c r="N451" s="5" t="n"/>
    </row>
    <row r="452">
      <c r="A452" s="5" t="n"/>
      <c r="B452" s="5" t="n"/>
      <c r="C452" s="5" t="n"/>
      <c r="D452" s="5" t="n"/>
      <c r="E452" s="18" t="n"/>
      <c r="F452" s="18" t="n"/>
      <c r="G452" s="19">
        <f>IF(OR(E452="",F452=""),"",F452-E452)</f>
        <v/>
      </c>
      <c r="H452" s="20">
        <f>IF(OR(E452="",F452="",E452=0),"",(F452-E452)/E452)</f>
        <v/>
      </c>
      <c r="I452" s="21" t="n"/>
      <c r="J452" s="22">
        <f>IF(OR(E452="",I452=""),"",E452*I452)</f>
        <v/>
      </c>
      <c r="K452" s="22">
        <f>IF(OR(F452="",I452=""),"",F452*I452)</f>
        <v/>
      </c>
      <c r="L452" s="23">
        <f>IF(B452="","",IF(E452="","Cetvelde yok",IF(F452="","Projede bulunamadı",IF(H452&gt;MetrajTol,"Cetvelde eksik",IF(H452&lt;-MetrajTol,"Cetvelde fazla","Uygun")))))</f>
        <v/>
      </c>
      <c r="M452" s="21" t="n"/>
      <c r="N452" s="5" t="n"/>
    </row>
    <row r="453">
      <c r="A453" s="5" t="n"/>
      <c r="B453" s="5" t="n"/>
      <c r="C453" s="5" t="n"/>
      <c r="D453" s="5" t="n"/>
      <c r="E453" s="18" t="n"/>
      <c r="F453" s="18" t="n"/>
      <c r="G453" s="19">
        <f>IF(OR(E453="",F453=""),"",F453-E453)</f>
        <v/>
      </c>
      <c r="H453" s="20">
        <f>IF(OR(E453="",F453="",E453=0),"",(F453-E453)/E453)</f>
        <v/>
      </c>
      <c r="I453" s="21" t="n"/>
      <c r="J453" s="22">
        <f>IF(OR(E453="",I453=""),"",E453*I453)</f>
        <v/>
      </c>
      <c r="K453" s="22">
        <f>IF(OR(F453="",I453=""),"",F453*I453)</f>
        <v/>
      </c>
      <c r="L453" s="23">
        <f>IF(B453="","",IF(E453="","Cetvelde yok",IF(F453="","Projede bulunamadı",IF(H453&gt;MetrajTol,"Cetvelde eksik",IF(H453&lt;-MetrajTol,"Cetvelde fazla","Uygun")))))</f>
        <v/>
      </c>
      <c r="M453" s="21" t="n"/>
      <c r="N453" s="5" t="n"/>
    </row>
    <row r="454">
      <c r="A454" s="5" t="n"/>
      <c r="B454" s="5" t="n"/>
      <c r="C454" s="5" t="n"/>
      <c r="D454" s="5" t="n"/>
      <c r="E454" s="18" t="n"/>
      <c r="F454" s="18" t="n"/>
      <c r="G454" s="19">
        <f>IF(OR(E454="",F454=""),"",F454-E454)</f>
        <v/>
      </c>
      <c r="H454" s="20">
        <f>IF(OR(E454="",F454="",E454=0),"",(F454-E454)/E454)</f>
        <v/>
      </c>
      <c r="I454" s="21" t="n"/>
      <c r="J454" s="22">
        <f>IF(OR(E454="",I454=""),"",E454*I454)</f>
        <v/>
      </c>
      <c r="K454" s="22">
        <f>IF(OR(F454="",I454=""),"",F454*I454)</f>
        <v/>
      </c>
      <c r="L454" s="23">
        <f>IF(B454="","",IF(E454="","Cetvelde yok",IF(F454="","Projede bulunamadı",IF(H454&gt;MetrajTol,"Cetvelde eksik",IF(H454&lt;-MetrajTol,"Cetvelde fazla","Uygun")))))</f>
        <v/>
      </c>
      <c r="M454" s="21" t="n"/>
      <c r="N454" s="5" t="n"/>
    </row>
    <row r="455">
      <c r="A455" s="5" t="n"/>
      <c r="B455" s="5" t="n"/>
      <c r="C455" s="5" t="n"/>
      <c r="D455" s="5" t="n"/>
      <c r="E455" s="18" t="n"/>
      <c r="F455" s="18" t="n"/>
      <c r="G455" s="19">
        <f>IF(OR(E455="",F455=""),"",F455-E455)</f>
        <v/>
      </c>
      <c r="H455" s="20">
        <f>IF(OR(E455="",F455="",E455=0),"",(F455-E455)/E455)</f>
        <v/>
      </c>
      <c r="I455" s="21" t="n"/>
      <c r="J455" s="22">
        <f>IF(OR(E455="",I455=""),"",E455*I455)</f>
        <v/>
      </c>
      <c r="K455" s="22">
        <f>IF(OR(F455="",I455=""),"",F455*I455)</f>
        <v/>
      </c>
      <c r="L455" s="23">
        <f>IF(B455="","",IF(E455="","Cetvelde yok",IF(F455="","Projede bulunamadı",IF(H455&gt;MetrajTol,"Cetvelde eksik",IF(H455&lt;-MetrajTol,"Cetvelde fazla","Uygun")))))</f>
        <v/>
      </c>
      <c r="M455" s="21" t="n"/>
      <c r="N455" s="5" t="n"/>
    </row>
    <row r="456">
      <c r="A456" s="5" t="n"/>
      <c r="B456" s="5" t="n"/>
      <c r="C456" s="5" t="n"/>
      <c r="D456" s="5" t="n"/>
      <c r="E456" s="18" t="n"/>
      <c r="F456" s="18" t="n"/>
      <c r="G456" s="19">
        <f>IF(OR(E456="",F456=""),"",F456-E456)</f>
        <v/>
      </c>
      <c r="H456" s="20">
        <f>IF(OR(E456="",F456="",E456=0),"",(F456-E456)/E456)</f>
        <v/>
      </c>
      <c r="I456" s="21" t="n"/>
      <c r="J456" s="22">
        <f>IF(OR(E456="",I456=""),"",E456*I456)</f>
        <v/>
      </c>
      <c r="K456" s="22">
        <f>IF(OR(F456="",I456=""),"",F456*I456)</f>
        <v/>
      </c>
      <c r="L456" s="23">
        <f>IF(B456="","",IF(E456="","Cetvelde yok",IF(F456="","Projede bulunamadı",IF(H456&gt;MetrajTol,"Cetvelde eksik",IF(H456&lt;-MetrajTol,"Cetvelde fazla","Uygun")))))</f>
        <v/>
      </c>
      <c r="M456" s="21" t="n"/>
      <c r="N456" s="5" t="n"/>
    </row>
    <row r="457">
      <c r="A457" s="5" t="n"/>
      <c r="B457" s="5" t="n"/>
      <c r="C457" s="5" t="n"/>
      <c r="D457" s="5" t="n"/>
      <c r="E457" s="18" t="n"/>
      <c r="F457" s="18" t="n"/>
      <c r="G457" s="19">
        <f>IF(OR(E457="",F457=""),"",F457-E457)</f>
        <v/>
      </c>
      <c r="H457" s="20">
        <f>IF(OR(E457="",F457="",E457=0),"",(F457-E457)/E457)</f>
        <v/>
      </c>
      <c r="I457" s="21" t="n"/>
      <c r="J457" s="22">
        <f>IF(OR(E457="",I457=""),"",E457*I457)</f>
        <v/>
      </c>
      <c r="K457" s="22">
        <f>IF(OR(F457="",I457=""),"",F457*I457)</f>
        <v/>
      </c>
      <c r="L457" s="23">
        <f>IF(B457="","",IF(E457="","Cetvelde yok",IF(F457="","Projede bulunamadı",IF(H457&gt;MetrajTol,"Cetvelde eksik",IF(H457&lt;-MetrajTol,"Cetvelde fazla","Uygun")))))</f>
        <v/>
      </c>
      <c r="M457" s="21" t="n"/>
      <c r="N457" s="5" t="n"/>
    </row>
    <row r="458">
      <c r="A458" s="5" t="n"/>
      <c r="B458" s="5" t="n"/>
      <c r="C458" s="5" t="n"/>
      <c r="D458" s="5" t="n"/>
      <c r="E458" s="18" t="n"/>
      <c r="F458" s="18" t="n"/>
      <c r="G458" s="19">
        <f>IF(OR(E458="",F458=""),"",F458-E458)</f>
        <v/>
      </c>
      <c r="H458" s="20">
        <f>IF(OR(E458="",F458="",E458=0),"",(F458-E458)/E458)</f>
        <v/>
      </c>
      <c r="I458" s="21" t="n"/>
      <c r="J458" s="22">
        <f>IF(OR(E458="",I458=""),"",E458*I458)</f>
        <v/>
      </c>
      <c r="K458" s="22">
        <f>IF(OR(F458="",I458=""),"",F458*I458)</f>
        <v/>
      </c>
      <c r="L458" s="23">
        <f>IF(B458="","",IF(E458="","Cetvelde yok",IF(F458="","Projede bulunamadı",IF(H458&gt;MetrajTol,"Cetvelde eksik",IF(H458&lt;-MetrajTol,"Cetvelde fazla","Uygun")))))</f>
        <v/>
      </c>
      <c r="M458" s="21" t="n"/>
      <c r="N458" s="5" t="n"/>
    </row>
    <row r="459">
      <c r="A459" s="5" t="n"/>
      <c r="B459" s="5" t="n"/>
      <c r="C459" s="5" t="n"/>
      <c r="D459" s="5" t="n"/>
      <c r="E459" s="18" t="n"/>
      <c r="F459" s="18" t="n"/>
      <c r="G459" s="19">
        <f>IF(OR(E459="",F459=""),"",F459-E459)</f>
        <v/>
      </c>
      <c r="H459" s="20">
        <f>IF(OR(E459="",F459="",E459=0),"",(F459-E459)/E459)</f>
        <v/>
      </c>
      <c r="I459" s="21" t="n"/>
      <c r="J459" s="22">
        <f>IF(OR(E459="",I459=""),"",E459*I459)</f>
        <v/>
      </c>
      <c r="K459" s="22">
        <f>IF(OR(F459="",I459=""),"",F459*I459)</f>
        <v/>
      </c>
      <c r="L459" s="23">
        <f>IF(B459="","",IF(E459="","Cetvelde yok",IF(F459="","Projede bulunamadı",IF(H459&gt;MetrajTol,"Cetvelde eksik",IF(H459&lt;-MetrajTol,"Cetvelde fazla","Uygun")))))</f>
        <v/>
      </c>
      <c r="M459" s="21" t="n"/>
      <c r="N459" s="5" t="n"/>
    </row>
    <row r="460">
      <c r="A460" s="5" t="n"/>
      <c r="B460" s="5" t="n"/>
      <c r="C460" s="5" t="n"/>
      <c r="D460" s="5" t="n"/>
      <c r="E460" s="18" t="n"/>
      <c r="F460" s="18" t="n"/>
      <c r="G460" s="19">
        <f>IF(OR(E460="",F460=""),"",F460-E460)</f>
        <v/>
      </c>
      <c r="H460" s="20">
        <f>IF(OR(E460="",F460="",E460=0),"",(F460-E460)/E460)</f>
        <v/>
      </c>
      <c r="I460" s="21" t="n"/>
      <c r="J460" s="22">
        <f>IF(OR(E460="",I460=""),"",E460*I460)</f>
        <v/>
      </c>
      <c r="K460" s="22">
        <f>IF(OR(F460="",I460=""),"",F460*I460)</f>
        <v/>
      </c>
      <c r="L460" s="23">
        <f>IF(B460="","",IF(E460="","Cetvelde yok",IF(F460="","Projede bulunamadı",IF(H460&gt;MetrajTol,"Cetvelde eksik",IF(H460&lt;-MetrajTol,"Cetvelde fazla","Uygun")))))</f>
        <v/>
      </c>
      <c r="M460" s="21" t="n"/>
      <c r="N460" s="5" t="n"/>
    </row>
    <row r="461">
      <c r="A461" s="5" t="n"/>
      <c r="B461" s="5" t="n"/>
      <c r="C461" s="5" t="n"/>
      <c r="D461" s="5" t="n"/>
      <c r="E461" s="18" t="n"/>
      <c r="F461" s="18" t="n"/>
      <c r="G461" s="19">
        <f>IF(OR(E461="",F461=""),"",F461-E461)</f>
        <v/>
      </c>
      <c r="H461" s="20">
        <f>IF(OR(E461="",F461="",E461=0),"",(F461-E461)/E461)</f>
        <v/>
      </c>
      <c r="I461" s="21" t="n"/>
      <c r="J461" s="22">
        <f>IF(OR(E461="",I461=""),"",E461*I461)</f>
        <v/>
      </c>
      <c r="K461" s="22">
        <f>IF(OR(F461="",I461=""),"",F461*I461)</f>
        <v/>
      </c>
      <c r="L461" s="23">
        <f>IF(B461="","",IF(E461="","Cetvelde yok",IF(F461="","Projede bulunamadı",IF(H461&gt;MetrajTol,"Cetvelde eksik",IF(H461&lt;-MetrajTol,"Cetvelde fazla","Uygun")))))</f>
        <v/>
      </c>
      <c r="M461" s="21" t="n"/>
      <c r="N461" s="5" t="n"/>
    </row>
    <row r="462">
      <c r="A462" s="5" t="n"/>
      <c r="B462" s="5" t="n"/>
      <c r="C462" s="5" t="n"/>
      <c r="D462" s="5" t="n"/>
      <c r="E462" s="18" t="n"/>
      <c r="F462" s="18" t="n"/>
      <c r="G462" s="19">
        <f>IF(OR(E462="",F462=""),"",F462-E462)</f>
        <v/>
      </c>
      <c r="H462" s="20">
        <f>IF(OR(E462="",F462="",E462=0),"",(F462-E462)/E462)</f>
        <v/>
      </c>
      <c r="I462" s="21" t="n"/>
      <c r="J462" s="22">
        <f>IF(OR(E462="",I462=""),"",E462*I462)</f>
        <v/>
      </c>
      <c r="K462" s="22">
        <f>IF(OR(F462="",I462=""),"",F462*I462)</f>
        <v/>
      </c>
      <c r="L462" s="23">
        <f>IF(B462="","",IF(E462="","Cetvelde yok",IF(F462="","Projede bulunamadı",IF(H462&gt;MetrajTol,"Cetvelde eksik",IF(H462&lt;-MetrajTol,"Cetvelde fazla","Uygun")))))</f>
        <v/>
      </c>
      <c r="M462" s="21" t="n"/>
      <c r="N462" s="5" t="n"/>
    </row>
    <row r="463">
      <c r="A463" s="5" t="n"/>
      <c r="B463" s="5" t="n"/>
      <c r="C463" s="5" t="n"/>
      <c r="D463" s="5" t="n"/>
      <c r="E463" s="18" t="n"/>
      <c r="F463" s="18" t="n"/>
      <c r="G463" s="19">
        <f>IF(OR(E463="",F463=""),"",F463-E463)</f>
        <v/>
      </c>
      <c r="H463" s="20">
        <f>IF(OR(E463="",F463="",E463=0),"",(F463-E463)/E463)</f>
        <v/>
      </c>
      <c r="I463" s="21" t="n"/>
      <c r="J463" s="22">
        <f>IF(OR(E463="",I463=""),"",E463*I463)</f>
        <v/>
      </c>
      <c r="K463" s="22">
        <f>IF(OR(F463="",I463=""),"",F463*I463)</f>
        <v/>
      </c>
      <c r="L463" s="23">
        <f>IF(B463="","",IF(E463="","Cetvelde yok",IF(F463="","Projede bulunamadı",IF(H463&gt;MetrajTol,"Cetvelde eksik",IF(H463&lt;-MetrajTol,"Cetvelde fazla","Uygun")))))</f>
        <v/>
      </c>
      <c r="M463" s="21" t="n"/>
      <c r="N463" s="5" t="n"/>
    </row>
    <row r="464">
      <c r="A464" s="5" t="n"/>
      <c r="B464" s="5" t="n"/>
      <c r="C464" s="5" t="n"/>
      <c r="D464" s="5" t="n"/>
      <c r="E464" s="18" t="n"/>
      <c r="F464" s="18" t="n"/>
      <c r="G464" s="19">
        <f>IF(OR(E464="",F464=""),"",F464-E464)</f>
        <v/>
      </c>
      <c r="H464" s="20">
        <f>IF(OR(E464="",F464="",E464=0),"",(F464-E464)/E464)</f>
        <v/>
      </c>
      <c r="I464" s="21" t="n"/>
      <c r="J464" s="22">
        <f>IF(OR(E464="",I464=""),"",E464*I464)</f>
        <v/>
      </c>
      <c r="K464" s="22">
        <f>IF(OR(F464="",I464=""),"",F464*I464)</f>
        <v/>
      </c>
      <c r="L464" s="23">
        <f>IF(B464="","",IF(E464="","Cetvelde yok",IF(F464="","Projede bulunamadı",IF(H464&gt;MetrajTol,"Cetvelde eksik",IF(H464&lt;-MetrajTol,"Cetvelde fazla","Uygun")))))</f>
        <v/>
      </c>
      <c r="M464" s="21" t="n"/>
      <c r="N464" s="5" t="n"/>
    </row>
    <row r="465">
      <c r="A465" s="5" t="n"/>
      <c r="B465" s="5" t="n"/>
      <c r="C465" s="5" t="n"/>
      <c r="D465" s="5" t="n"/>
      <c r="E465" s="18" t="n"/>
      <c r="F465" s="18" t="n"/>
      <c r="G465" s="19">
        <f>IF(OR(E465="",F465=""),"",F465-E465)</f>
        <v/>
      </c>
      <c r="H465" s="20">
        <f>IF(OR(E465="",F465="",E465=0),"",(F465-E465)/E465)</f>
        <v/>
      </c>
      <c r="I465" s="21" t="n"/>
      <c r="J465" s="22">
        <f>IF(OR(E465="",I465=""),"",E465*I465)</f>
        <v/>
      </c>
      <c r="K465" s="22">
        <f>IF(OR(F465="",I465=""),"",F465*I465)</f>
        <v/>
      </c>
      <c r="L465" s="23">
        <f>IF(B465="","",IF(E465="","Cetvelde yok",IF(F465="","Projede bulunamadı",IF(H465&gt;MetrajTol,"Cetvelde eksik",IF(H465&lt;-MetrajTol,"Cetvelde fazla","Uygun")))))</f>
        <v/>
      </c>
      <c r="M465" s="21" t="n"/>
      <c r="N465" s="5" t="n"/>
    </row>
    <row r="466">
      <c r="A466" s="5" t="n"/>
      <c r="B466" s="5" t="n"/>
      <c r="C466" s="5" t="n"/>
      <c r="D466" s="5" t="n"/>
      <c r="E466" s="18" t="n"/>
      <c r="F466" s="18" t="n"/>
      <c r="G466" s="19">
        <f>IF(OR(E466="",F466=""),"",F466-E466)</f>
        <v/>
      </c>
      <c r="H466" s="20">
        <f>IF(OR(E466="",F466="",E466=0),"",(F466-E466)/E466)</f>
        <v/>
      </c>
      <c r="I466" s="21" t="n"/>
      <c r="J466" s="22">
        <f>IF(OR(E466="",I466=""),"",E466*I466)</f>
        <v/>
      </c>
      <c r="K466" s="22">
        <f>IF(OR(F466="",I466=""),"",F466*I466)</f>
        <v/>
      </c>
      <c r="L466" s="23">
        <f>IF(B466="","",IF(E466="","Cetvelde yok",IF(F466="","Projede bulunamadı",IF(H466&gt;MetrajTol,"Cetvelde eksik",IF(H466&lt;-MetrajTol,"Cetvelde fazla","Uygun")))))</f>
        <v/>
      </c>
      <c r="M466" s="21" t="n"/>
      <c r="N466" s="5" t="n"/>
    </row>
    <row r="467">
      <c r="A467" s="5" t="n"/>
      <c r="B467" s="5" t="n"/>
      <c r="C467" s="5" t="n"/>
      <c r="D467" s="5" t="n"/>
      <c r="E467" s="18" t="n"/>
      <c r="F467" s="18" t="n"/>
      <c r="G467" s="19">
        <f>IF(OR(E467="",F467=""),"",F467-E467)</f>
        <v/>
      </c>
      <c r="H467" s="20">
        <f>IF(OR(E467="",F467="",E467=0),"",(F467-E467)/E467)</f>
        <v/>
      </c>
      <c r="I467" s="21" t="n"/>
      <c r="J467" s="22">
        <f>IF(OR(E467="",I467=""),"",E467*I467)</f>
        <v/>
      </c>
      <c r="K467" s="22">
        <f>IF(OR(F467="",I467=""),"",F467*I467)</f>
        <v/>
      </c>
      <c r="L467" s="23">
        <f>IF(B467="","",IF(E467="","Cetvelde yok",IF(F467="","Projede bulunamadı",IF(H467&gt;MetrajTol,"Cetvelde eksik",IF(H467&lt;-MetrajTol,"Cetvelde fazla","Uygun")))))</f>
        <v/>
      </c>
      <c r="M467" s="21" t="n"/>
      <c r="N467" s="5" t="n"/>
    </row>
    <row r="468">
      <c r="A468" s="5" t="n"/>
      <c r="B468" s="5" t="n"/>
      <c r="C468" s="5" t="n"/>
      <c r="D468" s="5" t="n"/>
      <c r="E468" s="18" t="n"/>
      <c r="F468" s="18" t="n"/>
      <c r="G468" s="19">
        <f>IF(OR(E468="",F468=""),"",F468-E468)</f>
        <v/>
      </c>
      <c r="H468" s="20">
        <f>IF(OR(E468="",F468="",E468=0),"",(F468-E468)/E468)</f>
        <v/>
      </c>
      <c r="I468" s="21" t="n"/>
      <c r="J468" s="22">
        <f>IF(OR(E468="",I468=""),"",E468*I468)</f>
        <v/>
      </c>
      <c r="K468" s="22">
        <f>IF(OR(F468="",I468=""),"",F468*I468)</f>
        <v/>
      </c>
      <c r="L468" s="23">
        <f>IF(B468="","",IF(E468="","Cetvelde yok",IF(F468="","Projede bulunamadı",IF(H468&gt;MetrajTol,"Cetvelde eksik",IF(H468&lt;-MetrajTol,"Cetvelde fazla","Uygun")))))</f>
        <v/>
      </c>
      <c r="M468" s="21" t="n"/>
      <c r="N468" s="5" t="n"/>
    </row>
    <row r="469">
      <c r="A469" s="5" t="n"/>
      <c r="B469" s="5" t="n"/>
      <c r="C469" s="5" t="n"/>
      <c r="D469" s="5" t="n"/>
      <c r="E469" s="18" t="n"/>
      <c r="F469" s="18" t="n"/>
      <c r="G469" s="19">
        <f>IF(OR(E469="",F469=""),"",F469-E469)</f>
        <v/>
      </c>
      <c r="H469" s="20">
        <f>IF(OR(E469="",F469="",E469=0),"",(F469-E469)/E469)</f>
        <v/>
      </c>
      <c r="I469" s="21" t="n"/>
      <c r="J469" s="22">
        <f>IF(OR(E469="",I469=""),"",E469*I469)</f>
        <v/>
      </c>
      <c r="K469" s="22">
        <f>IF(OR(F469="",I469=""),"",F469*I469)</f>
        <v/>
      </c>
      <c r="L469" s="23">
        <f>IF(B469="","",IF(E469="","Cetvelde yok",IF(F469="","Projede bulunamadı",IF(H469&gt;MetrajTol,"Cetvelde eksik",IF(H469&lt;-MetrajTol,"Cetvelde fazla","Uygun")))))</f>
        <v/>
      </c>
      <c r="M469" s="21" t="n"/>
      <c r="N469" s="5" t="n"/>
    </row>
    <row r="470">
      <c r="A470" s="5" t="n"/>
      <c r="B470" s="5" t="n"/>
      <c r="C470" s="5" t="n"/>
      <c r="D470" s="5" t="n"/>
      <c r="E470" s="18" t="n"/>
      <c r="F470" s="18" t="n"/>
      <c r="G470" s="19">
        <f>IF(OR(E470="",F470=""),"",F470-E470)</f>
        <v/>
      </c>
      <c r="H470" s="20">
        <f>IF(OR(E470="",F470="",E470=0),"",(F470-E470)/E470)</f>
        <v/>
      </c>
      <c r="I470" s="21" t="n"/>
      <c r="J470" s="22">
        <f>IF(OR(E470="",I470=""),"",E470*I470)</f>
        <v/>
      </c>
      <c r="K470" s="22">
        <f>IF(OR(F470="",I470=""),"",F470*I470)</f>
        <v/>
      </c>
      <c r="L470" s="23">
        <f>IF(B470="","",IF(E470="","Cetvelde yok",IF(F470="","Projede bulunamadı",IF(H470&gt;MetrajTol,"Cetvelde eksik",IF(H470&lt;-MetrajTol,"Cetvelde fazla","Uygun")))))</f>
        <v/>
      </c>
      <c r="M470" s="21" t="n"/>
      <c r="N470" s="5" t="n"/>
    </row>
    <row r="471">
      <c r="A471" s="5" t="n"/>
      <c r="B471" s="5" t="n"/>
      <c r="C471" s="5" t="n"/>
      <c r="D471" s="5" t="n"/>
      <c r="E471" s="18" t="n"/>
      <c r="F471" s="18" t="n"/>
      <c r="G471" s="19">
        <f>IF(OR(E471="",F471=""),"",F471-E471)</f>
        <v/>
      </c>
      <c r="H471" s="20">
        <f>IF(OR(E471="",F471="",E471=0),"",(F471-E471)/E471)</f>
        <v/>
      </c>
      <c r="I471" s="21" t="n"/>
      <c r="J471" s="22">
        <f>IF(OR(E471="",I471=""),"",E471*I471)</f>
        <v/>
      </c>
      <c r="K471" s="22">
        <f>IF(OR(F471="",I471=""),"",F471*I471)</f>
        <v/>
      </c>
      <c r="L471" s="23">
        <f>IF(B471="","",IF(E471="","Cetvelde yok",IF(F471="","Projede bulunamadı",IF(H471&gt;MetrajTol,"Cetvelde eksik",IF(H471&lt;-MetrajTol,"Cetvelde fazla","Uygun")))))</f>
        <v/>
      </c>
      <c r="M471" s="21" t="n"/>
      <c r="N471" s="5" t="n"/>
    </row>
    <row r="472">
      <c r="A472" s="5" t="n"/>
      <c r="B472" s="5" t="n"/>
      <c r="C472" s="5" t="n"/>
      <c r="D472" s="5" t="n"/>
      <c r="E472" s="18" t="n"/>
      <c r="F472" s="18" t="n"/>
      <c r="G472" s="19">
        <f>IF(OR(E472="",F472=""),"",F472-E472)</f>
        <v/>
      </c>
      <c r="H472" s="20">
        <f>IF(OR(E472="",F472="",E472=0),"",(F472-E472)/E472)</f>
        <v/>
      </c>
      <c r="I472" s="21" t="n"/>
      <c r="J472" s="22">
        <f>IF(OR(E472="",I472=""),"",E472*I472)</f>
        <v/>
      </c>
      <c r="K472" s="22">
        <f>IF(OR(F472="",I472=""),"",F472*I472)</f>
        <v/>
      </c>
      <c r="L472" s="23">
        <f>IF(B472="","",IF(E472="","Cetvelde yok",IF(F472="","Projede bulunamadı",IF(H472&gt;MetrajTol,"Cetvelde eksik",IF(H472&lt;-MetrajTol,"Cetvelde fazla","Uygun")))))</f>
        <v/>
      </c>
      <c r="M472" s="21" t="n"/>
      <c r="N472" s="5" t="n"/>
    </row>
    <row r="473">
      <c r="A473" s="5" t="n"/>
      <c r="B473" s="5" t="n"/>
      <c r="C473" s="5" t="n"/>
      <c r="D473" s="5" t="n"/>
      <c r="E473" s="18" t="n"/>
      <c r="F473" s="18" t="n"/>
      <c r="G473" s="19">
        <f>IF(OR(E473="",F473=""),"",F473-E473)</f>
        <v/>
      </c>
      <c r="H473" s="20">
        <f>IF(OR(E473="",F473="",E473=0),"",(F473-E473)/E473)</f>
        <v/>
      </c>
      <c r="I473" s="21" t="n"/>
      <c r="J473" s="22">
        <f>IF(OR(E473="",I473=""),"",E473*I473)</f>
        <v/>
      </c>
      <c r="K473" s="22">
        <f>IF(OR(F473="",I473=""),"",F473*I473)</f>
        <v/>
      </c>
      <c r="L473" s="23">
        <f>IF(B473="","",IF(E473="","Cetvelde yok",IF(F473="","Projede bulunamadı",IF(H473&gt;MetrajTol,"Cetvelde eksik",IF(H473&lt;-MetrajTol,"Cetvelde fazla","Uygun")))))</f>
        <v/>
      </c>
      <c r="M473" s="21" t="n"/>
      <c r="N473" s="5" t="n"/>
    </row>
    <row r="474">
      <c r="A474" s="5" t="n"/>
      <c r="B474" s="5" t="n"/>
      <c r="C474" s="5" t="n"/>
      <c r="D474" s="5" t="n"/>
      <c r="E474" s="18" t="n"/>
      <c r="F474" s="18" t="n"/>
      <c r="G474" s="19">
        <f>IF(OR(E474="",F474=""),"",F474-E474)</f>
        <v/>
      </c>
      <c r="H474" s="20">
        <f>IF(OR(E474="",F474="",E474=0),"",(F474-E474)/E474)</f>
        <v/>
      </c>
      <c r="I474" s="21" t="n"/>
      <c r="J474" s="22">
        <f>IF(OR(E474="",I474=""),"",E474*I474)</f>
        <v/>
      </c>
      <c r="K474" s="22">
        <f>IF(OR(F474="",I474=""),"",F474*I474)</f>
        <v/>
      </c>
      <c r="L474" s="23">
        <f>IF(B474="","",IF(E474="","Cetvelde yok",IF(F474="","Projede bulunamadı",IF(H474&gt;MetrajTol,"Cetvelde eksik",IF(H474&lt;-MetrajTol,"Cetvelde fazla","Uygun")))))</f>
        <v/>
      </c>
      <c r="M474" s="21" t="n"/>
      <c r="N474" s="5" t="n"/>
    </row>
    <row r="475">
      <c r="A475" s="5" t="n"/>
      <c r="B475" s="5" t="n"/>
      <c r="C475" s="5" t="n"/>
      <c r="D475" s="5" t="n"/>
      <c r="E475" s="18" t="n"/>
      <c r="F475" s="18" t="n"/>
      <c r="G475" s="19">
        <f>IF(OR(E475="",F475=""),"",F475-E475)</f>
        <v/>
      </c>
      <c r="H475" s="20">
        <f>IF(OR(E475="",F475="",E475=0),"",(F475-E475)/E475)</f>
        <v/>
      </c>
      <c r="I475" s="21" t="n"/>
      <c r="J475" s="22">
        <f>IF(OR(E475="",I475=""),"",E475*I475)</f>
        <v/>
      </c>
      <c r="K475" s="22">
        <f>IF(OR(F475="",I475=""),"",F475*I475)</f>
        <v/>
      </c>
      <c r="L475" s="23">
        <f>IF(B475="","",IF(E475="","Cetvelde yok",IF(F475="","Projede bulunamadı",IF(H475&gt;MetrajTol,"Cetvelde eksik",IF(H475&lt;-MetrajTol,"Cetvelde fazla","Uygun")))))</f>
        <v/>
      </c>
      <c r="M475" s="21" t="n"/>
      <c r="N475" s="5" t="n"/>
    </row>
    <row r="476">
      <c r="A476" s="5" t="n"/>
      <c r="B476" s="5" t="n"/>
      <c r="C476" s="5" t="n"/>
      <c r="D476" s="5" t="n"/>
      <c r="E476" s="18" t="n"/>
      <c r="F476" s="18" t="n"/>
      <c r="G476" s="19">
        <f>IF(OR(E476="",F476=""),"",F476-E476)</f>
        <v/>
      </c>
      <c r="H476" s="20">
        <f>IF(OR(E476="",F476="",E476=0),"",(F476-E476)/E476)</f>
        <v/>
      </c>
      <c r="I476" s="21" t="n"/>
      <c r="J476" s="22">
        <f>IF(OR(E476="",I476=""),"",E476*I476)</f>
        <v/>
      </c>
      <c r="K476" s="22">
        <f>IF(OR(F476="",I476=""),"",F476*I476)</f>
        <v/>
      </c>
      <c r="L476" s="23">
        <f>IF(B476="","",IF(E476="","Cetvelde yok",IF(F476="","Projede bulunamadı",IF(H476&gt;MetrajTol,"Cetvelde eksik",IF(H476&lt;-MetrajTol,"Cetvelde fazla","Uygun")))))</f>
        <v/>
      </c>
      <c r="M476" s="21" t="n"/>
      <c r="N476" s="5" t="n"/>
    </row>
    <row r="477">
      <c r="A477" s="5" t="n"/>
      <c r="B477" s="5" t="n"/>
      <c r="C477" s="5" t="n"/>
      <c r="D477" s="5" t="n"/>
      <c r="E477" s="18" t="n"/>
      <c r="F477" s="18" t="n"/>
      <c r="G477" s="19">
        <f>IF(OR(E477="",F477=""),"",F477-E477)</f>
        <v/>
      </c>
      <c r="H477" s="20">
        <f>IF(OR(E477="",F477="",E477=0),"",(F477-E477)/E477)</f>
        <v/>
      </c>
      <c r="I477" s="21" t="n"/>
      <c r="J477" s="22">
        <f>IF(OR(E477="",I477=""),"",E477*I477)</f>
        <v/>
      </c>
      <c r="K477" s="22">
        <f>IF(OR(F477="",I477=""),"",F477*I477)</f>
        <v/>
      </c>
      <c r="L477" s="23">
        <f>IF(B477="","",IF(E477="","Cetvelde yok",IF(F477="","Projede bulunamadı",IF(H477&gt;MetrajTol,"Cetvelde eksik",IF(H477&lt;-MetrajTol,"Cetvelde fazla","Uygun")))))</f>
        <v/>
      </c>
      <c r="M477" s="21" t="n"/>
      <c r="N477" s="5" t="n"/>
    </row>
    <row r="478">
      <c r="A478" s="5" t="n"/>
      <c r="B478" s="5" t="n"/>
      <c r="C478" s="5" t="n"/>
      <c r="D478" s="5" t="n"/>
      <c r="E478" s="18" t="n"/>
      <c r="F478" s="18" t="n"/>
      <c r="G478" s="19">
        <f>IF(OR(E478="",F478=""),"",F478-E478)</f>
        <v/>
      </c>
      <c r="H478" s="20">
        <f>IF(OR(E478="",F478="",E478=0),"",(F478-E478)/E478)</f>
        <v/>
      </c>
      <c r="I478" s="21" t="n"/>
      <c r="J478" s="22">
        <f>IF(OR(E478="",I478=""),"",E478*I478)</f>
        <v/>
      </c>
      <c r="K478" s="22">
        <f>IF(OR(F478="",I478=""),"",F478*I478)</f>
        <v/>
      </c>
      <c r="L478" s="23">
        <f>IF(B478="","",IF(E478="","Cetvelde yok",IF(F478="","Projede bulunamadı",IF(H478&gt;MetrajTol,"Cetvelde eksik",IF(H478&lt;-MetrajTol,"Cetvelde fazla","Uygun")))))</f>
        <v/>
      </c>
      <c r="M478" s="21" t="n"/>
      <c r="N478" s="5" t="n"/>
    </row>
    <row r="479">
      <c r="A479" s="5" t="n"/>
      <c r="B479" s="5" t="n"/>
      <c r="C479" s="5" t="n"/>
      <c r="D479" s="5" t="n"/>
      <c r="E479" s="18" t="n"/>
      <c r="F479" s="18" t="n"/>
      <c r="G479" s="19">
        <f>IF(OR(E479="",F479=""),"",F479-E479)</f>
        <v/>
      </c>
      <c r="H479" s="20">
        <f>IF(OR(E479="",F479="",E479=0),"",(F479-E479)/E479)</f>
        <v/>
      </c>
      <c r="I479" s="21" t="n"/>
      <c r="J479" s="22">
        <f>IF(OR(E479="",I479=""),"",E479*I479)</f>
        <v/>
      </c>
      <c r="K479" s="22">
        <f>IF(OR(F479="",I479=""),"",F479*I479)</f>
        <v/>
      </c>
      <c r="L479" s="23">
        <f>IF(B479="","",IF(E479="","Cetvelde yok",IF(F479="","Projede bulunamadı",IF(H479&gt;MetrajTol,"Cetvelde eksik",IF(H479&lt;-MetrajTol,"Cetvelde fazla","Uygun")))))</f>
        <v/>
      </c>
      <c r="M479" s="21" t="n"/>
      <c r="N479" s="5" t="n"/>
    </row>
    <row r="480">
      <c r="A480" s="5" t="n"/>
      <c r="B480" s="5" t="n"/>
      <c r="C480" s="5" t="n"/>
      <c r="D480" s="5" t="n"/>
      <c r="E480" s="18" t="n"/>
      <c r="F480" s="18" t="n"/>
      <c r="G480" s="19">
        <f>IF(OR(E480="",F480=""),"",F480-E480)</f>
        <v/>
      </c>
      <c r="H480" s="20">
        <f>IF(OR(E480="",F480="",E480=0),"",(F480-E480)/E480)</f>
        <v/>
      </c>
      <c r="I480" s="21" t="n"/>
      <c r="J480" s="22">
        <f>IF(OR(E480="",I480=""),"",E480*I480)</f>
        <v/>
      </c>
      <c r="K480" s="22">
        <f>IF(OR(F480="",I480=""),"",F480*I480)</f>
        <v/>
      </c>
      <c r="L480" s="23">
        <f>IF(B480="","",IF(E480="","Cetvelde yok",IF(F480="","Projede bulunamadı",IF(H480&gt;MetrajTol,"Cetvelde eksik",IF(H480&lt;-MetrajTol,"Cetvelde fazla","Uygun")))))</f>
        <v/>
      </c>
      <c r="M480" s="21" t="n"/>
      <c r="N480" s="5" t="n"/>
    </row>
    <row r="481">
      <c r="A481" s="5" t="n"/>
      <c r="B481" s="5" t="n"/>
      <c r="C481" s="5" t="n"/>
      <c r="D481" s="5" t="n"/>
      <c r="E481" s="18" t="n"/>
      <c r="F481" s="18" t="n"/>
      <c r="G481" s="19">
        <f>IF(OR(E481="",F481=""),"",F481-E481)</f>
        <v/>
      </c>
      <c r="H481" s="20">
        <f>IF(OR(E481="",F481="",E481=0),"",(F481-E481)/E481)</f>
        <v/>
      </c>
      <c r="I481" s="21" t="n"/>
      <c r="J481" s="22">
        <f>IF(OR(E481="",I481=""),"",E481*I481)</f>
        <v/>
      </c>
      <c r="K481" s="22">
        <f>IF(OR(F481="",I481=""),"",F481*I481)</f>
        <v/>
      </c>
      <c r="L481" s="23">
        <f>IF(B481="","",IF(E481="","Cetvelde yok",IF(F481="","Projede bulunamadı",IF(H481&gt;MetrajTol,"Cetvelde eksik",IF(H481&lt;-MetrajTol,"Cetvelde fazla","Uygun")))))</f>
        <v/>
      </c>
      <c r="M481" s="21" t="n"/>
      <c r="N481" s="5" t="n"/>
    </row>
    <row r="482">
      <c r="A482" s="5" t="n"/>
      <c r="B482" s="5" t="n"/>
      <c r="C482" s="5" t="n"/>
      <c r="D482" s="5" t="n"/>
      <c r="E482" s="18" t="n"/>
      <c r="F482" s="18" t="n"/>
      <c r="G482" s="19">
        <f>IF(OR(E482="",F482=""),"",F482-E482)</f>
        <v/>
      </c>
      <c r="H482" s="20">
        <f>IF(OR(E482="",F482="",E482=0),"",(F482-E482)/E482)</f>
        <v/>
      </c>
      <c r="I482" s="21" t="n"/>
      <c r="J482" s="22">
        <f>IF(OR(E482="",I482=""),"",E482*I482)</f>
        <v/>
      </c>
      <c r="K482" s="22">
        <f>IF(OR(F482="",I482=""),"",F482*I482)</f>
        <v/>
      </c>
      <c r="L482" s="23">
        <f>IF(B482="","",IF(E482="","Cetvelde yok",IF(F482="","Projede bulunamadı",IF(H482&gt;MetrajTol,"Cetvelde eksik",IF(H482&lt;-MetrajTol,"Cetvelde fazla","Uygun")))))</f>
        <v/>
      </c>
      <c r="M482" s="21" t="n"/>
      <c r="N482" s="5" t="n"/>
    </row>
    <row r="483">
      <c r="A483" s="5" t="n"/>
      <c r="B483" s="5" t="n"/>
      <c r="C483" s="5" t="n"/>
      <c r="D483" s="5" t="n"/>
      <c r="E483" s="18" t="n"/>
      <c r="F483" s="18" t="n"/>
      <c r="G483" s="19">
        <f>IF(OR(E483="",F483=""),"",F483-E483)</f>
        <v/>
      </c>
      <c r="H483" s="20">
        <f>IF(OR(E483="",F483="",E483=0),"",(F483-E483)/E483)</f>
        <v/>
      </c>
      <c r="I483" s="21" t="n"/>
      <c r="J483" s="22">
        <f>IF(OR(E483="",I483=""),"",E483*I483)</f>
        <v/>
      </c>
      <c r="K483" s="22">
        <f>IF(OR(F483="",I483=""),"",F483*I483)</f>
        <v/>
      </c>
      <c r="L483" s="23">
        <f>IF(B483="","",IF(E483="","Cetvelde yok",IF(F483="","Projede bulunamadı",IF(H483&gt;MetrajTol,"Cetvelde eksik",IF(H483&lt;-MetrajTol,"Cetvelde fazla","Uygun")))))</f>
        <v/>
      </c>
      <c r="M483" s="21" t="n"/>
      <c r="N483" s="5" t="n"/>
    </row>
    <row r="484">
      <c r="A484" s="5" t="n"/>
      <c r="B484" s="5" t="n"/>
      <c r="C484" s="5" t="n"/>
      <c r="D484" s="5" t="n"/>
      <c r="E484" s="18" t="n"/>
      <c r="F484" s="18" t="n"/>
      <c r="G484" s="19">
        <f>IF(OR(E484="",F484=""),"",F484-E484)</f>
        <v/>
      </c>
      <c r="H484" s="20">
        <f>IF(OR(E484="",F484="",E484=0),"",(F484-E484)/E484)</f>
        <v/>
      </c>
      <c r="I484" s="21" t="n"/>
      <c r="J484" s="22">
        <f>IF(OR(E484="",I484=""),"",E484*I484)</f>
        <v/>
      </c>
      <c r="K484" s="22">
        <f>IF(OR(F484="",I484=""),"",F484*I484)</f>
        <v/>
      </c>
      <c r="L484" s="23">
        <f>IF(B484="","",IF(E484="","Cetvelde yok",IF(F484="","Projede bulunamadı",IF(H484&gt;MetrajTol,"Cetvelde eksik",IF(H484&lt;-MetrajTol,"Cetvelde fazla","Uygun")))))</f>
        <v/>
      </c>
      <c r="M484" s="21" t="n"/>
      <c r="N484" s="5" t="n"/>
    </row>
    <row r="485">
      <c r="A485" s="5" t="n"/>
      <c r="B485" s="5" t="n"/>
      <c r="C485" s="5" t="n"/>
      <c r="D485" s="5" t="n"/>
      <c r="E485" s="18" t="n"/>
      <c r="F485" s="18" t="n"/>
      <c r="G485" s="19">
        <f>IF(OR(E485="",F485=""),"",F485-E485)</f>
        <v/>
      </c>
      <c r="H485" s="20">
        <f>IF(OR(E485="",F485="",E485=0),"",(F485-E485)/E485)</f>
        <v/>
      </c>
      <c r="I485" s="21" t="n"/>
      <c r="J485" s="22">
        <f>IF(OR(E485="",I485=""),"",E485*I485)</f>
        <v/>
      </c>
      <c r="K485" s="22">
        <f>IF(OR(F485="",I485=""),"",F485*I485)</f>
        <v/>
      </c>
      <c r="L485" s="23">
        <f>IF(B485="","",IF(E485="","Cetvelde yok",IF(F485="","Projede bulunamadı",IF(H485&gt;MetrajTol,"Cetvelde eksik",IF(H485&lt;-MetrajTol,"Cetvelde fazla","Uygun")))))</f>
        <v/>
      </c>
      <c r="M485" s="21" t="n"/>
      <c r="N485" s="5" t="n"/>
    </row>
    <row r="486">
      <c r="A486" s="5" t="n"/>
      <c r="B486" s="5" t="n"/>
      <c r="C486" s="5" t="n"/>
      <c r="D486" s="5" t="n"/>
      <c r="E486" s="18" t="n"/>
      <c r="F486" s="18" t="n"/>
      <c r="G486" s="19">
        <f>IF(OR(E486="",F486=""),"",F486-E486)</f>
        <v/>
      </c>
      <c r="H486" s="20">
        <f>IF(OR(E486="",F486="",E486=0),"",(F486-E486)/E486)</f>
        <v/>
      </c>
      <c r="I486" s="21" t="n"/>
      <c r="J486" s="22">
        <f>IF(OR(E486="",I486=""),"",E486*I486)</f>
        <v/>
      </c>
      <c r="K486" s="22">
        <f>IF(OR(F486="",I486=""),"",F486*I486)</f>
        <v/>
      </c>
      <c r="L486" s="23">
        <f>IF(B486="","",IF(E486="","Cetvelde yok",IF(F486="","Projede bulunamadı",IF(H486&gt;MetrajTol,"Cetvelde eksik",IF(H486&lt;-MetrajTol,"Cetvelde fazla","Uygun")))))</f>
        <v/>
      </c>
      <c r="M486" s="21" t="n"/>
      <c r="N486" s="5" t="n"/>
    </row>
    <row r="487">
      <c r="A487" s="5" t="n"/>
      <c r="B487" s="5" t="n"/>
      <c r="C487" s="5" t="n"/>
      <c r="D487" s="5" t="n"/>
      <c r="E487" s="18" t="n"/>
      <c r="F487" s="18" t="n"/>
      <c r="G487" s="19">
        <f>IF(OR(E487="",F487=""),"",F487-E487)</f>
        <v/>
      </c>
      <c r="H487" s="20">
        <f>IF(OR(E487="",F487="",E487=0),"",(F487-E487)/E487)</f>
        <v/>
      </c>
      <c r="I487" s="21" t="n"/>
      <c r="J487" s="22">
        <f>IF(OR(E487="",I487=""),"",E487*I487)</f>
        <v/>
      </c>
      <c r="K487" s="22">
        <f>IF(OR(F487="",I487=""),"",F487*I487)</f>
        <v/>
      </c>
      <c r="L487" s="23">
        <f>IF(B487="","",IF(E487="","Cetvelde yok",IF(F487="","Projede bulunamadı",IF(H487&gt;MetrajTol,"Cetvelde eksik",IF(H487&lt;-MetrajTol,"Cetvelde fazla","Uygun")))))</f>
        <v/>
      </c>
      <c r="M487" s="21" t="n"/>
      <c r="N487" s="5" t="n"/>
    </row>
    <row r="488">
      <c r="A488" s="5" t="n"/>
      <c r="B488" s="5" t="n"/>
      <c r="C488" s="5" t="n"/>
      <c r="D488" s="5" t="n"/>
      <c r="E488" s="18" t="n"/>
      <c r="F488" s="18" t="n"/>
      <c r="G488" s="19">
        <f>IF(OR(E488="",F488=""),"",F488-E488)</f>
        <v/>
      </c>
      <c r="H488" s="20">
        <f>IF(OR(E488="",F488="",E488=0),"",(F488-E488)/E488)</f>
        <v/>
      </c>
      <c r="I488" s="21" t="n"/>
      <c r="J488" s="22">
        <f>IF(OR(E488="",I488=""),"",E488*I488)</f>
        <v/>
      </c>
      <c r="K488" s="22">
        <f>IF(OR(F488="",I488=""),"",F488*I488)</f>
        <v/>
      </c>
      <c r="L488" s="23">
        <f>IF(B488="","",IF(E488="","Cetvelde yok",IF(F488="","Projede bulunamadı",IF(H488&gt;MetrajTol,"Cetvelde eksik",IF(H488&lt;-MetrajTol,"Cetvelde fazla","Uygun")))))</f>
        <v/>
      </c>
      <c r="M488" s="21" t="n"/>
      <c r="N488" s="5" t="n"/>
    </row>
    <row r="489">
      <c r="A489" s="5" t="n"/>
      <c r="B489" s="5" t="n"/>
      <c r="C489" s="5" t="n"/>
      <c r="D489" s="5" t="n"/>
      <c r="E489" s="18" t="n"/>
      <c r="F489" s="18" t="n"/>
      <c r="G489" s="19">
        <f>IF(OR(E489="",F489=""),"",F489-E489)</f>
        <v/>
      </c>
      <c r="H489" s="20">
        <f>IF(OR(E489="",F489="",E489=0),"",(F489-E489)/E489)</f>
        <v/>
      </c>
      <c r="I489" s="21" t="n"/>
      <c r="J489" s="22">
        <f>IF(OR(E489="",I489=""),"",E489*I489)</f>
        <v/>
      </c>
      <c r="K489" s="22">
        <f>IF(OR(F489="",I489=""),"",F489*I489)</f>
        <v/>
      </c>
      <c r="L489" s="23">
        <f>IF(B489="","",IF(E489="","Cetvelde yok",IF(F489="","Projede bulunamadı",IF(H489&gt;MetrajTol,"Cetvelde eksik",IF(H489&lt;-MetrajTol,"Cetvelde fazla","Uygun")))))</f>
        <v/>
      </c>
      <c r="M489" s="21" t="n"/>
      <c r="N489" s="5" t="n"/>
    </row>
    <row r="490">
      <c r="A490" s="5" t="n"/>
      <c r="B490" s="5" t="n"/>
      <c r="C490" s="5" t="n"/>
      <c r="D490" s="5" t="n"/>
      <c r="E490" s="18" t="n"/>
      <c r="F490" s="18" t="n"/>
      <c r="G490" s="19">
        <f>IF(OR(E490="",F490=""),"",F490-E490)</f>
        <v/>
      </c>
      <c r="H490" s="20">
        <f>IF(OR(E490="",F490="",E490=0),"",(F490-E490)/E490)</f>
        <v/>
      </c>
      <c r="I490" s="21" t="n"/>
      <c r="J490" s="22">
        <f>IF(OR(E490="",I490=""),"",E490*I490)</f>
        <v/>
      </c>
      <c r="K490" s="22">
        <f>IF(OR(F490="",I490=""),"",F490*I490)</f>
        <v/>
      </c>
      <c r="L490" s="23">
        <f>IF(B490="","",IF(E490="","Cetvelde yok",IF(F490="","Projede bulunamadı",IF(H490&gt;MetrajTol,"Cetvelde eksik",IF(H490&lt;-MetrajTol,"Cetvelde fazla","Uygun")))))</f>
        <v/>
      </c>
      <c r="M490" s="21" t="n"/>
      <c r="N490" s="5" t="n"/>
    </row>
    <row r="491">
      <c r="A491" s="5" t="n"/>
      <c r="B491" s="5" t="n"/>
      <c r="C491" s="5" t="n"/>
      <c r="D491" s="5" t="n"/>
      <c r="E491" s="18" t="n"/>
      <c r="F491" s="18" t="n"/>
      <c r="G491" s="19">
        <f>IF(OR(E491="",F491=""),"",F491-E491)</f>
        <v/>
      </c>
      <c r="H491" s="20">
        <f>IF(OR(E491="",F491="",E491=0),"",(F491-E491)/E491)</f>
        <v/>
      </c>
      <c r="I491" s="21" t="n"/>
      <c r="J491" s="22">
        <f>IF(OR(E491="",I491=""),"",E491*I491)</f>
        <v/>
      </c>
      <c r="K491" s="22">
        <f>IF(OR(F491="",I491=""),"",F491*I491)</f>
        <v/>
      </c>
      <c r="L491" s="23">
        <f>IF(B491="","",IF(E491="","Cetvelde yok",IF(F491="","Projede bulunamadı",IF(H491&gt;MetrajTol,"Cetvelde eksik",IF(H491&lt;-MetrajTol,"Cetvelde fazla","Uygun")))))</f>
        <v/>
      </c>
      <c r="M491" s="21" t="n"/>
      <c r="N491" s="5" t="n"/>
    </row>
    <row r="492">
      <c r="A492" s="5" t="n"/>
      <c r="B492" s="5" t="n"/>
      <c r="C492" s="5" t="n"/>
      <c r="D492" s="5" t="n"/>
      <c r="E492" s="18" t="n"/>
      <c r="F492" s="18" t="n"/>
      <c r="G492" s="19">
        <f>IF(OR(E492="",F492=""),"",F492-E492)</f>
        <v/>
      </c>
      <c r="H492" s="20">
        <f>IF(OR(E492="",F492="",E492=0),"",(F492-E492)/E492)</f>
        <v/>
      </c>
      <c r="I492" s="21" t="n"/>
      <c r="J492" s="22">
        <f>IF(OR(E492="",I492=""),"",E492*I492)</f>
        <v/>
      </c>
      <c r="K492" s="22">
        <f>IF(OR(F492="",I492=""),"",F492*I492)</f>
        <v/>
      </c>
      <c r="L492" s="23">
        <f>IF(B492="","",IF(E492="","Cetvelde yok",IF(F492="","Projede bulunamadı",IF(H492&gt;MetrajTol,"Cetvelde eksik",IF(H492&lt;-MetrajTol,"Cetvelde fazla","Uygun")))))</f>
        <v/>
      </c>
      <c r="M492" s="21" t="n"/>
      <c r="N492" s="5" t="n"/>
    </row>
    <row r="493">
      <c r="A493" s="5" t="n"/>
      <c r="B493" s="5" t="n"/>
      <c r="C493" s="5" t="n"/>
      <c r="D493" s="5" t="n"/>
      <c r="E493" s="18" t="n"/>
      <c r="F493" s="18" t="n"/>
      <c r="G493" s="19">
        <f>IF(OR(E493="",F493=""),"",F493-E493)</f>
        <v/>
      </c>
      <c r="H493" s="20">
        <f>IF(OR(E493="",F493="",E493=0),"",(F493-E493)/E493)</f>
        <v/>
      </c>
      <c r="I493" s="21" t="n"/>
      <c r="J493" s="22">
        <f>IF(OR(E493="",I493=""),"",E493*I493)</f>
        <v/>
      </c>
      <c r="K493" s="22">
        <f>IF(OR(F493="",I493=""),"",F493*I493)</f>
        <v/>
      </c>
      <c r="L493" s="23">
        <f>IF(B493="","",IF(E493="","Cetvelde yok",IF(F493="","Projede bulunamadı",IF(H493&gt;MetrajTol,"Cetvelde eksik",IF(H493&lt;-MetrajTol,"Cetvelde fazla","Uygun")))))</f>
        <v/>
      </c>
      <c r="M493" s="21" t="n"/>
      <c r="N493" s="5" t="n"/>
    </row>
    <row r="494">
      <c r="A494" s="5" t="n"/>
      <c r="B494" s="5" t="n"/>
      <c r="C494" s="5" t="n"/>
      <c r="D494" s="5" t="n"/>
      <c r="E494" s="18" t="n"/>
      <c r="F494" s="18" t="n"/>
      <c r="G494" s="19">
        <f>IF(OR(E494="",F494=""),"",F494-E494)</f>
        <v/>
      </c>
      <c r="H494" s="20">
        <f>IF(OR(E494="",F494="",E494=0),"",(F494-E494)/E494)</f>
        <v/>
      </c>
      <c r="I494" s="21" t="n"/>
      <c r="J494" s="22">
        <f>IF(OR(E494="",I494=""),"",E494*I494)</f>
        <v/>
      </c>
      <c r="K494" s="22">
        <f>IF(OR(F494="",I494=""),"",F494*I494)</f>
        <v/>
      </c>
      <c r="L494" s="23">
        <f>IF(B494="","",IF(E494="","Cetvelde yok",IF(F494="","Projede bulunamadı",IF(H494&gt;MetrajTol,"Cetvelde eksik",IF(H494&lt;-MetrajTol,"Cetvelde fazla","Uygun")))))</f>
        <v/>
      </c>
      <c r="M494" s="21" t="n"/>
      <c r="N494" s="5" t="n"/>
    </row>
    <row r="495">
      <c r="A495" s="5" t="n"/>
      <c r="B495" s="5" t="n"/>
      <c r="C495" s="5" t="n"/>
      <c r="D495" s="5" t="n"/>
      <c r="E495" s="18" t="n"/>
      <c r="F495" s="18" t="n"/>
      <c r="G495" s="19">
        <f>IF(OR(E495="",F495=""),"",F495-E495)</f>
        <v/>
      </c>
      <c r="H495" s="20">
        <f>IF(OR(E495="",F495="",E495=0),"",(F495-E495)/E495)</f>
        <v/>
      </c>
      <c r="I495" s="21" t="n"/>
      <c r="J495" s="22">
        <f>IF(OR(E495="",I495=""),"",E495*I495)</f>
        <v/>
      </c>
      <c r="K495" s="22">
        <f>IF(OR(F495="",I495=""),"",F495*I495)</f>
        <v/>
      </c>
      <c r="L495" s="23">
        <f>IF(B495="","",IF(E495="","Cetvelde yok",IF(F495="","Projede bulunamadı",IF(H495&gt;MetrajTol,"Cetvelde eksik",IF(H495&lt;-MetrajTol,"Cetvelde fazla","Uygun")))))</f>
        <v/>
      </c>
      <c r="M495" s="21" t="n"/>
      <c r="N495" s="5" t="n"/>
    </row>
    <row r="496">
      <c r="A496" s="5" t="n"/>
      <c r="B496" s="5" t="n"/>
      <c r="C496" s="5" t="n"/>
      <c r="D496" s="5" t="n"/>
      <c r="E496" s="18" t="n"/>
      <c r="F496" s="18" t="n"/>
      <c r="G496" s="19">
        <f>IF(OR(E496="",F496=""),"",F496-E496)</f>
        <v/>
      </c>
      <c r="H496" s="20">
        <f>IF(OR(E496="",F496="",E496=0),"",(F496-E496)/E496)</f>
        <v/>
      </c>
      <c r="I496" s="21" t="n"/>
      <c r="J496" s="22">
        <f>IF(OR(E496="",I496=""),"",E496*I496)</f>
        <v/>
      </c>
      <c r="K496" s="22">
        <f>IF(OR(F496="",I496=""),"",F496*I496)</f>
        <v/>
      </c>
      <c r="L496" s="23">
        <f>IF(B496="","",IF(E496="","Cetvelde yok",IF(F496="","Projede bulunamadı",IF(H496&gt;MetrajTol,"Cetvelde eksik",IF(H496&lt;-MetrajTol,"Cetvelde fazla","Uygun")))))</f>
        <v/>
      </c>
      <c r="M496" s="21" t="n"/>
      <c r="N496" s="5" t="n"/>
    </row>
    <row r="497">
      <c r="A497" s="5" t="n"/>
      <c r="B497" s="5" t="n"/>
      <c r="C497" s="5" t="n"/>
      <c r="D497" s="5" t="n"/>
      <c r="E497" s="18" t="n"/>
      <c r="F497" s="18" t="n"/>
      <c r="G497" s="19">
        <f>IF(OR(E497="",F497=""),"",F497-E497)</f>
        <v/>
      </c>
      <c r="H497" s="20">
        <f>IF(OR(E497="",F497="",E497=0),"",(F497-E497)/E497)</f>
        <v/>
      </c>
      <c r="I497" s="21" t="n"/>
      <c r="J497" s="22">
        <f>IF(OR(E497="",I497=""),"",E497*I497)</f>
        <v/>
      </c>
      <c r="K497" s="22">
        <f>IF(OR(F497="",I497=""),"",F497*I497)</f>
        <v/>
      </c>
      <c r="L497" s="23">
        <f>IF(B497="","",IF(E497="","Cetvelde yok",IF(F497="","Projede bulunamadı",IF(H497&gt;MetrajTol,"Cetvelde eksik",IF(H497&lt;-MetrajTol,"Cetvelde fazla","Uygun")))))</f>
        <v/>
      </c>
      <c r="M497" s="21" t="n"/>
      <c r="N497" s="5" t="n"/>
    </row>
    <row r="498">
      <c r="A498" s="5" t="n"/>
      <c r="B498" s="5" t="n"/>
      <c r="C498" s="5" t="n"/>
      <c r="D498" s="5" t="n"/>
      <c r="E498" s="18" t="n"/>
      <c r="F498" s="18" t="n"/>
      <c r="G498" s="19">
        <f>IF(OR(E498="",F498=""),"",F498-E498)</f>
        <v/>
      </c>
      <c r="H498" s="20">
        <f>IF(OR(E498="",F498="",E498=0),"",(F498-E498)/E498)</f>
        <v/>
      </c>
      <c r="I498" s="21" t="n"/>
      <c r="J498" s="22">
        <f>IF(OR(E498="",I498=""),"",E498*I498)</f>
        <v/>
      </c>
      <c r="K498" s="22">
        <f>IF(OR(F498="",I498=""),"",F498*I498)</f>
        <v/>
      </c>
      <c r="L498" s="23">
        <f>IF(B498="","",IF(E498="","Cetvelde yok",IF(F498="","Projede bulunamadı",IF(H498&gt;MetrajTol,"Cetvelde eksik",IF(H498&lt;-MetrajTol,"Cetvelde fazla","Uygun")))))</f>
        <v/>
      </c>
      <c r="M498" s="21" t="n"/>
      <c r="N498" s="5" t="n"/>
    </row>
    <row r="499">
      <c r="A499" s="5" t="n"/>
      <c r="B499" s="5" t="n"/>
      <c r="C499" s="5" t="n"/>
      <c r="D499" s="5" t="n"/>
      <c r="E499" s="18" t="n"/>
      <c r="F499" s="18" t="n"/>
      <c r="G499" s="19">
        <f>IF(OR(E499="",F499=""),"",F499-E499)</f>
        <v/>
      </c>
      <c r="H499" s="20">
        <f>IF(OR(E499="",F499="",E499=0),"",(F499-E499)/E499)</f>
        <v/>
      </c>
      <c r="I499" s="21" t="n"/>
      <c r="J499" s="22">
        <f>IF(OR(E499="",I499=""),"",E499*I499)</f>
        <v/>
      </c>
      <c r="K499" s="22">
        <f>IF(OR(F499="",I499=""),"",F499*I499)</f>
        <v/>
      </c>
      <c r="L499" s="23">
        <f>IF(B499="","",IF(E499="","Cetvelde yok",IF(F499="","Projede bulunamadı",IF(H499&gt;MetrajTol,"Cetvelde eksik",IF(H499&lt;-MetrajTol,"Cetvelde fazla","Uygun")))))</f>
        <v/>
      </c>
      <c r="M499" s="21" t="n"/>
      <c r="N499" s="5" t="n"/>
    </row>
    <row r="500">
      <c r="A500" s="5" t="n"/>
      <c r="B500" s="5" t="n"/>
      <c r="C500" s="5" t="n"/>
      <c r="D500" s="5" t="n"/>
      <c r="E500" s="18" t="n"/>
      <c r="F500" s="18" t="n"/>
      <c r="G500" s="19">
        <f>IF(OR(E500="",F500=""),"",F500-E500)</f>
        <v/>
      </c>
      <c r="H500" s="20">
        <f>IF(OR(E500="",F500="",E500=0),"",(F500-E500)/E500)</f>
        <v/>
      </c>
      <c r="I500" s="21" t="n"/>
      <c r="J500" s="22">
        <f>IF(OR(E500="",I500=""),"",E500*I500)</f>
        <v/>
      </c>
      <c r="K500" s="22">
        <f>IF(OR(F500="",I500=""),"",F500*I500)</f>
        <v/>
      </c>
      <c r="L500" s="23">
        <f>IF(B500="","",IF(E500="","Cetvelde yok",IF(F500="","Projede bulunamadı",IF(H500&gt;MetrajTol,"Cetvelde eksik",IF(H500&lt;-MetrajTol,"Cetvelde fazla","Uygun")))))</f>
        <v/>
      </c>
      <c r="M500" s="21" t="n"/>
      <c r="N500" s="5" t="n"/>
    </row>
    <row r="501">
      <c r="A501" s="5" t="n"/>
      <c r="B501" s="5" t="n"/>
      <c r="C501" s="5" t="n"/>
      <c r="D501" s="5" t="n"/>
      <c r="E501" s="18" t="n"/>
      <c r="F501" s="18" t="n"/>
      <c r="G501" s="19">
        <f>IF(OR(E501="",F501=""),"",F501-E501)</f>
        <v/>
      </c>
      <c r="H501" s="20">
        <f>IF(OR(E501="",F501="",E501=0),"",(F501-E501)/E501)</f>
        <v/>
      </c>
      <c r="I501" s="21" t="n"/>
      <c r="J501" s="22">
        <f>IF(OR(E501="",I501=""),"",E501*I501)</f>
        <v/>
      </c>
      <c r="K501" s="22">
        <f>IF(OR(F501="",I501=""),"",F501*I501)</f>
        <v/>
      </c>
      <c r="L501" s="23">
        <f>IF(B501="","",IF(E501="","Cetvelde yok",IF(F501="","Projede bulunamadı",IF(H501&gt;MetrajTol,"Cetvelde eksik",IF(H501&lt;-MetrajTol,"Cetvelde fazla","Uygun")))))</f>
        <v/>
      </c>
      <c r="M501" s="21" t="n"/>
      <c r="N501" s="5" t="n"/>
    </row>
    <row r="502">
      <c r="A502" s="5" t="n"/>
      <c r="B502" s="5" t="n"/>
      <c r="C502" s="5" t="n"/>
      <c r="D502" s="5" t="n"/>
      <c r="E502" s="18" t="n"/>
      <c r="F502" s="18" t="n"/>
      <c r="G502" s="19">
        <f>IF(OR(E502="",F502=""),"",F502-E502)</f>
        <v/>
      </c>
      <c r="H502" s="20">
        <f>IF(OR(E502="",F502="",E502=0),"",(F502-E502)/E502)</f>
        <v/>
      </c>
      <c r="I502" s="21" t="n"/>
      <c r="J502" s="22">
        <f>IF(OR(E502="",I502=""),"",E502*I502)</f>
        <v/>
      </c>
      <c r="K502" s="22">
        <f>IF(OR(F502="",I502=""),"",F502*I502)</f>
        <v/>
      </c>
      <c r="L502" s="23">
        <f>IF(B502="","",IF(E502="","Cetvelde yok",IF(F502="","Projede bulunamadı",IF(H502&gt;MetrajTol,"Cetvelde eksik",IF(H502&lt;-MetrajTol,"Cetvelde fazla","Uygun")))))</f>
        <v/>
      </c>
      <c r="M502" s="21" t="n"/>
      <c r="N502" s="5" t="n"/>
    </row>
    <row r="503">
      <c r="A503" s="5" t="n"/>
      <c r="B503" s="5" t="n"/>
      <c r="C503" s="5" t="n"/>
      <c r="D503" s="5" t="n"/>
      <c r="E503" s="18" t="n"/>
      <c r="F503" s="18" t="n"/>
      <c r="G503" s="19">
        <f>IF(OR(E503="",F503=""),"",F503-E503)</f>
        <v/>
      </c>
      <c r="H503" s="20">
        <f>IF(OR(E503="",F503="",E503=0),"",(F503-E503)/E503)</f>
        <v/>
      </c>
      <c r="I503" s="21" t="n"/>
      <c r="J503" s="22">
        <f>IF(OR(E503="",I503=""),"",E503*I503)</f>
        <v/>
      </c>
      <c r="K503" s="22">
        <f>IF(OR(F503="",I503=""),"",F503*I503)</f>
        <v/>
      </c>
      <c r="L503" s="23">
        <f>IF(B503="","",IF(E503="","Cetvelde yok",IF(F503="","Projede bulunamadı",IF(H503&gt;MetrajTol,"Cetvelde eksik",IF(H503&lt;-MetrajTol,"Cetvelde fazla","Uygun")))))</f>
        <v/>
      </c>
      <c r="M503" s="21" t="n"/>
      <c r="N503" s="5" t="n"/>
    </row>
    <row r="504">
      <c r="A504" s="5" t="n"/>
      <c r="B504" s="5" t="n"/>
      <c r="C504" s="5" t="n"/>
      <c r="D504" s="5" t="n"/>
      <c r="E504" s="18" t="n"/>
      <c r="F504" s="18" t="n"/>
      <c r="G504" s="19">
        <f>IF(OR(E504="",F504=""),"",F504-E504)</f>
        <v/>
      </c>
      <c r="H504" s="20">
        <f>IF(OR(E504="",F504="",E504=0),"",(F504-E504)/E504)</f>
        <v/>
      </c>
      <c r="I504" s="21" t="n"/>
      <c r="J504" s="22">
        <f>IF(OR(E504="",I504=""),"",E504*I504)</f>
        <v/>
      </c>
      <c r="K504" s="22">
        <f>IF(OR(F504="",I504=""),"",F504*I504)</f>
        <v/>
      </c>
      <c r="L504" s="23">
        <f>IF(B504="","",IF(E504="","Cetvelde yok",IF(F504="","Projede bulunamadı",IF(H504&gt;MetrajTol,"Cetvelde eksik",IF(H504&lt;-MetrajTol,"Cetvelde fazla","Uygun")))))</f>
        <v/>
      </c>
      <c r="M504" s="21" t="n"/>
      <c r="N504" s="5" t="n"/>
    </row>
  </sheetData>
  <autoFilter ref="A4:N504"/>
  <mergeCells count="2">
    <mergeCell ref="A2:N2"/>
    <mergeCell ref="A1:N1"/>
  </mergeCells>
  <conditionalFormatting sqref="L5:L504">
    <cfRule type="expression" priority="1" dxfId="3">
      <formula>ISNUMBER(SEARCH("Cetvelde eksik",L5))</formula>
    </cfRule>
    <cfRule type="expression" priority="2" dxfId="1">
      <formula>ISNUMBER(SEARCH("Cetvelde fazla",L5))</formula>
    </cfRule>
    <cfRule type="expression" priority="3" dxfId="2">
      <formula>ISNUMBER(SEARCH("Projede bulunamadı",L5))</formula>
    </cfRule>
    <cfRule type="expression" priority="4" dxfId="2">
      <formula>ISNUMBER(SEARCH("Cetvelde yok",L5))</formula>
    </cfRule>
    <cfRule type="expression" priority="5" dxfId="0">
      <formula>ISNUMBER(SEARCH("Uygun",L5))</formula>
    </cfRule>
  </conditionalFormatting>
  <conditionalFormatting sqref="I5:I504">
    <cfRule type="expression" priority="6" dxfId="1">
      <formula>AND(ISNUMBER(I5),ISNUMBER(M5),M5&gt;0,ABS(I5/M5-1)&gt;0.2)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16" customWidth="1" min="4" max="4"/>
    <col width="50" customWidth="1" min="5" max="5"/>
  </cols>
  <sheetData>
    <row r="1" ht="28" customHeight="1">
      <c r="A1" s="1" t="inlineStr">
        <is>
          <t>YETERLİLİK KONTROLÜ</t>
        </is>
      </c>
    </row>
    <row r="2" ht="30" customHeight="1">
      <c r="A2" s="2" t="inlineStr">
        <is>
          <t>İdari şartnamedeki katılım ve yeterlilik koşullarının firma profiliyle karşılaştırması.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</row>
    <row r="4" ht="32" customHeight="1">
      <c r="A4" s="17" t="inlineStr">
        <is>
          <t>Sıra</t>
        </is>
      </c>
      <c r="B4" s="17" t="inlineStr">
        <is>
          <t>Koşul</t>
        </is>
      </c>
      <c r="C4" s="17" t="inlineStr">
        <is>
          <t>Şartname Maddesi</t>
        </is>
      </c>
      <c r="D4" s="17" t="inlineStr">
        <is>
          <t>Firma Durumu</t>
        </is>
      </c>
      <c r="E4" s="17" t="inlineStr">
        <is>
          <t>Not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  <row r="501">
      <c r="A501" s="5" t="n"/>
      <c r="B501" s="5" t="n"/>
      <c r="C501" s="5" t="n"/>
      <c r="D501" s="5" t="n"/>
      <c r="E501" s="5" t="n"/>
    </row>
    <row r="502">
      <c r="A502" s="5" t="n"/>
      <c r="B502" s="5" t="n"/>
      <c r="C502" s="5" t="n"/>
      <c r="D502" s="5" t="n"/>
      <c r="E502" s="5" t="n"/>
    </row>
    <row r="503">
      <c r="A503" s="5" t="n"/>
      <c r="B503" s="5" t="n"/>
      <c r="C503" s="5" t="n"/>
      <c r="D503" s="5" t="n"/>
      <c r="E503" s="5" t="n"/>
    </row>
    <row r="504">
      <c r="A504" s="5" t="n"/>
      <c r="B504" s="5" t="n"/>
      <c r="C504" s="5" t="n"/>
      <c r="D504" s="5" t="n"/>
      <c r="E504" s="5" t="n"/>
    </row>
  </sheetData>
  <autoFilter ref="A4:E504"/>
  <mergeCells count="2">
    <mergeCell ref="A2:E2"/>
    <mergeCell ref="A1:E1"/>
  </mergeCells>
  <conditionalFormatting sqref="D5:D504">
    <cfRule type="expression" priority="1" dxfId="2">
      <formula>ISNUMBER(SEARCH("Eksik",D5))</formula>
    </cfRule>
    <cfRule type="expression" priority="2" dxfId="1">
      <formula>ISNUMBER(SEARCH("Belirsiz",D5))</formula>
    </cfRule>
    <cfRule type="expression" priority="3" dxfId="0">
      <formula>ISNUMBER(SEARCH("Karşılıyor",D5))</formula>
    </cfRule>
  </conditionalFormatting>
  <dataValidations count="1">
    <dataValidation sqref="D5:D504" showDropDown="0" showInputMessage="0" showErrorMessage="0" allowBlank="1" type="list">
      <formula1>"Karşılıyor,Eksik,Belirsiz"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18" customWidth="1" min="4" max="4"/>
    <col width="50" customWidth="1" min="5" max="5"/>
  </cols>
  <sheetData>
    <row r="1" ht="28" customHeight="1">
      <c r="A1" s="1" t="inlineStr">
        <is>
          <t>TEKNİK DEĞERLENDİRME</t>
        </is>
      </c>
    </row>
    <row r="2" ht="30" customHeight="1">
      <c r="A2" s="2" t="inlineStr">
        <is>
          <t>Teknik şartname gereksinimleri, karşılanamayan ve rekabeti kısıtlayan maddeler.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</row>
    <row r="4" ht="32" customHeight="1">
      <c r="A4" s="17" t="inlineStr">
        <is>
          <t>Sıra</t>
        </is>
      </c>
      <c r="B4" s="17" t="inlineStr">
        <is>
          <t>Gereksinim</t>
        </is>
      </c>
      <c r="C4" s="17" t="inlineStr">
        <is>
          <t>Şartname Maddesi</t>
        </is>
      </c>
      <c r="D4" s="17" t="inlineStr">
        <is>
          <t>Durum</t>
        </is>
      </c>
      <c r="E4" s="17" t="inlineStr">
        <is>
          <t>Not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  <row r="501">
      <c r="A501" s="5" t="n"/>
      <c r="B501" s="5" t="n"/>
      <c r="C501" s="5" t="n"/>
      <c r="D501" s="5" t="n"/>
      <c r="E501" s="5" t="n"/>
    </row>
    <row r="502">
      <c r="A502" s="5" t="n"/>
      <c r="B502" s="5" t="n"/>
      <c r="C502" s="5" t="n"/>
      <c r="D502" s="5" t="n"/>
      <c r="E502" s="5" t="n"/>
    </row>
    <row r="503">
      <c r="A503" s="5" t="n"/>
      <c r="B503" s="5" t="n"/>
      <c r="C503" s="5" t="n"/>
      <c r="D503" s="5" t="n"/>
      <c r="E503" s="5" t="n"/>
    </row>
    <row r="504">
      <c r="A504" s="5" t="n"/>
      <c r="B504" s="5" t="n"/>
      <c r="C504" s="5" t="n"/>
      <c r="D504" s="5" t="n"/>
      <c r="E504" s="5" t="n"/>
    </row>
  </sheetData>
  <autoFilter ref="A4:E504"/>
  <mergeCells count="2">
    <mergeCell ref="A2:E2"/>
    <mergeCell ref="A1:E1"/>
  </mergeCells>
  <conditionalFormatting sqref="D5:D504">
    <cfRule type="expression" priority="1" dxfId="2">
      <formula>ISNUMBER(SEARCH("Karşılanamıyor",D5))</formula>
    </cfRule>
    <cfRule type="expression" priority="2" dxfId="3">
      <formula>ISNUMBER(SEARCH("Kısıtlayıcı",D5))</formula>
    </cfRule>
    <cfRule type="expression" priority="3" dxfId="1">
      <formula>ISNUMBER(SEARCH("Belirsiz",D5))</formula>
    </cfRule>
  </conditionalFormatting>
  <dataValidations count="1">
    <dataValidation sqref="D5:D504" showDropDown="0" showInputMessage="0" showErrorMessage="0" allowBlank="1" type="list">
      <formula1>"Karşılanıyor,Karşılanamıyor,Belirsiz,Kısıtlayıcı"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18" customWidth="1" min="4" max="4"/>
    <col width="56" customWidth="1" min="5" max="5"/>
  </cols>
  <sheetData>
    <row r="1" ht="28" customHeight="1">
      <c r="A1" s="1" t="inlineStr">
        <is>
          <t>MALİ DEĞERLENDİRME</t>
        </is>
      </c>
    </row>
    <row r="2" ht="30" customHeight="1">
      <c r="A2" s="2" t="inlineStr">
        <is>
          <t>Teminat, ödeme, avans, fiyat farkı, ceza ve kârlılık kalemleri.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</row>
    <row r="4" ht="32" customHeight="1">
      <c r="A4" s="17" t="inlineStr">
        <is>
          <t>Sıra</t>
        </is>
      </c>
      <c r="B4" s="17" t="inlineStr">
        <is>
          <t>Kalem</t>
        </is>
      </c>
      <c r="C4" s="17" t="inlineStr">
        <is>
          <t>Değer</t>
        </is>
      </c>
      <c r="D4" s="17" t="inlineStr">
        <is>
          <t>Kaynak</t>
        </is>
      </c>
      <c r="E4" s="17" t="inlineStr">
        <is>
          <t>Not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  <row r="501">
      <c r="A501" s="5" t="n"/>
      <c r="B501" s="5" t="n"/>
      <c r="C501" s="5" t="n"/>
      <c r="D501" s="5" t="n"/>
      <c r="E501" s="5" t="n"/>
    </row>
    <row r="502">
      <c r="A502" s="5" t="n"/>
      <c r="B502" s="5" t="n"/>
      <c r="C502" s="5" t="n"/>
      <c r="D502" s="5" t="n"/>
      <c r="E502" s="5" t="n"/>
    </row>
    <row r="503">
      <c r="A503" s="5" t="n"/>
      <c r="B503" s="5" t="n"/>
      <c r="C503" s="5" t="n"/>
      <c r="D503" s="5" t="n"/>
      <c r="E503" s="5" t="n"/>
    </row>
    <row r="504">
      <c r="A504" s="5" t="n"/>
      <c r="B504" s="5" t="n"/>
      <c r="C504" s="5" t="n"/>
      <c r="D504" s="5" t="n"/>
      <c r="E504" s="5" t="n"/>
    </row>
  </sheetData>
  <autoFilter ref="A4:E504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12" customWidth="1" min="4" max="4"/>
    <col width="50" customWidth="1" min="5" max="5"/>
  </cols>
  <sheetData>
    <row r="1" ht="28" customHeight="1">
      <c r="A1" s="1" t="inlineStr">
        <is>
          <t>RİSK LİSTESİ</t>
        </is>
      </c>
    </row>
    <row r="2" ht="30" customHeight="1">
      <c r="A2" s="2" t="inlineStr">
        <is>
          <t>Risk denetçisinin derecelendirdiği riskler ve önlemler.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</row>
    <row r="4" ht="32" customHeight="1">
      <c r="A4" s="17" t="inlineStr">
        <is>
          <t>Sıra</t>
        </is>
      </c>
      <c r="B4" s="17" t="inlineStr">
        <is>
          <t>Risk</t>
        </is>
      </c>
      <c r="C4" s="17" t="inlineStr">
        <is>
          <t>Kaynak</t>
        </is>
      </c>
      <c r="D4" s="17" t="inlineStr">
        <is>
          <t>Seviye</t>
        </is>
      </c>
      <c r="E4" s="17" t="inlineStr">
        <is>
          <t>Önlem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  <row r="501">
      <c r="A501" s="5" t="n"/>
      <c r="B501" s="5" t="n"/>
      <c r="C501" s="5" t="n"/>
      <c r="D501" s="5" t="n"/>
      <c r="E501" s="5" t="n"/>
    </row>
    <row r="502">
      <c r="A502" s="5" t="n"/>
      <c r="B502" s="5" t="n"/>
      <c r="C502" s="5" t="n"/>
      <c r="D502" s="5" t="n"/>
      <c r="E502" s="5" t="n"/>
    </row>
    <row r="503">
      <c r="A503" s="5" t="n"/>
      <c r="B503" s="5" t="n"/>
      <c r="C503" s="5" t="n"/>
      <c r="D503" s="5" t="n"/>
      <c r="E503" s="5" t="n"/>
    </row>
    <row r="504">
      <c r="A504" s="5" t="n"/>
      <c r="B504" s="5" t="n"/>
      <c r="C504" s="5" t="n"/>
      <c r="D504" s="5" t="n"/>
      <c r="E504" s="5" t="n"/>
    </row>
  </sheetData>
  <autoFilter ref="A4:E504"/>
  <mergeCells count="2">
    <mergeCell ref="A2:E2"/>
    <mergeCell ref="A1:E1"/>
  </mergeCells>
  <conditionalFormatting sqref="D5:D504">
    <cfRule type="expression" priority="1" dxfId="2">
      <formula>ISNUMBER(SEARCH("Yüksek",D5))</formula>
    </cfRule>
    <cfRule type="expression" priority="2" dxfId="1">
      <formula>ISNUMBER(SEARCH("Orta",D5))</formula>
    </cfRule>
    <cfRule type="expression" priority="3" dxfId="0">
      <formula>ISNUMBER(SEARCH("Düşük",D5))</formula>
    </cfRule>
  </conditionalFormatting>
  <dataValidations count="1">
    <dataValidation sqref="D5:D504" showDropDown="0" showInputMessage="0" showErrorMessage="0" allowBlank="1" type="list">
      <formula1>"Düşük,Orta,Yüksek"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8" customWidth="1" min="4" max="4"/>
    <col width="13" customWidth="1" min="5" max="5"/>
    <col width="14" customWidth="1" min="6" max="6"/>
    <col width="17" customWidth="1" min="7" max="7"/>
    <col width="17" customWidth="1" min="8" max="8"/>
    <col width="15" customWidth="1" min="9" max="9"/>
    <col width="36" customWidth="1" min="10" max="10"/>
  </cols>
  <sheetData>
    <row r="1" ht="28" customHeight="1">
      <c r="A1" s="1" t="inlineStr">
        <is>
          <t>KİŞİSEL HESAP</t>
        </is>
      </c>
    </row>
    <row r="2" ht="30" customHeight="1">
      <c r="A2" s="2" t="inlineStr">
        <is>
          <t>Kullanıcının kendi hesap kurallarıyla bulunan tutarın sistem tahminiyle karşılaştırması (kisisel_hesap.py çıktısı).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  <c r="F3" s="15" t="n"/>
      <c r="G3" s="16">
        <f>SUM(G5:G504)</f>
        <v/>
      </c>
      <c r="H3" s="16">
        <f>SUM(H5:H504)</f>
        <v/>
      </c>
      <c r="I3" s="16">
        <f>SUM(I5:I504)</f>
        <v/>
      </c>
      <c r="J3" s="15" t="n"/>
    </row>
    <row r="4" ht="32" customHeight="1">
      <c r="A4" s="17" t="inlineStr">
        <is>
          <t>Sıra</t>
        </is>
      </c>
      <c r="B4" s="17" t="inlineStr">
        <is>
          <t>Poz No</t>
        </is>
      </c>
      <c r="C4" s="17" t="inlineStr">
        <is>
          <t>Tanım</t>
        </is>
      </c>
      <c r="D4" s="17" t="inlineStr">
        <is>
          <t>Birim</t>
        </is>
      </c>
      <c r="E4" s="17" t="inlineStr">
        <is>
          <t>Miktar</t>
        </is>
      </c>
      <c r="F4" s="17" t="inlineStr">
        <is>
          <t>Birim Fiyat</t>
        </is>
      </c>
      <c r="G4" s="17" t="inlineStr">
        <is>
          <t>Sistem Tutarı</t>
        </is>
      </c>
      <c r="H4" s="17" t="inlineStr">
        <is>
          <t>Kişisel Tutar</t>
        </is>
      </c>
      <c r="I4" s="17" t="inlineStr">
        <is>
          <t>Fark</t>
        </is>
      </c>
      <c r="J4" s="17" t="inlineStr">
        <is>
          <t>Uygulanan Kurallar</t>
        </is>
      </c>
    </row>
    <row r="5">
      <c r="A5" s="5" t="n"/>
      <c r="B5" s="5" t="n"/>
      <c r="C5" s="5" t="n"/>
      <c r="D5" s="5" t="n"/>
      <c r="E5" s="18" t="n"/>
      <c r="F5" s="21" t="n"/>
      <c r="G5" s="21" t="n"/>
      <c r="H5" s="21" t="n"/>
      <c r="I5" s="22">
        <f>IF(OR(G5="",H5=""),"",H5-G5)</f>
        <v/>
      </c>
      <c r="J5" s="5" t="n"/>
    </row>
    <row r="6">
      <c r="A6" s="5" t="n"/>
      <c r="B6" s="5" t="n"/>
      <c r="C6" s="5" t="n"/>
      <c r="D6" s="5" t="n"/>
      <c r="E6" s="18" t="n"/>
      <c r="F6" s="21" t="n"/>
      <c r="G6" s="21" t="n"/>
      <c r="H6" s="21" t="n"/>
      <c r="I6" s="22">
        <f>IF(OR(G6="",H6=""),"",H6-G6)</f>
        <v/>
      </c>
      <c r="J6" s="5" t="n"/>
    </row>
    <row r="7">
      <c r="A7" s="5" t="n"/>
      <c r="B7" s="5" t="n"/>
      <c r="C7" s="5" t="n"/>
      <c r="D7" s="5" t="n"/>
      <c r="E7" s="18" t="n"/>
      <c r="F7" s="21" t="n"/>
      <c r="G7" s="21" t="n"/>
      <c r="H7" s="21" t="n"/>
      <c r="I7" s="22">
        <f>IF(OR(G7="",H7=""),"",H7-G7)</f>
        <v/>
      </c>
      <c r="J7" s="5" t="n"/>
    </row>
    <row r="8">
      <c r="A8" s="5" t="n"/>
      <c r="B8" s="5" t="n"/>
      <c r="C8" s="5" t="n"/>
      <c r="D8" s="5" t="n"/>
      <c r="E8" s="18" t="n"/>
      <c r="F8" s="21" t="n"/>
      <c r="G8" s="21" t="n"/>
      <c r="H8" s="21" t="n"/>
      <c r="I8" s="22">
        <f>IF(OR(G8="",H8=""),"",H8-G8)</f>
        <v/>
      </c>
      <c r="J8" s="5" t="n"/>
    </row>
    <row r="9">
      <c r="A9" s="5" t="n"/>
      <c r="B9" s="5" t="n"/>
      <c r="C9" s="5" t="n"/>
      <c r="D9" s="5" t="n"/>
      <c r="E9" s="18" t="n"/>
      <c r="F9" s="21" t="n"/>
      <c r="G9" s="21" t="n"/>
      <c r="H9" s="21" t="n"/>
      <c r="I9" s="22">
        <f>IF(OR(G9="",H9=""),"",H9-G9)</f>
        <v/>
      </c>
      <c r="J9" s="5" t="n"/>
    </row>
    <row r="10">
      <c r="A10" s="5" t="n"/>
      <c r="B10" s="5" t="n"/>
      <c r="C10" s="5" t="n"/>
      <c r="D10" s="5" t="n"/>
      <c r="E10" s="18" t="n"/>
      <c r="F10" s="21" t="n"/>
      <c r="G10" s="21" t="n"/>
      <c r="H10" s="21" t="n"/>
      <c r="I10" s="22">
        <f>IF(OR(G10="",H10=""),"",H10-G10)</f>
        <v/>
      </c>
      <c r="J10" s="5" t="n"/>
    </row>
    <row r="11">
      <c r="A11" s="5" t="n"/>
      <c r="B11" s="5" t="n"/>
      <c r="C11" s="5" t="n"/>
      <c r="D11" s="5" t="n"/>
      <c r="E11" s="18" t="n"/>
      <c r="F11" s="21" t="n"/>
      <c r="G11" s="21" t="n"/>
      <c r="H11" s="21" t="n"/>
      <c r="I11" s="22">
        <f>IF(OR(G11="",H11=""),"",H11-G11)</f>
        <v/>
      </c>
      <c r="J11" s="5" t="n"/>
    </row>
    <row r="12">
      <c r="A12" s="5" t="n"/>
      <c r="B12" s="5" t="n"/>
      <c r="C12" s="5" t="n"/>
      <c r="D12" s="5" t="n"/>
      <c r="E12" s="18" t="n"/>
      <c r="F12" s="21" t="n"/>
      <c r="G12" s="21" t="n"/>
      <c r="H12" s="21" t="n"/>
      <c r="I12" s="22">
        <f>IF(OR(G12="",H12=""),"",H12-G12)</f>
        <v/>
      </c>
      <c r="J12" s="5" t="n"/>
    </row>
    <row r="13">
      <c r="A13" s="5" t="n"/>
      <c r="B13" s="5" t="n"/>
      <c r="C13" s="5" t="n"/>
      <c r="D13" s="5" t="n"/>
      <c r="E13" s="18" t="n"/>
      <c r="F13" s="21" t="n"/>
      <c r="G13" s="21" t="n"/>
      <c r="H13" s="21" t="n"/>
      <c r="I13" s="22">
        <f>IF(OR(G13="",H13=""),"",H13-G13)</f>
        <v/>
      </c>
      <c r="J13" s="5" t="n"/>
    </row>
    <row r="14">
      <c r="A14" s="5" t="n"/>
      <c r="B14" s="5" t="n"/>
      <c r="C14" s="5" t="n"/>
      <c r="D14" s="5" t="n"/>
      <c r="E14" s="18" t="n"/>
      <c r="F14" s="21" t="n"/>
      <c r="G14" s="21" t="n"/>
      <c r="H14" s="21" t="n"/>
      <c r="I14" s="22">
        <f>IF(OR(G14="",H14=""),"",H14-G14)</f>
        <v/>
      </c>
      <c r="J14" s="5" t="n"/>
    </row>
    <row r="15">
      <c r="A15" s="5" t="n"/>
      <c r="B15" s="5" t="n"/>
      <c r="C15" s="5" t="n"/>
      <c r="D15" s="5" t="n"/>
      <c r="E15" s="18" t="n"/>
      <c r="F15" s="21" t="n"/>
      <c r="G15" s="21" t="n"/>
      <c r="H15" s="21" t="n"/>
      <c r="I15" s="22">
        <f>IF(OR(G15="",H15=""),"",H15-G15)</f>
        <v/>
      </c>
      <c r="J15" s="5" t="n"/>
    </row>
    <row r="16">
      <c r="A16" s="5" t="n"/>
      <c r="B16" s="5" t="n"/>
      <c r="C16" s="5" t="n"/>
      <c r="D16" s="5" t="n"/>
      <c r="E16" s="18" t="n"/>
      <c r="F16" s="21" t="n"/>
      <c r="G16" s="21" t="n"/>
      <c r="H16" s="21" t="n"/>
      <c r="I16" s="22">
        <f>IF(OR(G16="",H16=""),"",H16-G16)</f>
        <v/>
      </c>
      <c r="J16" s="5" t="n"/>
    </row>
    <row r="17">
      <c r="A17" s="5" t="n"/>
      <c r="B17" s="5" t="n"/>
      <c r="C17" s="5" t="n"/>
      <c r="D17" s="5" t="n"/>
      <c r="E17" s="18" t="n"/>
      <c r="F17" s="21" t="n"/>
      <c r="G17" s="21" t="n"/>
      <c r="H17" s="21" t="n"/>
      <c r="I17" s="22">
        <f>IF(OR(G17="",H17=""),"",H17-G17)</f>
        <v/>
      </c>
      <c r="J17" s="5" t="n"/>
    </row>
    <row r="18">
      <c r="A18" s="5" t="n"/>
      <c r="B18" s="5" t="n"/>
      <c r="C18" s="5" t="n"/>
      <c r="D18" s="5" t="n"/>
      <c r="E18" s="18" t="n"/>
      <c r="F18" s="21" t="n"/>
      <c r="G18" s="21" t="n"/>
      <c r="H18" s="21" t="n"/>
      <c r="I18" s="22">
        <f>IF(OR(G18="",H18=""),"",H18-G18)</f>
        <v/>
      </c>
      <c r="J18" s="5" t="n"/>
    </row>
    <row r="19">
      <c r="A19" s="5" t="n"/>
      <c r="B19" s="5" t="n"/>
      <c r="C19" s="5" t="n"/>
      <c r="D19" s="5" t="n"/>
      <c r="E19" s="18" t="n"/>
      <c r="F19" s="21" t="n"/>
      <c r="G19" s="21" t="n"/>
      <c r="H19" s="21" t="n"/>
      <c r="I19" s="22">
        <f>IF(OR(G19="",H19=""),"",H19-G19)</f>
        <v/>
      </c>
      <c r="J19" s="5" t="n"/>
    </row>
    <row r="20">
      <c r="A20" s="5" t="n"/>
      <c r="B20" s="5" t="n"/>
      <c r="C20" s="5" t="n"/>
      <c r="D20" s="5" t="n"/>
      <c r="E20" s="18" t="n"/>
      <c r="F20" s="21" t="n"/>
      <c r="G20" s="21" t="n"/>
      <c r="H20" s="21" t="n"/>
      <c r="I20" s="22">
        <f>IF(OR(G20="",H20=""),"",H20-G20)</f>
        <v/>
      </c>
      <c r="J20" s="5" t="n"/>
    </row>
    <row r="21">
      <c r="A21" s="5" t="n"/>
      <c r="B21" s="5" t="n"/>
      <c r="C21" s="5" t="n"/>
      <c r="D21" s="5" t="n"/>
      <c r="E21" s="18" t="n"/>
      <c r="F21" s="21" t="n"/>
      <c r="G21" s="21" t="n"/>
      <c r="H21" s="21" t="n"/>
      <c r="I21" s="22">
        <f>IF(OR(G21="",H21=""),"",H21-G21)</f>
        <v/>
      </c>
      <c r="J21" s="5" t="n"/>
    </row>
    <row r="22">
      <c r="A22" s="5" t="n"/>
      <c r="B22" s="5" t="n"/>
      <c r="C22" s="5" t="n"/>
      <c r="D22" s="5" t="n"/>
      <c r="E22" s="18" t="n"/>
      <c r="F22" s="21" t="n"/>
      <c r="G22" s="21" t="n"/>
      <c r="H22" s="21" t="n"/>
      <c r="I22" s="22">
        <f>IF(OR(G22="",H22=""),"",H22-G22)</f>
        <v/>
      </c>
      <c r="J22" s="5" t="n"/>
    </row>
    <row r="23">
      <c r="A23" s="5" t="n"/>
      <c r="B23" s="5" t="n"/>
      <c r="C23" s="5" t="n"/>
      <c r="D23" s="5" t="n"/>
      <c r="E23" s="18" t="n"/>
      <c r="F23" s="21" t="n"/>
      <c r="G23" s="21" t="n"/>
      <c r="H23" s="21" t="n"/>
      <c r="I23" s="22">
        <f>IF(OR(G23="",H23=""),"",H23-G23)</f>
        <v/>
      </c>
      <c r="J23" s="5" t="n"/>
    </row>
    <row r="24">
      <c r="A24" s="5" t="n"/>
      <c r="B24" s="5" t="n"/>
      <c r="C24" s="5" t="n"/>
      <c r="D24" s="5" t="n"/>
      <c r="E24" s="18" t="n"/>
      <c r="F24" s="21" t="n"/>
      <c r="G24" s="21" t="n"/>
      <c r="H24" s="21" t="n"/>
      <c r="I24" s="22">
        <f>IF(OR(G24="",H24=""),"",H24-G24)</f>
        <v/>
      </c>
      <c r="J24" s="5" t="n"/>
    </row>
    <row r="25">
      <c r="A25" s="5" t="n"/>
      <c r="B25" s="5" t="n"/>
      <c r="C25" s="5" t="n"/>
      <c r="D25" s="5" t="n"/>
      <c r="E25" s="18" t="n"/>
      <c r="F25" s="21" t="n"/>
      <c r="G25" s="21" t="n"/>
      <c r="H25" s="21" t="n"/>
      <c r="I25" s="22">
        <f>IF(OR(G25="",H25=""),"",H25-G25)</f>
        <v/>
      </c>
      <c r="J25" s="5" t="n"/>
    </row>
    <row r="26">
      <c r="A26" s="5" t="n"/>
      <c r="B26" s="5" t="n"/>
      <c r="C26" s="5" t="n"/>
      <c r="D26" s="5" t="n"/>
      <c r="E26" s="18" t="n"/>
      <c r="F26" s="21" t="n"/>
      <c r="G26" s="21" t="n"/>
      <c r="H26" s="21" t="n"/>
      <c r="I26" s="22">
        <f>IF(OR(G26="",H26=""),"",H26-G26)</f>
        <v/>
      </c>
      <c r="J26" s="5" t="n"/>
    </row>
    <row r="27">
      <c r="A27" s="5" t="n"/>
      <c r="B27" s="5" t="n"/>
      <c r="C27" s="5" t="n"/>
      <c r="D27" s="5" t="n"/>
      <c r="E27" s="18" t="n"/>
      <c r="F27" s="21" t="n"/>
      <c r="G27" s="21" t="n"/>
      <c r="H27" s="21" t="n"/>
      <c r="I27" s="22">
        <f>IF(OR(G27="",H27=""),"",H27-G27)</f>
        <v/>
      </c>
      <c r="J27" s="5" t="n"/>
    </row>
    <row r="28">
      <c r="A28" s="5" t="n"/>
      <c r="B28" s="5" t="n"/>
      <c r="C28" s="5" t="n"/>
      <c r="D28" s="5" t="n"/>
      <c r="E28" s="18" t="n"/>
      <c r="F28" s="21" t="n"/>
      <c r="G28" s="21" t="n"/>
      <c r="H28" s="21" t="n"/>
      <c r="I28" s="22">
        <f>IF(OR(G28="",H28=""),"",H28-G28)</f>
        <v/>
      </c>
      <c r="J28" s="5" t="n"/>
    </row>
    <row r="29">
      <c r="A29" s="5" t="n"/>
      <c r="B29" s="5" t="n"/>
      <c r="C29" s="5" t="n"/>
      <c r="D29" s="5" t="n"/>
      <c r="E29" s="18" t="n"/>
      <c r="F29" s="21" t="n"/>
      <c r="G29" s="21" t="n"/>
      <c r="H29" s="21" t="n"/>
      <c r="I29" s="22">
        <f>IF(OR(G29="",H29=""),"",H29-G29)</f>
        <v/>
      </c>
      <c r="J29" s="5" t="n"/>
    </row>
    <row r="30">
      <c r="A30" s="5" t="n"/>
      <c r="B30" s="5" t="n"/>
      <c r="C30" s="5" t="n"/>
      <c r="D30" s="5" t="n"/>
      <c r="E30" s="18" t="n"/>
      <c r="F30" s="21" t="n"/>
      <c r="G30" s="21" t="n"/>
      <c r="H30" s="21" t="n"/>
      <c r="I30" s="22">
        <f>IF(OR(G30="",H30=""),"",H30-G30)</f>
        <v/>
      </c>
      <c r="J30" s="5" t="n"/>
    </row>
    <row r="31">
      <c r="A31" s="5" t="n"/>
      <c r="B31" s="5" t="n"/>
      <c r="C31" s="5" t="n"/>
      <c r="D31" s="5" t="n"/>
      <c r="E31" s="18" t="n"/>
      <c r="F31" s="21" t="n"/>
      <c r="G31" s="21" t="n"/>
      <c r="H31" s="21" t="n"/>
      <c r="I31" s="22">
        <f>IF(OR(G31="",H31=""),"",H31-G31)</f>
        <v/>
      </c>
      <c r="J31" s="5" t="n"/>
    </row>
    <row r="32">
      <c r="A32" s="5" t="n"/>
      <c r="B32" s="5" t="n"/>
      <c r="C32" s="5" t="n"/>
      <c r="D32" s="5" t="n"/>
      <c r="E32" s="18" t="n"/>
      <c r="F32" s="21" t="n"/>
      <c r="G32" s="21" t="n"/>
      <c r="H32" s="21" t="n"/>
      <c r="I32" s="22">
        <f>IF(OR(G32="",H32=""),"",H32-G32)</f>
        <v/>
      </c>
      <c r="J32" s="5" t="n"/>
    </row>
    <row r="33">
      <c r="A33" s="5" t="n"/>
      <c r="B33" s="5" t="n"/>
      <c r="C33" s="5" t="n"/>
      <c r="D33" s="5" t="n"/>
      <c r="E33" s="18" t="n"/>
      <c r="F33" s="21" t="n"/>
      <c r="G33" s="21" t="n"/>
      <c r="H33" s="21" t="n"/>
      <c r="I33" s="22">
        <f>IF(OR(G33="",H33=""),"",H33-G33)</f>
        <v/>
      </c>
      <c r="J33" s="5" t="n"/>
    </row>
    <row r="34">
      <c r="A34" s="5" t="n"/>
      <c r="B34" s="5" t="n"/>
      <c r="C34" s="5" t="n"/>
      <c r="D34" s="5" t="n"/>
      <c r="E34" s="18" t="n"/>
      <c r="F34" s="21" t="n"/>
      <c r="G34" s="21" t="n"/>
      <c r="H34" s="21" t="n"/>
      <c r="I34" s="22">
        <f>IF(OR(G34="",H34=""),"",H34-G34)</f>
        <v/>
      </c>
      <c r="J34" s="5" t="n"/>
    </row>
    <row r="35">
      <c r="A35" s="5" t="n"/>
      <c r="B35" s="5" t="n"/>
      <c r="C35" s="5" t="n"/>
      <c r="D35" s="5" t="n"/>
      <c r="E35" s="18" t="n"/>
      <c r="F35" s="21" t="n"/>
      <c r="G35" s="21" t="n"/>
      <c r="H35" s="21" t="n"/>
      <c r="I35" s="22">
        <f>IF(OR(G35="",H35=""),"",H35-G35)</f>
        <v/>
      </c>
      <c r="J35" s="5" t="n"/>
    </row>
    <row r="36">
      <c r="A36" s="5" t="n"/>
      <c r="B36" s="5" t="n"/>
      <c r="C36" s="5" t="n"/>
      <c r="D36" s="5" t="n"/>
      <c r="E36" s="18" t="n"/>
      <c r="F36" s="21" t="n"/>
      <c r="G36" s="21" t="n"/>
      <c r="H36" s="21" t="n"/>
      <c r="I36" s="22">
        <f>IF(OR(G36="",H36=""),"",H36-G36)</f>
        <v/>
      </c>
      <c r="J36" s="5" t="n"/>
    </row>
    <row r="37">
      <c r="A37" s="5" t="n"/>
      <c r="B37" s="5" t="n"/>
      <c r="C37" s="5" t="n"/>
      <c r="D37" s="5" t="n"/>
      <c r="E37" s="18" t="n"/>
      <c r="F37" s="21" t="n"/>
      <c r="G37" s="21" t="n"/>
      <c r="H37" s="21" t="n"/>
      <c r="I37" s="22">
        <f>IF(OR(G37="",H37=""),"",H37-G37)</f>
        <v/>
      </c>
      <c r="J37" s="5" t="n"/>
    </row>
    <row r="38">
      <c r="A38" s="5" t="n"/>
      <c r="B38" s="5" t="n"/>
      <c r="C38" s="5" t="n"/>
      <c r="D38" s="5" t="n"/>
      <c r="E38" s="18" t="n"/>
      <c r="F38" s="21" t="n"/>
      <c r="G38" s="21" t="n"/>
      <c r="H38" s="21" t="n"/>
      <c r="I38" s="22">
        <f>IF(OR(G38="",H38=""),"",H38-G38)</f>
        <v/>
      </c>
      <c r="J38" s="5" t="n"/>
    </row>
    <row r="39">
      <c r="A39" s="5" t="n"/>
      <c r="B39" s="5" t="n"/>
      <c r="C39" s="5" t="n"/>
      <c r="D39" s="5" t="n"/>
      <c r="E39" s="18" t="n"/>
      <c r="F39" s="21" t="n"/>
      <c r="G39" s="21" t="n"/>
      <c r="H39" s="21" t="n"/>
      <c r="I39" s="22">
        <f>IF(OR(G39="",H39=""),"",H39-G39)</f>
        <v/>
      </c>
      <c r="J39" s="5" t="n"/>
    </row>
    <row r="40">
      <c r="A40" s="5" t="n"/>
      <c r="B40" s="5" t="n"/>
      <c r="C40" s="5" t="n"/>
      <c r="D40" s="5" t="n"/>
      <c r="E40" s="18" t="n"/>
      <c r="F40" s="21" t="n"/>
      <c r="G40" s="21" t="n"/>
      <c r="H40" s="21" t="n"/>
      <c r="I40" s="22">
        <f>IF(OR(G40="",H40=""),"",H40-G40)</f>
        <v/>
      </c>
      <c r="J40" s="5" t="n"/>
    </row>
    <row r="41">
      <c r="A41" s="5" t="n"/>
      <c r="B41" s="5" t="n"/>
      <c r="C41" s="5" t="n"/>
      <c r="D41" s="5" t="n"/>
      <c r="E41" s="18" t="n"/>
      <c r="F41" s="21" t="n"/>
      <c r="G41" s="21" t="n"/>
      <c r="H41" s="21" t="n"/>
      <c r="I41" s="22">
        <f>IF(OR(G41="",H41=""),"",H41-G41)</f>
        <v/>
      </c>
      <c r="J41" s="5" t="n"/>
    </row>
    <row r="42">
      <c r="A42" s="5" t="n"/>
      <c r="B42" s="5" t="n"/>
      <c r="C42" s="5" t="n"/>
      <c r="D42" s="5" t="n"/>
      <c r="E42" s="18" t="n"/>
      <c r="F42" s="21" t="n"/>
      <c r="G42" s="21" t="n"/>
      <c r="H42" s="21" t="n"/>
      <c r="I42" s="22">
        <f>IF(OR(G42="",H42=""),"",H42-G42)</f>
        <v/>
      </c>
      <c r="J42" s="5" t="n"/>
    </row>
    <row r="43">
      <c r="A43" s="5" t="n"/>
      <c r="B43" s="5" t="n"/>
      <c r="C43" s="5" t="n"/>
      <c r="D43" s="5" t="n"/>
      <c r="E43" s="18" t="n"/>
      <c r="F43" s="21" t="n"/>
      <c r="G43" s="21" t="n"/>
      <c r="H43" s="21" t="n"/>
      <c r="I43" s="22">
        <f>IF(OR(G43="",H43=""),"",H43-G43)</f>
        <v/>
      </c>
      <c r="J43" s="5" t="n"/>
    </row>
    <row r="44">
      <c r="A44" s="5" t="n"/>
      <c r="B44" s="5" t="n"/>
      <c r="C44" s="5" t="n"/>
      <c r="D44" s="5" t="n"/>
      <c r="E44" s="18" t="n"/>
      <c r="F44" s="21" t="n"/>
      <c r="G44" s="21" t="n"/>
      <c r="H44" s="21" t="n"/>
      <c r="I44" s="22">
        <f>IF(OR(G44="",H44=""),"",H44-G44)</f>
        <v/>
      </c>
      <c r="J44" s="5" t="n"/>
    </row>
    <row r="45">
      <c r="A45" s="5" t="n"/>
      <c r="B45" s="5" t="n"/>
      <c r="C45" s="5" t="n"/>
      <c r="D45" s="5" t="n"/>
      <c r="E45" s="18" t="n"/>
      <c r="F45" s="21" t="n"/>
      <c r="G45" s="21" t="n"/>
      <c r="H45" s="21" t="n"/>
      <c r="I45" s="22">
        <f>IF(OR(G45="",H45=""),"",H45-G45)</f>
        <v/>
      </c>
      <c r="J45" s="5" t="n"/>
    </row>
    <row r="46">
      <c r="A46" s="5" t="n"/>
      <c r="B46" s="5" t="n"/>
      <c r="C46" s="5" t="n"/>
      <c r="D46" s="5" t="n"/>
      <c r="E46" s="18" t="n"/>
      <c r="F46" s="21" t="n"/>
      <c r="G46" s="21" t="n"/>
      <c r="H46" s="21" t="n"/>
      <c r="I46" s="22">
        <f>IF(OR(G46="",H46=""),"",H46-G46)</f>
        <v/>
      </c>
      <c r="J46" s="5" t="n"/>
    </row>
    <row r="47">
      <c r="A47" s="5" t="n"/>
      <c r="B47" s="5" t="n"/>
      <c r="C47" s="5" t="n"/>
      <c r="D47" s="5" t="n"/>
      <c r="E47" s="18" t="n"/>
      <c r="F47" s="21" t="n"/>
      <c r="G47" s="21" t="n"/>
      <c r="H47" s="21" t="n"/>
      <c r="I47" s="22">
        <f>IF(OR(G47="",H47=""),"",H47-G47)</f>
        <v/>
      </c>
      <c r="J47" s="5" t="n"/>
    </row>
    <row r="48">
      <c r="A48" s="5" t="n"/>
      <c r="B48" s="5" t="n"/>
      <c r="C48" s="5" t="n"/>
      <c r="D48" s="5" t="n"/>
      <c r="E48" s="18" t="n"/>
      <c r="F48" s="21" t="n"/>
      <c r="G48" s="21" t="n"/>
      <c r="H48" s="21" t="n"/>
      <c r="I48" s="22">
        <f>IF(OR(G48="",H48=""),"",H48-G48)</f>
        <v/>
      </c>
      <c r="J48" s="5" t="n"/>
    </row>
    <row r="49">
      <c r="A49" s="5" t="n"/>
      <c r="B49" s="5" t="n"/>
      <c r="C49" s="5" t="n"/>
      <c r="D49" s="5" t="n"/>
      <c r="E49" s="18" t="n"/>
      <c r="F49" s="21" t="n"/>
      <c r="G49" s="21" t="n"/>
      <c r="H49" s="21" t="n"/>
      <c r="I49" s="22">
        <f>IF(OR(G49="",H49=""),"",H49-G49)</f>
        <v/>
      </c>
      <c r="J49" s="5" t="n"/>
    </row>
    <row r="50">
      <c r="A50" s="5" t="n"/>
      <c r="B50" s="5" t="n"/>
      <c r="C50" s="5" t="n"/>
      <c r="D50" s="5" t="n"/>
      <c r="E50" s="18" t="n"/>
      <c r="F50" s="21" t="n"/>
      <c r="G50" s="21" t="n"/>
      <c r="H50" s="21" t="n"/>
      <c r="I50" s="22">
        <f>IF(OR(G50="",H50=""),"",H50-G50)</f>
        <v/>
      </c>
      <c r="J50" s="5" t="n"/>
    </row>
    <row r="51">
      <c r="A51" s="5" t="n"/>
      <c r="B51" s="5" t="n"/>
      <c r="C51" s="5" t="n"/>
      <c r="D51" s="5" t="n"/>
      <c r="E51" s="18" t="n"/>
      <c r="F51" s="21" t="n"/>
      <c r="G51" s="21" t="n"/>
      <c r="H51" s="21" t="n"/>
      <c r="I51" s="22">
        <f>IF(OR(G51="",H51=""),"",H51-G51)</f>
        <v/>
      </c>
      <c r="J51" s="5" t="n"/>
    </row>
    <row r="52">
      <c r="A52" s="5" t="n"/>
      <c r="B52" s="5" t="n"/>
      <c r="C52" s="5" t="n"/>
      <c r="D52" s="5" t="n"/>
      <c r="E52" s="18" t="n"/>
      <c r="F52" s="21" t="n"/>
      <c r="G52" s="21" t="n"/>
      <c r="H52" s="21" t="n"/>
      <c r="I52" s="22">
        <f>IF(OR(G52="",H52=""),"",H52-G52)</f>
        <v/>
      </c>
      <c r="J52" s="5" t="n"/>
    </row>
    <row r="53">
      <c r="A53" s="5" t="n"/>
      <c r="B53" s="5" t="n"/>
      <c r="C53" s="5" t="n"/>
      <c r="D53" s="5" t="n"/>
      <c r="E53" s="18" t="n"/>
      <c r="F53" s="21" t="n"/>
      <c r="G53" s="21" t="n"/>
      <c r="H53" s="21" t="n"/>
      <c r="I53" s="22">
        <f>IF(OR(G53="",H53=""),"",H53-G53)</f>
        <v/>
      </c>
      <c r="J53" s="5" t="n"/>
    </row>
    <row r="54">
      <c r="A54" s="5" t="n"/>
      <c r="B54" s="5" t="n"/>
      <c r="C54" s="5" t="n"/>
      <c r="D54" s="5" t="n"/>
      <c r="E54" s="18" t="n"/>
      <c r="F54" s="21" t="n"/>
      <c r="G54" s="21" t="n"/>
      <c r="H54" s="21" t="n"/>
      <c r="I54" s="22">
        <f>IF(OR(G54="",H54=""),"",H54-G54)</f>
        <v/>
      </c>
      <c r="J54" s="5" t="n"/>
    </row>
    <row r="55">
      <c r="A55" s="5" t="n"/>
      <c r="B55" s="5" t="n"/>
      <c r="C55" s="5" t="n"/>
      <c r="D55" s="5" t="n"/>
      <c r="E55" s="18" t="n"/>
      <c r="F55" s="21" t="n"/>
      <c r="G55" s="21" t="n"/>
      <c r="H55" s="21" t="n"/>
      <c r="I55" s="22">
        <f>IF(OR(G55="",H55=""),"",H55-G55)</f>
        <v/>
      </c>
      <c r="J55" s="5" t="n"/>
    </row>
    <row r="56">
      <c r="A56" s="5" t="n"/>
      <c r="B56" s="5" t="n"/>
      <c r="C56" s="5" t="n"/>
      <c r="D56" s="5" t="n"/>
      <c r="E56" s="18" t="n"/>
      <c r="F56" s="21" t="n"/>
      <c r="G56" s="21" t="n"/>
      <c r="H56" s="21" t="n"/>
      <c r="I56" s="22">
        <f>IF(OR(G56="",H56=""),"",H56-G56)</f>
        <v/>
      </c>
      <c r="J56" s="5" t="n"/>
    </row>
    <row r="57">
      <c r="A57" s="5" t="n"/>
      <c r="B57" s="5" t="n"/>
      <c r="C57" s="5" t="n"/>
      <c r="D57" s="5" t="n"/>
      <c r="E57" s="18" t="n"/>
      <c r="F57" s="21" t="n"/>
      <c r="G57" s="21" t="n"/>
      <c r="H57" s="21" t="n"/>
      <c r="I57" s="22">
        <f>IF(OR(G57="",H57=""),"",H57-G57)</f>
        <v/>
      </c>
      <c r="J57" s="5" t="n"/>
    </row>
    <row r="58">
      <c r="A58" s="5" t="n"/>
      <c r="B58" s="5" t="n"/>
      <c r="C58" s="5" t="n"/>
      <c r="D58" s="5" t="n"/>
      <c r="E58" s="18" t="n"/>
      <c r="F58" s="21" t="n"/>
      <c r="G58" s="21" t="n"/>
      <c r="H58" s="21" t="n"/>
      <c r="I58" s="22">
        <f>IF(OR(G58="",H58=""),"",H58-G58)</f>
        <v/>
      </c>
      <c r="J58" s="5" t="n"/>
    </row>
    <row r="59">
      <c r="A59" s="5" t="n"/>
      <c r="B59" s="5" t="n"/>
      <c r="C59" s="5" t="n"/>
      <c r="D59" s="5" t="n"/>
      <c r="E59" s="18" t="n"/>
      <c r="F59" s="21" t="n"/>
      <c r="G59" s="21" t="n"/>
      <c r="H59" s="21" t="n"/>
      <c r="I59" s="22">
        <f>IF(OR(G59="",H59=""),"",H59-G59)</f>
        <v/>
      </c>
      <c r="J59" s="5" t="n"/>
    </row>
    <row r="60">
      <c r="A60" s="5" t="n"/>
      <c r="B60" s="5" t="n"/>
      <c r="C60" s="5" t="n"/>
      <c r="D60" s="5" t="n"/>
      <c r="E60" s="18" t="n"/>
      <c r="F60" s="21" t="n"/>
      <c r="G60" s="21" t="n"/>
      <c r="H60" s="21" t="n"/>
      <c r="I60" s="22">
        <f>IF(OR(G60="",H60=""),"",H60-G60)</f>
        <v/>
      </c>
      <c r="J60" s="5" t="n"/>
    </row>
    <row r="61">
      <c r="A61" s="5" t="n"/>
      <c r="B61" s="5" t="n"/>
      <c r="C61" s="5" t="n"/>
      <c r="D61" s="5" t="n"/>
      <c r="E61" s="18" t="n"/>
      <c r="F61" s="21" t="n"/>
      <c r="G61" s="21" t="n"/>
      <c r="H61" s="21" t="n"/>
      <c r="I61" s="22">
        <f>IF(OR(G61="",H61=""),"",H61-G61)</f>
        <v/>
      </c>
      <c r="J61" s="5" t="n"/>
    </row>
    <row r="62">
      <c r="A62" s="5" t="n"/>
      <c r="B62" s="5" t="n"/>
      <c r="C62" s="5" t="n"/>
      <c r="D62" s="5" t="n"/>
      <c r="E62" s="18" t="n"/>
      <c r="F62" s="21" t="n"/>
      <c r="G62" s="21" t="n"/>
      <c r="H62" s="21" t="n"/>
      <c r="I62" s="22">
        <f>IF(OR(G62="",H62=""),"",H62-G62)</f>
        <v/>
      </c>
      <c r="J62" s="5" t="n"/>
    </row>
    <row r="63">
      <c r="A63" s="5" t="n"/>
      <c r="B63" s="5" t="n"/>
      <c r="C63" s="5" t="n"/>
      <c r="D63" s="5" t="n"/>
      <c r="E63" s="18" t="n"/>
      <c r="F63" s="21" t="n"/>
      <c r="G63" s="21" t="n"/>
      <c r="H63" s="21" t="n"/>
      <c r="I63" s="22">
        <f>IF(OR(G63="",H63=""),"",H63-G63)</f>
        <v/>
      </c>
      <c r="J63" s="5" t="n"/>
    </row>
    <row r="64">
      <c r="A64" s="5" t="n"/>
      <c r="B64" s="5" t="n"/>
      <c r="C64" s="5" t="n"/>
      <c r="D64" s="5" t="n"/>
      <c r="E64" s="18" t="n"/>
      <c r="F64" s="21" t="n"/>
      <c r="G64" s="21" t="n"/>
      <c r="H64" s="21" t="n"/>
      <c r="I64" s="22">
        <f>IF(OR(G64="",H64=""),"",H64-G64)</f>
        <v/>
      </c>
      <c r="J64" s="5" t="n"/>
    </row>
    <row r="65">
      <c r="A65" s="5" t="n"/>
      <c r="B65" s="5" t="n"/>
      <c r="C65" s="5" t="n"/>
      <c r="D65" s="5" t="n"/>
      <c r="E65" s="18" t="n"/>
      <c r="F65" s="21" t="n"/>
      <c r="G65" s="21" t="n"/>
      <c r="H65" s="21" t="n"/>
      <c r="I65" s="22">
        <f>IF(OR(G65="",H65=""),"",H65-G65)</f>
        <v/>
      </c>
      <c r="J65" s="5" t="n"/>
    </row>
    <row r="66">
      <c r="A66" s="5" t="n"/>
      <c r="B66" s="5" t="n"/>
      <c r="C66" s="5" t="n"/>
      <c r="D66" s="5" t="n"/>
      <c r="E66" s="18" t="n"/>
      <c r="F66" s="21" t="n"/>
      <c r="G66" s="21" t="n"/>
      <c r="H66" s="21" t="n"/>
      <c r="I66" s="22">
        <f>IF(OR(G66="",H66=""),"",H66-G66)</f>
        <v/>
      </c>
      <c r="J66" s="5" t="n"/>
    </row>
    <row r="67">
      <c r="A67" s="5" t="n"/>
      <c r="B67" s="5" t="n"/>
      <c r="C67" s="5" t="n"/>
      <c r="D67" s="5" t="n"/>
      <c r="E67" s="18" t="n"/>
      <c r="F67" s="21" t="n"/>
      <c r="G67" s="21" t="n"/>
      <c r="H67" s="21" t="n"/>
      <c r="I67" s="22">
        <f>IF(OR(G67="",H67=""),"",H67-G67)</f>
        <v/>
      </c>
      <c r="J67" s="5" t="n"/>
    </row>
    <row r="68">
      <c r="A68" s="5" t="n"/>
      <c r="B68" s="5" t="n"/>
      <c r="C68" s="5" t="n"/>
      <c r="D68" s="5" t="n"/>
      <c r="E68" s="18" t="n"/>
      <c r="F68" s="21" t="n"/>
      <c r="G68" s="21" t="n"/>
      <c r="H68" s="21" t="n"/>
      <c r="I68" s="22">
        <f>IF(OR(G68="",H68=""),"",H68-G68)</f>
        <v/>
      </c>
      <c r="J68" s="5" t="n"/>
    </row>
    <row r="69">
      <c r="A69" s="5" t="n"/>
      <c r="B69" s="5" t="n"/>
      <c r="C69" s="5" t="n"/>
      <c r="D69" s="5" t="n"/>
      <c r="E69" s="18" t="n"/>
      <c r="F69" s="21" t="n"/>
      <c r="G69" s="21" t="n"/>
      <c r="H69" s="21" t="n"/>
      <c r="I69" s="22">
        <f>IF(OR(G69="",H69=""),"",H69-G69)</f>
        <v/>
      </c>
      <c r="J69" s="5" t="n"/>
    </row>
    <row r="70">
      <c r="A70" s="5" t="n"/>
      <c r="B70" s="5" t="n"/>
      <c r="C70" s="5" t="n"/>
      <c r="D70" s="5" t="n"/>
      <c r="E70" s="18" t="n"/>
      <c r="F70" s="21" t="n"/>
      <c r="G70" s="21" t="n"/>
      <c r="H70" s="21" t="n"/>
      <c r="I70" s="22">
        <f>IF(OR(G70="",H70=""),"",H70-G70)</f>
        <v/>
      </c>
      <c r="J70" s="5" t="n"/>
    </row>
    <row r="71">
      <c r="A71" s="5" t="n"/>
      <c r="B71" s="5" t="n"/>
      <c r="C71" s="5" t="n"/>
      <c r="D71" s="5" t="n"/>
      <c r="E71" s="18" t="n"/>
      <c r="F71" s="21" t="n"/>
      <c r="G71" s="21" t="n"/>
      <c r="H71" s="21" t="n"/>
      <c r="I71" s="22">
        <f>IF(OR(G71="",H71=""),"",H71-G71)</f>
        <v/>
      </c>
      <c r="J71" s="5" t="n"/>
    </row>
    <row r="72">
      <c r="A72" s="5" t="n"/>
      <c r="B72" s="5" t="n"/>
      <c r="C72" s="5" t="n"/>
      <c r="D72" s="5" t="n"/>
      <c r="E72" s="18" t="n"/>
      <c r="F72" s="21" t="n"/>
      <c r="G72" s="21" t="n"/>
      <c r="H72" s="21" t="n"/>
      <c r="I72" s="22">
        <f>IF(OR(G72="",H72=""),"",H72-G72)</f>
        <v/>
      </c>
      <c r="J72" s="5" t="n"/>
    </row>
    <row r="73">
      <c r="A73" s="5" t="n"/>
      <c r="B73" s="5" t="n"/>
      <c r="C73" s="5" t="n"/>
      <c r="D73" s="5" t="n"/>
      <c r="E73" s="18" t="n"/>
      <c r="F73" s="21" t="n"/>
      <c r="G73" s="21" t="n"/>
      <c r="H73" s="21" t="n"/>
      <c r="I73" s="22">
        <f>IF(OR(G73="",H73=""),"",H73-G73)</f>
        <v/>
      </c>
      <c r="J73" s="5" t="n"/>
    </row>
    <row r="74">
      <c r="A74" s="5" t="n"/>
      <c r="B74" s="5" t="n"/>
      <c r="C74" s="5" t="n"/>
      <c r="D74" s="5" t="n"/>
      <c r="E74" s="18" t="n"/>
      <c r="F74" s="21" t="n"/>
      <c r="G74" s="21" t="n"/>
      <c r="H74" s="21" t="n"/>
      <c r="I74" s="22">
        <f>IF(OR(G74="",H74=""),"",H74-G74)</f>
        <v/>
      </c>
      <c r="J74" s="5" t="n"/>
    </row>
    <row r="75">
      <c r="A75" s="5" t="n"/>
      <c r="B75" s="5" t="n"/>
      <c r="C75" s="5" t="n"/>
      <c r="D75" s="5" t="n"/>
      <c r="E75" s="18" t="n"/>
      <c r="F75" s="21" t="n"/>
      <c r="G75" s="21" t="n"/>
      <c r="H75" s="21" t="n"/>
      <c r="I75" s="22">
        <f>IF(OR(G75="",H75=""),"",H75-G75)</f>
        <v/>
      </c>
      <c r="J75" s="5" t="n"/>
    </row>
    <row r="76">
      <c r="A76" s="5" t="n"/>
      <c r="B76" s="5" t="n"/>
      <c r="C76" s="5" t="n"/>
      <c r="D76" s="5" t="n"/>
      <c r="E76" s="18" t="n"/>
      <c r="F76" s="21" t="n"/>
      <c r="G76" s="21" t="n"/>
      <c r="H76" s="21" t="n"/>
      <c r="I76" s="22">
        <f>IF(OR(G76="",H76=""),"",H76-G76)</f>
        <v/>
      </c>
      <c r="J76" s="5" t="n"/>
    </row>
    <row r="77">
      <c r="A77" s="5" t="n"/>
      <c r="B77" s="5" t="n"/>
      <c r="C77" s="5" t="n"/>
      <c r="D77" s="5" t="n"/>
      <c r="E77" s="18" t="n"/>
      <c r="F77" s="21" t="n"/>
      <c r="G77" s="21" t="n"/>
      <c r="H77" s="21" t="n"/>
      <c r="I77" s="22">
        <f>IF(OR(G77="",H77=""),"",H77-G77)</f>
        <v/>
      </c>
      <c r="J77" s="5" t="n"/>
    </row>
    <row r="78">
      <c r="A78" s="5" t="n"/>
      <c r="B78" s="5" t="n"/>
      <c r="C78" s="5" t="n"/>
      <c r="D78" s="5" t="n"/>
      <c r="E78" s="18" t="n"/>
      <c r="F78" s="21" t="n"/>
      <c r="G78" s="21" t="n"/>
      <c r="H78" s="21" t="n"/>
      <c r="I78" s="22">
        <f>IF(OR(G78="",H78=""),"",H78-G78)</f>
        <v/>
      </c>
      <c r="J78" s="5" t="n"/>
    </row>
    <row r="79">
      <c r="A79" s="5" t="n"/>
      <c r="B79" s="5" t="n"/>
      <c r="C79" s="5" t="n"/>
      <c r="D79" s="5" t="n"/>
      <c r="E79" s="18" t="n"/>
      <c r="F79" s="21" t="n"/>
      <c r="G79" s="21" t="n"/>
      <c r="H79" s="21" t="n"/>
      <c r="I79" s="22">
        <f>IF(OR(G79="",H79=""),"",H79-G79)</f>
        <v/>
      </c>
      <c r="J79" s="5" t="n"/>
    </row>
    <row r="80">
      <c r="A80" s="5" t="n"/>
      <c r="B80" s="5" t="n"/>
      <c r="C80" s="5" t="n"/>
      <c r="D80" s="5" t="n"/>
      <c r="E80" s="18" t="n"/>
      <c r="F80" s="21" t="n"/>
      <c r="G80" s="21" t="n"/>
      <c r="H80" s="21" t="n"/>
      <c r="I80" s="22">
        <f>IF(OR(G80="",H80=""),"",H80-G80)</f>
        <v/>
      </c>
      <c r="J80" s="5" t="n"/>
    </row>
    <row r="81">
      <c r="A81" s="5" t="n"/>
      <c r="B81" s="5" t="n"/>
      <c r="C81" s="5" t="n"/>
      <c r="D81" s="5" t="n"/>
      <c r="E81" s="18" t="n"/>
      <c r="F81" s="21" t="n"/>
      <c r="G81" s="21" t="n"/>
      <c r="H81" s="21" t="n"/>
      <c r="I81" s="22">
        <f>IF(OR(G81="",H81=""),"",H81-G81)</f>
        <v/>
      </c>
      <c r="J81" s="5" t="n"/>
    </row>
    <row r="82">
      <c r="A82" s="5" t="n"/>
      <c r="B82" s="5" t="n"/>
      <c r="C82" s="5" t="n"/>
      <c r="D82" s="5" t="n"/>
      <c r="E82" s="18" t="n"/>
      <c r="F82" s="21" t="n"/>
      <c r="G82" s="21" t="n"/>
      <c r="H82" s="21" t="n"/>
      <c r="I82" s="22">
        <f>IF(OR(G82="",H82=""),"",H82-G82)</f>
        <v/>
      </c>
      <c r="J82" s="5" t="n"/>
    </row>
    <row r="83">
      <c r="A83" s="5" t="n"/>
      <c r="B83" s="5" t="n"/>
      <c r="C83" s="5" t="n"/>
      <c r="D83" s="5" t="n"/>
      <c r="E83" s="18" t="n"/>
      <c r="F83" s="21" t="n"/>
      <c r="G83" s="21" t="n"/>
      <c r="H83" s="21" t="n"/>
      <c r="I83" s="22">
        <f>IF(OR(G83="",H83=""),"",H83-G83)</f>
        <v/>
      </c>
      <c r="J83" s="5" t="n"/>
    </row>
    <row r="84">
      <c r="A84" s="5" t="n"/>
      <c r="B84" s="5" t="n"/>
      <c r="C84" s="5" t="n"/>
      <c r="D84" s="5" t="n"/>
      <c r="E84" s="18" t="n"/>
      <c r="F84" s="21" t="n"/>
      <c r="G84" s="21" t="n"/>
      <c r="H84" s="21" t="n"/>
      <c r="I84" s="22">
        <f>IF(OR(G84="",H84=""),"",H84-G84)</f>
        <v/>
      </c>
      <c r="J84" s="5" t="n"/>
    </row>
    <row r="85">
      <c r="A85" s="5" t="n"/>
      <c r="B85" s="5" t="n"/>
      <c r="C85" s="5" t="n"/>
      <c r="D85" s="5" t="n"/>
      <c r="E85" s="18" t="n"/>
      <c r="F85" s="21" t="n"/>
      <c r="G85" s="21" t="n"/>
      <c r="H85" s="21" t="n"/>
      <c r="I85" s="22">
        <f>IF(OR(G85="",H85=""),"",H85-G85)</f>
        <v/>
      </c>
      <c r="J85" s="5" t="n"/>
    </row>
    <row r="86">
      <c r="A86" s="5" t="n"/>
      <c r="B86" s="5" t="n"/>
      <c r="C86" s="5" t="n"/>
      <c r="D86" s="5" t="n"/>
      <c r="E86" s="18" t="n"/>
      <c r="F86" s="21" t="n"/>
      <c r="G86" s="21" t="n"/>
      <c r="H86" s="21" t="n"/>
      <c r="I86" s="22">
        <f>IF(OR(G86="",H86=""),"",H86-G86)</f>
        <v/>
      </c>
      <c r="J86" s="5" t="n"/>
    </row>
    <row r="87">
      <c r="A87" s="5" t="n"/>
      <c r="B87" s="5" t="n"/>
      <c r="C87" s="5" t="n"/>
      <c r="D87" s="5" t="n"/>
      <c r="E87" s="18" t="n"/>
      <c r="F87" s="21" t="n"/>
      <c r="G87" s="21" t="n"/>
      <c r="H87" s="21" t="n"/>
      <c r="I87" s="22">
        <f>IF(OR(G87="",H87=""),"",H87-G87)</f>
        <v/>
      </c>
      <c r="J87" s="5" t="n"/>
    </row>
    <row r="88">
      <c r="A88" s="5" t="n"/>
      <c r="B88" s="5" t="n"/>
      <c r="C88" s="5" t="n"/>
      <c r="D88" s="5" t="n"/>
      <c r="E88" s="18" t="n"/>
      <c r="F88" s="21" t="n"/>
      <c r="G88" s="21" t="n"/>
      <c r="H88" s="21" t="n"/>
      <c r="I88" s="22">
        <f>IF(OR(G88="",H88=""),"",H88-G88)</f>
        <v/>
      </c>
      <c r="J88" s="5" t="n"/>
    </row>
    <row r="89">
      <c r="A89" s="5" t="n"/>
      <c r="B89" s="5" t="n"/>
      <c r="C89" s="5" t="n"/>
      <c r="D89" s="5" t="n"/>
      <c r="E89" s="18" t="n"/>
      <c r="F89" s="21" t="n"/>
      <c r="G89" s="21" t="n"/>
      <c r="H89" s="21" t="n"/>
      <c r="I89" s="22">
        <f>IF(OR(G89="",H89=""),"",H89-G89)</f>
        <v/>
      </c>
      <c r="J89" s="5" t="n"/>
    </row>
    <row r="90">
      <c r="A90" s="5" t="n"/>
      <c r="B90" s="5" t="n"/>
      <c r="C90" s="5" t="n"/>
      <c r="D90" s="5" t="n"/>
      <c r="E90" s="18" t="n"/>
      <c r="F90" s="21" t="n"/>
      <c r="G90" s="21" t="n"/>
      <c r="H90" s="21" t="n"/>
      <c r="I90" s="22">
        <f>IF(OR(G90="",H90=""),"",H90-G90)</f>
        <v/>
      </c>
      <c r="J90" s="5" t="n"/>
    </row>
    <row r="91">
      <c r="A91" s="5" t="n"/>
      <c r="B91" s="5" t="n"/>
      <c r="C91" s="5" t="n"/>
      <c r="D91" s="5" t="n"/>
      <c r="E91" s="18" t="n"/>
      <c r="F91" s="21" t="n"/>
      <c r="G91" s="21" t="n"/>
      <c r="H91" s="21" t="n"/>
      <c r="I91" s="22">
        <f>IF(OR(G91="",H91=""),"",H91-G91)</f>
        <v/>
      </c>
      <c r="J91" s="5" t="n"/>
    </row>
    <row r="92">
      <c r="A92" s="5" t="n"/>
      <c r="B92" s="5" t="n"/>
      <c r="C92" s="5" t="n"/>
      <c r="D92" s="5" t="n"/>
      <c r="E92" s="18" t="n"/>
      <c r="F92" s="21" t="n"/>
      <c r="G92" s="21" t="n"/>
      <c r="H92" s="21" t="n"/>
      <c r="I92" s="22">
        <f>IF(OR(G92="",H92=""),"",H92-G92)</f>
        <v/>
      </c>
      <c r="J92" s="5" t="n"/>
    </row>
    <row r="93">
      <c r="A93" s="5" t="n"/>
      <c r="B93" s="5" t="n"/>
      <c r="C93" s="5" t="n"/>
      <c r="D93" s="5" t="n"/>
      <c r="E93" s="18" t="n"/>
      <c r="F93" s="21" t="n"/>
      <c r="G93" s="21" t="n"/>
      <c r="H93" s="21" t="n"/>
      <c r="I93" s="22">
        <f>IF(OR(G93="",H93=""),"",H93-G93)</f>
        <v/>
      </c>
      <c r="J93" s="5" t="n"/>
    </row>
    <row r="94">
      <c r="A94" s="5" t="n"/>
      <c r="B94" s="5" t="n"/>
      <c r="C94" s="5" t="n"/>
      <c r="D94" s="5" t="n"/>
      <c r="E94" s="18" t="n"/>
      <c r="F94" s="21" t="n"/>
      <c r="G94" s="21" t="n"/>
      <c r="H94" s="21" t="n"/>
      <c r="I94" s="22">
        <f>IF(OR(G94="",H94=""),"",H94-G94)</f>
        <v/>
      </c>
      <c r="J94" s="5" t="n"/>
    </row>
    <row r="95">
      <c r="A95" s="5" t="n"/>
      <c r="B95" s="5" t="n"/>
      <c r="C95" s="5" t="n"/>
      <c r="D95" s="5" t="n"/>
      <c r="E95" s="18" t="n"/>
      <c r="F95" s="21" t="n"/>
      <c r="G95" s="21" t="n"/>
      <c r="H95" s="21" t="n"/>
      <c r="I95" s="22">
        <f>IF(OR(G95="",H95=""),"",H95-G95)</f>
        <v/>
      </c>
      <c r="J95" s="5" t="n"/>
    </row>
    <row r="96">
      <c r="A96" s="5" t="n"/>
      <c r="B96" s="5" t="n"/>
      <c r="C96" s="5" t="n"/>
      <c r="D96" s="5" t="n"/>
      <c r="E96" s="18" t="n"/>
      <c r="F96" s="21" t="n"/>
      <c r="G96" s="21" t="n"/>
      <c r="H96" s="21" t="n"/>
      <c r="I96" s="22">
        <f>IF(OR(G96="",H96=""),"",H96-G96)</f>
        <v/>
      </c>
      <c r="J96" s="5" t="n"/>
    </row>
    <row r="97">
      <c r="A97" s="5" t="n"/>
      <c r="B97" s="5" t="n"/>
      <c r="C97" s="5" t="n"/>
      <c r="D97" s="5" t="n"/>
      <c r="E97" s="18" t="n"/>
      <c r="F97" s="21" t="n"/>
      <c r="G97" s="21" t="n"/>
      <c r="H97" s="21" t="n"/>
      <c r="I97" s="22">
        <f>IF(OR(G97="",H97=""),"",H97-G97)</f>
        <v/>
      </c>
      <c r="J97" s="5" t="n"/>
    </row>
    <row r="98">
      <c r="A98" s="5" t="n"/>
      <c r="B98" s="5" t="n"/>
      <c r="C98" s="5" t="n"/>
      <c r="D98" s="5" t="n"/>
      <c r="E98" s="18" t="n"/>
      <c r="F98" s="21" t="n"/>
      <c r="G98" s="21" t="n"/>
      <c r="H98" s="21" t="n"/>
      <c r="I98" s="22">
        <f>IF(OR(G98="",H98=""),"",H98-G98)</f>
        <v/>
      </c>
      <c r="J98" s="5" t="n"/>
    </row>
    <row r="99">
      <c r="A99" s="5" t="n"/>
      <c r="B99" s="5" t="n"/>
      <c r="C99" s="5" t="n"/>
      <c r="D99" s="5" t="n"/>
      <c r="E99" s="18" t="n"/>
      <c r="F99" s="21" t="n"/>
      <c r="G99" s="21" t="n"/>
      <c r="H99" s="21" t="n"/>
      <c r="I99" s="22">
        <f>IF(OR(G99="",H99=""),"",H99-G99)</f>
        <v/>
      </c>
      <c r="J99" s="5" t="n"/>
    </row>
    <row r="100">
      <c r="A100" s="5" t="n"/>
      <c r="B100" s="5" t="n"/>
      <c r="C100" s="5" t="n"/>
      <c r="D100" s="5" t="n"/>
      <c r="E100" s="18" t="n"/>
      <c r="F100" s="21" t="n"/>
      <c r="G100" s="21" t="n"/>
      <c r="H100" s="21" t="n"/>
      <c r="I100" s="22">
        <f>IF(OR(G100="",H100=""),"",H100-G100)</f>
        <v/>
      </c>
      <c r="J100" s="5" t="n"/>
    </row>
    <row r="101">
      <c r="A101" s="5" t="n"/>
      <c r="B101" s="5" t="n"/>
      <c r="C101" s="5" t="n"/>
      <c r="D101" s="5" t="n"/>
      <c r="E101" s="18" t="n"/>
      <c r="F101" s="21" t="n"/>
      <c r="G101" s="21" t="n"/>
      <c r="H101" s="21" t="n"/>
      <c r="I101" s="22">
        <f>IF(OR(G101="",H101=""),"",H101-G101)</f>
        <v/>
      </c>
      <c r="J101" s="5" t="n"/>
    </row>
    <row r="102">
      <c r="A102" s="5" t="n"/>
      <c r="B102" s="5" t="n"/>
      <c r="C102" s="5" t="n"/>
      <c r="D102" s="5" t="n"/>
      <c r="E102" s="18" t="n"/>
      <c r="F102" s="21" t="n"/>
      <c r="G102" s="21" t="n"/>
      <c r="H102" s="21" t="n"/>
      <c r="I102" s="22">
        <f>IF(OR(G102="",H102=""),"",H102-G102)</f>
        <v/>
      </c>
      <c r="J102" s="5" t="n"/>
    </row>
    <row r="103">
      <c r="A103" s="5" t="n"/>
      <c r="B103" s="5" t="n"/>
      <c r="C103" s="5" t="n"/>
      <c r="D103" s="5" t="n"/>
      <c r="E103" s="18" t="n"/>
      <c r="F103" s="21" t="n"/>
      <c r="G103" s="21" t="n"/>
      <c r="H103" s="21" t="n"/>
      <c r="I103" s="22">
        <f>IF(OR(G103="",H103=""),"",H103-G103)</f>
        <v/>
      </c>
      <c r="J103" s="5" t="n"/>
    </row>
    <row r="104">
      <c r="A104" s="5" t="n"/>
      <c r="B104" s="5" t="n"/>
      <c r="C104" s="5" t="n"/>
      <c r="D104" s="5" t="n"/>
      <c r="E104" s="18" t="n"/>
      <c r="F104" s="21" t="n"/>
      <c r="G104" s="21" t="n"/>
      <c r="H104" s="21" t="n"/>
      <c r="I104" s="22">
        <f>IF(OR(G104="",H104=""),"",H104-G104)</f>
        <v/>
      </c>
      <c r="J104" s="5" t="n"/>
    </row>
    <row r="105">
      <c r="A105" s="5" t="n"/>
      <c r="B105" s="5" t="n"/>
      <c r="C105" s="5" t="n"/>
      <c r="D105" s="5" t="n"/>
      <c r="E105" s="18" t="n"/>
      <c r="F105" s="21" t="n"/>
      <c r="G105" s="21" t="n"/>
      <c r="H105" s="21" t="n"/>
      <c r="I105" s="22">
        <f>IF(OR(G105="",H105=""),"",H105-G105)</f>
        <v/>
      </c>
      <c r="J105" s="5" t="n"/>
    </row>
    <row r="106">
      <c r="A106" s="5" t="n"/>
      <c r="B106" s="5" t="n"/>
      <c r="C106" s="5" t="n"/>
      <c r="D106" s="5" t="n"/>
      <c r="E106" s="18" t="n"/>
      <c r="F106" s="21" t="n"/>
      <c r="G106" s="21" t="n"/>
      <c r="H106" s="21" t="n"/>
      <c r="I106" s="22">
        <f>IF(OR(G106="",H106=""),"",H106-G106)</f>
        <v/>
      </c>
      <c r="J106" s="5" t="n"/>
    </row>
    <row r="107">
      <c r="A107" s="5" t="n"/>
      <c r="B107" s="5" t="n"/>
      <c r="C107" s="5" t="n"/>
      <c r="D107" s="5" t="n"/>
      <c r="E107" s="18" t="n"/>
      <c r="F107" s="21" t="n"/>
      <c r="G107" s="21" t="n"/>
      <c r="H107" s="21" t="n"/>
      <c r="I107" s="22">
        <f>IF(OR(G107="",H107=""),"",H107-G107)</f>
        <v/>
      </c>
      <c r="J107" s="5" t="n"/>
    </row>
    <row r="108">
      <c r="A108" s="5" t="n"/>
      <c r="B108" s="5" t="n"/>
      <c r="C108" s="5" t="n"/>
      <c r="D108" s="5" t="n"/>
      <c r="E108" s="18" t="n"/>
      <c r="F108" s="21" t="n"/>
      <c r="G108" s="21" t="n"/>
      <c r="H108" s="21" t="n"/>
      <c r="I108" s="22">
        <f>IF(OR(G108="",H108=""),"",H108-G108)</f>
        <v/>
      </c>
      <c r="J108" s="5" t="n"/>
    </row>
    <row r="109">
      <c r="A109" s="5" t="n"/>
      <c r="B109" s="5" t="n"/>
      <c r="C109" s="5" t="n"/>
      <c r="D109" s="5" t="n"/>
      <c r="E109" s="18" t="n"/>
      <c r="F109" s="21" t="n"/>
      <c r="G109" s="21" t="n"/>
      <c r="H109" s="21" t="n"/>
      <c r="I109" s="22">
        <f>IF(OR(G109="",H109=""),"",H109-G109)</f>
        <v/>
      </c>
      <c r="J109" s="5" t="n"/>
    </row>
    <row r="110">
      <c r="A110" s="5" t="n"/>
      <c r="B110" s="5" t="n"/>
      <c r="C110" s="5" t="n"/>
      <c r="D110" s="5" t="n"/>
      <c r="E110" s="18" t="n"/>
      <c r="F110" s="21" t="n"/>
      <c r="G110" s="21" t="n"/>
      <c r="H110" s="21" t="n"/>
      <c r="I110" s="22">
        <f>IF(OR(G110="",H110=""),"",H110-G110)</f>
        <v/>
      </c>
      <c r="J110" s="5" t="n"/>
    </row>
    <row r="111">
      <c r="A111" s="5" t="n"/>
      <c r="B111" s="5" t="n"/>
      <c r="C111" s="5" t="n"/>
      <c r="D111" s="5" t="n"/>
      <c r="E111" s="18" t="n"/>
      <c r="F111" s="21" t="n"/>
      <c r="G111" s="21" t="n"/>
      <c r="H111" s="21" t="n"/>
      <c r="I111" s="22">
        <f>IF(OR(G111="",H111=""),"",H111-G111)</f>
        <v/>
      </c>
      <c r="J111" s="5" t="n"/>
    </row>
    <row r="112">
      <c r="A112" s="5" t="n"/>
      <c r="B112" s="5" t="n"/>
      <c r="C112" s="5" t="n"/>
      <c r="D112" s="5" t="n"/>
      <c r="E112" s="18" t="n"/>
      <c r="F112" s="21" t="n"/>
      <c r="G112" s="21" t="n"/>
      <c r="H112" s="21" t="n"/>
      <c r="I112" s="22">
        <f>IF(OR(G112="",H112=""),"",H112-G112)</f>
        <v/>
      </c>
      <c r="J112" s="5" t="n"/>
    </row>
    <row r="113">
      <c r="A113" s="5" t="n"/>
      <c r="B113" s="5" t="n"/>
      <c r="C113" s="5" t="n"/>
      <c r="D113" s="5" t="n"/>
      <c r="E113" s="18" t="n"/>
      <c r="F113" s="21" t="n"/>
      <c r="G113" s="21" t="n"/>
      <c r="H113" s="21" t="n"/>
      <c r="I113" s="22">
        <f>IF(OR(G113="",H113=""),"",H113-G113)</f>
        <v/>
      </c>
      <c r="J113" s="5" t="n"/>
    </row>
    <row r="114">
      <c r="A114" s="5" t="n"/>
      <c r="B114" s="5" t="n"/>
      <c r="C114" s="5" t="n"/>
      <c r="D114" s="5" t="n"/>
      <c r="E114" s="18" t="n"/>
      <c r="F114" s="21" t="n"/>
      <c r="G114" s="21" t="n"/>
      <c r="H114" s="21" t="n"/>
      <c r="I114" s="22">
        <f>IF(OR(G114="",H114=""),"",H114-G114)</f>
        <v/>
      </c>
      <c r="J114" s="5" t="n"/>
    </row>
    <row r="115">
      <c r="A115" s="5" t="n"/>
      <c r="B115" s="5" t="n"/>
      <c r="C115" s="5" t="n"/>
      <c r="D115" s="5" t="n"/>
      <c r="E115" s="18" t="n"/>
      <c r="F115" s="21" t="n"/>
      <c r="G115" s="21" t="n"/>
      <c r="H115" s="21" t="n"/>
      <c r="I115" s="22">
        <f>IF(OR(G115="",H115=""),"",H115-G115)</f>
        <v/>
      </c>
      <c r="J115" s="5" t="n"/>
    </row>
    <row r="116">
      <c r="A116" s="5" t="n"/>
      <c r="B116" s="5" t="n"/>
      <c r="C116" s="5" t="n"/>
      <c r="D116" s="5" t="n"/>
      <c r="E116" s="18" t="n"/>
      <c r="F116" s="21" t="n"/>
      <c r="G116" s="21" t="n"/>
      <c r="H116" s="21" t="n"/>
      <c r="I116" s="22">
        <f>IF(OR(G116="",H116=""),"",H116-G116)</f>
        <v/>
      </c>
      <c r="J116" s="5" t="n"/>
    </row>
    <row r="117">
      <c r="A117" s="5" t="n"/>
      <c r="B117" s="5" t="n"/>
      <c r="C117" s="5" t="n"/>
      <c r="D117" s="5" t="n"/>
      <c r="E117" s="18" t="n"/>
      <c r="F117" s="21" t="n"/>
      <c r="G117" s="21" t="n"/>
      <c r="H117" s="21" t="n"/>
      <c r="I117" s="22">
        <f>IF(OR(G117="",H117=""),"",H117-G117)</f>
        <v/>
      </c>
      <c r="J117" s="5" t="n"/>
    </row>
    <row r="118">
      <c r="A118" s="5" t="n"/>
      <c r="B118" s="5" t="n"/>
      <c r="C118" s="5" t="n"/>
      <c r="D118" s="5" t="n"/>
      <c r="E118" s="18" t="n"/>
      <c r="F118" s="21" t="n"/>
      <c r="G118" s="21" t="n"/>
      <c r="H118" s="21" t="n"/>
      <c r="I118" s="22">
        <f>IF(OR(G118="",H118=""),"",H118-G118)</f>
        <v/>
      </c>
      <c r="J118" s="5" t="n"/>
    </row>
    <row r="119">
      <c r="A119" s="5" t="n"/>
      <c r="B119" s="5" t="n"/>
      <c r="C119" s="5" t="n"/>
      <c r="D119" s="5" t="n"/>
      <c r="E119" s="18" t="n"/>
      <c r="F119" s="21" t="n"/>
      <c r="G119" s="21" t="n"/>
      <c r="H119" s="21" t="n"/>
      <c r="I119" s="22">
        <f>IF(OR(G119="",H119=""),"",H119-G119)</f>
        <v/>
      </c>
      <c r="J119" s="5" t="n"/>
    </row>
    <row r="120">
      <c r="A120" s="5" t="n"/>
      <c r="B120" s="5" t="n"/>
      <c r="C120" s="5" t="n"/>
      <c r="D120" s="5" t="n"/>
      <c r="E120" s="18" t="n"/>
      <c r="F120" s="21" t="n"/>
      <c r="G120" s="21" t="n"/>
      <c r="H120" s="21" t="n"/>
      <c r="I120" s="22">
        <f>IF(OR(G120="",H120=""),"",H120-G120)</f>
        <v/>
      </c>
      <c r="J120" s="5" t="n"/>
    </row>
    <row r="121">
      <c r="A121" s="5" t="n"/>
      <c r="B121" s="5" t="n"/>
      <c r="C121" s="5" t="n"/>
      <c r="D121" s="5" t="n"/>
      <c r="E121" s="18" t="n"/>
      <c r="F121" s="21" t="n"/>
      <c r="G121" s="21" t="n"/>
      <c r="H121" s="21" t="n"/>
      <c r="I121" s="22">
        <f>IF(OR(G121="",H121=""),"",H121-G121)</f>
        <v/>
      </c>
      <c r="J121" s="5" t="n"/>
    </row>
    <row r="122">
      <c r="A122" s="5" t="n"/>
      <c r="B122" s="5" t="n"/>
      <c r="C122" s="5" t="n"/>
      <c r="D122" s="5" t="n"/>
      <c r="E122" s="18" t="n"/>
      <c r="F122" s="21" t="n"/>
      <c r="G122" s="21" t="n"/>
      <c r="H122" s="21" t="n"/>
      <c r="I122" s="22">
        <f>IF(OR(G122="",H122=""),"",H122-G122)</f>
        <v/>
      </c>
      <c r="J122" s="5" t="n"/>
    </row>
    <row r="123">
      <c r="A123" s="5" t="n"/>
      <c r="B123" s="5" t="n"/>
      <c r="C123" s="5" t="n"/>
      <c r="D123" s="5" t="n"/>
      <c r="E123" s="18" t="n"/>
      <c r="F123" s="21" t="n"/>
      <c r="G123" s="21" t="n"/>
      <c r="H123" s="21" t="n"/>
      <c r="I123" s="22">
        <f>IF(OR(G123="",H123=""),"",H123-G123)</f>
        <v/>
      </c>
      <c r="J123" s="5" t="n"/>
    </row>
    <row r="124">
      <c r="A124" s="5" t="n"/>
      <c r="B124" s="5" t="n"/>
      <c r="C124" s="5" t="n"/>
      <c r="D124" s="5" t="n"/>
      <c r="E124" s="18" t="n"/>
      <c r="F124" s="21" t="n"/>
      <c r="G124" s="21" t="n"/>
      <c r="H124" s="21" t="n"/>
      <c r="I124" s="22">
        <f>IF(OR(G124="",H124=""),"",H124-G124)</f>
        <v/>
      </c>
      <c r="J124" s="5" t="n"/>
    </row>
    <row r="125">
      <c r="A125" s="5" t="n"/>
      <c r="B125" s="5" t="n"/>
      <c r="C125" s="5" t="n"/>
      <c r="D125" s="5" t="n"/>
      <c r="E125" s="18" t="n"/>
      <c r="F125" s="21" t="n"/>
      <c r="G125" s="21" t="n"/>
      <c r="H125" s="21" t="n"/>
      <c r="I125" s="22">
        <f>IF(OR(G125="",H125=""),"",H125-G125)</f>
        <v/>
      </c>
      <c r="J125" s="5" t="n"/>
    </row>
    <row r="126">
      <c r="A126" s="5" t="n"/>
      <c r="B126" s="5" t="n"/>
      <c r="C126" s="5" t="n"/>
      <c r="D126" s="5" t="n"/>
      <c r="E126" s="18" t="n"/>
      <c r="F126" s="21" t="n"/>
      <c r="G126" s="21" t="n"/>
      <c r="H126" s="21" t="n"/>
      <c r="I126" s="22">
        <f>IF(OR(G126="",H126=""),"",H126-G126)</f>
        <v/>
      </c>
      <c r="J126" s="5" t="n"/>
    </row>
    <row r="127">
      <c r="A127" s="5" t="n"/>
      <c r="B127" s="5" t="n"/>
      <c r="C127" s="5" t="n"/>
      <c r="D127" s="5" t="n"/>
      <c r="E127" s="18" t="n"/>
      <c r="F127" s="21" t="n"/>
      <c r="G127" s="21" t="n"/>
      <c r="H127" s="21" t="n"/>
      <c r="I127" s="22">
        <f>IF(OR(G127="",H127=""),"",H127-G127)</f>
        <v/>
      </c>
      <c r="J127" s="5" t="n"/>
    </row>
    <row r="128">
      <c r="A128" s="5" t="n"/>
      <c r="B128" s="5" t="n"/>
      <c r="C128" s="5" t="n"/>
      <c r="D128" s="5" t="n"/>
      <c r="E128" s="18" t="n"/>
      <c r="F128" s="21" t="n"/>
      <c r="G128" s="21" t="n"/>
      <c r="H128" s="21" t="n"/>
      <c r="I128" s="22">
        <f>IF(OR(G128="",H128=""),"",H128-G128)</f>
        <v/>
      </c>
      <c r="J128" s="5" t="n"/>
    </row>
    <row r="129">
      <c r="A129" s="5" t="n"/>
      <c r="B129" s="5" t="n"/>
      <c r="C129" s="5" t="n"/>
      <c r="D129" s="5" t="n"/>
      <c r="E129" s="18" t="n"/>
      <c r="F129" s="21" t="n"/>
      <c r="G129" s="21" t="n"/>
      <c r="H129" s="21" t="n"/>
      <c r="I129" s="22">
        <f>IF(OR(G129="",H129=""),"",H129-G129)</f>
        <v/>
      </c>
      <c r="J129" s="5" t="n"/>
    </row>
    <row r="130">
      <c r="A130" s="5" t="n"/>
      <c r="B130" s="5" t="n"/>
      <c r="C130" s="5" t="n"/>
      <c r="D130" s="5" t="n"/>
      <c r="E130" s="18" t="n"/>
      <c r="F130" s="21" t="n"/>
      <c r="G130" s="21" t="n"/>
      <c r="H130" s="21" t="n"/>
      <c r="I130" s="22">
        <f>IF(OR(G130="",H130=""),"",H130-G130)</f>
        <v/>
      </c>
      <c r="J130" s="5" t="n"/>
    </row>
    <row r="131">
      <c r="A131" s="5" t="n"/>
      <c r="B131" s="5" t="n"/>
      <c r="C131" s="5" t="n"/>
      <c r="D131" s="5" t="n"/>
      <c r="E131" s="18" t="n"/>
      <c r="F131" s="21" t="n"/>
      <c r="G131" s="21" t="n"/>
      <c r="H131" s="21" t="n"/>
      <c r="I131" s="22">
        <f>IF(OR(G131="",H131=""),"",H131-G131)</f>
        <v/>
      </c>
      <c r="J131" s="5" t="n"/>
    </row>
    <row r="132">
      <c r="A132" s="5" t="n"/>
      <c r="B132" s="5" t="n"/>
      <c r="C132" s="5" t="n"/>
      <c r="D132" s="5" t="n"/>
      <c r="E132" s="18" t="n"/>
      <c r="F132" s="21" t="n"/>
      <c r="G132" s="21" t="n"/>
      <c r="H132" s="21" t="n"/>
      <c r="I132" s="22">
        <f>IF(OR(G132="",H132=""),"",H132-G132)</f>
        <v/>
      </c>
      <c r="J132" s="5" t="n"/>
    </row>
    <row r="133">
      <c r="A133" s="5" t="n"/>
      <c r="B133" s="5" t="n"/>
      <c r="C133" s="5" t="n"/>
      <c r="D133" s="5" t="n"/>
      <c r="E133" s="18" t="n"/>
      <c r="F133" s="21" t="n"/>
      <c r="G133" s="21" t="n"/>
      <c r="H133" s="21" t="n"/>
      <c r="I133" s="22">
        <f>IF(OR(G133="",H133=""),"",H133-G133)</f>
        <v/>
      </c>
      <c r="J133" s="5" t="n"/>
    </row>
    <row r="134">
      <c r="A134" s="5" t="n"/>
      <c r="B134" s="5" t="n"/>
      <c r="C134" s="5" t="n"/>
      <c r="D134" s="5" t="n"/>
      <c r="E134" s="18" t="n"/>
      <c r="F134" s="21" t="n"/>
      <c r="G134" s="21" t="n"/>
      <c r="H134" s="21" t="n"/>
      <c r="I134" s="22">
        <f>IF(OR(G134="",H134=""),"",H134-G134)</f>
        <v/>
      </c>
      <c r="J134" s="5" t="n"/>
    </row>
    <row r="135">
      <c r="A135" s="5" t="n"/>
      <c r="B135" s="5" t="n"/>
      <c r="C135" s="5" t="n"/>
      <c r="D135" s="5" t="n"/>
      <c r="E135" s="18" t="n"/>
      <c r="F135" s="21" t="n"/>
      <c r="G135" s="21" t="n"/>
      <c r="H135" s="21" t="n"/>
      <c r="I135" s="22">
        <f>IF(OR(G135="",H135=""),"",H135-G135)</f>
        <v/>
      </c>
      <c r="J135" s="5" t="n"/>
    </row>
    <row r="136">
      <c r="A136" s="5" t="n"/>
      <c r="B136" s="5" t="n"/>
      <c r="C136" s="5" t="n"/>
      <c r="D136" s="5" t="n"/>
      <c r="E136" s="18" t="n"/>
      <c r="F136" s="21" t="n"/>
      <c r="G136" s="21" t="n"/>
      <c r="H136" s="21" t="n"/>
      <c r="I136" s="22">
        <f>IF(OR(G136="",H136=""),"",H136-G136)</f>
        <v/>
      </c>
      <c r="J136" s="5" t="n"/>
    </row>
    <row r="137">
      <c r="A137" s="5" t="n"/>
      <c r="B137" s="5" t="n"/>
      <c r="C137" s="5" t="n"/>
      <c r="D137" s="5" t="n"/>
      <c r="E137" s="18" t="n"/>
      <c r="F137" s="21" t="n"/>
      <c r="G137" s="21" t="n"/>
      <c r="H137" s="21" t="n"/>
      <c r="I137" s="22">
        <f>IF(OR(G137="",H137=""),"",H137-G137)</f>
        <v/>
      </c>
      <c r="J137" s="5" t="n"/>
    </row>
    <row r="138">
      <c r="A138" s="5" t="n"/>
      <c r="B138" s="5" t="n"/>
      <c r="C138" s="5" t="n"/>
      <c r="D138" s="5" t="n"/>
      <c r="E138" s="18" t="n"/>
      <c r="F138" s="21" t="n"/>
      <c r="G138" s="21" t="n"/>
      <c r="H138" s="21" t="n"/>
      <c r="I138" s="22">
        <f>IF(OR(G138="",H138=""),"",H138-G138)</f>
        <v/>
      </c>
      <c r="J138" s="5" t="n"/>
    </row>
    <row r="139">
      <c r="A139" s="5" t="n"/>
      <c r="B139" s="5" t="n"/>
      <c r="C139" s="5" t="n"/>
      <c r="D139" s="5" t="n"/>
      <c r="E139" s="18" t="n"/>
      <c r="F139" s="21" t="n"/>
      <c r="G139" s="21" t="n"/>
      <c r="H139" s="21" t="n"/>
      <c r="I139" s="22">
        <f>IF(OR(G139="",H139=""),"",H139-G139)</f>
        <v/>
      </c>
      <c r="J139" s="5" t="n"/>
    </row>
    <row r="140">
      <c r="A140" s="5" t="n"/>
      <c r="B140" s="5" t="n"/>
      <c r="C140" s="5" t="n"/>
      <c r="D140" s="5" t="n"/>
      <c r="E140" s="18" t="n"/>
      <c r="F140" s="21" t="n"/>
      <c r="G140" s="21" t="n"/>
      <c r="H140" s="21" t="n"/>
      <c r="I140" s="22">
        <f>IF(OR(G140="",H140=""),"",H140-G140)</f>
        <v/>
      </c>
      <c r="J140" s="5" t="n"/>
    </row>
    <row r="141">
      <c r="A141" s="5" t="n"/>
      <c r="B141" s="5" t="n"/>
      <c r="C141" s="5" t="n"/>
      <c r="D141" s="5" t="n"/>
      <c r="E141" s="18" t="n"/>
      <c r="F141" s="21" t="n"/>
      <c r="G141" s="21" t="n"/>
      <c r="H141" s="21" t="n"/>
      <c r="I141" s="22">
        <f>IF(OR(G141="",H141=""),"",H141-G141)</f>
        <v/>
      </c>
      <c r="J141" s="5" t="n"/>
    </row>
    <row r="142">
      <c r="A142" s="5" t="n"/>
      <c r="B142" s="5" t="n"/>
      <c r="C142" s="5" t="n"/>
      <c r="D142" s="5" t="n"/>
      <c r="E142" s="18" t="n"/>
      <c r="F142" s="21" t="n"/>
      <c r="G142" s="21" t="n"/>
      <c r="H142" s="21" t="n"/>
      <c r="I142" s="22">
        <f>IF(OR(G142="",H142=""),"",H142-G142)</f>
        <v/>
      </c>
      <c r="J142" s="5" t="n"/>
    </row>
    <row r="143">
      <c r="A143" s="5" t="n"/>
      <c r="B143" s="5" t="n"/>
      <c r="C143" s="5" t="n"/>
      <c r="D143" s="5" t="n"/>
      <c r="E143" s="18" t="n"/>
      <c r="F143" s="21" t="n"/>
      <c r="G143" s="21" t="n"/>
      <c r="H143" s="21" t="n"/>
      <c r="I143" s="22">
        <f>IF(OR(G143="",H143=""),"",H143-G143)</f>
        <v/>
      </c>
      <c r="J143" s="5" t="n"/>
    </row>
    <row r="144">
      <c r="A144" s="5" t="n"/>
      <c r="B144" s="5" t="n"/>
      <c r="C144" s="5" t="n"/>
      <c r="D144" s="5" t="n"/>
      <c r="E144" s="18" t="n"/>
      <c r="F144" s="21" t="n"/>
      <c r="G144" s="21" t="n"/>
      <c r="H144" s="21" t="n"/>
      <c r="I144" s="22">
        <f>IF(OR(G144="",H144=""),"",H144-G144)</f>
        <v/>
      </c>
      <c r="J144" s="5" t="n"/>
    </row>
    <row r="145">
      <c r="A145" s="5" t="n"/>
      <c r="B145" s="5" t="n"/>
      <c r="C145" s="5" t="n"/>
      <c r="D145" s="5" t="n"/>
      <c r="E145" s="18" t="n"/>
      <c r="F145" s="21" t="n"/>
      <c r="G145" s="21" t="n"/>
      <c r="H145" s="21" t="n"/>
      <c r="I145" s="22">
        <f>IF(OR(G145="",H145=""),"",H145-G145)</f>
        <v/>
      </c>
      <c r="J145" s="5" t="n"/>
    </row>
    <row r="146">
      <c r="A146" s="5" t="n"/>
      <c r="B146" s="5" t="n"/>
      <c r="C146" s="5" t="n"/>
      <c r="D146" s="5" t="n"/>
      <c r="E146" s="18" t="n"/>
      <c r="F146" s="21" t="n"/>
      <c r="G146" s="21" t="n"/>
      <c r="H146" s="21" t="n"/>
      <c r="I146" s="22">
        <f>IF(OR(G146="",H146=""),"",H146-G146)</f>
        <v/>
      </c>
      <c r="J146" s="5" t="n"/>
    </row>
    <row r="147">
      <c r="A147" s="5" t="n"/>
      <c r="B147" s="5" t="n"/>
      <c r="C147" s="5" t="n"/>
      <c r="D147" s="5" t="n"/>
      <c r="E147" s="18" t="n"/>
      <c r="F147" s="21" t="n"/>
      <c r="G147" s="21" t="n"/>
      <c r="H147" s="21" t="n"/>
      <c r="I147" s="22">
        <f>IF(OR(G147="",H147=""),"",H147-G147)</f>
        <v/>
      </c>
      <c r="J147" s="5" t="n"/>
    </row>
    <row r="148">
      <c r="A148" s="5" t="n"/>
      <c r="B148" s="5" t="n"/>
      <c r="C148" s="5" t="n"/>
      <c r="D148" s="5" t="n"/>
      <c r="E148" s="18" t="n"/>
      <c r="F148" s="21" t="n"/>
      <c r="G148" s="21" t="n"/>
      <c r="H148" s="21" t="n"/>
      <c r="I148" s="22">
        <f>IF(OR(G148="",H148=""),"",H148-G148)</f>
        <v/>
      </c>
      <c r="J148" s="5" t="n"/>
    </row>
    <row r="149">
      <c r="A149" s="5" t="n"/>
      <c r="B149" s="5" t="n"/>
      <c r="C149" s="5" t="n"/>
      <c r="D149" s="5" t="n"/>
      <c r="E149" s="18" t="n"/>
      <c r="F149" s="21" t="n"/>
      <c r="G149" s="21" t="n"/>
      <c r="H149" s="21" t="n"/>
      <c r="I149" s="22">
        <f>IF(OR(G149="",H149=""),"",H149-G149)</f>
        <v/>
      </c>
      <c r="J149" s="5" t="n"/>
    </row>
    <row r="150">
      <c r="A150" s="5" t="n"/>
      <c r="B150" s="5" t="n"/>
      <c r="C150" s="5" t="n"/>
      <c r="D150" s="5" t="n"/>
      <c r="E150" s="18" t="n"/>
      <c r="F150" s="21" t="n"/>
      <c r="G150" s="21" t="n"/>
      <c r="H150" s="21" t="n"/>
      <c r="I150" s="22">
        <f>IF(OR(G150="",H150=""),"",H150-G150)</f>
        <v/>
      </c>
      <c r="J150" s="5" t="n"/>
    </row>
    <row r="151">
      <c r="A151" s="5" t="n"/>
      <c r="B151" s="5" t="n"/>
      <c r="C151" s="5" t="n"/>
      <c r="D151" s="5" t="n"/>
      <c r="E151" s="18" t="n"/>
      <c r="F151" s="21" t="n"/>
      <c r="G151" s="21" t="n"/>
      <c r="H151" s="21" t="n"/>
      <c r="I151" s="22">
        <f>IF(OR(G151="",H151=""),"",H151-G151)</f>
        <v/>
      </c>
      <c r="J151" s="5" t="n"/>
    </row>
    <row r="152">
      <c r="A152" s="5" t="n"/>
      <c r="B152" s="5" t="n"/>
      <c r="C152" s="5" t="n"/>
      <c r="D152" s="5" t="n"/>
      <c r="E152" s="18" t="n"/>
      <c r="F152" s="21" t="n"/>
      <c r="G152" s="21" t="n"/>
      <c r="H152" s="21" t="n"/>
      <c r="I152" s="22">
        <f>IF(OR(G152="",H152=""),"",H152-G152)</f>
        <v/>
      </c>
      <c r="J152" s="5" t="n"/>
    </row>
    <row r="153">
      <c r="A153" s="5" t="n"/>
      <c r="B153" s="5" t="n"/>
      <c r="C153" s="5" t="n"/>
      <c r="D153" s="5" t="n"/>
      <c r="E153" s="18" t="n"/>
      <c r="F153" s="21" t="n"/>
      <c r="G153" s="21" t="n"/>
      <c r="H153" s="21" t="n"/>
      <c r="I153" s="22">
        <f>IF(OR(G153="",H153=""),"",H153-G153)</f>
        <v/>
      </c>
      <c r="J153" s="5" t="n"/>
    </row>
    <row r="154">
      <c r="A154" s="5" t="n"/>
      <c r="B154" s="5" t="n"/>
      <c r="C154" s="5" t="n"/>
      <c r="D154" s="5" t="n"/>
      <c r="E154" s="18" t="n"/>
      <c r="F154" s="21" t="n"/>
      <c r="G154" s="21" t="n"/>
      <c r="H154" s="21" t="n"/>
      <c r="I154" s="22">
        <f>IF(OR(G154="",H154=""),"",H154-G154)</f>
        <v/>
      </c>
      <c r="J154" s="5" t="n"/>
    </row>
    <row r="155">
      <c r="A155" s="5" t="n"/>
      <c r="B155" s="5" t="n"/>
      <c r="C155" s="5" t="n"/>
      <c r="D155" s="5" t="n"/>
      <c r="E155" s="18" t="n"/>
      <c r="F155" s="21" t="n"/>
      <c r="G155" s="21" t="n"/>
      <c r="H155" s="21" t="n"/>
      <c r="I155" s="22">
        <f>IF(OR(G155="",H155=""),"",H155-G155)</f>
        <v/>
      </c>
      <c r="J155" s="5" t="n"/>
    </row>
    <row r="156">
      <c r="A156" s="5" t="n"/>
      <c r="B156" s="5" t="n"/>
      <c r="C156" s="5" t="n"/>
      <c r="D156" s="5" t="n"/>
      <c r="E156" s="18" t="n"/>
      <c r="F156" s="21" t="n"/>
      <c r="G156" s="21" t="n"/>
      <c r="H156" s="21" t="n"/>
      <c r="I156" s="22">
        <f>IF(OR(G156="",H156=""),"",H156-G156)</f>
        <v/>
      </c>
      <c r="J156" s="5" t="n"/>
    </row>
    <row r="157">
      <c r="A157" s="5" t="n"/>
      <c r="B157" s="5" t="n"/>
      <c r="C157" s="5" t="n"/>
      <c r="D157" s="5" t="n"/>
      <c r="E157" s="18" t="n"/>
      <c r="F157" s="21" t="n"/>
      <c r="G157" s="21" t="n"/>
      <c r="H157" s="21" t="n"/>
      <c r="I157" s="22">
        <f>IF(OR(G157="",H157=""),"",H157-G157)</f>
        <v/>
      </c>
      <c r="J157" s="5" t="n"/>
    </row>
    <row r="158">
      <c r="A158" s="5" t="n"/>
      <c r="B158" s="5" t="n"/>
      <c r="C158" s="5" t="n"/>
      <c r="D158" s="5" t="n"/>
      <c r="E158" s="18" t="n"/>
      <c r="F158" s="21" t="n"/>
      <c r="G158" s="21" t="n"/>
      <c r="H158" s="21" t="n"/>
      <c r="I158" s="22">
        <f>IF(OR(G158="",H158=""),"",H158-G158)</f>
        <v/>
      </c>
      <c r="J158" s="5" t="n"/>
    </row>
    <row r="159">
      <c r="A159" s="5" t="n"/>
      <c r="B159" s="5" t="n"/>
      <c r="C159" s="5" t="n"/>
      <c r="D159" s="5" t="n"/>
      <c r="E159" s="18" t="n"/>
      <c r="F159" s="21" t="n"/>
      <c r="G159" s="21" t="n"/>
      <c r="H159" s="21" t="n"/>
      <c r="I159" s="22">
        <f>IF(OR(G159="",H159=""),"",H159-G159)</f>
        <v/>
      </c>
      <c r="J159" s="5" t="n"/>
    </row>
    <row r="160">
      <c r="A160" s="5" t="n"/>
      <c r="B160" s="5" t="n"/>
      <c r="C160" s="5" t="n"/>
      <c r="D160" s="5" t="n"/>
      <c r="E160" s="18" t="n"/>
      <c r="F160" s="21" t="n"/>
      <c r="G160" s="21" t="n"/>
      <c r="H160" s="21" t="n"/>
      <c r="I160" s="22">
        <f>IF(OR(G160="",H160=""),"",H160-G160)</f>
        <v/>
      </c>
      <c r="J160" s="5" t="n"/>
    </row>
    <row r="161">
      <c r="A161" s="5" t="n"/>
      <c r="B161" s="5" t="n"/>
      <c r="C161" s="5" t="n"/>
      <c r="D161" s="5" t="n"/>
      <c r="E161" s="18" t="n"/>
      <c r="F161" s="21" t="n"/>
      <c r="G161" s="21" t="n"/>
      <c r="H161" s="21" t="n"/>
      <c r="I161" s="22">
        <f>IF(OR(G161="",H161=""),"",H161-G161)</f>
        <v/>
      </c>
      <c r="J161" s="5" t="n"/>
    </row>
    <row r="162">
      <c r="A162" s="5" t="n"/>
      <c r="B162" s="5" t="n"/>
      <c r="C162" s="5" t="n"/>
      <c r="D162" s="5" t="n"/>
      <c r="E162" s="18" t="n"/>
      <c r="F162" s="21" t="n"/>
      <c r="G162" s="21" t="n"/>
      <c r="H162" s="21" t="n"/>
      <c r="I162" s="22">
        <f>IF(OR(G162="",H162=""),"",H162-G162)</f>
        <v/>
      </c>
      <c r="J162" s="5" t="n"/>
    </row>
    <row r="163">
      <c r="A163" s="5" t="n"/>
      <c r="B163" s="5" t="n"/>
      <c r="C163" s="5" t="n"/>
      <c r="D163" s="5" t="n"/>
      <c r="E163" s="18" t="n"/>
      <c r="F163" s="21" t="n"/>
      <c r="G163" s="21" t="n"/>
      <c r="H163" s="21" t="n"/>
      <c r="I163" s="22">
        <f>IF(OR(G163="",H163=""),"",H163-G163)</f>
        <v/>
      </c>
      <c r="J163" s="5" t="n"/>
    </row>
    <row r="164">
      <c r="A164" s="5" t="n"/>
      <c r="B164" s="5" t="n"/>
      <c r="C164" s="5" t="n"/>
      <c r="D164" s="5" t="n"/>
      <c r="E164" s="18" t="n"/>
      <c r="F164" s="21" t="n"/>
      <c r="G164" s="21" t="n"/>
      <c r="H164" s="21" t="n"/>
      <c r="I164" s="22">
        <f>IF(OR(G164="",H164=""),"",H164-G164)</f>
        <v/>
      </c>
      <c r="J164" s="5" t="n"/>
    </row>
    <row r="165">
      <c r="A165" s="5" t="n"/>
      <c r="B165" s="5" t="n"/>
      <c r="C165" s="5" t="n"/>
      <c r="D165" s="5" t="n"/>
      <c r="E165" s="18" t="n"/>
      <c r="F165" s="21" t="n"/>
      <c r="G165" s="21" t="n"/>
      <c r="H165" s="21" t="n"/>
      <c r="I165" s="22">
        <f>IF(OR(G165="",H165=""),"",H165-G165)</f>
        <v/>
      </c>
      <c r="J165" s="5" t="n"/>
    </row>
    <row r="166">
      <c r="A166" s="5" t="n"/>
      <c r="B166" s="5" t="n"/>
      <c r="C166" s="5" t="n"/>
      <c r="D166" s="5" t="n"/>
      <c r="E166" s="18" t="n"/>
      <c r="F166" s="21" t="n"/>
      <c r="G166" s="21" t="n"/>
      <c r="H166" s="21" t="n"/>
      <c r="I166" s="22">
        <f>IF(OR(G166="",H166=""),"",H166-G166)</f>
        <v/>
      </c>
      <c r="J166" s="5" t="n"/>
    </row>
    <row r="167">
      <c r="A167" s="5" t="n"/>
      <c r="B167" s="5" t="n"/>
      <c r="C167" s="5" t="n"/>
      <c r="D167" s="5" t="n"/>
      <c r="E167" s="18" t="n"/>
      <c r="F167" s="21" t="n"/>
      <c r="G167" s="21" t="n"/>
      <c r="H167" s="21" t="n"/>
      <c r="I167" s="22">
        <f>IF(OR(G167="",H167=""),"",H167-G167)</f>
        <v/>
      </c>
      <c r="J167" s="5" t="n"/>
    </row>
    <row r="168">
      <c r="A168" s="5" t="n"/>
      <c r="B168" s="5" t="n"/>
      <c r="C168" s="5" t="n"/>
      <c r="D168" s="5" t="n"/>
      <c r="E168" s="18" t="n"/>
      <c r="F168" s="21" t="n"/>
      <c r="G168" s="21" t="n"/>
      <c r="H168" s="21" t="n"/>
      <c r="I168" s="22">
        <f>IF(OR(G168="",H168=""),"",H168-G168)</f>
        <v/>
      </c>
      <c r="J168" s="5" t="n"/>
    </row>
    <row r="169">
      <c r="A169" s="5" t="n"/>
      <c r="B169" s="5" t="n"/>
      <c r="C169" s="5" t="n"/>
      <c r="D169" s="5" t="n"/>
      <c r="E169" s="18" t="n"/>
      <c r="F169" s="21" t="n"/>
      <c r="G169" s="21" t="n"/>
      <c r="H169" s="21" t="n"/>
      <c r="I169" s="22">
        <f>IF(OR(G169="",H169=""),"",H169-G169)</f>
        <v/>
      </c>
      <c r="J169" s="5" t="n"/>
    </row>
    <row r="170">
      <c r="A170" s="5" t="n"/>
      <c r="B170" s="5" t="n"/>
      <c r="C170" s="5" t="n"/>
      <c r="D170" s="5" t="n"/>
      <c r="E170" s="18" t="n"/>
      <c r="F170" s="21" t="n"/>
      <c r="G170" s="21" t="n"/>
      <c r="H170" s="21" t="n"/>
      <c r="I170" s="22">
        <f>IF(OR(G170="",H170=""),"",H170-G170)</f>
        <v/>
      </c>
      <c r="J170" s="5" t="n"/>
    </row>
    <row r="171">
      <c r="A171" s="5" t="n"/>
      <c r="B171" s="5" t="n"/>
      <c r="C171" s="5" t="n"/>
      <c r="D171" s="5" t="n"/>
      <c r="E171" s="18" t="n"/>
      <c r="F171" s="21" t="n"/>
      <c r="G171" s="21" t="n"/>
      <c r="H171" s="21" t="n"/>
      <c r="I171" s="22">
        <f>IF(OR(G171="",H171=""),"",H171-G171)</f>
        <v/>
      </c>
      <c r="J171" s="5" t="n"/>
    </row>
    <row r="172">
      <c r="A172" s="5" t="n"/>
      <c r="B172" s="5" t="n"/>
      <c r="C172" s="5" t="n"/>
      <c r="D172" s="5" t="n"/>
      <c r="E172" s="18" t="n"/>
      <c r="F172" s="21" t="n"/>
      <c r="G172" s="21" t="n"/>
      <c r="H172" s="21" t="n"/>
      <c r="I172" s="22">
        <f>IF(OR(G172="",H172=""),"",H172-G172)</f>
        <v/>
      </c>
      <c r="J172" s="5" t="n"/>
    </row>
    <row r="173">
      <c r="A173" s="5" t="n"/>
      <c r="B173" s="5" t="n"/>
      <c r="C173" s="5" t="n"/>
      <c r="D173" s="5" t="n"/>
      <c r="E173" s="18" t="n"/>
      <c r="F173" s="21" t="n"/>
      <c r="G173" s="21" t="n"/>
      <c r="H173" s="21" t="n"/>
      <c r="I173" s="22">
        <f>IF(OR(G173="",H173=""),"",H173-G173)</f>
        <v/>
      </c>
      <c r="J173" s="5" t="n"/>
    </row>
    <row r="174">
      <c r="A174" s="5" t="n"/>
      <c r="B174" s="5" t="n"/>
      <c r="C174" s="5" t="n"/>
      <c r="D174" s="5" t="n"/>
      <c r="E174" s="18" t="n"/>
      <c r="F174" s="21" t="n"/>
      <c r="G174" s="21" t="n"/>
      <c r="H174" s="21" t="n"/>
      <c r="I174" s="22">
        <f>IF(OR(G174="",H174=""),"",H174-G174)</f>
        <v/>
      </c>
      <c r="J174" s="5" t="n"/>
    </row>
    <row r="175">
      <c r="A175" s="5" t="n"/>
      <c r="B175" s="5" t="n"/>
      <c r="C175" s="5" t="n"/>
      <c r="D175" s="5" t="n"/>
      <c r="E175" s="18" t="n"/>
      <c r="F175" s="21" t="n"/>
      <c r="G175" s="21" t="n"/>
      <c r="H175" s="21" t="n"/>
      <c r="I175" s="22">
        <f>IF(OR(G175="",H175=""),"",H175-G175)</f>
        <v/>
      </c>
      <c r="J175" s="5" t="n"/>
    </row>
    <row r="176">
      <c r="A176" s="5" t="n"/>
      <c r="B176" s="5" t="n"/>
      <c r="C176" s="5" t="n"/>
      <c r="D176" s="5" t="n"/>
      <c r="E176" s="18" t="n"/>
      <c r="F176" s="21" t="n"/>
      <c r="G176" s="21" t="n"/>
      <c r="H176" s="21" t="n"/>
      <c r="I176" s="22">
        <f>IF(OR(G176="",H176=""),"",H176-G176)</f>
        <v/>
      </c>
      <c r="J176" s="5" t="n"/>
    </row>
    <row r="177">
      <c r="A177" s="5" t="n"/>
      <c r="B177" s="5" t="n"/>
      <c r="C177" s="5" t="n"/>
      <c r="D177" s="5" t="n"/>
      <c r="E177" s="18" t="n"/>
      <c r="F177" s="21" t="n"/>
      <c r="G177" s="21" t="n"/>
      <c r="H177" s="21" t="n"/>
      <c r="I177" s="22">
        <f>IF(OR(G177="",H177=""),"",H177-G177)</f>
        <v/>
      </c>
      <c r="J177" s="5" t="n"/>
    </row>
    <row r="178">
      <c r="A178" s="5" t="n"/>
      <c r="B178" s="5" t="n"/>
      <c r="C178" s="5" t="n"/>
      <c r="D178" s="5" t="n"/>
      <c r="E178" s="18" t="n"/>
      <c r="F178" s="21" t="n"/>
      <c r="G178" s="21" t="n"/>
      <c r="H178" s="21" t="n"/>
      <c r="I178" s="22">
        <f>IF(OR(G178="",H178=""),"",H178-G178)</f>
        <v/>
      </c>
      <c r="J178" s="5" t="n"/>
    </row>
    <row r="179">
      <c r="A179" s="5" t="n"/>
      <c r="B179" s="5" t="n"/>
      <c r="C179" s="5" t="n"/>
      <c r="D179" s="5" t="n"/>
      <c r="E179" s="18" t="n"/>
      <c r="F179" s="21" t="n"/>
      <c r="G179" s="21" t="n"/>
      <c r="H179" s="21" t="n"/>
      <c r="I179" s="22">
        <f>IF(OR(G179="",H179=""),"",H179-G179)</f>
        <v/>
      </c>
      <c r="J179" s="5" t="n"/>
    </row>
    <row r="180">
      <c r="A180" s="5" t="n"/>
      <c r="B180" s="5" t="n"/>
      <c r="C180" s="5" t="n"/>
      <c r="D180" s="5" t="n"/>
      <c r="E180" s="18" t="n"/>
      <c r="F180" s="21" t="n"/>
      <c r="G180" s="21" t="n"/>
      <c r="H180" s="21" t="n"/>
      <c r="I180" s="22">
        <f>IF(OR(G180="",H180=""),"",H180-G180)</f>
        <v/>
      </c>
      <c r="J180" s="5" t="n"/>
    </row>
    <row r="181">
      <c r="A181" s="5" t="n"/>
      <c r="B181" s="5" t="n"/>
      <c r="C181" s="5" t="n"/>
      <c r="D181" s="5" t="n"/>
      <c r="E181" s="18" t="n"/>
      <c r="F181" s="21" t="n"/>
      <c r="G181" s="21" t="n"/>
      <c r="H181" s="21" t="n"/>
      <c r="I181" s="22">
        <f>IF(OR(G181="",H181=""),"",H181-G181)</f>
        <v/>
      </c>
      <c r="J181" s="5" t="n"/>
    </row>
    <row r="182">
      <c r="A182" s="5" t="n"/>
      <c r="B182" s="5" t="n"/>
      <c r="C182" s="5" t="n"/>
      <c r="D182" s="5" t="n"/>
      <c r="E182" s="18" t="n"/>
      <c r="F182" s="21" t="n"/>
      <c r="G182" s="21" t="n"/>
      <c r="H182" s="21" t="n"/>
      <c r="I182" s="22">
        <f>IF(OR(G182="",H182=""),"",H182-G182)</f>
        <v/>
      </c>
      <c r="J182" s="5" t="n"/>
    </row>
    <row r="183">
      <c r="A183" s="5" t="n"/>
      <c r="B183" s="5" t="n"/>
      <c r="C183" s="5" t="n"/>
      <c r="D183" s="5" t="n"/>
      <c r="E183" s="18" t="n"/>
      <c r="F183" s="21" t="n"/>
      <c r="G183" s="21" t="n"/>
      <c r="H183" s="21" t="n"/>
      <c r="I183" s="22">
        <f>IF(OR(G183="",H183=""),"",H183-G183)</f>
        <v/>
      </c>
      <c r="J183" s="5" t="n"/>
    </row>
    <row r="184">
      <c r="A184" s="5" t="n"/>
      <c r="B184" s="5" t="n"/>
      <c r="C184" s="5" t="n"/>
      <c r="D184" s="5" t="n"/>
      <c r="E184" s="18" t="n"/>
      <c r="F184" s="21" t="n"/>
      <c r="G184" s="21" t="n"/>
      <c r="H184" s="21" t="n"/>
      <c r="I184" s="22">
        <f>IF(OR(G184="",H184=""),"",H184-G184)</f>
        <v/>
      </c>
      <c r="J184" s="5" t="n"/>
    </row>
    <row r="185">
      <c r="A185" s="5" t="n"/>
      <c r="B185" s="5" t="n"/>
      <c r="C185" s="5" t="n"/>
      <c r="D185" s="5" t="n"/>
      <c r="E185" s="18" t="n"/>
      <c r="F185" s="21" t="n"/>
      <c r="G185" s="21" t="n"/>
      <c r="H185" s="21" t="n"/>
      <c r="I185" s="22">
        <f>IF(OR(G185="",H185=""),"",H185-G185)</f>
        <v/>
      </c>
      <c r="J185" s="5" t="n"/>
    </row>
    <row r="186">
      <c r="A186" s="5" t="n"/>
      <c r="B186" s="5" t="n"/>
      <c r="C186" s="5" t="n"/>
      <c r="D186" s="5" t="n"/>
      <c r="E186" s="18" t="n"/>
      <c r="F186" s="21" t="n"/>
      <c r="G186" s="21" t="n"/>
      <c r="H186" s="21" t="n"/>
      <c r="I186" s="22">
        <f>IF(OR(G186="",H186=""),"",H186-G186)</f>
        <v/>
      </c>
      <c r="J186" s="5" t="n"/>
    </row>
    <row r="187">
      <c r="A187" s="5" t="n"/>
      <c r="B187" s="5" t="n"/>
      <c r="C187" s="5" t="n"/>
      <c r="D187" s="5" t="n"/>
      <c r="E187" s="18" t="n"/>
      <c r="F187" s="21" t="n"/>
      <c r="G187" s="21" t="n"/>
      <c r="H187" s="21" t="n"/>
      <c r="I187" s="22">
        <f>IF(OR(G187="",H187=""),"",H187-G187)</f>
        <v/>
      </c>
      <c r="J187" s="5" t="n"/>
    </row>
    <row r="188">
      <c r="A188" s="5" t="n"/>
      <c r="B188" s="5" t="n"/>
      <c r="C188" s="5" t="n"/>
      <c r="D188" s="5" t="n"/>
      <c r="E188" s="18" t="n"/>
      <c r="F188" s="21" t="n"/>
      <c r="G188" s="21" t="n"/>
      <c r="H188" s="21" t="n"/>
      <c r="I188" s="22">
        <f>IF(OR(G188="",H188=""),"",H188-G188)</f>
        <v/>
      </c>
      <c r="J188" s="5" t="n"/>
    </row>
    <row r="189">
      <c r="A189" s="5" t="n"/>
      <c r="B189" s="5" t="n"/>
      <c r="C189" s="5" t="n"/>
      <c r="D189" s="5" t="n"/>
      <c r="E189" s="18" t="n"/>
      <c r="F189" s="21" t="n"/>
      <c r="G189" s="21" t="n"/>
      <c r="H189" s="21" t="n"/>
      <c r="I189" s="22">
        <f>IF(OR(G189="",H189=""),"",H189-G189)</f>
        <v/>
      </c>
      <c r="J189" s="5" t="n"/>
    </row>
    <row r="190">
      <c r="A190" s="5" t="n"/>
      <c r="B190" s="5" t="n"/>
      <c r="C190" s="5" t="n"/>
      <c r="D190" s="5" t="n"/>
      <c r="E190" s="18" t="n"/>
      <c r="F190" s="21" t="n"/>
      <c r="G190" s="21" t="n"/>
      <c r="H190" s="21" t="n"/>
      <c r="I190" s="22">
        <f>IF(OR(G190="",H190=""),"",H190-G190)</f>
        <v/>
      </c>
      <c r="J190" s="5" t="n"/>
    </row>
    <row r="191">
      <c r="A191" s="5" t="n"/>
      <c r="B191" s="5" t="n"/>
      <c r="C191" s="5" t="n"/>
      <c r="D191" s="5" t="n"/>
      <c r="E191" s="18" t="n"/>
      <c r="F191" s="21" t="n"/>
      <c r="G191" s="21" t="n"/>
      <c r="H191" s="21" t="n"/>
      <c r="I191" s="22">
        <f>IF(OR(G191="",H191=""),"",H191-G191)</f>
        <v/>
      </c>
      <c r="J191" s="5" t="n"/>
    </row>
    <row r="192">
      <c r="A192" s="5" t="n"/>
      <c r="B192" s="5" t="n"/>
      <c r="C192" s="5" t="n"/>
      <c r="D192" s="5" t="n"/>
      <c r="E192" s="18" t="n"/>
      <c r="F192" s="21" t="n"/>
      <c r="G192" s="21" t="n"/>
      <c r="H192" s="21" t="n"/>
      <c r="I192" s="22">
        <f>IF(OR(G192="",H192=""),"",H192-G192)</f>
        <v/>
      </c>
      <c r="J192" s="5" t="n"/>
    </row>
    <row r="193">
      <c r="A193" s="5" t="n"/>
      <c r="B193" s="5" t="n"/>
      <c r="C193" s="5" t="n"/>
      <c r="D193" s="5" t="n"/>
      <c r="E193" s="18" t="n"/>
      <c r="F193" s="21" t="n"/>
      <c r="G193" s="21" t="n"/>
      <c r="H193" s="21" t="n"/>
      <c r="I193" s="22">
        <f>IF(OR(G193="",H193=""),"",H193-G193)</f>
        <v/>
      </c>
      <c r="J193" s="5" t="n"/>
    </row>
    <row r="194">
      <c r="A194" s="5" t="n"/>
      <c r="B194" s="5" t="n"/>
      <c r="C194" s="5" t="n"/>
      <c r="D194" s="5" t="n"/>
      <c r="E194" s="18" t="n"/>
      <c r="F194" s="21" t="n"/>
      <c r="G194" s="21" t="n"/>
      <c r="H194" s="21" t="n"/>
      <c r="I194" s="22">
        <f>IF(OR(G194="",H194=""),"",H194-G194)</f>
        <v/>
      </c>
      <c r="J194" s="5" t="n"/>
    </row>
    <row r="195">
      <c r="A195" s="5" t="n"/>
      <c r="B195" s="5" t="n"/>
      <c r="C195" s="5" t="n"/>
      <c r="D195" s="5" t="n"/>
      <c r="E195" s="18" t="n"/>
      <c r="F195" s="21" t="n"/>
      <c r="G195" s="21" t="n"/>
      <c r="H195" s="21" t="n"/>
      <c r="I195" s="22">
        <f>IF(OR(G195="",H195=""),"",H195-G195)</f>
        <v/>
      </c>
      <c r="J195" s="5" t="n"/>
    </row>
    <row r="196">
      <c r="A196" s="5" t="n"/>
      <c r="B196" s="5" t="n"/>
      <c r="C196" s="5" t="n"/>
      <c r="D196" s="5" t="n"/>
      <c r="E196" s="18" t="n"/>
      <c r="F196" s="21" t="n"/>
      <c r="G196" s="21" t="n"/>
      <c r="H196" s="21" t="n"/>
      <c r="I196" s="22">
        <f>IF(OR(G196="",H196=""),"",H196-G196)</f>
        <v/>
      </c>
      <c r="J196" s="5" t="n"/>
    </row>
    <row r="197">
      <c r="A197" s="5" t="n"/>
      <c r="B197" s="5" t="n"/>
      <c r="C197" s="5" t="n"/>
      <c r="D197" s="5" t="n"/>
      <c r="E197" s="18" t="n"/>
      <c r="F197" s="21" t="n"/>
      <c r="G197" s="21" t="n"/>
      <c r="H197" s="21" t="n"/>
      <c r="I197" s="22">
        <f>IF(OR(G197="",H197=""),"",H197-G197)</f>
        <v/>
      </c>
      <c r="J197" s="5" t="n"/>
    </row>
    <row r="198">
      <c r="A198" s="5" t="n"/>
      <c r="B198" s="5" t="n"/>
      <c r="C198" s="5" t="n"/>
      <c r="D198" s="5" t="n"/>
      <c r="E198" s="18" t="n"/>
      <c r="F198" s="21" t="n"/>
      <c r="G198" s="21" t="n"/>
      <c r="H198" s="21" t="n"/>
      <c r="I198" s="22">
        <f>IF(OR(G198="",H198=""),"",H198-G198)</f>
        <v/>
      </c>
      <c r="J198" s="5" t="n"/>
    </row>
    <row r="199">
      <c r="A199" s="5" t="n"/>
      <c r="B199" s="5" t="n"/>
      <c r="C199" s="5" t="n"/>
      <c r="D199" s="5" t="n"/>
      <c r="E199" s="18" t="n"/>
      <c r="F199" s="21" t="n"/>
      <c r="G199" s="21" t="n"/>
      <c r="H199" s="21" t="n"/>
      <c r="I199" s="22">
        <f>IF(OR(G199="",H199=""),"",H199-G199)</f>
        <v/>
      </c>
      <c r="J199" s="5" t="n"/>
    </row>
    <row r="200">
      <c r="A200" s="5" t="n"/>
      <c r="B200" s="5" t="n"/>
      <c r="C200" s="5" t="n"/>
      <c r="D200" s="5" t="n"/>
      <c r="E200" s="18" t="n"/>
      <c r="F200" s="21" t="n"/>
      <c r="G200" s="21" t="n"/>
      <c r="H200" s="21" t="n"/>
      <c r="I200" s="22">
        <f>IF(OR(G200="",H200=""),"",H200-G200)</f>
        <v/>
      </c>
      <c r="J200" s="5" t="n"/>
    </row>
    <row r="201">
      <c r="A201" s="5" t="n"/>
      <c r="B201" s="5" t="n"/>
      <c r="C201" s="5" t="n"/>
      <c r="D201" s="5" t="n"/>
      <c r="E201" s="18" t="n"/>
      <c r="F201" s="21" t="n"/>
      <c r="G201" s="21" t="n"/>
      <c r="H201" s="21" t="n"/>
      <c r="I201" s="22">
        <f>IF(OR(G201="",H201=""),"",H201-G201)</f>
        <v/>
      </c>
      <c r="J201" s="5" t="n"/>
    </row>
    <row r="202">
      <c r="A202" s="5" t="n"/>
      <c r="B202" s="5" t="n"/>
      <c r="C202" s="5" t="n"/>
      <c r="D202" s="5" t="n"/>
      <c r="E202" s="18" t="n"/>
      <c r="F202" s="21" t="n"/>
      <c r="G202" s="21" t="n"/>
      <c r="H202" s="21" t="n"/>
      <c r="I202" s="22">
        <f>IF(OR(G202="",H202=""),"",H202-G202)</f>
        <v/>
      </c>
      <c r="J202" s="5" t="n"/>
    </row>
    <row r="203">
      <c r="A203" s="5" t="n"/>
      <c r="B203" s="5" t="n"/>
      <c r="C203" s="5" t="n"/>
      <c r="D203" s="5" t="n"/>
      <c r="E203" s="18" t="n"/>
      <c r="F203" s="21" t="n"/>
      <c r="G203" s="21" t="n"/>
      <c r="H203" s="21" t="n"/>
      <c r="I203" s="22">
        <f>IF(OR(G203="",H203=""),"",H203-G203)</f>
        <v/>
      </c>
      <c r="J203" s="5" t="n"/>
    </row>
    <row r="204">
      <c r="A204" s="5" t="n"/>
      <c r="B204" s="5" t="n"/>
      <c r="C204" s="5" t="n"/>
      <c r="D204" s="5" t="n"/>
      <c r="E204" s="18" t="n"/>
      <c r="F204" s="21" t="n"/>
      <c r="G204" s="21" t="n"/>
      <c r="H204" s="21" t="n"/>
      <c r="I204" s="22">
        <f>IF(OR(G204="",H204=""),"",H204-G204)</f>
        <v/>
      </c>
      <c r="J204" s="5" t="n"/>
    </row>
    <row r="205">
      <c r="A205" s="5" t="n"/>
      <c r="B205" s="5" t="n"/>
      <c r="C205" s="5" t="n"/>
      <c r="D205" s="5" t="n"/>
      <c r="E205" s="18" t="n"/>
      <c r="F205" s="21" t="n"/>
      <c r="G205" s="21" t="n"/>
      <c r="H205" s="21" t="n"/>
      <c r="I205" s="22">
        <f>IF(OR(G205="",H205=""),"",H205-G205)</f>
        <v/>
      </c>
      <c r="J205" s="5" t="n"/>
    </row>
    <row r="206">
      <c r="A206" s="5" t="n"/>
      <c r="B206" s="5" t="n"/>
      <c r="C206" s="5" t="n"/>
      <c r="D206" s="5" t="n"/>
      <c r="E206" s="18" t="n"/>
      <c r="F206" s="21" t="n"/>
      <c r="G206" s="21" t="n"/>
      <c r="H206" s="21" t="n"/>
      <c r="I206" s="22">
        <f>IF(OR(G206="",H206=""),"",H206-G206)</f>
        <v/>
      </c>
      <c r="J206" s="5" t="n"/>
    </row>
    <row r="207">
      <c r="A207" s="5" t="n"/>
      <c r="B207" s="5" t="n"/>
      <c r="C207" s="5" t="n"/>
      <c r="D207" s="5" t="n"/>
      <c r="E207" s="18" t="n"/>
      <c r="F207" s="21" t="n"/>
      <c r="G207" s="21" t="n"/>
      <c r="H207" s="21" t="n"/>
      <c r="I207" s="22">
        <f>IF(OR(G207="",H207=""),"",H207-G207)</f>
        <v/>
      </c>
      <c r="J207" s="5" t="n"/>
    </row>
    <row r="208">
      <c r="A208" s="5" t="n"/>
      <c r="B208" s="5" t="n"/>
      <c r="C208" s="5" t="n"/>
      <c r="D208" s="5" t="n"/>
      <c r="E208" s="18" t="n"/>
      <c r="F208" s="21" t="n"/>
      <c r="G208" s="21" t="n"/>
      <c r="H208" s="21" t="n"/>
      <c r="I208" s="22">
        <f>IF(OR(G208="",H208=""),"",H208-G208)</f>
        <v/>
      </c>
      <c r="J208" s="5" t="n"/>
    </row>
    <row r="209">
      <c r="A209" s="5" t="n"/>
      <c r="B209" s="5" t="n"/>
      <c r="C209" s="5" t="n"/>
      <c r="D209" s="5" t="n"/>
      <c r="E209" s="18" t="n"/>
      <c r="F209" s="21" t="n"/>
      <c r="G209" s="21" t="n"/>
      <c r="H209" s="21" t="n"/>
      <c r="I209" s="22">
        <f>IF(OR(G209="",H209=""),"",H209-G209)</f>
        <v/>
      </c>
      <c r="J209" s="5" t="n"/>
    </row>
    <row r="210">
      <c r="A210" s="5" t="n"/>
      <c r="B210" s="5" t="n"/>
      <c r="C210" s="5" t="n"/>
      <c r="D210" s="5" t="n"/>
      <c r="E210" s="18" t="n"/>
      <c r="F210" s="21" t="n"/>
      <c r="G210" s="21" t="n"/>
      <c r="H210" s="21" t="n"/>
      <c r="I210" s="22">
        <f>IF(OR(G210="",H210=""),"",H210-G210)</f>
        <v/>
      </c>
      <c r="J210" s="5" t="n"/>
    </row>
    <row r="211">
      <c r="A211" s="5" t="n"/>
      <c r="B211" s="5" t="n"/>
      <c r="C211" s="5" t="n"/>
      <c r="D211" s="5" t="n"/>
      <c r="E211" s="18" t="n"/>
      <c r="F211" s="21" t="n"/>
      <c r="G211" s="21" t="n"/>
      <c r="H211" s="21" t="n"/>
      <c r="I211" s="22">
        <f>IF(OR(G211="",H211=""),"",H211-G211)</f>
        <v/>
      </c>
      <c r="J211" s="5" t="n"/>
    </row>
    <row r="212">
      <c r="A212" s="5" t="n"/>
      <c r="B212" s="5" t="n"/>
      <c r="C212" s="5" t="n"/>
      <c r="D212" s="5" t="n"/>
      <c r="E212" s="18" t="n"/>
      <c r="F212" s="21" t="n"/>
      <c r="G212" s="21" t="n"/>
      <c r="H212" s="21" t="n"/>
      <c r="I212" s="22">
        <f>IF(OR(G212="",H212=""),"",H212-G212)</f>
        <v/>
      </c>
      <c r="J212" s="5" t="n"/>
    </row>
    <row r="213">
      <c r="A213" s="5" t="n"/>
      <c r="B213" s="5" t="n"/>
      <c r="C213" s="5" t="n"/>
      <c r="D213" s="5" t="n"/>
      <c r="E213" s="18" t="n"/>
      <c r="F213" s="21" t="n"/>
      <c r="G213" s="21" t="n"/>
      <c r="H213" s="21" t="n"/>
      <c r="I213" s="22">
        <f>IF(OR(G213="",H213=""),"",H213-G213)</f>
        <v/>
      </c>
      <c r="J213" s="5" t="n"/>
    </row>
    <row r="214">
      <c r="A214" s="5" t="n"/>
      <c r="B214" s="5" t="n"/>
      <c r="C214" s="5" t="n"/>
      <c r="D214" s="5" t="n"/>
      <c r="E214" s="18" t="n"/>
      <c r="F214" s="21" t="n"/>
      <c r="G214" s="21" t="n"/>
      <c r="H214" s="21" t="n"/>
      <c r="I214" s="22">
        <f>IF(OR(G214="",H214=""),"",H214-G214)</f>
        <v/>
      </c>
      <c r="J214" s="5" t="n"/>
    </row>
    <row r="215">
      <c r="A215" s="5" t="n"/>
      <c r="B215" s="5" t="n"/>
      <c r="C215" s="5" t="n"/>
      <c r="D215" s="5" t="n"/>
      <c r="E215" s="18" t="n"/>
      <c r="F215" s="21" t="n"/>
      <c r="G215" s="21" t="n"/>
      <c r="H215" s="21" t="n"/>
      <c r="I215" s="22">
        <f>IF(OR(G215="",H215=""),"",H215-G215)</f>
        <v/>
      </c>
      <c r="J215" s="5" t="n"/>
    </row>
    <row r="216">
      <c r="A216" s="5" t="n"/>
      <c r="B216" s="5" t="n"/>
      <c r="C216" s="5" t="n"/>
      <c r="D216" s="5" t="n"/>
      <c r="E216" s="18" t="n"/>
      <c r="F216" s="21" t="n"/>
      <c r="G216" s="21" t="n"/>
      <c r="H216" s="21" t="n"/>
      <c r="I216" s="22">
        <f>IF(OR(G216="",H216=""),"",H216-G216)</f>
        <v/>
      </c>
      <c r="J216" s="5" t="n"/>
    </row>
    <row r="217">
      <c r="A217" s="5" t="n"/>
      <c r="B217" s="5" t="n"/>
      <c r="C217" s="5" t="n"/>
      <c r="D217" s="5" t="n"/>
      <c r="E217" s="18" t="n"/>
      <c r="F217" s="21" t="n"/>
      <c r="G217" s="21" t="n"/>
      <c r="H217" s="21" t="n"/>
      <c r="I217" s="22">
        <f>IF(OR(G217="",H217=""),"",H217-G217)</f>
        <v/>
      </c>
      <c r="J217" s="5" t="n"/>
    </row>
    <row r="218">
      <c r="A218" s="5" t="n"/>
      <c r="B218" s="5" t="n"/>
      <c r="C218" s="5" t="n"/>
      <c r="D218" s="5" t="n"/>
      <c r="E218" s="18" t="n"/>
      <c r="F218" s="21" t="n"/>
      <c r="G218" s="21" t="n"/>
      <c r="H218" s="21" t="n"/>
      <c r="I218" s="22">
        <f>IF(OR(G218="",H218=""),"",H218-G218)</f>
        <v/>
      </c>
      <c r="J218" s="5" t="n"/>
    </row>
    <row r="219">
      <c r="A219" s="5" t="n"/>
      <c r="B219" s="5" t="n"/>
      <c r="C219" s="5" t="n"/>
      <c r="D219" s="5" t="n"/>
      <c r="E219" s="18" t="n"/>
      <c r="F219" s="21" t="n"/>
      <c r="G219" s="21" t="n"/>
      <c r="H219" s="21" t="n"/>
      <c r="I219" s="22">
        <f>IF(OR(G219="",H219=""),"",H219-G219)</f>
        <v/>
      </c>
      <c r="J219" s="5" t="n"/>
    </row>
    <row r="220">
      <c r="A220" s="5" t="n"/>
      <c r="B220" s="5" t="n"/>
      <c r="C220" s="5" t="n"/>
      <c r="D220" s="5" t="n"/>
      <c r="E220" s="18" t="n"/>
      <c r="F220" s="21" t="n"/>
      <c r="G220" s="21" t="n"/>
      <c r="H220" s="21" t="n"/>
      <c r="I220" s="22">
        <f>IF(OR(G220="",H220=""),"",H220-G220)</f>
        <v/>
      </c>
      <c r="J220" s="5" t="n"/>
    </row>
    <row r="221">
      <c r="A221" s="5" t="n"/>
      <c r="B221" s="5" t="n"/>
      <c r="C221" s="5" t="n"/>
      <c r="D221" s="5" t="n"/>
      <c r="E221" s="18" t="n"/>
      <c r="F221" s="21" t="n"/>
      <c r="G221" s="21" t="n"/>
      <c r="H221" s="21" t="n"/>
      <c r="I221" s="22">
        <f>IF(OR(G221="",H221=""),"",H221-G221)</f>
        <v/>
      </c>
      <c r="J221" s="5" t="n"/>
    </row>
    <row r="222">
      <c r="A222" s="5" t="n"/>
      <c r="B222" s="5" t="n"/>
      <c r="C222" s="5" t="n"/>
      <c r="D222" s="5" t="n"/>
      <c r="E222" s="18" t="n"/>
      <c r="F222" s="21" t="n"/>
      <c r="G222" s="21" t="n"/>
      <c r="H222" s="21" t="n"/>
      <c r="I222" s="22">
        <f>IF(OR(G222="",H222=""),"",H222-G222)</f>
        <v/>
      </c>
      <c r="J222" s="5" t="n"/>
    </row>
    <row r="223">
      <c r="A223" s="5" t="n"/>
      <c r="B223" s="5" t="n"/>
      <c r="C223" s="5" t="n"/>
      <c r="D223" s="5" t="n"/>
      <c r="E223" s="18" t="n"/>
      <c r="F223" s="21" t="n"/>
      <c r="G223" s="21" t="n"/>
      <c r="H223" s="21" t="n"/>
      <c r="I223" s="22">
        <f>IF(OR(G223="",H223=""),"",H223-G223)</f>
        <v/>
      </c>
      <c r="J223" s="5" t="n"/>
    </row>
    <row r="224">
      <c r="A224" s="5" t="n"/>
      <c r="B224" s="5" t="n"/>
      <c r="C224" s="5" t="n"/>
      <c r="D224" s="5" t="n"/>
      <c r="E224" s="18" t="n"/>
      <c r="F224" s="21" t="n"/>
      <c r="G224" s="21" t="n"/>
      <c r="H224" s="21" t="n"/>
      <c r="I224" s="22">
        <f>IF(OR(G224="",H224=""),"",H224-G224)</f>
        <v/>
      </c>
      <c r="J224" s="5" t="n"/>
    </row>
    <row r="225">
      <c r="A225" s="5" t="n"/>
      <c r="B225" s="5" t="n"/>
      <c r="C225" s="5" t="n"/>
      <c r="D225" s="5" t="n"/>
      <c r="E225" s="18" t="n"/>
      <c r="F225" s="21" t="n"/>
      <c r="G225" s="21" t="n"/>
      <c r="H225" s="21" t="n"/>
      <c r="I225" s="22">
        <f>IF(OR(G225="",H225=""),"",H225-G225)</f>
        <v/>
      </c>
      <c r="J225" s="5" t="n"/>
    </row>
    <row r="226">
      <c r="A226" s="5" t="n"/>
      <c r="B226" s="5" t="n"/>
      <c r="C226" s="5" t="n"/>
      <c r="D226" s="5" t="n"/>
      <c r="E226" s="18" t="n"/>
      <c r="F226" s="21" t="n"/>
      <c r="G226" s="21" t="n"/>
      <c r="H226" s="21" t="n"/>
      <c r="I226" s="22">
        <f>IF(OR(G226="",H226=""),"",H226-G226)</f>
        <v/>
      </c>
      <c r="J226" s="5" t="n"/>
    </row>
    <row r="227">
      <c r="A227" s="5" t="n"/>
      <c r="B227" s="5" t="n"/>
      <c r="C227" s="5" t="n"/>
      <c r="D227" s="5" t="n"/>
      <c r="E227" s="18" t="n"/>
      <c r="F227" s="21" t="n"/>
      <c r="G227" s="21" t="n"/>
      <c r="H227" s="21" t="n"/>
      <c r="I227" s="22">
        <f>IF(OR(G227="",H227=""),"",H227-G227)</f>
        <v/>
      </c>
      <c r="J227" s="5" t="n"/>
    </row>
    <row r="228">
      <c r="A228" s="5" t="n"/>
      <c r="B228" s="5" t="n"/>
      <c r="C228" s="5" t="n"/>
      <c r="D228" s="5" t="n"/>
      <c r="E228" s="18" t="n"/>
      <c r="F228" s="21" t="n"/>
      <c r="G228" s="21" t="n"/>
      <c r="H228" s="21" t="n"/>
      <c r="I228" s="22">
        <f>IF(OR(G228="",H228=""),"",H228-G228)</f>
        <v/>
      </c>
      <c r="J228" s="5" t="n"/>
    </row>
    <row r="229">
      <c r="A229" s="5" t="n"/>
      <c r="B229" s="5" t="n"/>
      <c r="C229" s="5" t="n"/>
      <c r="D229" s="5" t="n"/>
      <c r="E229" s="18" t="n"/>
      <c r="F229" s="21" t="n"/>
      <c r="G229" s="21" t="n"/>
      <c r="H229" s="21" t="n"/>
      <c r="I229" s="22">
        <f>IF(OR(G229="",H229=""),"",H229-G229)</f>
        <v/>
      </c>
      <c r="J229" s="5" t="n"/>
    </row>
    <row r="230">
      <c r="A230" s="5" t="n"/>
      <c r="B230" s="5" t="n"/>
      <c r="C230" s="5" t="n"/>
      <c r="D230" s="5" t="n"/>
      <c r="E230" s="18" t="n"/>
      <c r="F230" s="21" t="n"/>
      <c r="G230" s="21" t="n"/>
      <c r="H230" s="21" t="n"/>
      <c r="I230" s="22">
        <f>IF(OR(G230="",H230=""),"",H230-G230)</f>
        <v/>
      </c>
      <c r="J230" s="5" t="n"/>
    </row>
    <row r="231">
      <c r="A231" s="5" t="n"/>
      <c r="B231" s="5" t="n"/>
      <c r="C231" s="5" t="n"/>
      <c r="D231" s="5" t="n"/>
      <c r="E231" s="18" t="n"/>
      <c r="F231" s="21" t="n"/>
      <c r="G231" s="21" t="n"/>
      <c r="H231" s="21" t="n"/>
      <c r="I231" s="22">
        <f>IF(OR(G231="",H231=""),"",H231-G231)</f>
        <v/>
      </c>
      <c r="J231" s="5" t="n"/>
    </row>
    <row r="232">
      <c r="A232" s="5" t="n"/>
      <c r="B232" s="5" t="n"/>
      <c r="C232" s="5" t="n"/>
      <c r="D232" s="5" t="n"/>
      <c r="E232" s="18" t="n"/>
      <c r="F232" s="21" t="n"/>
      <c r="G232" s="21" t="n"/>
      <c r="H232" s="21" t="n"/>
      <c r="I232" s="22">
        <f>IF(OR(G232="",H232=""),"",H232-G232)</f>
        <v/>
      </c>
      <c r="J232" s="5" t="n"/>
    </row>
    <row r="233">
      <c r="A233" s="5" t="n"/>
      <c r="B233" s="5" t="n"/>
      <c r="C233" s="5" t="n"/>
      <c r="D233" s="5" t="n"/>
      <c r="E233" s="18" t="n"/>
      <c r="F233" s="21" t="n"/>
      <c r="G233" s="21" t="n"/>
      <c r="H233" s="21" t="n"/>
      <c r="I233" s="22">
        <f>IF(OR(G233="",H233=""),"",H233-G233)</f>
        <v/>
      </c>
      <c r="J233" s="5" t="n"/>
    </row>
    <row r="234">
      <c r="A234" s="5" t="n"/>
      <c r="B234" s="5" t="n"/>
      <c r="C234" s="5" t="n"/>
      <c r="D234" s="5" t="n"/>
      <c r="E234" s="18" t="n"/>
      <c r="F234" s="21" t="n"/>
      <c r="G234" s="21" t="n"/>
      <c r="H234" s="21" t="n"/>
      <c r="I234" s="22">
        <f>IF(OR(G234="",H234=""),"",H234-G234)</f>
        <v/>
      </c>
      <c r="J234" s="5" t="n"/>
    </row>
    <row r="235">
      <c r="A235" s="5" t="n"/>
      <c r="B235" s="5" t="n"/>
      <c r="C235" s="5" t="n"/>
      <c r="D235" s="5" t="n"/>
      <c r="E235" s="18" t="n"/>
      <c r="F235" s="21" t="n"/>
      <c r="G235" s="21" t="n"/>
      <c r="H235" s="21" t="n"/>
      <c r="I235" s="22">
        <f>IF(OR(G235="",H235=""),"",H235-G235)</f>
        <v/>
      </c>
      <c r="J235" s="5" t="n"/>
    </row>
    <row r="236">
      <c r="A236" s="5" t="n"/>
      <c r="B236" s="5" t="n"/>
      <c r="C236" s="5" t="n"/>
      <c r="D236" s="5" t="n"/>
      <c r="E236" s="18" t="n"/>
      <c r="F236" s="21" t="n"/>
      <c r="G236" s="21" t="n"/>
      <c r="H236" s="21" t="n"/>
      <c r="I236" s="22">
        <f>IF(OR(G236="",H236=""),"",H236-G236)</f>
        <v/>
      </c>
      <c r="J236" s="5" t="n"/>
    </row>
    <row r="237">
      <c r="A237" s="5" t="n"/>
      <c r="B237" s="5" t="n"/>
      <c r="C237" s="5" t="n"/>
      <c r="D237" s="5" t="n"/>
      <c r="E237" s="18" t="n"/>
      <c r="F237" s="21" t="n"/>
      <c r="G237" s="21" t="n"/>
      <c r="H237" s="21" t="n"/>
      <c r="I237" s="22">
        <f>IF(OR(G237="",H237=""),"",H237-G237)</f>
        <v/>
      </c>
      <c r="J237" s="5" t="n"/>
    </row>
    <row r="238">
      <c r="A238" s="5" t="n"/>
      <c r="B238" s="5" t="n"/>
      <c r="C238" s="5" t="n"/>
      <c r="D238" s="5" t="n"/>
      <c r="E238" s="18" t="n"/>
      <c r="F238" s="21" t="n"/>
      <c r="G238" s="21" t="n"/>
      <c r="H238" s="21" t="n"/>
      <c r="I238" s="22">
        <f>IF(OR(G238="",H238=""),"",H238-G238)</f>
        <v/>
      </c>
      <c r="J238" s="5" t="n"/>
    </row>
    <row r="239">
      <c r="A239" s="5" t="n"/>
      <c r="B239" s="5" t="n"/>
      <c r="C239" s="5" t="n"/>
      <c r="D239" s="5" t="n"/>
      <c r="E239" s="18" t="n"/>
      <c r="F239" s="21" t="n"/>
      <c r="G239" s="21" t="n"/>
      <c r="H239" s="21" t="n"/>
      <c r="I239" s="22">
        <f>IF(OR(G239="",H239=""),"",H239-G239)</f>
        <v/>
      </c>
      <c r="J239" s="5" t="n"/>
    </row>
    <row r="240">
      <c r="A240" s="5" t="n"/>
      <c r="B240" s="5" t="n"/>
      <c r="C240" s="5" t="n"/>
      <c r="D240" s="5" t="n"/>
      <c r="E240" s="18" t="n"/>
      <c r="F240" s="21" t="n"/>
      <c r="G240" s="21" t="n"/>
      <c r="H240" s="21" t="n"/>
      <c r="I240" s="22">
        <f>IF(OR(G240="",H240=""),"",H240-G240)</f>
        <v/>
      </c>
      <c r="J240" s="5" t="n"/>
    </row>
    <row r="241">
      <c r="A241" s="5" t="n"/>
      <c r="B241" s="5" t="n"/>
      <c r="C241" s="5" t="n"/>
      <c r="D241" s="5" t="n"/>
      <c r="E241" s="18" t="n"/>
      <c r="F241" s="21" t="n"/>
      <c r="G241" s="21" t="n"/>
      <c r="H241" s="21" t="n"/>
      <c r="I241" s="22">
        <f>IF(OR(G241="",H241=""),"",H241-G241)</f>
        <v/>
      </c>
      <c r="J241" s="5" t="n"/>
    </row>
    <row r="242">
      <c r="A242" s="5" t="n"/>
      <c r="B242" s="5" t="n"/>
      <c r="C242" s="5" t="n"/>
      <c r="D242" s="5" t="n"/>
      <c r="E242" s="18" t="n"/>
      <c r="F242" s="21" t="n"/>
      <c r="G242" s="21" t="n"/>
      <c r="H242" s="21" t="n"/>
      <c r="I242" s="22">
        <f>IF(OR(G242="",H242=""),"",H242-G242)</f>
        <v/>
      </c>
      <c r="J242" s="5" t="n"/>
    </row>
    <row r="243">
      <c r="A243" s="5" t="n"/>
      <c r="B243" s="5" t="n"/>
      <c r="C243" s="5" t="n"/>
      <c r="D243" s="5" t="n"/>
      <c r="E243" s="18" t="n"/>
      <c r="F243" s="21" t="n"/>
      <c r="G243" s="21" t="n"/>
      <c r="H243" s="21" t="n"/>
      <c r="I243" s="22">
        <f>IF(OR(G243="",H243=""),"",H243-G243)</f>
        <v/>
      </c>
      <c r="J243" s="5" t="n"/>
    </row>
    <row r="244">
      <c r="A244" s="5" t="n"/>
      <c r="B244" s="5" t="n"/>
      <c r="C244" s="5" t="n"/>
      <c r="D244" s="5" t="n"/>
      <c r="E244" s="18" t="n"/>
      <c r="F244" s="21" t="n"/>
      <c r="G244" s="21" t="n"/>
      <c r="H244" s="21" t="n"/>
      <c r="I244" s="22">
        <f>IF(OR(G244="",H244=""),"",H244-G244)</f>
        <v/>
      </c>
      <c r="J244" s="5" t="n"/>
    </row>
    <row r="245">
      <c r="A245" s="5" t="n"/>
      <c r="B245" s="5" t="n"/>
      <c r="C245" s="5" t="n"/>
      <c r="D245" s="5" t="n"/>
      <c r="E245" s="18" t="n"/>
      <c r="F245" s="21" t="n"/>
      <c r="G245" s="21" t="n"/>
      <c r="H245" s="21" t="n"/>
      <c r="I245" s="22">
        <f>IF(OR(G245="",H245=""),"",H245-G245)</f>
        <v/>
      </c>
      <c r="J245" s="5" t="n"/>
    </row>
    <row r="246">
      <c r="A246" s="5" t="n"/>
      <c r="B246" s="5" t="n"/>
      <c r="C246" s="5" t="n"/>
      <c r="D246" s="5" t="n"/>
      <c r="E246" s="18" t="n"/>
      <c r="F246" s="21" t="n"/>
      <c r="G246" s="21" t="n"/>
      <c r="H246" s="21" t="n"/>
      <c r="I246" s="22">
        <f>IF(OR(G246="",H246=""),"",H246-G246)</f>
        <v/>
      </c>
      <c r="J246" s="5" t="n"/>
    </row>
    <row r="247">
      <c r="A247" s="5" t="n"/>
      <c r="B247" s="5" t="n"/>
      <c r="C247" s="5" t="n"/>
      <c r="D247" s="5" t="n"/>
      <c r="E247" s="18" t="n"/>
      <c r="F247" s="21" t="n"/>
      <c r="G247" s="21" t="n"/>
      <c r="H247" s="21" t="n"/>
      <c r="I247" s="22">
        <f>IF(OR(G247="",H247=""),"",H247-G247)</f>
        <v/>
      </c>
      <c r="J247" s="5" t="n"/>
    </row>
    <row r="248">
      <c r="A248" s="5" t="n"/>
      <c r="B248" s="5" t="n"/>
      <c r="C248" s="5" t="n"/>
      <c r="D248" s="5" t="n"/>
      <c r="E248" s="18" t="n"/>
      <c r="F248" s="21" t="n"/>
      <c r="G248" s="21" t="n"/>
      <c r="H248" s="21" t="n"/>
      <c r="I248" s="22">
        <f>IF(OR(G248="",H248=""),"",H248-G248)</f>
        <v/>
      </c>
      <c r="J248" s="5" t="n"/>
    </row>
    <row r="249">
      <c r="A249" s="5" t="n"/>
      <c r="B249" s="5" t="n"/>
      <c r="C249" s="5" t="n"/>
      <c r="D249" s="5" t="n"/>
      <c r="E249" s="18" t="n"/>
      <c r="F249" s="21" t="n"/>
      <c r="G249" s="21" t="n"/>
      <c r="H249" s="21" t="n"/>
      <c r="I249" s="22">
        <f>IF(OR(G249="",H249=""),"",H249-G249)</f>
        <v/>
      </c>
      <c r="J249" s="5" t="n"/>
    </row>
    <row r="250">
      <c r="A250" s="5" t="n"/>
      <c r="B250" s="5" t="n"/>
      <c r="C250" s="5" t="n"/>
      <c r="D250" s="5" t="n"/>
      <c r="E250" s="18" t="n"/>
      <c r="F250" s="21" t="n"/>
      <c r="G250" s="21" t="n"/>
      <c r="H250" s="21" t="n"/>
      <c r="I250" s="22">
        <f>IF(OR(G250="",H250=""),"",H250-G250)</f>
        <v/>
      </c>
      <c r="J250" s="5" t="n"/>
    </row>
    <row r="251">
      <c r="A251" s="5" t="n"/>
      <c r="B251" s="5" t="n"/>
      <c r="C251" s="5" t="n"/>
      <c r="D251" s="5" t="n"/>
      <c r="E251" s="18" t="n"/>
      <c r="F251" s="21" t="n"/>
      <c r="G251" s="21" t="n"/>
      <c r="H251" s="21" t="n"/>
      <c r="I251" s="22">
        <f>IF(OR(G251="",H251=""),"",H251-G251)</f>
        <v/>
      </c>
      <c r="J251" s="5" t="n"/>
    </row>
    <row r="252">
      <c r="A252" s="5" t="n"/>
      <c r="B252" s="5" t="n"/>
      <c r="C252" s="5" t="n"/>
      <c r="D252" s="5" t="n"/>
      <c r="E252" s="18" t="n"/>
      <c r="F252" s="21" t="n"/>
      <c r="G252" s="21" t="n"/>
      <c r="H252" s="21" t="n"/>
      <c r="I252" s="22">
        <f>IF(OR(G252="",H252=""),"",H252-G252)</f>
        <v/>
      </c>
      <c r="J252" s="5" t="n"/>
    </row>
    <row r="253">
      <c r="A253" s="5" t="n"/>
      <c r="B253" s="5" t="n"/>
      <c r="C253" s="5" t="n"/>
      <c r="D253" s="5" t="n"/>
      <c r="E253" s="18" t="n"/>
      <c r="F253" s="21" t="n"/>
      <c r="G253" s="21" t="n"/>
      <c r="H253" s="21" t="n"/>
      <c r="I253" s="22">
        <f>IF(OR(G253="",H253=""),"",H253-G253)</f>
        <v/>
      </c>
      <c r="J253" s="5" t="n"/>
    </row>
    <row r="254">
      <c r="A254" s="5" t="n"/>
      <c r="B254" s="5" t="n"/>
      <c r="C254" s="5" t="n"/>
      <c r="D254" s="5" t="n"/>
      <c r="E254" s="18" t="n"/>
      <c r="F254" s="21" t="n"/>
      <c r="G254" s="21" t="n"/>
      <c r="H254" s="21" t="n"/>
      <c r="I254" s="22">
        <f>IF(OR(G254="",H254=""),"",H254-G254)</f>
        <v/>
      </c>
      <c r="J254" s="5" t="n"/>
    </row>
    <row r="255">
      <c r="A255" s="5" t="n"/>
      <c r="B255" s="5" t="n"/>
      <c r="C255" s="5" t="n"/>
      <c r="D255" s="5" t="n"/>
      <c r="E255" s="18" t="n"/>
      <c r="F255" s="21" t="n"/>
      <c r="G255" s="21" t="n"/>
      <c r="H255" s="21" t="n"/>
      <c r="I255" s="22">
        <f>IF(OR(G255="",H255=""),"",H255-G255)</f>
        <v/>
      </c>
      <c r="J255" s="5" t="n"/>
    </row>
    <row r="256">
      <c r="A256" s="5" t="n"/>
      <c r="B256" s="5" t="n"/>
      <c r="C256" s="5" t="n"/>
      <c r="D256" s="5" t="n"/>
      <c r="E256" s="18" t="n"/>
      <c r="F256" s="21" t="n"/>
      <c r="G256" s="21" t="n"/>
      <c r="H256" s="21" t="n"/>
      <c r="I256" s="22">
        <f>IF(OR(G256="",H256=""),"",H256-G256)</f>
        <v/>
      </c>
      <c r="J256" s="5" t="n"/>
    </row>
    <row r="257">
      <c r="A257" s="5" t="n"/>
      <c r="B257" s="5" t="n"/>
      <c r="C257" s="5" t="n"/>
      <c r="D257" s="5" t="n"/>
      <c r="E257" s="18" t="n"/>
      <c r="F257" s="21" t="n"/>
      <c r="G257" s="21" t="n"/>
      <c r="H257" s="21" t="n"/>
      <c r="I257" s="22">
        <f>IF(OR(G257="",H257=""),"",H257-G257)</f>
        <v/>
      </c>
      <c r="J257" s="5" t="n"/>
    </row>
    <row r="258">
      <c r="A258" s="5" t="n"/>
      <c r="B258" s="5" t="n"/>
      <c r="C258" s="5" t="n"/>
      <c r="D258" s="5" t="n"/>
      <c r="E258" s="18" t="n"/>
      <c r="F258" s="21" t="n"/>
      <c r="G258" s="21" t="n"/>
      <c r="H258" s="21" t="n"/>
      <c r="I258" s="22">
        <f>IF(OR(G258="",H258=""),"",H258-G258)</f>
        <v/>
      </c>
      <c r="J258" s="5" t="n"/>
    </row>
    <row r="259">
      <c r="A259" s="5" t="n"/>
      <c r="B259" s="5" t="n"/>
      <c r="C259" s="5" t="n"/>
      <c r="D259" s="5" t="n"/>
      <c r="E259" s="18" t="n"/>
      <c r="F259" s="21" t="n"/>
      <c r="G259" s="21" t="n"/>
      <c r="H259" s="21" t="n"/>
      <c r="I259" s="22">
        <f>IF(OR(G259="",H259=""),"",H259-G259)</f>
        <v/>
      </c>
      <c r="J259" s="5" t="n"/>
    </row>
    <row r="260">
      <c r="A260" s="5" t="n"/>
      <c r="B260" s="5" t="n"/>
      <c r="C260" s="5" t="n"/>
      <c r="D260" s="5" t="n"/>
      <c r="E260" s="18" t="n"/>
      <c r="F260" s="21" t="n"/>
      <c r="G260" s="21" t="n"/>
      <c r="H260" s="21" t="n"/>
      <c r="I260" s="22">
        <f>IF(OR(G260="",H260=""),"",H260-G260)</f>
        <v/>
      </c>
      <c r="J260" s="5" t="n"/>
    </row>
    <row r="261">
      <c r="A261" s="5" t="n"/>
      <c r="B261" s="5" t="n"/>
      <c r="C261" s="5" t="n"/>
      <c r="D261" s="5" t="n"/>
      <c r="E261" s="18" t="n"/>
      <c r="F261" s="21" t="n"/>
      <c r="G261" s="21" t="n"/>
      <c r="H261" s="21" t="n"/>
      <c r="I261" s="22">
        <f>IF(OR(G261="",H261=""),"",H261-G261)</f>
        <v/>
      </c>
      <c r="J261" s="5" t="n"/>
    </row>
    <row r="262">
      <c r="A262" s="5" t="n"/>
      <c r="B262" s="5" t="n"/>
      <c r="C262" s="5" t="n"/>
      <c r="D262" s="5" t="n"/>
      <c r="E262" s="18" t="n"/>
      <c r="F262" s="21" t="n"/>
      <c r="G262" s="21" t="n"/>
      <c r="H262" s="21" t="n"/>
      <c r="I262" s="22">
        <f>IF(OR(G262="",H262=""),"",H262-G262)</f>
        <v/>
      </c>
      <c r="J262" s="5" t="n"/>
    </row>
    <row r="263">
      <c r="A263" s="5" t="n"/>
      <c r="B263" s="5" t="n"/>
      <c r="C263" s="5" t="n"/>
      <c r="D263" s="5" t="n"/>
      <c r="E263" s="18" t="n"/>
      <c r="F263" s="21" t="n"/>
      <c r="G263" s="21" t="n"/>
      <c r="H263" s="21" t="n"/>
      <c r="I263" s="22">
        <f>IF(OR(G263="",H263=""),"",H263-G263)</f>
        <v/>
      </c>
      <c r="J263" s="5" t="n"/>
    </row>
    <row r="264">
      <c r="A264" s="5" t="n"/>
      <c r="B264" s="5" t="n"/>
      <c r="C264" s="5" t="n"/>
      <c r="D264" s="5" t="n"/>
      <c r="E264" s="18" t="n"/>
      <c r="F264" s="21" t="n"/>
      <c r="G264" s="21" t="n"/>
      <c r="H264" s="21" t="n"/>
      <c r="I264" s="22">
        <f>IF(OR(G264="",H264=""),"",H264-G264)</f>
        <v/>
      </c>
      <c r="J264" s="5" t="n"/>
    </row>
    <row r="265">
      <c r="A265" s="5" t="n"/>
      <c r="B265" s="5" t="n"/>
      <c r="C265" s="5" t="n"/>
      <c r="D265" s="5" t="n"/>
      <c r="E265" s="18" t="n"/>
      <c r="F265" s="21" t="n"/>
      <c r="G265" s="21" t="n"/>
      <c r="H265" s="21" t="n"/>
      <c r="I265" s="22">
        <f>IF(OR(G265="",H265=""),"",H265-G265)</f>
        <v/>
      </c>
      <c r="J265" s="5" t="n"/>
    </row>
    <row r="266">
      <c r="A266" s="5" t="n"/>
      <c r="B266" s="5" t="n"/>
      <c r="C266" s="5" t="n"/>
      <c r="D266" s="5" t="n"/>
      <c r="E266" s="18" t="n"/>
      <c r="F266" s="21" t="n"/>
      <c r="G266" s="21" t="n"/>
      <c r="H266" s="21" t="n"/>
      <c r="I266" s="22">
        <f>IF(OR(G266="",H266=""),"",H266-G266)</f>
        <v/>
      </c>
      <c r="J266" s="5" t="n"/>
    </row>
    <row r="267">
      <c r="A267" s="5" t="n"/>
      <c r="B267" s="5" t="n"/>
      <c r="C267" s="5" t="n"/>
      <c r="D267" s="5" t="n"/>
      <c r="E267" s="18" t="n"/>
      <c r="F267" s="21" t="n"/>
      <c r="G267" s="21" t="n"/>
      <c r="H267" s="21" t="n"/>
      <c r="I267" s="22">
        <f>IF(OR(G267="",H267=""),"",H267-G267)</f>
        <v/>
      </c>
      <c r="J267" s="5" t="n"/>
    </row>
    <row r="268">
      <c r="A268" s="5" t="n"/>
      <c r="B268" s="5" t="n"/>
      <c r="C268" s="5" t="n"/>
      <c r="D268" s="5" t="n"/>
      <c r="E268" s="18" t="n"/>
      <c r="F268" s="21" t="n"/>
      <c r="G268" s="21" t="n"/>
      <c r="H268" s="21" t="n"/>
      <c r="I268" s="22">
        <f>IF(OR(G268="",H268=""),"",H268-G268)</f>
        <v/>
      </c>
      <c r="J268" s="5" t="n"/>
    </row>
    <row r="269">
      <c r="A269" s="5" t="n"/>
      <c r="B269" s="5" t="n"/>
      <c r="C269" s="5" t="n"/>
      <c r="D269" s="5" t="n"/>
      <c r="E269" s="18" t="n"/>
      <c r="F269" s="21" t="n"/>
      <c r="G269" s="21" t="n"/>
      <c r="H269" s="21" t="n"/>
      <c r="I269" s="22">
        <f>IF(OR(G269="",H269=""),"",H269-G269)</f>
        <v/>
      </c>
      <c r="J269" s="5" t="n"/>
    </row>
    <row r="270">
      <c r="A270" s="5" t="n"/>
      <c r="B270" s="5" t="n"/>
      <c r="C270" s="5" t="n"/>
      <c r="D270" s="5" t="n"/>
      <c r="E270" s="18" t="n"/>
      <c r="F270" s="21" t="n"/>
      <c r="G270" s="21" t="n"/>
      <c r="H270" s="21" t="n"/>
      <c r="I270" s="22">
        <f>IF(OR(G270="",H270=""),"",H270-G270)</f>
        <v/>
      </c>
      <c r="J270" s="5" t="n"/>
    </row>
    <row r="271">
      <c r="A271" s="5" t="n"/>
      <c r="B271" s="5" t="n"/>
      <c r="C271" s="5" t="n"/>
      <c r="D271" s="5" t="n"/>
      <c r="E271" s="18" t="n"/>
      <c r="F271" s="21" t="n"/>
      <c r="G271" s="21" t="n"/>
      <c r="H271" s="21" t="n"/>
      <c r="I271" s="22">
        <f>IF(OR(G271="",H271=""),"",H271-G271)</f>
        <v/>
      </c>
      <c r="J271" s="5" t="n"/>
    </row>
    <row r="272">
      <c r="A272" s="5" t="n"/>
      <c r="B272" s="5" t="n"/>
      <c r="C272" s="5" t="n"/>
      <c r="D272" s="5" t="n"/>
      <c r="E272" s="18" t="n"/>
      <c r="F272" s="21" t="n"/>
      <c r="G272" s="21" t="n"/>
      <c r="H272" s="21" t="n"/>
      <c r="I272" s="22">
        <f>IF(OR(G272="",H272=""),"",H272-G272)</f>
        <v/>
      </c>
      <c r="J272" s="5" t="n"/>
    </row>
    <row r="273">
      <c r="A273" s="5" t="n"/>
      <c r="B273" s="5" t="n"/>
      <c r="C273" s="5" t="n"/>
      <c r="D273" s="5" t="n"/>
      <c r="E273" s="18" t="n"/>
      <c r="F273" s="21" t="n"/>
      <c r="G273" s="21" t="n"/>
      <c r="H273" s="21" t="n"/>
      <c r="I273" s="22">
        <f>IF(OR(G273="",H273=""),"",H273-G273)</f>
        <v/>
      </c>
      <c r="J273" s="5" t="n"/>
    </row>
    <row r="274">
      <c r="A274" s="5" t="n"/>
      <c r="B274" s="5" t="n"/>
      <c r="C274" s="5" t="n"/>
      <c r="D274" s="5" t="n"/>
      <c r="E274" s="18" t="n"/>
      <c r="F274" s="21" t="n"/>
      <c r="G274" s="21" t="n"/>
      <c r="H274" s="21" t="n"/>
      <c r="I274" s="22">
        <f>IF(OR(G274="",H274=""),"",H274-G274)</f>
        <v/>
      </c>
      <c r="J274" s="5" t="n"/>
    </row>
    <row r="275">
      <c r="A275" s="5" t="n"/>
      <c r="B275" s="5" t="n"/>
      <c r="C275" s="5" t="n"/>
      <c r="D275" s="5" t="n"/>
      <c r="E275" s="18" t="n"/>
      <c r="F275" s="21" t="n"/>
      <c r="G275" s="21" t="n"/>
      <c r="H275" s="21" t="n"/>
      <c r="I275" s="22">
        <f>IF(OR(G275="",H275=""),"",H275-G275)</f>
        <v/>
      </c>
      <c r="J275" s="5" t="n"/>
    </row>
    <row r="276">
      <c r="A276" s="5" t="n"/>
      <c r="B276" s="5" t="n"/>
      <c r="C276" s="5" t="n"/>
      <c r="D276" s="5" t="n"/>
      <c r="E276" s="18" t="n"/>
      <c r="F276" s="21" t="n"/>
      <c r="G276" s="21" t="n"/>
      <c r="H276" s="21" t="n"/>
      <c r="I276" s="22">
        <f>IF(OR(G276="",H276=""),"",H276-G276)</f>
        <v/>
      </c>
      <c r="J276" s="5" t="n"/>
    </row>
    <row r="277">
      <c r="A277" s="5" t="n"/>
      <c r="B277" s="5" t="n"/>
      <c r="C277" s="5" t="n"/>
      <c r="D277" s="5" t="n"/>
      <c r="E277" s="18" t="n"/>
      <c r="F277" s="21" t="n"/>
      <c r="G277" s="21" t="n"/>
      <c r="H277" s="21" t="n"/>
      <c r="I277" s="22">
        <f>IF(OR(G277="",H277=""),"",H277-G277)</f>
        <v/>
      </c>
      <c r="J277" s="5" t="n"/>
    </row>
    <row r="278">
      <c r="A278" s="5" t="n"/>
      <c r="B278" s="5" t="n"/>
      <c r="C278" s="5" t="n"/>
      <c r="D278" s="5" t="n"/>
      <c r="E278" s="18" t="n"/>
      <c r="F278" s="21" t="n"/>
      <c r="G278" s="21" t="n"/>
      <c r="H278" s="21" t="n"/>
      <c r="I278" s="22">
        <f>IF(OR(G278="",H278=""),"",H278-G278)</f>
        <v/>
      </c>
      <c r="J278" s="5" t="n"/>
    </row>
    <row r="279">
      <c r="A279" s="5" t="n"/>
      <c r="B279" s="5" t="n"/>
      <c r="C279" s="5" t="n"/>
      <c r="D279" s="5" t="n"/>
      <c r="E279" s="18" t="n"/>
      <c r="F279" s="21" t="n"/>
      <c r="G279" s="21" t="n"/>
      <c r="H279" s="21" t="n"/>
      <c r="I279" s="22">
        <f>IF(OR(G279="",H279=""),"",H279-G279)</f>
        <v/>
      </c>
      <c r="J279" s="5" t="n"/>
    </row>
    <row r="280">
      <c r="A280" s="5" t="n"/>
      <c r="B280" s="5" t="n"/>
      <c r="C280" s="5" t="n"/>
      <c r="D280" s="5" t="n"/>
      <c r="E280" s="18" t="n"/>
      <c r="F280" s="21" t="n"/>
      <c r="G280" s="21" t="n"/>
      <c r="H280" s="21" t="n"/>
      <c r="I280" s="22">
        <f>IF(OR(G280="",H280=""),"",H280-G280)</f>
        <v/>
      </c>
      <c r="J280" s="5" t="n"/>
    </row>
    <row r="281">
      <c r="A281" s="5" t="n"/>
      <c r="B281" s="5" t="n"/>
      <c r="C281" s="5" t="n"/>
      <c r="D281" s="5" t="n"/>
      <c r="E281" s="18" t="n"/>
      <c r="F281" s="21" t="n"/>
      <c r="G281" s="21" t="n"/>
      <c r="H281" s="21" t="n"/>
      <c r="I281" s="22">
        <f>IF(OR(G281="",H281=""),"",H281-G281)</f>
        <v/>
      </c>
      <c r="J281" s="5" t="n"/>
    </row>
    <row r="282">
      <c r="A282" s="5" t="n"/>
      <c r="B282" s="5" t="n"/>
      <c r="C282" s="5" t="n"/>
      <c r="D282" s="5" t="n"/>
      <c r="E282" s="18" t="n"/>
      <c r="F282" s="21" t="n"/>
      <c r="G282" s="21" t="n"/>
      <c r="H282" s="21" t="n"/>
      <c r="I282" s="22">
        <f>IF(OR(G282="",H282=""),"",H282-G282)</f>
        <v/>
      </c>
      <c r="J282" s="5" t="n"/>
    </row>
    <row r="283">
      <c r="A283" s="5" t="n"/>
      <c r="B283" s="5" t="n"/>
      <c r="C283" s="5" t="n"/>
      <c r="D283" s="5" t="n"/>
      <c r="E283" s="18" t="n"/>
      <c r="F283" s="21" t="n"/>
      <c r="G283" s="21" t="n"/>
      <c r="H283" s="21" t="n"/>
      <c r="I283" s="22">
        <f>IF(OR(G283="",H283=""),"",H283-G283)</f>
        <v/>
      </c>
      <c r="J283" s="5" t="n"/>
    </row>
    <row r="284">
      <c r="A284" s="5" t="n"/>
      <c r="B284" s="5" t="n"/>
      <c r="C284" s="5" t="n"/>
      <c r="D284" s="5" t="n"/>
      <c r="E284" s="18" t="n"/>
      <c r="F284" s="21" t="n"/>
      <c r="G284" s="21" t="n"/>
      <c r="H284" s="21" t="n"/>
      <c r="I284" s="22">
        <f>IF(OR(G284="",H284=""),"",H284-G284)</f>
        <v/>
      </c>
      <c r="J284" s="5" t="n"/>
    </row>
    <row r="285">
      <c r="A285" s="5" t="n"/>
      <c r="B285" s="5" t="n"/>
      <c r="C285" s="5" t="n"/>
      <c r="D285" s="5" t="n"/>
      <c r="E285" s="18" t="n"/>
      <c r="F285" s="21" t="n"/>
      <c r="G285" s="21" t="n"/>
      <c r="H285" s="21" t="n"/>
      <c r="I285" s="22">
        <f>IF(OR(G285="",H285=""),"",H285-G285)</f>
        <v/>
      </c>
      <c r="J285" s="5" t="n"/>
    </row>
    <row r="286">
      <c r="A286" s="5" t="n"/>
      <c r="B286" s="5" t="n"/>
      <c r="C286" s="5" t="n"/>
      <c r="D286" s="5" t="n"/>
      <c r="E286" s="18" t="n"/>
      <c r="F286" s="21" t="n"/>
      <c r="G286" s="21" t="n"/>
      <c r="H286" s="21" t="n"/>
      <c r="I286" s="22">
        <f>IF(OR(G286="",H286=""),"",H286-G286)</f>
        <v/>
      </c>
      <c r="J286" s="5" t="n"/>
    </row>
    <row r="287">
      <c r="A287" s="5" t="n"/>
      <c r="B287" s="5" t="n"/>
      <c r="C287" s="5" t="n"/>
      <c r="D287" s="5" t="n"/>
      <c r="E287" s="18" t="n"/>
      <c r="F287" s="21" t="n"/>
      <c r="G287" s="21" t="n"/>
      <c r="H287" s="21" t="n"/>
      <c r="I287" s="22">
        <f>IF(OR(G287="",H287=""),"",H287-G287)</f>
        <v/>
      </c>
      <c r="J287" s="5" t="n"/>
    </row>
    <row r="288">
      <c r="A288" s="5" t="n"/>
      <c r="B288" s="5" t="n"/>
      <c r="C288" s="5" t="n"/>
      <c r="D288" s="5" t="n"/>
      <c r="E288" s="18" t="n"/>
      <c r="F288" s="21" t="n"/>
      <c r="G288" s="21" t="n"/>
      <c r="H288" s="21" t="n"/>
      <c r="I288" s="22">
        <f>IF(OR(G288="",H288=""),"",H288-G288)</f>
        <v/>
      </c>
      <c r="J288" s="5" t="n"/>
    </row>
    <row r="289">
      <c r="A289" s="5" t="n"/>
      <c r="B289" s="5" t="n"/>
      <c r="C289" s="5" t="n"/>
      <c r="D289" s="5" t="n"/>
      <c r="E289" s="18" t="n"/>
      <c r="F289" s="21" t="n"/>
      <c r="G289" s="21" t="n"/>
      <c r="H289" s="21" t="n"/>
      <c r="I289" s="22">
        <f>IF(OR(G289="",H289=""),"",H289-G289)</f>
        <v/>
      </c>
      <c r="J289" s="5" t="n"/>
    </row>
    <row r="290">
      <c r="A290" s="5" t="n"/>
      <c r="B290" s="5" t="n"/>
      <c r="C290" s="5" t="n"/>
      <c r="D290" s="5" t="n"/>
      <c r="E290" s="18" t="n"/>
      <c r="F290" s="21" t="n"/>
      <c r="G290" s="21" t="n"/>
      <c r="H290" s="21" t="n"/>
      <c r="I290" s="22">
        <f>IF(OR(G290="",H290=""),"",H290-G290)</f>
        <v/>
      </c>
      <c r="J290" s="5" t="n"/>
    </row>
    <row r="291">
      <c r="A291" s="5" t="n"/>
      <c r="B291" s="5" t="n"/>
      <c r="C291" s="5" t="n"/>
      <c r="D291" s="5" t="n"/>
      <c r="E291" s="18" t="n"/>
      <c r="F291" s="21" t="n"/>
      <c r="G291" s="21" t="n"/>
      <c r="H291" s="21" t="n"/>
      <c r="I291" s="22">
        <f>IF(OR(G291="",H291=""),"",H291-G291)</f>
        <v/>
      </c>
      <c r="J291" s="5" t="n"/>
    </row>
    <row r="292">
      <c r="A292" s="5" t="n"/>
      <c r="B292" s="5" t="n"/>
      <c r="C292" s="5" t="n"/>
      <c r="D292" s="5" t="n"/>
      <c r="E292" s="18" t="n"/>
      <c r="F292" s="21" t="n"/>
      <c r="G292" s="21" t="n"/>
      <c r="H292" s="21" t="n"/>
      <c r="I292" s="22">
        <f>IF(OR(G292="",H292=""),"",H292-G292)</f>
        <v/>
      </c>
      <c r="J292" s="5" t="n"/>
    </row>
    <row r="293">
      <c r="A293" s="5" t="n"/>
      <c r="B293" s="5" t="n"/>
      <c r="C293" s="5" t="n"/>
      <c r="D293" s="5" t="n"/>
      <c r="E293" s="18" t="n"/>
      <c r="F293" s="21" t="n"/>
      <c r="G293" s="21" t="n"/>
      <c r="H293" s="21" t="n"/>
      <c r="I293" s="22">
        <f>IF(OR(G293="",H293=""),"",H293-G293)</f>
        <v/>
      </c>
      <c r="J293" s="5" t="n"/>
    </row>
    <row r="294">
      <c r="A294" s="5" t="n"/>
      <c r="B294" s="5" t="n"/>
      <c r="C294" s="5" t="n"/>
      <c r="D294" s="5" t="n"/>
      <c r="E294" s="18" t="n"/>
      <c r="F294" s="21" t="n"/>
      <c r="G294" s="21" t="n"/>
      <c r="H294" s="21" t="n"/>
      <c r="I294" s="22">
        <f>IF(OR(G294="",H294=""),"",H294-G294)</f>
        <v/>
      </c>
      <c r="J294" s="5" t="n"/>
    </row>
    <row r="295">
      <c r="A295" s="5" t="n"/>
      <c r="B295" s="5" t="n"/>
      <c r="C295" s="5" t="n"/>
      <c r="D295" s="5" t="n"/>
      <c r="E295" s="18" t="n"/>
      <c r="F295" s="21" t="n"/>
      <c r="G295" s="21" t="n"/>
      <c r="H295" s="21" t="n"/>
      <c r="I295" s="22">
        <f>IF(OR(G295="",H295=""),"",H295-G295)</f>
        <v/>
      </c>
      <c r="J295" s="5" t="n"/>
    </row>
    <row r="296">
      <c r="A296" s="5" t="n"/>
      <c r="B296" s="5" t="n"/>
      <c r="C296" s="5" t="n"/>
      <c r="D296" s="5" t="n"/>
      <c r="E296" s="18" t="n"/>
      <c r="F296" s="21" t="n"/>
      <c r="G296" s="21" t="n"/>
      <c r="H296" s="21" t="n"/>
      <c r="I296" s="22">
        <f>IF(OR(G296="",H296=""),"",H296-G296)</f>
        <v/>
      </c>
      <c r="J296" s="5" t="n"/>
    </row>
    <row r="297">
      <c r="A297" s="5" t="n"/>
      <c r="B297" s="5" t="n"/>
      <c r="C297" s="5" t="n"/>
      <c r="D297" s="5" t="n"/>
      <c r="E297" s="18" t="n"/>
      <c r="F297" s="21" t="n"/>
      <c r="G297" s="21" t="n"/>
      <c r="H297" s="21" t="n"/>
      <c r="I297" s="22">
        <f>IF(OR(G297="",H297=""),"",H297-G297)</f>
        <v/>
      </c>
      <c r="J297" s="5" t="n"/>
    </row>
    <row r="298">
      <c r="A298" s="5" t="n"/>
      <c r="B298" s="5" t="n"/>
      <c r="C298" s="5" t="n"/>
      <c r="D298" s="5" t="n"/>
      <c r="E298" s="18" t="n"/>
      <c r="F298" s="21" t="n"/>
      <c r="G298" s="21" t="n"/>
      <c r="H298" s="21" t="n"/>
      <c r="I298" s="22">
        <f>IF(OR(G298="",H298=""),"",H298-G298)</f>
        <v/>
      </c>
      <c r="J298" s="5" t="n"/>
    </row>
    <row r="299">
      <c r="A299" s="5" t="n"/>
      <c r="B299" s="5" t="n"/>
      <c r="C299" s="5" t="n"/>
      <c r="D299" s="5" t="n"/>
      <c r="E299" s="18" t="n"/>
      <c r="F299" s="21" t="n"/>
      <c r="G299" s="21" t="n"/>
      <c r="H299" s="21" t="n"/>
      <c r="I299" s="22">
        <f>IF(OR(G299="",H299=""),"",H299-G299)</f>
        <v/>
      </c>
      <c r="J299" s="5" t="n"/>
    </row>
    <row r="300">
      <c r="A300" s="5" t="n"/>
      <c r="B300" s="5" t="n"/>
      <c r="C300" s="5" t="n"/>
      <c r="D300" s="5" t="n"/>
      <c r="E300" s="18" t="n"/>
      <c r="F300" s="21" t="n"/>
      <c r="G300" s="21" t="n"/>
      <c r="H300" s="21" t="n"/>
      <c r="I300" s="22">
        <f>IF(OR(G300="",H300=""),"",H300-G300)</f>
        <v/>
      </c>
      <c r="J300" s="5" t="n"/>
    </row>
    <row r="301">
      <c r="A301" s="5" t="n"/>
      <c r="B301" s="5" t="n"/>
      <c r="C301" s="5" t="n"/>
      <c r="D301" s="5" t="n"/>
      <c r="E301" s="18" t="n"/>
      <c r="F301" s="21" t="n"/>
      <c r="G301" s="21" t="n"/>
      <c r="H301" s="21" t="n"/>
      <c r="I301" s="22">
        <f>IF(OR(G301="",H301=""),"",H301-G301)</f>
        <v/>
      </c>
      <c r="J301" s="5" t="n"/>
    </row>
    <row r="302">
      <c r="A302" s="5" t="n"/>
      <c r="B302" s="5" t="n"/>
      <c r="C302" s="5" t="n"/>
      <c r="D302" s="5" t="n"/>
      <c r="E302" s="18" t="n"/>
      <c r="F302" s="21" t="n"/>
      <c r="G302" s="21" t="n"/>
      <c r="H302" s="21" t="n"/>
      <c r="I302" s="22">
        <f>IF(OR(G302="",H302=""),"",H302-G302)</f>
        <v/>
      </c>
      <c r="J302" s="5" t="n"/>
    </row>
    <row r="303">
      <c r="A303" s="5" t="n"/>
      <c r="B303" s="5" t="n"/>
      <c r="C303" s="5" t="n"/>
      <c r="D303" s="5" t="n"/>
      <c r="E303" s="18" t="n"/>
      <c r="F303" s="21" t="n"/>
      <c r="G303" s="21" t="n"/>
      <c r="H303" s="21" t="n"/>
      <c r="I303" s="22">
        <f>IF(OR(G303="",H303=""),"",H303-G303)</f>
        <v/>
      </c>
      <c r="J303" s="5" t="n"/>
    </row>
    <row r="304">
      <c r="A304" s="5" t="n"/>
      <c r="B304" s="5" t="n"/>
      <c r="C304" s="5" t="n"/>
      <c r="D304" s="5" t="n"/>
      <c r="E304" s="18" t="n"/>
      <c r="F304" s="21" t="n"/>
      <c r="G304" s="21" t="n"/>
      <c r="H304" s="21" t="n"/>
      <c r="I304" s="22">
        <f>IF(OR(G304="",H304=""),"",H304-G304)</f>
        <v/>
      </c>
      <c r="J304" s="5" t="n"/>
    </row>
    <row r="305">
      <c r="A305" s="5" t="n"/>
      <c r="B305" s="5" t="n"/>
      <c r="C305" s="5" t="n"/>
      <c r="D305" s="5" t="n"/>
      <c r="E305" s="18" t="n"/>
      <c r="F305" s="21" t="n"/>
      <c r="G305" s="21" t="n"/>
      <c r="H305" s="21" t="n"/>
      <c r="I305" s="22">
        <f>IF(OR(G305="",H305=""),"",H305-G305)</f>
        <v/>
      </c>
      <c r="J305" s="5" t="n"/>
    </row>
    <row r="306">
      <c r="A306" s="5" t="n"/>
      <c r="B306" s="5" t="n"/>
      <c r="C306" s="5" t="n"/>
      <c r="D306" s="5" t="n"/>
      <c r="E306" s="18" t="n"/>
      <c r="F306" s="21" t="n"/>
      <c r="G306" s="21" t="n"/>
      <c r="H306" s="21" t="n"/>
      <c r="I306" s="22">
        <f>IF(OR(G306="",H306=""),"",H306-G306)</f>
        <v/>
      </c>
      <c r="J306" s="5" t="n"/>
    </row>
    <row r="307">
      <c r="A307" s="5" t="n"/>
      <c r="B307" s="5" t="n"/>
      <c r="C307" s="5" t="n"/>
      <c r="D307" s="5" t="n"/>
      <c r="E307" s="18" t="n"/>
      <c r="F307" s="21" t="n"/>
      <c r="G307" s="21" t="n"/>
      <c r="H307" s="21" t="n"/>
      <c r="I307" s="22">
        <f>IF(OR(G307="",H307=""),"",H307-G307)</f>
        <v/>
      </c>
      <c r="J307" s="5" t="n"/>
    </row>
    <row r="308">
      <c r="A308" s="5" t="n"/>
      <c r="B308" s="5" t="n"/>
      <c r="C308" s="5" t="n"/>
      <c r="D308" s="5" t="n"/>
      <c r="E308" s="18" t="n"/>
      <c r="F308" s="21" t="n"/>
      <c r="G308" s="21" t="n"/>
      <c r="H308" s="21" t="n"/>
      <c r="I308" s="22">
        <f>IF(OR(G308="",H308=""),"",H308-G308)</f>
        <v/>
      </c>
      <c r="J308" s="5" t="n"/>
    </row>
    <row r="309">
      <c r="A309" s="5" t="n"/>
      <c r="B309" s="5" t="n"/>
      <c r="C309" s="5" t="n"/>
      <c r="D309" s="5" t="n"/>
      <c r="E309" s="18" t="n"/>
      <c r="F309" s="21" t="n"/>
      <c r="G309" s="21" t="n"/>
      <c r="H309" s="21" t="n"/>
      <c r="I309" s="22">
        <f>IF(OR(G309="",H309=""),"",H309-G309)</f>
        <v/>
      </c>
      <c r="J309" s="5" t="n"/>
    </row>
    <row r="310">
      <c r="A310" s="5" t="n"/>
      <c r="B310" s="5" t="n"/>
      <c r="C310" s="5" t="n"/>
      <c r="D310" s="5" t="n"/>
      <c r="E310" s="18" t="n"/>
      <c r="F310" s="21" t="n"/>
      <c r="G310" s="21" t="n"/>
      <c r="H310" s="21" t="n"/>
      <c r="I310" s="22">
        <f>IF(OR(G310="",H310=""),"",H310-G310)</f>
        <v/>
      </c>
      <c r="J310" s="5" t="n"/>
    </row>
    <row r="311">
      <c r="A311" s="5" t="n"/>
      <c r="B311" s="5" t="n"/>
      <c r="C311" s="5" t="n"/>
      <c r="D311" s="5" t="n"/>
      <c r="E311" s="18" t="n"/>
      <c r="F311" s="21" t="n"/>
      <c r="G311" s="21" t="n"/>
      <c r="H311" s="21" t="n"/>
      <c r="I311" s="22">
        <f>IF(OR(G311="",H311=""),"",H311-G311)</f>
        <v/>
      </c>
      <c r="J311" s="5" t="n"/>
    </row>
    <row r="312">
      <c r="A312" s="5" t="n"/>
      <c r="B312" s="5" t="n"/>
      <c r="C312" s="5" t="n"/>
      <c r="D312" s="5" t="n"/>
      <c r="E312" s="18" t="n"/>
      <c r="F312" s="21" t="n"/>
      <c r="G312" s="21" t="n"/>
      <c r="H312" s="21" t="n"/>
      <c r="I312" s="22">
        <f>IF(OR(G312="",H312=""),"",H312-G312)</f>
        <v/>
      </c>
      <c r="J312" s="5" t="n"/>
    </row>
    <row r="313">
      <c r="A313" s="5" t="n"/>
      <c r="B313" s="5" t="n"/>
      <c r="C313" s="5" t="n"/>
      <c r="D313" s="5" t="n"/>
      <c r="E313" s="18" t="n"/>
      <c r="F313" s="21" t="n"/>
      <c r="G313" s="21" t="n"/>
      <c r="H313" s="21" t="n"/>
      <c r="I313" s="22">
        <f>IF(OR(G313="",H313=""),"",H313-G313)</f>
        <v/>
      </c>
      <c r="J313" s="5" t="n"/>
    </row>
    <row r="314">
      <c r="A314" s="5" t="n"/>
      <c r="B314" s="5" t="n"/>
      <c r="C314" s="5" t="n"/>
      <c r="D314" s="5" t="n"/>
      <c r="E314" s="18" t="n"/>
      <c r="F314" s="21" t="n"/>
      <c r="G314" s="21" t="n"/>
      <c r="H314" s="21" t="n"/>
      <c r="I314" s="22">
        <f>IF(OR(G314="",H314=""),"",H314-G314)</f>
        <v/>
      </c>
      <c r="J314" s="5" t="n"/>
    </row>
    <row r="315">
      <c r="A315" s="5" t="n"/>
      <c r="B315" s="5" t="n"/>
      <c r="C315" s="5" t="n"/>
      <c r="D315" s="5" t="n"/>
      <c r="E315" s="18" t="n"/>
      <c r="F315" s="21" t="n"/>
      <c r="G315" s="21" t="n"/>
      <c r="H315" s="21" t="n"/>
      <c r="I315" s="22">
        <f>IF(OR(G315="",H315=""),"",H315-G315)</f>
        <v/>
      </c>
      <c r="J315" s="5" t="n"/>
    </row>
    <row r="316">
      <c r="A316" s="5" t="n"/>
      <c r="B316" s="5" t="n"/>
      <c r="C316" s="5" t="n"/>
      <c r="D316" s="5" t="n"/>
      <c r="E316" s="18" t="n"/>
      <c r="F316" s="21" t="n"/>
      <c r="G316" s="21" t="n"/>
      <c r="H316" s="21" t="n"/>
      <c r="I316" s="22">
        <f>IF(OR(G316="",H316=""),"",H316-G316)</f>
        <v/>
      </c>
      <c r="J316" s="5" t="n"/>
    </row>
    <row r="317">
      <c r="A317" s="5" t="n"/>
      <c r="B317" s="5" t="n"/>
      <c r="C317" s="5" t="n"/>
      <c r="D317" s="5" t="n"/>
      <c r="E317" s="18" t="n"/>
      <c r="F317" s="21" t="n"/>
      <c r="G317" s="21" t="n"/>
      <c r="H317" s="21" t="n"/>
      <c r="I317" s="22">
        <f>IF(OR(G317="",H317=""),"",H317-G317)</f>
        <v/>
      </c>
      <c r="J317" s="5" t="n"/>
    </row>
    <row r="318">
      <c r="A318" s="5" t="n"/>
      <c r="B318" s="5" t="n"/>
      <c r="C318" s="5" t="n"/>
      <c r="D318" s="5" t="n"/>
      <c r="E318" s="18" t="n"/>
      <c r="F318" s="21" t="n"/>
      <c r="G318" s="21" t="n"/>
      <c r="H318" s="21" t="n"/>
      <c r="I318" s="22">
        <f>IF(OR(G318="",H318=""),"",H318-G318)</f>
        <v/>
      </c>
      <c r="J318" s="5" t="n"/>
    </row>
    <row r="319">
      <c r="A319" s="5" t="n"/>
      <c r="B319" s="5" t="n"/>
      <c r="C319" s="5" t="n"/>
      <c r="D319" s="5" t="n"/>
      <c r="E319" s="18" t="n"/>
      <c r="F319" s="21" t="n"/>
      <c r="G319" s="21" t="n"/>
      <c r="H319" s="21" t="n"/>
      <c r="I319" s="22">
        <f>IF(OR(G319="",H319=""),"",H319-G319)</f>
        <v/>
      </c>
      <c r="J319" s="5" t="n"/>
    </row>
    <row r="320">
      <c r="A320" s="5" t="n"/>
      <c r="B320" s="5" t="n"/>
      <c r="C320" s="5" t="n"/>
      <c r="D320" s="5" t="n"/>
      <c r="E320" s="18" t="n"/>
      <c r="F320" s="21" t="n"/>
      <c r="G320" s="21" t="n"/>
      <c r="H320" s="21" t="n"/>
      <c r="I320" s="22">
        <f>IF(OR(G320="",H320=""),"",H320-G320)</f>
        <v/>
      </c>
      <c r="J320" s="5" t="n"/>
    </row>
    <row r="321">
      <c r="A321" s="5" t="n"/>
      <c r="B321" s="5" t="n"/>
      <c r="C321" s="5" t="n"/>
      <c r="D321" s="5" t="n"/>
      <c r="E321" s="18" t="n"/>
      <c r="F321" s="21" t="n"/>
      <c r="G321" s="21" t="n"/>
      <c r="H321" s="21" t="n"/>
      <c r="I321" s="22">
        <f>IF(OR(G321="",H321=""),"",H321-G321)</f>
        <v/>
      </c>
      <c r="J321" s="5" t="n"/>
    </row>
    <row r="322">
      <c r="A322" s="5" t="n"/>
      <c r="B322" s="5" t="n"/>
      <c r="C322" s="5" t="n"/>
      <c r="D322" s="5" t="n"/>
      <c r="E322" s="18" t="n"/>
      <c r="F322" s="21" t="n"/>
      <c r="G322" s="21" t="n"/>
      <c r="H322" s="21" t="n"/>
      <c r="I322" s="22">
        <f>IF(OR(G322="",H322=""),"",H322-G322)</f>
        <v/>
      </c>
      <c r="J322" s="5" t="n"/>
    </row>
    <row r="323">
      <c r="A323" s="5" t="n"/>
      <c r="B323" s="5" t="n"/>
      <c r="C323" s="5" t="n"/>
      <c r="D323" s="5" t="n"/>
      <c r="E323" s="18" t="n"/>
      <c r="F323" s="21" t="n"/>
      <c r="G323" s="21" t="n"/>
      <c r="H323" s="21" t="n"/>
      <c r="I323" s="22">
        <f>IF(OR(G323="",H323=""),"",H323-G323)</f>
        <v/>
      </c>
      <c r="J323" s="5" t="n"/>
    </row>
    <row r="324">
      <c r="A324" s="5" t="n"/>
      <c r="B324" s="5" t="n"/>
      <c r="C324" s="5" t="n"/>
      <c r="D324" s="5" t="n"/>
      <c r="E324" s="18" t="n"/>
      <c r="F324" s="21" t="n"/>
      <c r="G324" s="21" t="n"/>
      <c r="H324" s="21" t="n"/>
      <c r="I324" s="22">
        <f>IF(OR(G324="",H324=""),"",H324-G324)</f>
        <v/>
      </c>
      <c r="J324" s="5" t="n"/>
    </row>
    <row r="325">
      <c r="A325" s="5" t="n"/>
      <c r="B325" s="5" t="n"/>
      <c r="C325" s="5" t="n"/>
      <c r="D325" s="5" t="n"/>
      <c r="E325" s="18" t="n"/>
      <c r="F325" s="21" t="n"/>
      <c r="G325" s="21" t="n"/>
      <c r="H325" s="21" t="n"/>
      <c r="I325" s="22">
        <f>IF(OR(G325="",H325=""),"",H325-G325)</f>
        <v/>
      </c>
      <c r="J325" s="5" t="n"/>
    </row>
    <row r="326">
      <c r="A326" s="5" t="n"/>
      <c r="B326" s="5" t="n"/>
      <c r="C326" s="5" t="n"/>
      <c r="D326" s="5" t="n"/>
      <c r="E326" s="18" t="n"/>
      <c r="F326" s="21" t="n"/>
      <c r="G326" s="21" t="n"/>
      <c r="H326" s="21" t="n"/>
      <c r="I326" s="22">
        <f>IF(OR(G326="",H326=""),"",H326-G326)</f>
        <v/>
      </c>
      <c r="J326" s="5" t="n"/>
    </row>
    <row r="327">
      <c r="A327" s="5" t="n"/>
      <c r="B327" s="5" t="n"/>
      <c r="C327" s="5" t="n"/>
      <c r="D327" s="5" t="n"/>
      <c r="E327" s="18" t="n"/>
      <c r="F327" s="21" t="n"/>
      <c r="G327" s="21" t="n"/>
      <c r="H327" s="21" t="n"/>
      <c r="I327" s="22">
        <f>IF(OR(G327="",H327=""),"",H327-G327)</f>
        <v/>
      </c>
      <c r="J327" s="5" t="n"/>
    </row>
    <row r="328">
      <c r="A328" s="5" t="n"/>
      <c r="B328" s="5" t="n"/>
      <c r="C328" s="5" t="n"/>
      <c r="D328" s="5" t="n"/>
      <c r="E328" s="18" t="n"/>
      <c r="F328" s="21" t="n"/>
      <c r="G328" s="21" t="n"/>
      <c r="H328" s="21" t="n"/>
      <c r="I328" s="22">
        <f>IF(OR(G328="",H328=""),"",H328-G328)</f>
        <v/>
      </c>
      <c r="J328" s="5" t="n"/>
    </row>
    <row r="329">
      <c r="A329" s="5" t="n"/>
      <c r="B329" s="5" t="n"/>
      <c r="C329" s="5" t="n"/>
      <c r="D329" s="5" t="n"/>
      <c r="E329" s="18" t="n"/>
      <c r="F329" s="21" t="n"/>
      <c r="G329" s="21" t="n"/>
      <c r="H329" s="21" t="n"/>
      <c r="I329" s="22">
        <f>IF(OR(G329="",H329=""),"",H329-G329)</f>
        <v/>
      </c>
      <c r="J329" s="5" t="n"/>
    </row>
    <row r="330">
      <c r="A330" s="5" t="n"/>
      <c r="B330" s="5" t="n"/>
      <c r="C330" s="5" t="n"/>
      <c r="D330" s="5" t="n"/>
      <c r="E330" s="18" t="n"/>
      <c r="F330" s="21" t="n"/>
      <c r="G330" s="21" t="n"/>
      <c r="H330" s="21" t="n"/>
      <c r="I330" s="22">
        <f>IF(OR(G330="",H330=""),"",H330-G330)</f>
        <v/>
      </c>
      <c r="J330" s="5" t="n"/>
    </row>
    <row r="331">
      <c r="A331" s="5" t="n"/>
      <c r="B331" s="5" t="n"/>
      <c r="C331" s="5" t="n"/>
      <c r="D331" s="5" t="n"/>
      <c r="E331" s="18" t="n"/>
      <c r="F331" s="21" t="n"/>
      <c r="G331" s="21" t="n"/>
      <c r="H331" s="21" t="n"/>
      <c r="I331" s="22">
        <f>IF(OR(G331="",H331=""),"",H331-G331)</f>
        <v/>
      </c>
      <c r="J331" s="5" t="n"/>
    </row>
    <row r="332">
      <c r="A332" s="5" t="n"/>
      <c r="B332" s="5" t="n"/>
      <c r="C332" s="5" t="n"/>
      <c r="D332" s="5" t="n"/>
      <c r="E332" s="18" t="n"/>
      <c r="F332" s="21" t="n"/>
      <c r="G332" s="21" t="n"/>
      <c r="H332" s="21" t="n"/>
      <c r="I332" s="22">
        <f>IF(OR(G332="",H332=""),"",H332-G332)</f>
        <v/>
      </c>
      <c r="J332" s="5" t="n"/>
    </row>
    <row r="333">
      <c r="A333" s="5" t="n"/>
      <c r="B333" s="5" t="n"/>
      <c r="C333" s="5" t="n"/>
      <c r="D333" s="5" t="n"/>
      <c r="E333" s="18" t="n"/>
      <c r="F333" s="21" t="n"/>
      <c r="G333" s="21" t="n"/>
      <c r="H333" s="21" t="n"/>
      <c r="I333" s="22">
        <f>IF(OR(G333="",H333=""),"",H333-G333)</f>
        <v/>
      </c>
      <c r="J333" s="5" t="n"/>
    </row>
    <row r="334">
      <c r="A334" s="5" t="n"/>
      <c r="B334" s="5" t="n"/>
      <c r="C334" s="5" t="n"/>
      <c r="D334" s="5" t="n"/>
      <c r="E334" s="18" t="n"/>
      <c r="F334" s="21" t="n"/>
      <c r="G334" s="21" t="n"/>
      <c r="H334" s="21" t="n"/>
      <c r="I334" s="22">
        <f>IF(OR(G334="",H334=""),"",H334-G334)</f>
        <v/>
      </c>
      <c r="J334" s="5" t="n"/>
    </row>
    <row r="335">
      <c r="A335" s="5" t="n"/>
      <c r="B335" s="5" t="n"/>
      <c r="C335" s="5" t="n"/>
      <c r="D335" s="5" t="n"/>
      <c r="E335" s="18" t="n"/>
      <c r="F335" s="21" t="n"/>
      <c r="G335" s="21" t="n"/>
      <c r="H335" s="21" t="n"/>
      <c r="I335" s="22">
        <f>IF(OR(G335="",H335=""),"",H335-G335)</f>
        <v/>
      </c>
      <c r="J335" s="5" t="n"/>
    </row>
    <row r="336">
      <c r="A336" s="5" t="n"/>
      <c r="B336" s="5" t="n"/>
      <c r="C336" s="5" t="n"/>
      <c r="D336" s="5" t="n"/>
      <c r="E336" s="18" t="n"/>
      <c r="F336" s="21" t="n"/>
      <c r="G336" s="21" t="n"/>
      <c r="H336" s="21" t="n"/>
      <c r="I336" s="22">
        <f>IF(OR(G336="",H336=""),"",H336-G336)</f>
        <v/>
      </c>
      <c r="J336" s="5" t="n"/>
    </row>
    <row r="337">
      <c r="A337" s="5" t="n"/>
      <c r="B337" s="5" t="n"/>
      <c r="C337" s="5" t="n"/>
      <c r="D337" s="5" t="n"/>
      <c r="E337" s="18" t="n"/>
      <c r="F337" s="21" t="n"/>
      <c r="G337" s="21" t="n"/>
      <c r="H337" s="21" t="n"/>
      <c r="I337" s="22">
        <f>IF(OR(G337="",H337=""),"",H337-G337)</f>
        <v/>
      </c>
      <c r="J337" s="5" t="n"/>
    </row>
    <row r="338">
      <c r="A338" s="5" t="n"/>
      <c r="B338" s="5" t="n"/>
      <c r="C338" s="5" t="n"/>
      <c r="D338" s="5" t="n"/>
      <c r="E338" s="18" t="n"/>
      <c r="F338" s="21" t="n"/>
      <c r="G338" s="21" t="n"/>
      <c r="H338" s="21" t="n"/>
      <c r="I338" s="22">
        <f>IF(OR(G338="",H338=""),"",H338-G338)</f>
        <v/>
      </c>
      <c r="J338" s="5" t="n"/>
    </row>
    <row r="339">
      <c r="A339" s="5" t="n"/>
      <c r="B339" s="5" t="n"/>
      <c r="C339" s="5" t="n"/>
      <c r="D339" s="5" t="n"/>
      <c r="E339" s="18" t="n"/>
      <c r="F339" s="21" t="n"/>
      <c r="G339" s="21" t="n"/>
      <c r="H339" s="21" t="n"/>
      <c r="I339" s="22">
        <f>IF(OR(G339="",H339=""),"",H339-G339)</f>
        <v/>
      </c>
      <c r="J339" s="5" t="n"/>
    </row>
    <row r="340">
      <c r="A340" s="5" t="n"/>
      <c r="B340" s="5" t="n"/>
      <c r="C340" s="5" t="n"/>
      <c r="D340" s="5" t="n"/>
      <c r="E340" s="18" t="n"/>
      <c r="F340" s="21" t="n"/>
      <c r="G340" s="21" t="n"/>
      <c r="H340" s="21" t="n"/>
      <c r="I340" s="22">
        <f>IF(OR(G340="",H340=""),"",H340-G340)</f>
        <v/>
      </c>
      <c r="J340" s="5" t="n"/>
    </row>
    <row r="341">
      <c r="A341" s="5" t="n"/>
      <c r="B341" s="5" t="n"/>
      <c r="C341" s="5" t="n"/>
      <c r="D341" s="5" t="n"/>
      <c r="E341" s="18" t="n"/>
      <c r="F341" s="21" t="n"/>
      <c r="G341" s="21" t="n"/>
      <c r="H341" s="21" t="n"/>
      <c r="I341" s="22">
        <f>IF(OR(G341="",H341=""),"",H341-G341)</f>
        <v/>
      </c>
      <c r="J341" s="5" t="n"/>
    </row>
    <row r="342">
      <c r="A342" s="5" t="n"/>
      <c r="B342" s="5" t="n"/>
      <c r="C342" s="5" t="n"/>
      <c r="D342" s="5" t="n"/>
      <c r="E342" s="18" t="n"/>
      <c r="F342" s="21" t="n"/>
      <c r="G342" s="21" t="n"/>
      <c r="H342" s="21" t="n"/>
      <c r="I342" s="22">
        <f>IF(OR(G342="",H342=""),"",H342-G342)</f>
        <v/>
      </c>
      <c r="J342" s="5" t="n"/>
    </row>
    <row r="343">
      <c r="A343" s="5" t="n"/>
      <c r="B343" s="5" t="n"/>
      <c r="C343" s="5" t="n"/>
      <c r="D343" s="5" t="n"/>
      <c r="E343" s="18" t="n"/>
      <c r="F343" s="21" t="n"/>
      <c r="G343" s="21" t="n"/>
      <c r="H343" s="21" t="n"/>
      <c r="I343" s="22">
        <f>IF(OR(G343="",H343=""),"",H343-G343)</f>
        <v/>
      </c>
      <c r="J343" s="5" t="n"/>
    </row>
    <row r="344">
      <c r="A344" s="5" t="n"/>
      <c r="B344" s="5" t="n"/>
      <c r="C344" s="5" t="n"/>
      <c r="D344" s="5" t="n"/>
      <c r="E344" s="18" t="n"/>
      <c r="F344" s="21" t="n"/>
      <c r="G344" s="21" t="n"/>
      <c r="H344" s="21" t="n"/>
      <c r="I344" s="22">
        <f>IF(OR(G344="",H344=""),"",H344-G344)</f>
        <v/>
      </c>
      <c r="J344" s="5" t="n"/>
    </row>
    <row r="345">
      <c r="A345" s="5" t="n"/>
      <c r="B345" s="5" t="n"/>
      <c r="C345" s="5" t="n"/>
      <c r="D345" s="5" t="n"/>
      <c r="E345" s="18" t="n"/>
      <c r="F345" s="21" t="n"/>
      <c r="G345" s="21" t="n"/>
      <c r="H345" s="21" t="n"/>
      <c r="I345" s="22">
        <f>IF(OR(G345="",H345=""),"",H345-G345)</f>
        <v/>
      </c>
      <c r="J345" s="5" t="n"/>
    </row>
    <row r="346">
      <c r="A346" s="5" t="n"/>
      <c r="B346" s="5" t="n"/>
      <c r="C346" s="5" t="n"/>
      <c r="D346" s="5" t="n"/>
      <c r="E346" s="18" t="n"/>
      <c r="F346" s="21" t="n"/>
      <c r="G346" s="21" t="n"/>
      <c r="H346" s="21" t="n"/>
      <c r="I346" s="22">
        <f>IF(OR(G346="",H346=""),"",H346-G346)</f>
        <v/>
      </c>
      <c r="J346" s="5" t="n"/>
    </row>
    <row r="347">
      <c r="A347" s="5" t="n"/>
      <c r="B347" s="5" t="n"/>
      <c r="C347" s="5" t="n"/>
      <c r="D347" s="5" t="n"/>
      <c r="E347" s="18" t="n"/>
      <c r="F347" s="21" t="n"/>
      <c r="G347" s="21" t="n"/>
      <c r="H347" s="21" t="n"/>
      <c r="I347" s="22">
        <f>IF(OR(G347="",H347=""),"",H347-G347)</f>
        <v/>
      </c>
      <c r="J347" s="5" t="n"/>
    </row>
    <row r="348">
      <c r="A348" s="5" t="n"/>
      <c r="B348" s="5" t="n"/>
      <c r="C348" s="5" t="n"/>
      <c r="D348" s="5" t="n"/>
      <c r="E348" s="18" t="n"/>
      <c r="F348" s="21" t="n"/>
      <c r="G348" s="21" t="n"/>
      <c r="H348" s="21" t="n"/>
      <c r="I348" s="22">
        <f>IF(OR(G348="",H348=""),"",H348-G348)</f>
        <v/>
      </c>
      <c r="J348" s="5" t="n"/>
    </row>
    <row r="349">
      <c r="A349" s="5" t="n"/>
      <c r="B349" s="5" t="n"/>
      <c r="C349" s="5" t="n"/>
      <c r="D349" s="5" t="n"/>
      <c r="E349" s="18" t="n"/>
      <c r="F349" s="21" t="n"/>
      <c r="G349" s="21" t="n"/>
      <c r="H349" s="21" t="n"/>
      <c r="I349" s="22">
        <f>IF(OR(G349="",H349=""),"",H349-G349)</f>
        <v/>
      </c>
      <c r="J349" s="5" t="n"/>
    </row>
    <row r="350">
      <c r="A350" s="5" t="n"/>
      <c r="B350" s="5" t="n"/>
      <c r="C350" s="5" t="n"/>
      <c r="D350" s="5" t="n"/>
      <c r="E350" s="18" t="n"/>
      <c r="F350" s="21" t="n"/>
      <c r="G350" s="21" t="n"/>
      <c r="H350" s="21" t="n"/>
      <c r="I350" s="22">
        <f>IF(OR(G350="",H350=""),"",H350-G350)</f>
        <v/>
      </c>
      <c r="J350" s="5" t="n"/>
    </row>
    <row r="351">
      <c r="A351" s="5" t="n"/>
      <c r="B351" s="5" t="n"/>
      <c r="C351" s="5" t="n"/>
      <c r="D351" s="5" t="n"/>
      <c r="E351" s="18" t="n"/>
      <c r="F351" s="21" t="n"/>
      <c r="G351" s="21" t="n"/>
      <c r="H351" s="21" t="n"/>
      <c r="I351" s="22">
        <f>IF(OR(G351="",H351=""),"",H351-G351)</f>
        <v/>
      </c>
      <c r="J351" s="5" t="n"/>
    </row>
    <row r="352">
      <c r="A352" s="5" t="n"/>
      <c r="B352" s="5" t="n"/>
      <c r="C352" s="5" t="n"/>
      <c r="D352" s="5" t="n"/>
      <c r="E352" s="18" t="n"/>
      <c r="F352" s="21" t="n"/>
      <c r="G352" s="21" t="n"/>
      <c r="H352" s="21" t="n"/>
      <c r="I352" s="22">
        <f>IF(OR(G352="",H352=""),"",H352-G352)</f>
        <v/>
      </c>
      <c r="J352" s="5" t="n"/>
    </row>
    <row r="353">
      <c r="A353" s="5" t="n"/>
      <c r="B353" s="5" t="n"/>
      <c r="C353" s="5" t="n"/>
      <c r="D353" s="5" t="n"/>
      <c r="E353" s="18" t="n"/>
      <c r="F353" s="21" t="n"/>
      <c r="G353" s="21" t="n"/>
      <c r="H353" s="21" t="n"/>
      <c r="I353" s="22">
        <f>IF(OR(G353="",H353=""),"",H353-G353)</f>
        <v/>
      </c>
      <c r="J353" s="5" t="n"/>
    </row>
    <row r="354">
      <c r="A354" s="5" t="n"/>
      <c r="B354" s="5" t="n"/>
      <c r="C354" s="5" t="n"/>
      <c r="D354" s="5" t="n"/>
      <c r="E354" s="18" t="n"/>
      <c r="F354" s="21" t="n"/>
      <c r="G354" s="21" t="n"/>
      <c r="H354" s="21" t="n"/>
      <c r="I354" s="22">
        <f>IF(OR(G354="",H354=""),"",H354-G354)</f>
        <v/>
      </c>
      <c r="J354" s="5" t="n"/>
    </row>
    <row r="355">
      <c r="A355" s="5" t="n"/>
      <c r="B355" s="5" t="n"/>
      <c r="C355" s="5" t="n"/>
      <c r="D355" s="5" t="n"/>
      <c r="E355" s="18" t="n"/>
      <c r="F355" s="21" t="n"/>
      <c r="G355" s="21" t="n"/>
      <c r="H355" s="21" t="n"/>
      <c r="I355" s="22">
        <f>IF(OR(G355="",H355=""),"",H355-G355)</f>
        <v/>
      </c>
      <c r="J355" s="5" t="n"/>
    </row>
    <row r="356">
      <c r="A356" s="5" t="n"/>
      <c r="B356" s="5" t="n"/>
      <c r="C356" s="5" t="n"/>
      <c r="D356" s="5" t="n"/>
      <c r="E356" s="18" t="n"/>
      <c r="F356" s="21" t="n"/>
      <c r="G356" s="21" t="n"/>
      <c r="H356" s="21" t="n"/>
      <c r="I356" s="22">
        <f>IF(OR(G356="",H356=""),"",H356-G356)</f>
        <v/>
      </c>
      <c r="J356" s="5" t="n"/>
    </row>
    <row r="357">
      <c r="A357" s="5" t="n"/>
      <c r="B357" s="5" t="n"/>
      <c r="C357" s="5" t="n"/>
      <c r="D357" s="5" t="n"/>
      <c r="E357" s="18" t="n"/>
      <c r="F357" s="21" t="n"/>
      <c r="G357" s="21" t="n"/>
      <c r="H357" s="21" t="n"/>
      <c r="I357" s="22">
        <f>IF(OR(G357="",H357=""),"",H357-G357)</f>
        <v/>
      </c>
      <c r="J357" s="5" t="n"/>
    </row>
    <row r="358">
      <c r="A358" s="5" t="n"/>
      <c r="B358" s="5" t="n"/>
      <c r="C358" s="5" t="n"/>
      <c r="D358" s="5" t="n"/>
      <c r="E358" s="18" t="n"/>
      <c r="F358" s="21" t="n"/>
      <c r="G358" s="21" t="n"/>
      <c r="H358" s="21" t="n"/>
      <c r="I358" s="22">
        <f>IF(OR(G358="",H358=""),"",H358-G358)</f>
        <v/>
      </c>
      <c r="J358" s="5" t="n"/>
    </row>
    <row r="359">
      <c r="A359" s="5" t="n"/>
      <c r="B359" s="5" t="n"/>
      <c r="C359" s="5" t="n"/>
      <c r="D359" s="5" t="n"/>
      <c r="E359" s="18" t="n"/>
      <c r="F359" s="21" t="n"/>
      <c r="G359" s="21" t="n"/>
      <c r="H359" s="21" t="n"/>
      <c r="I359" s="22">
        <f>IF(OR(G359="",H359=""),"",H359-G359)</f>
        <v/>
      </c>
      <c r="J359" s="5" t="n"/>
    </row>
    <row r="360">
      <c r="A360" s="5" t="n"/>
      <c r="B360" s="5" t="n"/>
      <c r="C360" s="5" t="n"/>
      <c r="D360" s="5" t="n"/>
      <c r="E360" s="18" t="n"/>
      <c r="F360" s="21" t="n"/>
      <c r="G360" s="21" t="n"/>
      <c r="H360" s="21" t="n"/>
      <c r="I360" s="22">
        <f>IF(OR(G360="",H360=""),"",H360-G360)</f>
        <v/>
      </c>
      <c r="J360" s="5" t="n"/>
    </row>
    <row r="361">
      <c r="A361" s="5" t="n"/>
      <c r="B361" s="5" t="n"/>
      <c r="C361" s="5" t="n"/>
      <c r="D361" s="5" t="n"/>
      <c r="E361" s="18" t="n"/>
      <c r="F361" s="21" t="n"/>
      <c r="G361" s="21" t="n"/>
      <c r="H361" s="21" t="n"/>
      <c r="I361" s="22">
        <f>IF(OR(G361="",H361=""),"",H361-G361)</f>
        <v/>
      </c>
      <c r="J361" s="5" t="n"/>
    </row>
    <row r="362">
      <c r="A362" s="5" t="n"/>
      <c r="B362" s="5" t="n"/>
      <c r="C362" s="5" t="n"/>
      <c r="D362" s="5" t="n"/>
      <c r="E362" s="18" t="n"/>
      <c r="F362" s="21" t="n"/>
      <c r="G362" s="21" t="n"/>
      <c r="H362" s="21" t="n"/>
      <c r="I362" s="22">
        <f>IF(OR(G362="",H362=""),"",H362-G362)</f>
        <v/>
      </c>
      <c r="J362" s="5" t="n"/>
    </row>
    <row r="363">
      <c r="A363" s="5" t="n"/>
      <c r="B363" s="5" t="n"/>
      <c r="C363" s="5" t="n"/>
      <c r="D363" s="5" t="n"/>
      <c r="E363" s="18" t="n"/>
      <c r="F363" s="21" t="n"/>
      <c r="G363" s="21" t="n"/>
      <c r="H363" s="21" t="n"/>
      <c r="I363" s="22">
        <f>IF(OR(G363="",H363=""),"",H363-G363)</f>
        <v/>
      </c>
      <c r="J363" s="5" t="n"/>
    </row>
    <row r="364">
      <c r="A364" s="5" t="n"/>
      <c r="B364" s="5" t="n"/>
      <c r="C364" s="5" t="n"/>
      <c r="D364" s="5" t="n"/>
      <c r="E364" s="18" t="n"/>
      <c r="F364" s="21" t="n"/>
      <c r="G364" s="21" t="n"/>
      <c r="H364" s="21" t="n"/>
      <c r="I364" s="22">
        <f>IF(OR(G364="",H364=""),"",H364-G364)</f>
        <v/>
      </c>
      <c r="J364" s="5" t="n"/>
    </row>
    <row r="365">
      <c r="A365" s="5" t="n"/>
      <c r="B365" s="5" t="n"/>
      <c r="C365" s="5" t="n"/>
      <c r="D365" s="5" t="n"/>
      <c r="E365" s="18" t="n"/>
      <c r="F365" s="21" t="n"/>
      <c r="G365" s="21" t="n"/>
      <c r="H365" s="21" t="n"/>
      <c r="I365" s="22">
        <f>IF(OR(G365="",H365=""),"",H365-G365)</f>
        <v/>
      </c>
      <c r="J365" s="5" t="n"/>
    </row>
    <row r="366">
      <c r="A366" s="5" t="n"/>
      <c r="B366" s="5" t="n"/>
      <c r="C366" s="5" t="n"/>
      <c r="D366" s="5" t="n"/>
      <c r="E366" s="18" t="n"/>
      <c r="F366" s="21" t="n"/>
      <c r="G366" s="21" t="n"/>
      <c r="H366" s="21" t="n"/>
      <c r="I366" s="22">
        <f>IF(OR(G366="",H366=""),"",H366-G366)</f>
        <v/>
      </c>
      <c r="J366" s="5" t="n"/>
    </row>
    <row r="367">
      <c r="A367" s="5" t="n"/>
      <c r="B367" s="5" t="n"/>
      <c r="C367" s="5" t="n"/>
      <c r="D367" s="5" t="n"/>
      <c r="E367" s="18" t="n"/>
      <c r="F367" s="21" t="n"/>
      <c r="G367" s="21" t="n"/>
      <c r="H367" s="21" t="n"/>
      <c r="I367" s="22">
        <f>IF(OR(G367="",H367=""),"",H367-G367)</f>
        <v/>
      </c>
      <c r="J367" s="5" t="n"/>
    </row>
    <row r="368">
      <c r="A368" s="5" t="n"/>
      <c r="B368" s="5" t="n"/>
      <c r="C368" s="5" t="n"/>
      <c r="D368" s="5" t="n"/>
      <c r="E368" s="18" t="n"/>
      <c r="F368" s="21" t="n"/>
      <c r="G368" s="21" t="n"/>
      <c r="H368" s="21" t="n"/>
      <c r="I368" s="22">
        <f>IF(OR(G368="",H368=""),"",H368-G368)</f>
        <v/>
      </c>
      <c r="J368" s="5" t="n"/>
    </row>
    <row r="369">
      <c r="A369" s="5" t="n"/>
      <c r="B369" s="5" t="n"/>
      <c r="C369" s="5" t="n"/>
      <c r="D369" s="5" t="n"/>
      <c r="E369" s="18" t="n"/>
      <c r="F369" s="21" t="n"/>
      <c r="G369" s="21" t="n"/>
      <c r="H369" s="21" t="n"/>
      <c r="I369" s="22">
        <f>IF(OR(G369="",H369=""),"",H369-G369)</f>
        <v/>
      </c>
      <c r="J369" s="5" t="n"/>
    </row>
    <row r="370">
      <c r="A370" s="5" t="n"/>
      <c r="B370" s="5" t="n"/>
      <c r="C370" s="5" t="n"/>
      <c r="D370" s="5" t="n"/>
      <c r="E370" s="18" t="n"/>
      <c r="F370" s="21" t="n"/>
      <c r="G370" s="21" t="n"/>
      <c r="H370" s="21" t="n"/>
      <c r="I370" s="22">
        <f>IF(OR(G370="",H370=""),"",H370-G370)</f>
        <v/>
      </c>
      <c r="J370" s="5" t="n"/>
    </row>
    <row r="371">
      <c r="A371" s="5" t="n"/>
      <c r="B371" s="5" t="n"/>
      <c r="C371" s="5" t="n"/>
      <c r="D371" s="5" t="n"/>
      <c r="E371" s="18" t="n"/>
      <c r="F371" s="21" t="n"/>
      <c r="G371" s="21" t="n"/>
      <c r="H371" s="21" t="n"/>
      <c r="I371" s="22">
        <f>IF(OR(G371="",H371=""),"",H371-G371)</f>
        <v/>
      </c>
      <c r="J371" s="5" t="n"/>
    </row>
    <row r="372">
      <c r="A372" s="5" t="n"/>
      <c r="B372" s="5" t="n"/>
      <c r="C372" s="5" t="n"/>
      <c r="D372" s="5" t="n"/>
      <c r="E372" s="18" t="n"/>
      <c r="F372" s="21" t="n"/>
      <c r="G372" s="21" t="n"/>
      <c r="H372" s="21" t="n"/>
      <c r="I372" s="22">
        <f>IF(OR(G372="",H372=""),"",H372-G372)</f>
        <v/>
      </c>
      <c r="J372" s="5" t="n"/>
    </row>
    <row r="373">
      <c r="A373" s="5" t="n"/>
      <c r="B373" s="5" t="n"/>
      <c r="C373" s="5" t="n"/>
      <c r="D373" s="5" t="n"/>
      <c r="E373" s="18" t="n"/>
      <c r="F373" s="21" t="n"/>
      <c r="G373" s="21" t="n"/>
      <c r="H373" s="21" t="n"/>
      <c r="I373" s="22">
        <f>IF(OR(G373="",H373=""),"",H373-G373)</f>
        <v/>
      </c>
      <c r="J373" s="5" t="n"/>
    </row>
    <row r="374">
      <c r="A374" s="5" t="n"/>
      <c r="B374" s="5" t="n"/>
      <c r="C374" s="5" t="n"/>
      <c r="D374" s="5" t="n"/>
      <c r="E374" s="18" t="n"/>
      <c r="F374" s="21" t="n"/>
      <c r="G374" s="21" t="n"/>
      <c r="H374" s="21" t="n"/>
      <c r="I374" s="22">
        <f>IF(OR(G374="",H374=""),"",H374-G374)</f>
        <v/>
      </c>
      <c r="J374" s="5" t="n"/>
    </row>
    <row r="375">
      <c r="A375" s="5" t="n"/>
      <c r="B375" s="5" t="n"/>
      <c r="C375" s="5" t="n"/>
      <c r="D375" s="5" t="n"/>
      <c r="E375" s="18" t="n"/>
      <c r="F375" s="21" t="n"/>
      <c r="G375" s="21" t="n"/>
      <c r="H375" s="21" t="n"/>
      <c r="I375" s="22">
        <f>IF(OR(G375="",H375=""),"",H375-G375)</f>
        <v/>
      </c>
      <c r="J375" s="5" t="n"/>
    </row>
    <row r="376">
      <c r="A376" s="5" t="n"/>
      <c r="B376" s="5" t="n"/>
      <c r="C376" s="5" t="n"/>
      <c r="D376" s="5" t="n"/>
      <c r="E376" s="18" t="n"/>
      <c r="F376" s="21" t="n"/>
      <c r="G376" s="21" t="n"/>
      <c r="H376" s="21" t="n"/>
      <c r="I376" s="22">
        <f>IF(OR(G376="",H376=""),"",H376-G376)</f>
        <v/>
      </c>
      <c r="J376" s="5" t="n"/>
    </row>
    <row r="377">
      <c r="A377" s="5" t="n"/>
      <c r="B377" s="5" t="n"/>
      <c r="C377" s="5" t="n"/>
      <c r="D377" s="5" t="n"/>
      <c r="E377" s="18" t="n"/>
      <c r="F377" s="21" t="n"/>
      <c r="G377" s="21" t="n"/>
      <c r="H377" s="21" t="n"/>
      <c r="I377" s="22">
        <f>IF(OR(G377="",H377=""),"",H377-G377)</f>
        <v/>
      </c>
      <c r="J377" s="5" t="n"/>
    </row>
    <row r="378">
      <c r="A378" s="5" t="n"/>
      <c r="B378" s="5" t="n"/>
      <c r="C378" s="5" t="n"/>
      <c r="D378" s="5" t="n"/>
      <c r="E378" s="18" t="n"/>
      <c r="F378" s="21" t="n"/>
      <c r="G378" s="21" t="n"/>
      <c r="H378" s="21" t="n"/>
      <c r="I378" s="22">
        <f>IF(OR(G378="",H378=""),"",H378-G378)</f>
        <v/>
      </c>
      <c r="J378" s="5" t="n"/>
    </row>
    <row r="379">
      <c r="A379" s="5" t="n"/>
      <c r="B379" s="5" t="n"/>
      <c r="C379" s="5" t="n"/>
      <c r="D379" s="5" t="n"/>
      <c r="E379" s="18" t="n"/>
      <c r="F379" s="21" t="n"/>
      <c r="G379" s="21" t="n"/>
      <c r="H379" s="21" t="n"/>
      <c r="I379" s="22">
        <f>IF(OR(G379="",H379=""),"",H379-G379)</f>
        <v/>
      </c>
      <c r="J379" s="5" t="n"/>
    </row>
    <row r="380">
      <c r="A380" s="5" t="n"/>
      <c r="B380" s="5" t="n"/>
      <c r="C380" s="5" t="n"/>
      <c r="D380" s="5" t="n"/>
      <c r="E380" s="18" t="n"/>
      <c r="F380" s="21" t="n"/>
      <c r="G380" s="21" t="n"/>
      <c r="H380" s="21" t="n"/>
      <c r="I380" s="22">
        <f>IF(OR(G380="",H380=""),"",H380-G380)</f>
        <v/>
      </c>
      <c r="J380" s="5" t="n"/>
    </row>
    <row r="381">
      <c r="A381" s="5" t="n"/>
      <c r="B381" s="5" t="n"/>
      <c r="C381" s="5" t="n"/>
      <c r="D381" s="5" t="n"/>
      <c r="E381" s="18" t="n"/>
      <c r="F381" s="21" t="n"/>
      <c r="G381" s="21" t="n"/>
      <c r="H381" s="21" t="n"/>
      <c r="I381" s="22">
        <f>IF(OR(G381="",H381=""),"",H381-G381)</f>
        <v/>
      </c>
      <c r="J381" s="5" t="n"/>
    </row>
    <row r="382">
      <c r="A382" s="5" t="n"/>
      <c r="B382" s="5" t="n"/>
      <c r="C382" s="5" t="n"/>
      <c r="D382" s="5" t="n"/>
      <c r="E382" s="18" t="n"/>
      <c r="F382" s="21" t="n"/>
      <c r="G382" s="21" t="n"/>
      <c r="H382" s="21" t="n"/>
      <c r="I382" s="22">
        <f>IF(OR(G382="",H382=""),"",H382-G382)</f>
        <v/>
      </c>
      <c r="J382" s="5" t="n"/>
    </row>
    <row r="383">
      <c r="A383" s="5" t="n"/>
      <c r="B383" s="5" t="n"/>
      <c r="C383" s="5" t="n"/>
      <c r="D383" s="5" t="n"/>
      <c r="E383" s="18" t="n"/>
      <c r="F383" s="21" t="n"/>
      <c r="G383" s="21" t="n"/>
      <c r="H383" s="21" t="n"/>
      <c r="I383" s="22">
        <f>IF(OR(G383="",H383=""),"",H383-G383)</f>
        <v/>
      </c>
      <c r="J383" s="5" t="n"/>
    </row>
    <row r="384">
      <c r="A384" s="5" t="n"/>
      <c r="B384" s="5" t="n"/>
      <c r="C384" s="5" t="n"/>
      <c r="D384" s="5" t="n"/>
      <c r="E384" s="18" t="n"/>
      <c r="F384" s="21" t="n"/>
      <c r="G384" s="21" t="n"/>
      <c r="H384" s="21" t="n"/>
      <c r="I384" s="22">
        <f>IF(OR(G384="",H384=""),"",H384-G384)</f>
        <v/>
      </c>
      <c r="J384" s="5" t="n"/>
    </row>
    <row r="385">
      <c r="A385" s="5" t="n"/>
      <c r="B385" s="5" t="n"/>
      <c r="C385" s="5" t="n"/>
      <c r="D385" s="5" t="n"/>
      <c r="E385" s="18" t="n"/>
      <c r="F385" s="21" t="n"/>
      <c r="G385" s="21" t="n"/>
      <c r="H385" s="21" t="n"/>
      <c r="I385" s="22">
        <f>IF(OR(G385="",H385=""),"",H385-G385)</f>
        <v/>
      </c>
      <c r="J385" s="5" t="n"/>
    </row>
    <row r="386">
      <c r="A386" s="5" t="n"/>
      <c r="B386" s="5" t="n"/>
      <c r="C386" s="5" t="n"/>
      <c r="D386" s="5" t="n"/>
      <c r="E386" s="18" t="n"/>
      <c r="F386" s="21" t="n"/>
      <c r="G386" s="21" t="n"/>
      <c r="H386" s="21" t="n"/>
      <c r="I386" s="22">
        <f>IF(OR(G386="",H386=""),"",H386-G386)</f>
        <v/>
      </c>
      <c r="J386" s="5" t="n"/>
    </row>
    <row r="387">
      <c r="A387" s="5" t="n"/>
      <c r="B387" s="5" t="n"/>
      <c r="C387" s="5" t="n"/>
      <c r="D387" s="5" t="n"/>
      <c r="E387" s="18" t="n"/>
      <c r="F387" s="21" t="n"/>
      <c r="G387" s="21" t="n"/>
      <c r="H387" s="21" t="n"/>
      <c r="I387" s="22">
        <f>IF(OR(G387="",H387=""),"",H387-G387)</f>
        <v/>
      </c>
      <c r="J387" s="5" t="n"/>
    </row>
    <row r="388">
      <c r="A388" s="5" t="n"/>
      <c r="B388" s="5" t="n"/>
      <c r="C388" s="5" t="n"/>
      <c r="D388" s="5" t="n"/>
      <c r="E388" s="18" t="n"/>
      <c r="F388" s="21" t="n"/>
      <c r="G388" s="21" t="n"/>
      <c r="H388" s="21" t="n"/>
      <c r="I388" s="22">
        <f>IF(OR(G388="",H388=""),"",H388-G388)</f>
        <v/>
      </c>
      <c r="J388" s="5" t="n"/>
    </row>
    <row r="389">
      <c r="A389" s="5" t="n"/>
      <c r="B389" s="5" t="n"/>
      <c r="C389" s="5" t="n"/>
      <c r="D389" s="5" t="n"/>
      <c r="E389" s="18" t="n"/>
      <c r="F389" s="21" t="n"/>
      <c r="G389" s="21" t="n"/>
      <c r="H389" s="21" t="n"/>
      <c r="I389" s="22">
        <f>IF(OR(G389="",H389=""),"",H389-G389)</f>
        <v/>
      </c>
      <c r="J389" s="5" t="n"/>
    </row>
    <row r="390">
      <c r="A390" s="5" t="n"/>
      <c r="B390" s="5" t="n"/>
      <c r="C390" s="5" t="n"/>
      <c r="D390" s="5" t="n"/>
      <c r="E390" s="18" t="n"/>
      <c r="F390" s="21" t="n"/>
      <c r="G390" s="21" t="n"/>
      <c r="H390" s="21" t="n"/>
      <c r="I390" s="22">
        <f>IF(OR(G390="",H390=""),"",H390-G390)</f>
        <v/>
      </c>
      <c r="J390" s="5" t="n"/>
    </row>
    <row r="391">
      <c r="A391" s="5" t="n"/>
      <c r="B391" s="5" t="n"/>
      <c r="C391" s="5" t="n"/>
      <c r="D391" s="5" t="n"/>
      <c r="E391" s="18" t="n"/>
      <c r="F391" s="21" t="n"/>
      <c r="G391" s="21" t="n"/>
      <c r="H391" s="21" t="n"/>
      <c r="I391" s="22">
        <f>IF(OR(G391="",H391=""),"",H391-G391)</f>
        <v/>
      </c>
      <c r="J391" s="5" t="n"/>
    </row>
    <row r="392">
      <c r="A392" s="5" t="n"/>
      <c r="B392" s="5" t="n"/>
      <c r="C392" s="5" t="n"/>
      <c r="D392" s="5" t="n"/>
      <c r="E392" s="18" t="n"/>
      <c r="F392" s="21" t="n"/>
      <c r="G392" s="21" t="n"/>
      <c r="H392" s="21" t="n"/>
      <c r="I392" s="22">
        <f>IF(OR(G392="",H392=""),"",H392-G392)</f>
        <v/>
      </c>
      <c r="J392" s="5" t="n"/>
    </row>
    <row r="393">
      <c r="A393" s="5" t="n"/>
      <c r="B393" s="5" t="n"/>
      <c r="C393" s="5" t="n"/>
      <c r="D393" s="5" t="n"/>
      <c r="E393" s="18" t="n"/>
      <c r="F393" s="21" t="n"/>
      <c r="G393" s="21" t="n"/>
      <c r="H393" s="21" t="n"/>
      <c r="I393" s="22">
        <f>IF(OR(G393="",H393=""),"",H393-G393)</f>
        <v/>
      </c>
      <c r="J393" s="5" t="n"/>
    </row>
    <row r="394">
      <c r="A394" s="5" t="n"/>
      <c r="B394" s="5" t="n"/>
      <c r="C394" s="5" t="n"/>
      <c r="D394" s="5" t="n"/>
      <c r="E394" s="18" t="n"/>
      <c r="F394" s="21" t="n"/>
      <c r="G394" s="21" t="n"/>
      <c r="H394" s="21" t="n"/>
      <c r="I394" s="22">
        <f>IF(OR(G394="",H394=""),"",H394-G394)</f>
        <v/>
      </c>
      <c r="J394" s="5" t="n"/>
    </row>
    <row r="395">
      <c r="A395" s="5" t="n"/>
      <c r="B395" s="5" t="n"/>
      <c r="C395" s="5" t="n"/>
      <c r="D395" s="5" t="n"/>
      <c r="E395" s="18" t="n"/>
      <c r="F395" s="21" t="n"/>
      <c r="G395" s="21" t="n"/>
      <c r="H395" s="21" t="n"/>
      <c r="I395" s="22">
        <f>IF(OR(G395="",H395=""),"",H395-G395)</f>
        <v/>
      </c>
      <c r="J395" s="5" t="n"/>
    </row>
    <row r="396">
      <c r="A396" s="5" t="n"/>
      <c r="B396" s="5" t="n"/>
      <c r="C396" s="5" t="n"/>
      <c r="D396" s="5" t="n"/>
      <c r="E396" s="18" t="n"/>
      <c r="F396" s="21" t="n"/>
      <c r="G396" s="21" t="n"/>
      <c r="H396" s="21" t="n"/>
      <c r="I396" s="22">
        <f>IF(OR(G396="",H396=""),"",H396-G396)</f>
        <v/>
      </c>
      <c r="J396" s="5" t="n"/>
    </row>
    <row r="397">
      <c r="A397" s="5" t="n"/>
      <c r="B397" s="5" t="n"/>
      <c r="C397" s="5" t="n"/>
      <c r="D397" s="5" t="n"/>
      <c r="E397" s="18" t="n"/>
      <c r="F397" s="21" t="n"/>
      <c r="G397" s="21" t="n"/>
      <c r="H397" s="21" t="n"/>
      <c r="I397" s="22">
        <f>IF(OR(G397="",H397=""),"",H397-G397)</f>
        <v/>
      </c>
      <c r="J397" s="5" t="n"/>
    </row>
    <row r="398">
      <c r="A398" s="5" t="n"/>
      <c r="B398" s="5" t="n"/>
      <c r="C398" s="5" t="n"/>
      <c r="D398" s="5" t="n"/>
      <c r="E398" s="18" t="n"/>
      <c r="F398" s="21" t="n"/>
      <c r="G398" s="21" t="n"/>
      <c r="H398" s="21" t="n"/>
      <c r="I398" s="22">
        <f>IF(OR(G398="",H398=""),"",H398-G398)</f>
        <v/>
      </c>
      <c r="J398" s="5" t="n"/>
    </row>
    <row r="399">
      <c r="A399" s="5" t="n"/>
      <c r="B399" s="5" t="n"/>
      <c r="C399" s="5" t="n"/>
      <c r="D399" s="5" t="n"/>
      <c r="E399" s="18" t="n"/>
      <c r="F399" s="21" t="n"/>
      <c r="G399" s="21" t="n"/>
      <c r="H399" s="21" t="n"/>
      <c r="I399" s="22">
        <f>IF(OR(G399="",H399=""),"",H399-G399)</f>
        <v/>
      </c>
      <c r="J399" s="5" t="n"/>
    </row>
    <row r="400">
      <c r="A400" s="5" t="n"/>
      <c r="B400" s="5" t="n"/>
      <c r="C400" s="5" t="n"/>
      <c r="D400" s="5" t="n"/>
      <c r="E400" s="18" t="n"/>
      <c r="F400" s="21" t="n"/>
      <c r="G400" s="21" t="n"/>
      <c r="H400" s="21" t="n"/>
      <c r="I400" s="22">
        <f>IF(OR(G400="",H400=""),"",H400-G400)</f>
        <v/>
      </c>
      <c r="J400" s="5" t="n"/>
    </row>
    <row r="401">
      <c r="A401" s="5" t="n"/>
      <c r="B401" s="5" t="n"/>
      <c r="C401" s="5" t="n"/>
      <c r="D401" s="5" t="n"/>
      <c r="E401" s="18" t="n"/>
      <c r="F401" s="21" t="n"/>
      <c r="G401" s="21" t="n"/>
      <c r="H401" s="21" t="n"/>
      <c r="I401" s="22">
        <f>IF(OR(G401="",H401=""),"",H401-G401)</f>
        <v/>
      </c>
      <c r="J401" s="5" t="n"/>
    </row>
    <row r="402">
      <c r="A402" s="5" t="n"/>
      <c r="B402" s="5" t="n"/>
      <c r="C402" s="5" t="n"/>
      <c r="D402" s="5" t="n"/>
      <c r="E402" s="18" t="n"/>
      <c r="F402" s="21" t="n"/>
      <c r="G402" s="21" t="n"/>
      <c r="H402" s="21" t="n"/>
      <c r="I402" s="22">
        <f>IF(OR(G402="",H402=""),"",H402-G402)</f>
        <v/>
      </c>
      <c r="J402" s="5" t="n"/>
    </row>
    <row r="403">
      <c r="A403" s="5" t="n"/>
      <c r="B403" s="5" t="n"/>
      <c r="C403" s="5" t="n"/>
      <c r="D403" s="5" t="n"/>
      <c r="E403" s="18" t="n"/>
      <c r="F403" s="21" t="n"/>
      <c r="G403" s="21" t="n"/>
      <c r="H403" s="21" t="n"/>
      <c r="I403" s="22">
        <f>IF(OR(G403="",H403=""),"",H403-G403)</f>
        <v/>
      </c>
      <c r="J403" s="5" t="n"/>
    </row>
    <row r="404">
      <c r="A404" s="5" t="n"/>
      <c r="B404" s="5" t="n"/>
      <c r="C404" s="5" t="n"/>
      <c r="D404" s="5" t="n"/>
      <c r="E404" s="18" t="n"/>
      <c r="F404" s="21" t="n"/>
      <c r="G404" s="21" t="n"/>
      <c r="H404" s="21" t="n"/>
      <c r="I404" s="22">
        <f>IF(OR(G404="",H404=""),"",H404-G404)</f>
        <v/>
      </c>
      <c r="J404" s="5" t="n"/>
    </row>
    <row r="405">
      <c r="A405" s="5" t="n"/>
      <c r="B405" s="5" t="n"/>
      <c r="C405" s="5" t="n"/>
      <c r="D405" s="5" t="n"/>
      <c r="E405" s="18" t="n"/>
      <c r="F405" s="21" t="n"/>
      <c r="G405" s="21" t="n"/>
      <c r="H405" s="21" t="n"/>
      <c r="I405" s="22">
        <f>IF(OR(G405="",H405=""),"",H405-G405)</f>
        <v/>
      </c>
      <c r="J405" s="5" t="n"/>
    </row>
    <row r="406">
      <c r="A406" s="5" t="n"/>
      <c r="B406" s="5" t="n"/>
      <c r="C406" s="5" t="n"/>
      <c r="D406" s="5" t="n"/>
      <c r="E406" s="18" t="n"/>
      <c r="F406" s="21" t="n"/>
      <c r="G406" s="21" t="n"/>
      <c r="H406" s="21" t="n"/>
      <c r="I406" s="22">
        <f>IF(OR(G406="",H406=""),"",H406-G406)</f>
        <v/>
      </c>
      <c r="J406" s="5" t="n"/>
    </row>
    <row r="407">
      <c r="A407" s="5" t="n"/>
      <c r="B407" s="5" t="n"/>
      <c r="C407" s="5" t="n"/>
      <c r="D407" s="5" t="n"/>
      <c r="E407" s="18" t="n"/>
      <c r="F407" s="21" t="n"/>
      <c r="G407" s="21" t="n"/>
      <c r="H407" s="21" t="n"/>
      <c r="I407" s="22">
        <f>IF(OR(G407="",H407=""),"",H407-G407)</f>
        <v/>
      </c>
      <c r="J407" s="5" t="n"/>
    </row>
    <row r="408">
      <c r="A408" s="5" t="n"/>
      <c r="B408" s="5" t="n"/>
      <c r="C408" s="5" t="n"/>
      <c r="D408" s="5" t="n"/>
      <c r="E408" s="18" t="n"/>
      <c r="F408" s="21" t="n"/>
      <c r="G408" s="21" t="n"/>
      <c r="H408" s="21" t="n"/>
      <c r="I408" s="22">
        <f>IF(OR(G408="",H408=""),"",H408-G408)</f>
        <v/>
      </c>
      <c r="J408" s="5" t="n"/>
    </row>
    <row r="409">
      <c r="A409" s="5" t="n"/>
      <c r="B409" s="5" t="n"/>
      <c r="C409" s="5" t="n"/>
      <c r="D409" s="5" t="n"/>
      <c r="E409" s="18" t="n"/>
      <c r="F409" s="21" t="n"/>
      <c r="G409" s="21" t="n"/>
      <c r="H409" s="21" t="n"/>
      <c r="I409" s="22">
        <f>IF(OR(G409="",H409=""),"",H409-G409)</f>
        <v/>
      </c>
      <c r="J409" s="5" t="n"/>
    </row>
    <row r="410">
      <c r="A410" s="5" t="n"/>
      <c r="B410" s="5" t="n"/>
      <c r="C410" s="5" t="n"/>
      <c r="D410" s="5" t="n"/>
      <c r="E410" s="18" t="n"/>
      <c r="F410" s="21" t="n"/>
      <c r="G410" s="21" t="n"/>
      <c r="H410" s="21" t="n"/>
      <c r="I410" s="22">
        <f>IF(OR(G410="",H410=""),"",H410-G410)</f>
        <v/>
      </c>
      <c r="J410" s="5" t="n"/>
    </row>
    <row r="411">
      <c r="A411" s="5" t="n"/>
      <c r="B411" s="5" t="n"/>
      <c r="C411" s="5" t="n"/>
      <c r="D411" s="5" t="n"/>
      <c r="E411" s="18" t="n"/>
      <c r="F411" s="21" t="n"/>
      <c r="G411" s="21" t="n"/>
      <c r="H411" s="21" t="n"/>
      <c r="I411" s="22">
        <f>IF(OR(G411="",H411=""),"",H411-G411)</f>
        <v/>
      </c>
      <c r="J411" s="5" t="n"/>
    </row>
    <row r="412">
      <c r="A412" s="5" t="n"/>
      <c r="B412" s="5" t="n"/>
      <c r="C412" s="5" t="n"/>
      <c r="D412" s="5" t="n"/>
      <c r="E412" s="18" t="n"/>
      <c r="F412" s="21" t="n"/>
      <c r="G412" s="21" t="n"/>
      <c r="H412" s="21" t="n"/>
      <c r="I412" s="22">
        <f>IF(OR(G412="",H412=""),"",H412-G412)</f>
        <v/>
      </c>
      <c r="J412" s="5" t="n"/>
    </row>
    <row r="413">
      <c r="A413" s="5" t="n"/>
      <c r="B413" s="5" t="n"/>
      <c r="C413" s="5" t="n"/>
      <c r="D413" s="5" t="n"/>
      <c r="E413" s="18" t="n"/>
      <c r="F413" s="21" t="n"/>
      <c r="G413" s="21" t="n"/>
      <c r="H413" s="21" t="n"/>
      <c r="I413" s="22">
        <f>IF(OR(G413="",H413=""),"",H413-G413)</f>
        <v/>
      </c>
      <c r="J413" s="5" t="n"/>
    </row>
    <row r="414">
      <c r="A414" s="5" t="n"/>
      <c r="B414" s="5" t="n"/>
      <c r="C414" s="5" t="n"/>
      <c r="D414" s="5" t="n"/>
      <c r="E414" s="18" t="n"/>
      <c r="F414" s="21" t="n"/>
      <c r="G414" s="21" t="n"/>
      <c r="H414" s="21" t="n"/>
      <c r="I414" s="22">
        <f>IF(OR(G414="",H414=""),"",H414-G414)</f>
        <v/>
      </c>
      <c r="J414" s="5" t="n"/>
    </row>
    <row r="415">
      <c r="A415" s="5" t="n"/>
      <c r="B415" s="5" t="n"/>
      <c r="C415" s="5" t="n"/>
      <c r="D415" s="5" t="n"/>
      <c r="E415" s="18" t="n"/>
      <c r="F415" s="21" t="n"/>
      <c r="G415" s="21" t="n"/>
      <c r="H415" s="21" t="n"/>
      <c r="I415" s="22">
        <f>IF(OR(G415="",H415=""),"",H415-G415)</f>
        <v/>
      </c>
      <c r="J415" s="5" t="n"/>
    </row>
    <row r="416">
      <c r="A416" s="5" t="n"/>
      <c r="B416" s="5" t="n"/>
      <c r="C416" s="5" t="n"/>
      <c r="D416" s="5" t="n"/>
      <c r="E416" s="18" t="n"/>
      <c r="F416" s="21" t="n"/>
      <c r="G416" s="21" t="n"/>
      <c r="H416" s="21" t="n"/>
      <c r="I416" s="22">
        <f>IF(OR(G416="",H416=""),"",H416-G416)</f>
        <v/>
      </c>
      <c r="J416" s="5" t="n"/>
    </row>
    <row r="417">
      <c r="A417" s="5" t="n"/>
      <c r="B417" s="5" t="n"/>
      <c r="C417" s="5" t="n"/>
      <c r="D417" s="5" t="n"/>
      <c r="E417" s="18" t="n"/>
      <c r="F417" s="21" t="n"/>
      <c r="G417" s="21" t="n"/>
      <c r="H417" s="21" t="n"/>
      <c r="I417" s="22">
        <f>IF(OR(G417="",H417=""),"",H417-G417)</f>
        <v/>
      </c>
      <c r="J417" s="5" t="n"/>
    </row>
    <row r="418">
      <c r="A418" s="5" t="n"/>
      <c r="B418" s="5" t="n"/>
      <c r="C418" s="5" t="n"/>
      <c r="D418" s="5" t="n"/>
      <c r="E418" s="18" t="n"/>
      <c r="F418" s="21" t="n"/>
      <c r="G418" s="21" t="n"/>
      <c r="H418" s="21" t="n"/>
      <c r="I418" s="22">
        <f>IF(OR(G418="",H418=""),"",H418-G418)</f>
        <v/>
      </c>
      <c r="J418" s="5" t="n"/>
    </row>
    <row r="419">
      <c r="A419" s="5" t="n"/>
      <c r="B419" s="5" t="n"/>
      <c r="C419" s="5" t="n"/>
      <c r="D419" s="5" t="n"/>
      <c r="E419" s="18" t="n"/>
      <c r="F419" s="21" t="n"/>
      <c r="G419" s="21" t="n"/>
      <c r="H419" s="21" t="n"/>
      <c r="I419" s="22">
        <f>IF(OR(G419="",H419=""),"",H419-G419)</f>
        <v/>
      </c>
      <c r="J419" s="5" t="n"/>
    </row>
    <row r="420">
      <c r="A420" s="5" t="n"/>
      <c r="B420" s="5" t="n"/>
      <c r="C420" s="5" t="n"/>
      <c r="D420" s="5" t="n"/>
      <c r="E420" s="18" t="n"/>
      <c r="F420" s="21" t="n"/>
      <c r="G420" s="21" t="n"/>
      <c r="H420" s="21" t="n"/>
      <c r="I420" s="22">
        <f>IF(OR(G420="",H420=""),"",H420-G420)</f>
        <v/>
      </c>
      <c r="J420" s="5" t="n"/>
    </row>
    <row r="421">
      <c r="A421" s="5" t="n"/>
      <c r="B421" s="5" t="n"/>
      <c r="C421" s="5" t="n"/>
      <c r="D421" s="5" t="n"/>
      <c r="E421" s="18" t="n"/>
      <c r="F421" s="21" t="n"/>
      <c r="G421" s="21" t="n"/>
      <c r="H421" s="21" t="n"/>
      <c r="I421" s="22">
        <f>IF(OR(G421="",H421=""),"",H421-G421)</f>
        <v/>
      </c>
      <c r="J421" s="5" t="n"/>
    </row>
    <row r="422">
      <c r="A422" s="5" t="n"/>
      <c r="B422" s="5" t="n"/>
      <c r="C422" s="5" t="n"/>
      <c r="D422" s="5" t="n"/>
      <c r="E422" s="18" t="n"/>
      <c r="F422" s="21" t="n"/>
      <c r="G422" s="21" t="n"/>
      <c r="H422" s="21" t="n"/>
      <c r="I422" s="22">
        <f>IF(OR(G422="",H422=""),"",H422-G422)</f>
        <v/>
      </c>
      <c r="J422" s="5" t="n"/>
    </row>
    <row r="423">
      <c r="A423" s="5" t="n"/>
      <c r="B423" s="5" t="n"/>
      <c r="C423" s="5" t="n"/>
      <c r="D423" s="5" t="n"/>
      <c r="E423" s="18" t="n"/>
      <c r="F423" s="21" t="n"/>
      <c r="G423" s="21" t="n"/>
      <c r="H423" s="21" t="n"/>
      <c r="I423" s="22">
        <f>IF(OR(G423="",H423=""),"",H423-G423)</f>
        <v/>
      </c>
      <c r="J423" s="5" t="n"/>
    </row>
    <row r="424">
      <c r="A424" s="5" t="n"/>
      <c r="B424" s="5" t="n"/>
      <c r="C424" s="5" t="n"/>
      <c r="D424" s="5" t="n"/>
      <c r="E424" s="18" t="n"/>
      <c r="F424" s="21" t="n"/>
      <c r="G424" s="21" t="n"/>
      <c r="H424" s="21" t="n"/>
      <c r="I424" s="22">
        <f>IF(OR(G424="",H424=""),"",H424-G424)</f>
        <v/>
      </c>
      <c r="J424" s="5" t="n"/>
    </row>
    <row r="425">
      <c r="A425" s="5" t="n"/>
      <c r="B425" s="5" t="n"/>
      <c r="C425" s="5" t="n"/>
      <c r="D425" s="5" t="n"/>
      <c r="E425" s="18" t="n"/>
      <c r="F425" s="21" t="n"/>
      <c r="G425" s="21" t="n"/>
      <c r="H425" s="21" t="n"/>
      <c r="I425" s="22">
        <f>IF(OR(G425="",H425=""),"",H425-G425)</f>
        <v/>
      </c>
      <c r="J425" s="5" t="n"/>
    </row>
    <row r="426">
      <c r="A426" s="5" t="n"/>
      <c r="B426" s="5" t="n"/>
      <c r="C426" s="5" t="n"/>
      <c r="D426" s="5" t="n"/>
      <c r="E426" s="18" t="n"/>
      <c r="F426" s="21" t="n"/>
      <c r="G426" s="21" t="n"/>
      <c r="H426" s="21" t="n"/>
      <c r="I426" s="22">
        <f>IF(OR(G426="",H426=""),"",H426-G426)</f>
        <v/>
      </c>
      <c r="J426" s="5" t="n"/>
    </row>
    <row r="427">
      <c r="A427" s="5" t="n"/>
      <c r="B427" s="5" t="n"/>
      <c r="C427" s="5" t="n"/>
      <c r="D427" s="5" t="n"/>
      <c r="E427" s="18" t="n"/>
      <c r="F427" s="21" t="n"/>
      <c r="G427" s="21" t="n"/>
      <c r="H427" s="21" t="n"/>
      <c r="I427" s="22">
        <f>IF(OR(G427="",H427=""),"",H427-G427)</f>
        <v/>
      </c>
      <c r="J427" s="5" t="n"/>
    </row>
    <row r="428">
      <c r="A428" s="5" t="n"/>
      <c r="B428" s="5" t="n"/>
      <c r="C428" s="5" t="n"/>
      <c r="D428" s="5" t="n"/>
      <c r="E428" s="18" t="n"/>
      <c r="F428" s="21" t="n"/>
      <c r="G428" s="21" t="n"/>
      <c r="H428" s="21" t="n"/>
      <c r="I428" s="22">
        <f>IF(OR(G428="",H428=""),"",H428-G428)</f>
        <v/>
      </c>
      <c r="J428" s="5" t="n"/>
    </row>
    <row r="429">
      <c r="A429" s="5" t="n"/>
      <c r="B429" s="5" t="n"/>
      <c r="C429" s="5" t="n"/>
      <c r="D429" s="5" t="n"/>
      <c r="E429" s="18" t="n"/>
      <c r="F429" s="21" t="n"/>
      <c r="G429" s="21" t="n"/>
      <c r="H429" s="21" t="n"/>
      <c r="I429" s="22">
        <f>IF(OR(G429="",H429=""),"",H429-G429)</f>
        <v/>
      </c>
      <c r="J429" s="5" t="n"/>
    </row>
    <row r="430">
      <c r="A430" s="5" t="n"/>
      <c r="B430" s="5" t="n"/>
      <c r="C430" s="5" t="n"/>
      <c r="D430" s="5" t="n"/>
      <c r="E430" s="18" t="n"/>
      <c r="F430" s="21" t="n"/>
      <c r="G430" s="21" t="n"/>
      <c r="H430" s="21" t="n"/>
      <c r="I430" s="22">
        <f>IF(OR(G430="",H430=""),"",H430-G430)</f>
        <v/>
      </c>
      <c r="J430" s="5" t="n"/>
    </row>
    <row r="431">
      <c r="A431" s="5" t="n"/>
      <c r="B431" s="5" t="n"/>
      <c r="C431" s="5" t="n"/>
      <c r="D431" s="5" t="n"/>
      <c r="E431" s="18" t="n"/>
      <c r="F431" s="21" t="n"/>
      <c r="G431" s="21" t="n"/>
      <c r="H431" s="21" t="n"/>
      <c r="I431" s="22">
        <f>IF(OR(G431="",H431=""),"",H431-G431)</f>
        <v/>
      </c>
      <c r="J431" s="5" t="n"/>
    </row>
    <row r="432">
      <c r="A432" s="5" t="n"/>
      <c r="B432" s="5" t="n"/>
      <c r="C432" s="5" t="n"/>
      <c r="D432" s="5" t="n"/>
      <c r="E432" s="18" t="n"/>
      <c r="F432" s="21" t="n"/>
      <c r="G432" s="21" t="n"/>
      <c r="H432" s="21" t="n"/>
      <c r="I432" s="22">
        <f>IF(OR(G432="",H432=""),"",H432-G432)</f>
        <v/>
      </c>
      <c r="J432" s="5" t="n"/>
    </row>
    <row r="433">
      <c r="A433" s="5" t="n"/>
      <c r="B433" s="5" t="n"/>
      <c r="C433" s="5" t="n"/>
      <c r="D433" s="5" t="n"/>
      <c r="E433" s="18" t="n"/>
      <c r="F433" s="21" t="n"/>
      <c r="G433" s="21" t="n"/>
      <c r="H433" s="21" t="n"/>
      <c r="I433" s="22">
        <f>IF(OR(G433="",H433=""),"",H433-G433)</f>
        <v/>
      </c>
      <c r="J433" s="5" t="n"/>
    </row>
    <row r="434">
      <c r="A434" s="5" t="n"/>
      <c r="B434" s="5" t="n"/>
      <c r="C434" s="5" t="n"/>
      <c r="D434" s="5" t="n"/>
      <c r="E434" s="18" t="n"/>
      <c r="F434" s="21" t="n"/>
      <c r="G434" s="21" t="n"/>
      <c r="H434" s="21" t="n"/>
      <c r="I434" s="22">
        <f>IF(OR(G434="",H434=""),"",H434-G434)</f>
        <v/>
      </c>
      <c r="J434" s="5" t="n"/>
    </row>
    <row r="435">
      <c r="A435" s="5" t="n"/>
      <c r="B435" s="5" t="n"/>
      <c r="C435" s="5" t="n"/>
      <c r="D435" s="5" t="n"/>
      <c r="E435" s="18" t="n"/>
      <c r="F435" s="21" t="n"/>
      <c r="G435" s="21" t="n"/>
      <c r="H435" s="21" t="n"/>
      <c r="I435" s="22">
        <f>IF(OR(G435="",H435=""),"",H435-G435)</f>
        <v/>
      </c>
      <c r="J435" s="5" t="n"/>
    </row>
    <row r="436">
      <c r="A436" s="5" t="n"/>
      <c r="B436" s="5" t="n"/>
      <c r="C436" s="5" t="n"/>
      <c r="D436" s="5" t="n"/>
      <c r="E436" s="18" t="n"/>
      <c r="F436" s="21" t="n"/>
      <c r="G436" s="21" t="n"/>
      <c r="H436" s="21" t="n"/>
      <c r="I436" s="22">
        <f>IF(OR(G436="",H436=""),"",H436-G436)</f>
        <v/>
      </c>
      <c r="J436" s="5" t="n"/>
    </row>
    <row r="437">
      <c r="A437" s="5" t="n"/>
      <c r="B437" s="5" t="n"/>
      <c r="C437" s="5" t="n"/>
      <c r="D437" s="5" t="n"/>
      <c r="E437" s="18" t="n"/>
      <c r="F437" s="21" t="n"/>
      <c r="G437" s="21" t="n"/>
      <c r="H437" s="21" t="n"/>
      <c r="I437" s="22">
        <f>IF(OR(G437="",H437=""),"",H437-G437)</f>
        <v/>
      </c>
      <c r="J437" s="5" t="n"/>
    </row>
    <row r="438">
      <c r="A438" s="5" t="n"/>
      <c r="B438" s="5" t="n"/>
      <c r="C438" s="5" t="n"/>
      <c r="D438" s="5" t="n"/>
      <c r="E438" s="18" t="n"/>
      <c r="F438" s="21" t="n"/>
      <c r="G438" s="21" t="n"/>
      <c r="H438" s="21" t="n"/>
      <c r="I438" s="22">
        <f>IF(OR(G438="",H438=""),"",H438-G438)</f>
        <v/>
      </c>
      <c r="J438" s="5" t="n"/>
    </row>
    <row r="439">
      <c r="A439" s="5" t="n"/>
      <c r="B439" s="5" t="n"/>
      <c r="C439" s="5" t="n"/>
      <c r="D439" s="5" t="n"/>
      <c r="E439" s="18" t="n"/>
      <c r="F439" s="21" t="n"/>
      <c r="G439" s="21" t="n"/>
      <c r="H439" s="21" t="n"/>
      <c r="I439" s="22">
        <f>IF(OR(G439="",H439=""),"",H439-G439)</f>
        <v/>
      </c>
      <c r="J439" s="5" t="n"/>
    </row>
    <row r="440">
      <c r="A440" s="5" t="n"/>
      <c r="B440" s="5" t="n"/>
      <c r="C440" s="5" t="n"/>
      <c r="D440" s="5" t="n"/>
      <c r="E440" s="18" t="n"/>
      <c r="F440" s="21" t="n"/>
      <c r="G440" s="21" t="n"/>
      <c r="H440" s="21" t="n"/>
      <c r="I440" s="22">
        <f>IF(OR(G440="",H440=""),"",H440-G440)</f>
        <v/>
      </c>
      <c r="J440" s="5" t="n"/>
    </row>
    <row r="441">
      <c r="A441" s="5" t="n"/>
      <c r="B441" s="5" t="n"/>
      <c r="C441" s="5" t="n"/>
      <c r="D441" s="5" t="n"/>
      <c r="E441" s="18" t="n"/>
      <c r="F441" s="21" t="n"/>
      <c r="G441" s="21" t="n"/>
      <c r="H441" s="21" t="n"/>
      <c r="I441" s="22">
        <f>IF(OR(G441="",H441=""),"",H441-G441)</f>
        <v/>
      </c>
      <c r="J441" s="5" t="n"/>
    </row>
    <row r="442">
      <c r="A442" s="5" t="n"/>
      <c r="B442" s="5" t="n"/>
      <c r="C442" s="5" t="n"/>
      <c r="D442" s="5" t="n"/>
      <c r="E442" s="18" t="n"/>
      <c r="F442" s="21" t="n"/>
      <c r="G442" s="21" t="n"/>
      <c r="H442" s="21" t="n"/>
      <c r="I442" s="22">
        <f>IF(OR(G442="",H442=""),"",H442-G442)</f>
        <v/>
      </c>
      <c r="J442" s="5" t="n"/>
    </row>
    <row r="443">
      <c r="A443" s="5" t="n"/>
      <c r="B443" s="5" t="n"/>
      <c r="C443" s="5" t="n"/>
      <c r="D443" s="5" t="n"/>
      <c r="E443" s="18" t="n"/>
      <c r="F443" s="21" t="n"/>
      <c r="G443" s="21" t="n"/>
      <c r="H443" s="21" t="n"/>
      <c r="I443" s="22">
        <f>IF(OR(G443="",H443=""),"",H443-G443)</f>
        <v/>
      </c>
      <c r="J443" s="5" t="n"/>
    </row>
    <row r="444">
      <c r="A444" s="5" t="n"/>
      <c r="B444" s="5" t="n"/>
      <c r="C444" s="5" t="n"/>
      <c r="D444" s="5" t="n"/>
      <c r="E444" s="18" t="n"/>
      <c r="F444" s="21" t="n"/>
      <c r="G444" s="21" t="n"/>
      <c r="H444" s="21" t="n"/>
      <c r="I444" s="22">
        <f>IF(OR(G444="",H444=""),"",H444-G444)</f>
        <v/>
      </c>
      <c r="J444" s="5" t="n"/>
    </row>
    <row r="445">
      <c r="A445" s="5" t="n"/>
      <c r="B445" s="5" t="n"/>
      <c r="C445" s="5" t="n"/>
      <c r="D445" s="5" t="n"/>
      <c r="E445" s="18" t="n"/>
      <c r="F445" s="21" t="n"/>
      <c r="G445" s="21" t="n"/>
      <c r="H445" s="21" t="n"/>
      <c r="I445" s="22">
        <f>IF(OR(G445="",H445=""),"",H445-G445)</f>
        <v/>
      </c>
      <c r="J445" s="5" t="n"/>
    </row>
    <row r="446">
      <c r="A446" s="5" t="n"/>
      <c r="B446" s="5" t="n"/>
      <c r="C446" s="5" t="n"/>
      <c r="D446" s="5" t="n"/>
      <c r="E446" s="18" t="n"/>
      <c r="F446" s="21" t="n"/>
      <c r="G446" s="21" t="n"/>
      <c r="H446" s="21" t="n"/>
      <c r="I446" s="22">
        <f>IF(OR(G446="",H446=""),"",H446-G446)</f>
        <v/>
      </c>
      <c r="J446" s="5" t="n"/>
    </row>
    <row r="447">
      <c r="A447" s="5" t="n"/>
      <c r="B447" s="5" t="n"/>
      <c r="C447" s="5" t="n"/>
      <c r="D447" s="5" t="n"/>
      <c r="E447" s="18" t="n"/>
      <c r="F447" s="21" t="n"/>
      <c r="G447" s="21" t="n"/>
      <c r="H447" s="21" t="n"/>
      <c r="I447" s="22">
        <f>IF(OR(G447="",H447=""),"",H447-G447)</f>
        <v/>
      </c>
      <c r="J447" s="5" t="n"/>
    </row>
    <row r="448">
      <c r="A448" s="5" t="n"/>
      <c r="B448" s="5" t="n"/>
      <c r="C448" s="5" t="n"/>
      <c r="D448" s="5" t="n"/>
      <c r="E448" s="18" t="n"/>
      <c r="F448" s="21" t="n"/>
      <c r="G448" s="21" t="n"/>
      <c r="H448" s="21" t="n"/>
      <c r="I448" s="22">
        <f>IF(OR(G448="",H448=""),"",H448-G448)</f>
        <v/>
      </c>
      <c r="J448" s="5" t="n"/>
    </row>
    <row r="449">
      <c r="A449" s="5" t="n"/>
      <c r="B449" s="5" t="n"/>
      <c r="C449" s="5" t="n"/>
      <c r="D449" s="5" t="n"/>
      <c r="E449" s="18" t="n"/>
      <c r="F449" s="21" t="n"/>
      <c r="G449" s="21" t="n"/>
      <c r="H449" s="21" t="n"/>
      <c r="I449" s="22">
        <f>IF(OR(G449="",H449=""),"",H449-G449)</f>
        <v/>
      </c>
      <c r="J449" s="5" t="n"/>
    </row>
    <row r="450">
      <c r="A450" s="5" t="n"/>
      <c r="B450" s="5" t="n"/>
      <c r="C450" s="5" t="n"/>
      <c r="D450" s="5" t="n"/>
      <c r="E450" s="18" t="n"/>
      <c r="F450" s="21" t="n"/>
      <c r="G450" s="21" t="n"/>
      <c r="H450" s="21" t="n"/>
      <c r="I450" s="22">
        <f>IF(OR(G450="",H450=""),"",H450-G450)</f>
        <v/>
      </c>
      <c r="J450" s="5" t="n"/>
    </row>
    <row r="451">
      <c r="A451" s="5" t="n"/>
      <c r="B451" s="5" t="n"/>
      <c r="C451" s="5" t="n"/>
      <c r="D451" s="5" t="n"/>
      <c r="E451" s="18" t="n"/>
      <c r="F451" s="21" t="n"/>
      <c r="G451" s="21" t="n"/>
      <c r="H451" s="21" t="n"/>
      <c r="I451" s="22">
        <f>IF(OR(G451="",H451=""),"",H451-G451)</f>
        <v/>
      </c>
      <c r="J451" s="5" t="n"/>
    </row>
    <row r="452">
      <c r="A452" s="5" t="n"/>
      <c r="B452" s="5" t="n"/>
      <c r="C452" s="5" t="n"/>
      <c r="D452" s="5" t="n"/>
      <c r="E452" s="18" t="n"/>
      <c r="F452" s="21" t="n"/>
      <c r="G452" s="21" t="n"/>
      <c r="H452" s="21" t="n"/>
      <c r="I452" s="22">
        <f>IF(OR(G452="",H452=""),"",H452-G452)</f>
        <v/>
      </c>
      <c r="J452" s="5" t="n"/>
    </row>
    <row r="453">
      <c r="A453" s="5" t="n"/>
      <c r="B453" s="5" t="n"/>
      <c r="C453" s="5" t="n"/>
      <c r="D453" s="5" t="n"/>
      <c r="E453" s="18" t="n"/>
      <c r="F453" s="21" t="n"/>
      <c r="G453" s="21" t="n"/>
      <c r="H453" s="21" t="n"/>
      <c r="I453" s="22">
        <f>IF(OR(G453="",H453=""),"",H453-G453)</f>
        <v/>
      </c>
      <c r="J453" s="5" t="n"/>
    </row>
    <row r="454">
      <c r="A454" s="5" t="n"/>
      <c r="B454" s="5" t="n"/>
      <c r="C454" s="5" t="n"/>
      <c r="D454" s="5" t="n"/>
      <c r="E454" s="18" t="n"/>
      <c r="F454" s="21" t="n"/>
      <c r="G454" s="21" t="n"/>
      <c r="H454" s="21" t="n"/>
      <c r="I454" s="22">
        <f>IF(OR(G454="",H454=""),"",H454-G454)</f>
        <v/>
      </c>
      <c r="J454" s="5" t="n"/>
    </row>
    <row r="455">
      <c r="A455" s="5" t="n"/>
      <c r="B455" s="5" t="n"/>
      <c r="C455" s="5" t="n"/>
      <c r="D455" s="5" t="n"/>
      <c r="E455" s="18" t="n"/>
      <c r="F455" s="21" t="n"/>
      <c r="G455" s="21" t="n"/>
      <c r="H455" s="21" t="n"/>
      <c r="I455" s="22">
        <f>IF(OR(G455="",H455=""),"",H455-G455)</f>
        <v/>
      </c>
      <c r="J455" s="5" t="n"/>
    </row>
    <row r="456">
      <c r="A456" s="5" t="n"/>
      <c r="B456" s="5" t="n"/>
      <c r="C456" s="5" t="n"/>
      <c r="D456" s="5" t="n"/>
      <c r="E456" s="18" t="n"/>
      <c r="F456" s="21" t="n"/>
      <c r="G456" s="21" t="n"/>
      <c r="H456" s="21" t="n"/>
      <c r="I456" s="22">
        <f>IF(OR(G456="",H456=""),"",H456-G456)</f>
        <v/>
      </c>
      <c r="J456" s="5" t="n"/>
    </row>
    <row r="457">
      <c r="A457" s="5" t="n"/>
      <c r="B457" s="5" t="n"/>
      <c r="C457" s="5" t="n"/>
      <c r="D457" s="5" t="n"/>
      <c r="E457" s="18" t="n"/>
      <c r="F457" s="21" t="n"/>
      <c r="G457" s="21" t="n"/>
      <c r="H457" s="21" t="n"/>
      <c r="I457" s="22">
        <f>IF(OR(G457="",H457=""),"",H457-G457)</f>
        <v/>
      </c>
      <c r="J457" s="5" t="n"/>
    </row>
    <row r="458">
      <c r="A458" s="5" t="n"/>
      <c r="B458" s="5" t="n"/>
      <c r="C458" s="5" t="n"/>
      <c r="D458" s="5" t="n"/>
      <c r="E458" s="18" t="n"/>
      <c r="F458" s="21" t="n"/>
      <c r="G458" s="21" t="n"/>
      <c r="H458" s="21" t="n"/>
      <c r="I458" s="22">
        <f>IF(OR(G458="",H458=""),"",H458-G458)</f>
        <v/>
      </c>
      <c r="J458" s="5" t="n"/>
    </row>
    <row r="459">
      <c r="A459" s="5" t="n"/>
      <c r="B459" s="5" t="n"/>
      <c r="C459" s="5" t="n"/>
      <c r="D459" s="5" t="n"/>
      <c r="E459" s="18" t="n"/>
      <c r="F459" s="21" t="n"/>
      <c r="G459" s="21" t="n"/>
      <c r="H459" s="21" t="n"/>
      <c r="I459" s="22">
        <f>IF(OR(G459="",H459=""),"",H459-G459)</f>
        <v/>
      </c>
      <c r="J459" s="5" t="n"/>
    </row>
    <row r="460">
      <c r="A460" s="5" t="n"/>
      <c r="B460" s="5" t="n"/>
      <c r="C460" s="5" t="n"/>
      <c r="D460" s="5" t="n"/>
      <c r="E460" s="18" t="n"/>
      <c r="F460" s="21" t="n"/>
      <c r="G460" s="21" t="n"/>
      <c r="H460" s="21" t="n"/>
      <c r="I460" s="22">
        <f>IF(OR(G460="",H460=""),"",H460-G460)</f>
        <v/>
      </c>
      <c r="J460" s="5" t="n"/>
    </row>
    <row r="461">
      <c r="A461" s="5" t="n"/>
      <c r="B461" s="5" t="n"/>
      <c r="C461" s="5" t="n"/>
      <c r="D461" s="5" t="n"/>
      <c r="E461" s="18" t="n"/>
      <c r="F461" s="21" t="n"/>
      <c r="G461" s="21" t="n"/>
      <c r="H461" s="21" t="n"/>
      <c r="I461" s="22">
        <f>IF(OR(G461="",H461=""),"",H461-G461)</f>
        <v/>
      </c>
      <c r="J461" s="5" t="n"/>
    </row>
    <row r="462">
      <c r="A462" s="5" t="n"/>
      <c r="B462" s="5" t="n"/>
      <c r="C462" s="5" t="n"/>
      <c r="D462" s="5" t="n"/>
      <c r="E462" s="18" t="n"/>
      <c r="F462" s="21" t="n"/>
      <c r="G462" s="21" t="n"/>
      <c r="H462" s="21" t="n"/>
      <c r="I462" s="22">
        <f>IF(OR(G462="",H462=""),"",H462-G462)</f>
        <v/>
      </c>
      <c r="J462" s="5" t="n"/>
    </row>
    <row r="463">
      <c r="A463" s="5" t="n"/>
      <c r="B463" s="5" t="n"/>
      <c r="C463" s="5" t="n"/>
      <c r="D463" s="5" t="n"/>
      <c r="E463" s="18" t="n"/>
      <c r="F463" s="21" t="n"/>
      <c r="G463" s="21" t="n"/>
      <c r="H463" s="21" t="n"/>
      <c r="I463" s="22">
        <f>IF(OR(G463="",H463=""),"",H463-G463)</f>
        <v/>
      </c>
      <c r="J463" s="5" t="n"/>
    </row>
    <row r="464">
      <c r="A464" s="5" t="n"/>
      <c r="B464" s="5" t="n"/>
      <c r="C464" s="5" t="n"/>
      <c r="D464" s="5" t="n"/>
      <c r="E464" s="18" t="n"/>
      <c r="F464" s="21" t="n"/>
      <c r="G464" s="21" t="n"/>
      <c r="H464" s="21" t="n"/>
      <c r="I464" s="22">
        <f>IF(OR(G464="",H464=""),"",H464-G464)</f>
        <v/>
      </c>
      <c r="J464" s="5" t="n"/>
    </row>
    <row r="465">
      <c r="A465" s="5" t="n"/>
      <c r="B465" s="5" t="n"/>
      <c r="C465" s="5" t="n"/>
      <c r="D465" s="5" t="n"/>
      <c r="E465" s="18" t="n"/>
      <c r="F465" s="21" t="n"/>
      <c r="G465" s="21" t="n"/>
      <c r="H465" s="21" t="n"/>
      <c r="I465" s="22">
        <f>IF(OR(G465="",H465=""),"",H465-G465)</f>
        <v/>
      </c>
      <c r="J465" s="5" t="n"/>
    </row>
    <row r="466">
      <c r="A466" s="5" t="n"/>
      <c r="B466" s="5" t="n"/>
      <c r="C466" s="5" t="n"/>
      <c r="D466" s="5" t="n"/>
      <c r="E466" s="18" t="n"/>
      <c r="F466" s="21" t="n"/>
      <c r="G466" s="21" t="n"/>
      <c r="H466" s="21" t="n"/>
      <c r="I466" s="22">
        <f>IF(OR(G466="",H466=""),"",H466-G466)</f>
        <v/>
      </c>
      <c r="J466" s="5" t="n"/>
    </row>
    <row r="467">
      <c r="A467" s="5" t="n"/>
      <c r="B467" s="5" t="n"/>
      <c r="C467" s="5" t="n"/>
      <c r="D467" s="5" t="n"/>
      <c r="E467" s="18" t="n"/>
      <c r="F467" s="21" t="n"/>
      <c r="G467" s="21" t="n"/>
      <c r="H467" s="21" t="n"/>
      <c r="I467" s="22">
        <f>IF(OR(G467="",H467=""),"",H467-G467)</f>
        <v/>
      </c>
      <c r="J467" s="5" t="n"/>
    </row>
    <row r="468">
      <c r="A468" s="5" t="n"/>
      <c r="B468" s="5" t="n"/>
      <c r="C468" s="5" t="n"/>
      <c r="D468" s="5" t="n"/>
      <c r="E468" s="18" t="n"/>
      <c r="F468" s="21" t="n"/>
      <c r="G468" s="21" t="n"/>
      <c r="H468" s="21" t="n"/>
      <c r="I468" s="22">
        <f>IF(OR(G468="",H468=""),"",H468-G468)</f>
        <v/>
      </c>
      <c r="J468" s="5" t="n"/>
    </row>
    <row r="469">
      <c r="A469" s="5" t="n"/>
      <c r="B469" s="5" t="n"/>
      <c r="C469" s="5" t="n"/>
      <c r="D469" s="5" t="n"/>
      <c r="E469" s="18" t="n"/>
      <c r="F469" s="21" t="n"/>
      <c r="G469" s="21" t="n"/>
      <c r="H469" s="21" t="n"/>
      <c r="I469" s="22">
        <f>IF(OR(G469="",H469=""),"",H469-G469)</f>
        <v/>
      </c>
      <c r="J469" s="5" t="n"/>
    </row>
    <row r="470">
      <c r="A470" s="5" t="n"/>
      <c r="B470" s="5" t="n"/>
      <c r="C470" s="5" t="n"/>
      <c r="D470" s="5" t="n"/>
      <c r="E470" s="18" t="n"/>
      <c r="F470" s="21" t="n"/>
      <c r="G470" s="21" t="n"/>
      <c r="H470" s="21" t="n"/>
      <c r="I470" s="22">
        <f>IF(OR(G470="",H470=""),"",H470-G470)</f>
        <v/>
      </c>
      <c r="J470" s="5" t="n"/>
    </row>
    <row r="471">
      <c r="A471" s="5" t="n"/>
      <c r="B471" s="5" t="n"/>
      <c r="C471" s="5" t="n"/>
      <c r="D471" s="5" t="n"/>
      <c r="E471" s="18" t="n"/>
      <c r="F471" s="21" t="n"/>
      <c r="G471" s="21" t="n"/>
      <c r="H471" s="21" t="n"/>
      <c r="I471" s="22">
        <f>IF(OR(G471="",H471=""),"",H471-G471)</f>
        <v/>
      </c>
      <c r="J471" s="5" t="n"/>
    </row>
    <row r="472">
      <c r="A472" s="5" t="n"/>
      <c r="B472" s="5" t="n"/>
      <c r="C472" s="5" t="n"/>
      <c r="D472" s="5" t="n"/>
      <c r="E472" s="18" t="n"/>
      <c r="F472" s="21" t="n"/>
      <c r="G472" s="21" t="n"/>
      <c r="H472" s="21" t="n"/>
      <c r="I472" s="22">
        <f>IF(OR(G472="",H472=""),"",H472-G472)</f>
        <v/>
      </c>
      <c r="J472" s="5" t="n"/>
    </row>
    <row r="473">
      <c r="A473" s="5" t="n"/>
      <c r="B473" s="5" t="n"/>
      <c r="C473" s="5" t="n"/>
      <c r="D473" s="5" t="n"/>
      <c r="E473" s="18" t="n"/>
      <c r="F473" s="21" t="n"/>
      <c r="G473" s="21" t="n"/>
      <c r="H473" s="21" t="n"/>
      <c r="I473" s="22">
        <f>IF(OR(G473="",H473=""),"",H473-G473)</f>
        <v/>
      </c>
      <c r="J473" s="5" t="n"/>
    </row>
    <row r="474">
      <c r="A474" s="5" t="n"/>
      <c r="B474" s="5" t="n"/>
      <c r="C474" s="5" t="n"/>
      <c r="D474" s="5" t="n"/>
      <c r="E474" s="18" t="n"/>
      <c r="F474" s="21" t="n"/>
      <c r="G474" s="21" t="n"/>
      <c r="H474" s="21" t="n"/>
      <c r="I474" s="22">
        <f>IF(OR(G474="",H474=""),"",H474-G474)</f>
        <v/>
      </c>
      <c r="J474" s="5" t="n"/>
    </row>
    <row r="475">
      <c r="A475" s="5" t="n"/>
      <c r="B475" s="5" t="n"/>
      <c r="C475" s="5" t="n"/>
      <c r="D475" s="5" t="n"/>
      <c r="E475" s="18" t="n"/>
      <c r="F475" s="21" t="n"/>
      <c r="G475" s="21" t="n"/>
      <c r="H475" s="21" t="n"/>
      <c r="I475" s="22">
        <f>IF(OR(G475="",H475=""),"",H475-G475)</f>
        <v/>
      </c>
      <c r="J475" s="5" t="n"/>
    </row>
    <row r="476">
      <c r="A476" s="5" t="n"/>
      <c r="B476" s="5" t="n"/>
      <c r="C476" s="5" t="n"/>
      <c r="D476" s="5" t="n"/>
      <c r="E476" s="18" t="n"/>
      <c r="F476" s="21" t="n"/>
      <c r="G476" s="21" t="n"/>
      <c r="H476" s="21" t="n"/>
      <c r="I476" s="22">
        <f>IF(OR(G476="",H476=""),"",H476-G476)</f>
        <v/>
      </c>
      <c r="J476" s="5" t="n"/>
    </row>
    <row r="477">
      <c r="A477" s="5" t="n"/>
      <c r="B477" s="5" t="n"/>
      <c r="C477" s="5" t="n"/>
      <c r="D477" s="5" t="n"/>
      <c r="E477" s="18" t="n"/>
      <c r="F477" s="21" t="n"/>
      <c r="G477" s="21" t="n"/>
      <c r="H477" s="21" t="n"/>
      <c r="I477" s="22">
        <f>IF(OR(G477="",H477=""),"",H477-G477)</f>
        <v/>
      </c>
      <c r="J477" s="5" t="n"/>
    </row>
    <row r="478">
      <c r="A478" s="5" t="n"/>
      <c r="B478" s="5" t="n"/>
      <c r="C478" s="5" t="n"/>
      <c r="D478" s="5" t="n"/>
      <c r="E478" s="18" t="n"/>
      <c r="F478" s="21" t="n"/>
      <c r="G478" s="21" t="n"/>
      <c r="H478" s="21" t="n"/>
      <c r="I478" s="22">
        <f>IF(OR(G478="",H478=""),"",H478-G478)</f>
        <v/>
      </c>
      <c r="J478" s="5" t="n"/>
    </row>
    <row r="479">
      <c r="A479" s="5" t="n"/>
      <c r="B479" s="5" t="n"/>
      <c r="C479" s="5" t="n"/>
      <c r="D479" s="5" t="n"/>
      <c r="E479" s="18" t="n"/>
      <c r="F479" s="21" t="n"/>
      <c r="G479" s="21" t="n"/>
      <c r="H479" s="21" t="n"/>
      <c r="I479" s="22">
        <f>IF(OR(G479="",H479=""),"",H479-G479)</f>
        <v/>
      </c>
      <c r="J479" s="5" t="n"/>
    </row>
    <row r="480">
      <c r="A480" s="5" t="n"/>
      <c r="B480" s="5" t="n"/>
      <c r="C480" s="5" t="n"/>
      <c r="D480" s="5" t="n"/>
      <c r="E480" s="18" t="n"/>
      <c r="F480" s="21" t="n"/>
      <c r="G480" s="21" t="n"/>
      <c r="H480" s="21" t="n"/>
      <c r="I480" s="22">
        <f>IF(OR(G480="",H480=""),"",H480-G480)</f>
        <v/>
      </c>
      <c r="J480" s="5" t="n"/>
    </row>
    <row r="481">
      <c r="A481" s="5" t="n"/>
      <c r="B481" s="5" t="n"/>
      <c r="C481" s="5" t="n"/>
      <c r="D481" s="5" t="n"/>
      <c r="E481" s="18" t="n"/>
      <c r="F481" s="21" t="n"/>
      <c r="G481" s="21" t="n"/>
      <c r="H481" s="21" t="n"/>
      <c r="I481" s="22">
        <f>IF(OR(G481="",H481=""),"",H481-G481)</f>
        <v/>
      </c>
      <c r="J481" s="5" t="n"/>
    </row>
    <row r="482">
      <c r="A482" s="5" t="n"/>
      <c r="B482" s="5" t="n"/>
      <c r="C482" s="5" t="n"/>
      <c r="D482" s="5" t="n"/>
      <c r="E482" s="18" t="n"/>
      <c r="F482" s="21" t="n"/>
      <c r="G482" s="21" t="n"/>
      <c r="H482" s="21" t="n"/>
      <c r="I482" s="22">
        <f>IF(OR(G482="",H482=""),"",H482-G482)</f>
        <v/>
      </c>
      <c r="J482" s="5" t="n"/>
    </row>
    <row r="483">
      <c r="A483" s="5" t="n"/>
      <c r="B483" s="5" t="n"/>
      <c r="C483" s="5" t="n"/>
      <c r="D483" s="5" t="n"/>
      <c r="E483" s="18" t="n"/>
      <c r="F483" s="21" t="n"/>
      <c r="G483" s="21" t="n"/>
      <c r="H483" s="21" t="n"/>
      <c r="I483" s="22">
        <f>IF(OR(G483="",H483=""),"",H483-G483)</f>
        <v/>
      </c>
      <c r="J483" s="5" t="n"/>
    </row>
    <row r="484">
      <c r="A484" s="5" t="n"/>
      <c r="B484" s="5" t="n"/>
      <c r="C484" s="5" t="n"/>
      <c r="D484" s="5" t="n"/>
      <c r="E484" s="18" t="n"/>
      <c r="F484" s="21" t="n"/>
      <c r="G484" s="21" t="n"/>
      <c r="H484" s="21" t="n"/>
      <c r="I484" s="22">
        <f>IF(OR(G484="",H484=""),"",H484-G484)</f>
        <v/>
      </c>
      <c r="J484" s="5" t="n"/>
    </row>
    <row r="485">
      <c r="A485" s="5" t="n"/>
      <c r="B485" s="5" t="n"/>
      <c r="C485" s="5" t="n"/>
      <c r="D485" s="5" t="n"/>
      <c r="E485" s="18" t="n"/>
      <c r="F485" s="21" t="n"/>
      <c r="G485" s="21" t="n"/>
      <c r="H485" s="21" t="n"/>
      <c r="I485" s="22">
        <f>IF(OR(G485="",H485=""),"",H485-G485)</f>
        <v/>
      </c>
      <c r="J485" s="5" t="n"/>
    </row>
    <row r="486">
      <c r="A486" s="5" t="n"/>
      <c r="B486" s="5" t="n"/>
      <c r="C486" s="5" t="n"/>
      <c r="D486" s="5" t="n"/>
      <c r="E486" s="18" t="n"/>
      <c r="F486" s="21" t="n"/>
      <c r="G486" s="21" t="n"/>
      <c r="H486" s="21" t="n"/>
      <c r="I486" s="22">
        <f>IF(OR(G486="",H486=""),"",H486-G486)</f>
        <v/>
      </c>
      <c r="J486" s="5" t="n"/>
    </row>
    <row r="487">
      <c r="A487" s="5" t="n"/>
      <c r="B487" s="5" t="n"/>
      <c r="C487" s="5" t="n"/>
      <c r="D487" s="5" t="n"/>
      <c r="E487" s="18" t="n"/>
      <c r="F487" s="21" t="n"/>
      <c r="G487" s="21" t="n"/>
      <c r="H487" s="21" t="n"/>
      <c r="I487" s="22">
        <f>IF(OR(G487="",H487=""),"",H487-G487)</f>
        <v/>
      </c>
      <c r="J487" s="5" t="n"/>
    </row>
    <row r="488">
      <c r="A488" s="5" t="n"/>
      <c r="B488" s="5" t="n"/>
      <c r="C488" s="5" t="n"/>
      <c r="D488" s="5" t="n"/>
      <c r="E488" s="18" t="n"/>
      <c r="F488" s="21" t="n"/>
      <c r="G488" s="21" t="n"/>
      <c r="H488" s="21" t="n"/>
      <c r="I488" s="22">
        <f>IF(OR(G488="",H488=""),"",H488-G488)</f>
        <v/>
      </c>
      <c r="J488" s="5" t="n"/>
    </row>
    <row r="489">
      <c r="A489" s="5" t="n"/>
      <c r="B489" s="5" t="n"/>
      <c r="C489" s="5" t="n"/>
      <c r="D489" s="5" t="n"/>
      <c r="E489" s="18" t="n"/>
      <c r="F489" s="21" t="n"/>
      <c r="G489" s="21" t="n"/>
      <c r="H489" s="21" t="n"/>
      <c r="I489" s="22">
        <f>IF(OR(G489="",H489=""),"",H489-G489)</f>
        <v/>
      </c>
      <c r="J489" s="5" t="n"/>
    </row>
    <row r="490">
      <c r="A490" s="5" t="n"/>
      <c r="B490" s="5" t="n"/>
      <c r="C490" s="5" t="n"/>
      <c r="D490" s="5" t="n"/>
      <c r="E490" s="18" t="n"/>
      <c r="F490" s="21" t="n"/>
      <c r="G490" s="21" t="n"/>
      <c r="H490" s="21" t="n"/>
      <c r="I490" s="22">
        <f>IF(OR(G490="",H490=""),"",H490-G490)</f>
        <v/>
      </c>
      <c r="J490" s="5" t="n"/>
    </row>
    <row r="491">
      <c r="A491" s="5" t="n"/>
      <c r="B491" s="5" t="n"/>
      <c r="C491" s="5" t="n"/>
      <c r="D491" s="5" t="n"/>
      <c r="E491" s="18" t="n"/>
      <c r="F491" s="21" t="n"/>
      <c r="G491" s="21" t="n"/>
      <c r="H491" s="21" t="n"/>
      <c r="I491" s="22">
        <f>IF(OR(G491="",H491=""),"",H491-G491)</f>
        <v/>
      </c>
      <c r="J491" s="5" t="n"/>
    </row>
    <row r="492">
      <c r="A492" s="5" t="n"/>
      <c r="B492" s="5" t="n"/>
      <c r="C492" s="5" t="n"/>
      <c r="D492" s="5" t="n"/>
      <c r="E492" s="18" t="n"/>
      <c r="F492" s="21" t="n"/>
      <c r="G492" s="21" t="n"/>
      <c r="H492" s="21" t="n"/>
      <c r="I492" s="22">
        <f>IF(OR(G492="",H492=""),"",H492-G492)</f>
        <v/>
      </c>
      <c r="J492" s="5" t="n"/>
    </row>
    <row r="493">
      <c r="A493" s="5" t="n"/>
      <c r="B493" s="5" t="n"/>
      <c r="C493" s="5" t="n"/>
      <c r="D493" s="5" t="n"/>
      <c r="E493" s="18" t="n"/>
      <c r="F493" s="21" t="n"/>
      <c r="G493" s="21" t="n"/>
      <c r="H493" s="21" t="n"/>
      <c r="I493" s="22">
        <f>IF(OR(G493="",H493=""),"",H493-G493)</f>
        <v/>
      </c>
      <c r="J493" s="5" t="n"/>
    </row>
    <row r="494">
      <c r="A494" s="5" t="n"/>
      <c r="B494" s="5" t="n"/>
      <c r="C494" s="5" t="n"/>
      <c r="D494" s="5" t="n"/>
      <c r="E494" s="18" t="n"/>
      <c r="F494" s="21" t="n"/>
      <c r="G494" s="21" t="n"/>
      <c r="H494" s="21" t="n"/>
      <c r="I494" s="22">
        <f>IF(OR(G494="",H494=""),"",H494-G494)</f>
        <v/>
      </c>
      <c r="J494" s="5" t="n"/>
    </row>
    <row r="495">
      <c r="A495" s="5" t="n"/>
      <c r="B495" s="5" t="n"/>
      <c r="C495" s="5" t="n"/>
      <c r="D495" s="5" t="n"/>
      <c r="E495" s="18" t="n"/>
      <c r="F495" s="21" t="n"/>
      <c r="G495" s="21" t="n"/>
      <c r="H495" s="21" t="n"/>
      <c r="I495" s="22">
        <f>IF(OR(G495="",H495=""),"",H495-G495)</f>
        <v/>
      </c>
      <c r="J495" s="5" t="n"/>
    </row>
    <row r="496">
      <c r="A496" s="5" t="n"/>
      <c r="B496" s="5" t="n"/>
      <c r="C496" s="5" t="n"/>
      <c r="D496" s="5" t="n"/>
      <c r="E496" s="18" t="n"/>
      <c r="F496" s="21" t="n"/>
      <c r="G496" s="21" t="n"/>
      <c r="H496" s="21" t="n"/>
      <c r="I496" s="22">
        <f>IF(OR(G496="",H496=""),"",H496-G496)</f>
        <v/>
      </c>
      <c r="J496" s="5" t="n"/>
    </row>
    <row r="497">
      <c r="A497" s="5" t="n"/>
      <c r="B497" s="5" t="n"/>
      <c r="C497" s="5" t="n"/>
      <c r="D497" s="5" t="n"/>
      <c r="E497" s="18" t="n"/>
      <c r="F497" s="21" t="n"/>
      <c r="G497" s="21" t="n"/>
      <c r="H497" s="21" t="n"/>
      <c r="I497" s="22">
        <f>IF(OR(G497="",H497=""),"",H497-G497)</f>
        <v/>
      </c>
      <c r="J497" s="5" t="n"/>
    </row>
    <row r="498">
      <c r="A498" s="5" t="n"/>
      <c r="B498" s="5" t="n"/>
      <c r="C498" s="5" t="n"/>
      <c r="D498" s="5" t="n"/>
      <c r="E498" s="18" t="n"/>
      <c r="F498" s="21" t="n"/>
      <c r="G498" s="21" t="n"/>
      <c r="H498" s="21" t="n"/>
      <c r="I498" s="22">
        <f>IF(OR(G498="",H498=""),"",H498-G498)</f>
        <v/>
      </c>
      <c r="J498" s="5" t="n"/>
    </row>
    <row r="499">
      <c r="A499" s="5" t="n"/>
      <c r="B499" s="5" t="n"/>
      <c r="C499" s="5" t="n"/>
      <c r="D499" s="5" t="n"/>
      <c r="E499" s="18" t="n"/>
      <c r="F499" s="21" t="n"/>
      <c r="G499" s="21" t="n"/>
      <c r="H499" s="21" t="n"/>
      <c r="I499" s="22">
        <f>IF(OR(G499="",H499=""),"",H499-G499)</f>
        <v/>
      </c>
      <c r="J499" s="5" t="n"/>
    </row>
    <row r="500">
      <c r="A500" s="5" t="n"/>
      <c r="B500" s="5" t="n"/>
      <c r="C500" s="5" t="n"/>
      <c r="D500" s="5" t="n"/>
      <c r="E500" s="18" t="n"/>
      <c r="F500" s="21" t="n"/>
      <c r="G500" s="21" t="n"/>
      <c r="H500" s="21" t="n"/>
      <c r="I500" s="22">
        <f>IF(OR(G500="",H500=""),"",H500-G500)</f>
        <v/>
      </c>
      <c r="J500" s="5" t="n"/>
    </row>
    <row r="501">
      <c r="A501" s="5" t="n"/>
      <c r="B501" s="5" t="n"/>
      <c r="C501" s="5" t="n"/>
      <c r="D501" s="5" t="n"/>
      <c r="E501" s="18" t="n"/>
      <c r="F501" s="21" t="n"/>
      <c r="G501" s="21" t="n"/>
      <c r="H501" s="21" t="n"/>
      <c r="I501" s="22">
        <f>IF(OR(G501="",H501=""),"",H501-G501)</f>
        <v/>
      </c>
      <c r="J501" s="5" t="n"/>
    </row>
    <row r="502">
      <c r="A502" s="5" t="n"/>
      <c r="B502" s="5" t="n"/>
      <c r="C502" s="5" t="n"/>
      <c r="D502" s="5" t="n"/>
      <c r="E502" s="18" t="n"/>
      <c r="F502" s="21" t="n"/>
      <c r="G502" s="21" t="n"/>
      <c r="H502" s="21" t="n"/>
      <c r="I502" s="22">
        <f>IF(OR(G502="",H502=""),"",H502-G502)</f>
        <v/>
      </c>
      <c r="J502" s="5" t="n"/>
    </row>
    <row r="503">
      <c r="A503" s="5" t="n"/>
      <c r="B503" s="5" t="n"/>
      <c r="C503" s="5" t="n"/>
      <c r="D503" s="5" t="n"/>
      <c r="E503" s="18" t="n"/>
      <c r="F503" s="21" t="n"/>
      <c r="G503" s="21" t="n"/>
      <c r="H503" s="21" t="n"/>
      <c r="I503" s="22">
        <f>IF(OR(G503="",H503=""),"",H503-G503)</f>
        <v/>
      </c>
      <c r="J503" s="5" t="n"/>
    </row>
    <row r="504">
      <c r="A504" s="5" t="n"/>
      <c r="B504" s="5" t="n"/>
      <c r="C504" s="5" t="n"/>
      <c r="D504" s="5" t="n"/>
      <c r="E504" s="18" t="n"/>
      <c r="F504" s="21" t="n"/>
      <c r="G504" s="21" t="n"/>
      <c r="H504" s="21" t="n"/>
      <c r="I504" s="22">
        <f>IF(OR(G504="",H504=""),"",H504-G504)</f>
        <v/>
      </c>
      <c r="J504" s="5" t="n"/>
    </row>
  </sheetData>
  <autoFilter ref="A4:J50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5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4" customWidth="1" min="3" max="3"/>
    <col width="20" customWidth="1" min="4" max="4"/>
    <col width="14" customWidth="1" min="5" max="5"/>
  </cols>
  <sheetData>
    <row r="1" ht="28" customHeight="1">
      <c r="A1" s="1" t="inlineStr">
        <is>
          <t>TEKLİF ÖNCESİ YAPILACAKLAR</t>
        </is>
      </c>
    </row>
    <row r="2" ht="30" customHeight="1">
      <c r="A2" s="2" t="inlineStr">
        <is>
          <t>Teklif verilmeden tamamlanacak işler.</t>
        </is>
      </c>
    </row>
    <row r="3">
      <c r="A3" s="14" t="inlineStr">
        <is>
          <t>TOPLAM</t>
        </is>
      </c>
      <c r="B3" s="15" t="n"/>
      <c r="C3" s="15" t="n"/>
      <c r="D3" s="15" t="n"/>
      <c r="E3" s="15" t="n"/>
    </row>
    <row r="4" ht="32" customHeight="1">
      <c r="A4" s="17" t="inlineStr">
        <is>
          <t>Sıra</t>
        </is>
      </c>
      <c r="B4" s="17" t="inlineStr">
        <is>
          <t>İş</t>
        </is>
      </c>
      <c r="C4" s="17" t="inlineStr">
        <is>
          <t>Son Tarih</t>
        </is>
      </c>
      <c r="D4" s="17" t="inlineStr">
        <is>
          <t>Sorumlu</t>
        </is>
      </c>
      <c r="E4" s="17" t="inlineStr">
        <is>
          <t>Durum</t>
        </is>
      </c>
    </row>
    <row r="5">
      <c r="A5" s="5" t="n"/>
      <c r="B5" s="5" t="n"/>
      <c r="C5" s="24" t="n"/>
      <c r="D5" s="5" t="n"/>
      <c r="E5" s="5" t="n"/>
    </row>
    <row r="6">
      <c r="A6" s="5" t="n"/>
      <c r="B6" s="5" t="n"/>
      <c r="C6" s="24" t="n"/>
      <c r="D6" s="5" t="n"/>
      <c r="E6" s="5" t="n"/>
    </row>
    <row r="7">
      <c r="A7" s="5" t="n"/>
      <c r="B7" s="5" t="n"/>
      <c r="C7" s="24" t="n"/>
      <c r="D7" s="5" t="n"/>
      <c r="E7" s="5" t="n"/>
    </row>
    <row r="8">
      <c r="A8" s="5" t="n"/>
      <c r="B8" s="5" t="n"/>
      <c r="C8" s="24" t="n"/>
      <c r="D8" s="5" t="n"/>
      <c r="E8" s="5" t="n"/>
    </row>
    <row r="9">
      <c r="A9" s="5" t="n"/>
      <c r="B9" s="5" t="n"/>
      <c r="C9" s="24" t="n"/>
      <c r="D9" s="5" t="n"/>
      <c r="E9" s="5" t="n"/>
    </row>
    <row r="10">
      <c r="A10" s="5" t="n"/>
      <c r="B10" s="5" t="n"/>
      <c r="C10" s="24" t="n"/>
      <c r="D10" s="5" t="n"/>
      <c r="E10" s="5" t="n"/>
    </row>
    <row r="11">
      <c r="A11" s="5" t="n"/>
      <c r="B11" s="5" t="n"/>
      <c r="C11" s="24" t="n"/>
      <c r="D11" s="5" t="n"/>
      <c r="E11" s="5" t="n"/>
    </row>
    <row r="12">
      <c r="A12" s="5" t="n"/>
      <c r="B12" s="5" t="n"/>
      <c r="C12" s="24" t="n"/>
      <c r="D12" s="5" t="n"/>
      <c r="E12" s="5" t="n"/>
    </row>
    <row r="13">
      <c r="A13" s="5" t="n"/>
      <c r="B13" s="5" t="n"/>
      <c r="C13" s="24" t="n"/>
      <c r="D13" s="5" t="n"/>
      <c r="E13" s="5" t="n"/>
    </row>
    <row r="14">
      <c r="A14" s="5" t="n"/>
      <c r="B14" s="5" t="n"/>
      <c r="C14" s="24" t="n"/>
      <c r="D14" s="5" t="n"/>
      <c r="E14" s="5" t="n"/>
    </row>
    <row r="15">
      <c r="A15" s="5" t="n"/>
      <c r="B15" s="5" t="n"/>
      <c r="C15" s="24" t="n"/>
      <c r="D15" s="5" t="n"/>
      <c r="E15" s="5" t="n"/>
    </row>
    <row r="16">
      <c r="A16" s="5" t="n"/>
      <c r="B16" s="5" t="n"/>
      <c r="C16" s="24" t="n"/>
      <c r="D16" s="5" t="n"/>
      <c r="E16" s="5" t="n"/>
    </row>
    <row r="17">
      <c r="A17" s="5" t="n"/>
      <c r="B17" s="5" t="n"/>
      <c r="C17" s="24" t="n"/>
      <c r="D17" s="5" t="n"/>
      <c r="E17" s="5" t="n"/>
    </row>
    <row r="18">
      <c r="A18" s="5" t="n"/>
      <c r="B18" s="5" t="n"/>
      <c r="C18" s="24" t="n"/>
      <c r="D18" s="5" t="n"/>
      <c r="E18" s="5" t="n"/>
    </row>
    <row r="19">
      <c r="A19" s="5" t="n"/>
      <c r="B19" s="5" t="n"/>
      <c r="C19" s="24" t="n"/>
      <c r="D19" s="5" t="n"/>
      <c r="E19" s="5" t="n"/>
    </row>
    <row r="20">
      <c r="A20" s="5" t="n"/>
      <c r="B20" s="5" t="n"/>
      <c r="C20" s="24" t="n"/>
      <c r="D20" s="5" t="n"/>
      <c r="E20" s="5" t="n"/>
    </row>
    <row r="21">
      <c r="A21" s="5" t="n"/>
      <c r="B21" s="5" t="n"/>
      <c r="C21" s="24" t="n"/>
      <c r="D21" s="5" t="n"/>
      <c r="E21" s="5" t="n"/>
    </row>
    <row r="22">
      <c r="A22" s="5" t="n"/>
      <c r="B22" s="5" t="n"/>
      <c r="C22" s="24" t="n"/>
      <c r="D22" s="5" t="n"/>
      <c r="E22" s="5" t="n"/>
    </row>
    <row r="23">
      <c r="A23" s="5" t="n"/>
      <c r="B23" s="5" t="n"/>
      <c r="C23" s="24" t="n"/>
      <c r="D23" s="5" t="n"/>
      <c r="E23" s="5" t="n"/>
    </row>
    <row r="24">
      <c r="A24" s="5" t="n"/>
      <c r="B24" s="5" t="n"/>
      <c r="C24" s="24" t="n"/>
      <c r="D24" s="5" t="n"/>
      <c r="E24" s="5" t="n"/>
    </row>
    <row r="25">
      <c r="A25" s="5" t="n"/>
      <c r="B25" s="5" t="n"/>
      <c r="C25" s="24" t="n"/>
      <c r="D25" s="5" t="n"/>
      <c r="E25" s="5" t="n"/>
    </row>
    <row r="26">
      <c r="A26" s="5" t="n"/>
      <c r="B26" s="5" t="n"/>
      <c r="C26" s="24" t="n"/>
      <c r="D26" s="5" t="n"/>
      <c r="E26" s="5" t="n"/>
    </row>
    <row r="27">
      <c r="A27" s="5" t="n"/>
      <c r="B27" s="5" t="n"/>
      <c r="C27" s="24" t="n"/>
      <c r="D27" s="5" t="n"/>
      <c r="E27" s="5" t="n"/>
    </row>
    <row r="28">
      <c r="A28" s="5" t="n"/>
      <c r="B28" s="5" t="n"/>
      <c r="C28" s="24" t="n"/>
      <c r="D28" s="5" t="n"/>
      <c r="E28" s="5" t="n"/>
    </row>
    <row r="29">
      <c r="A29" s="5" t="n"/>
      <c r="B29" s="5" t="n"/>
      <c r="C29" s="24" t="n"/>
      <c r="D29" s="5" t="n"/>
      <c r="E29" s="5" t="n"/>
    </row>
    <row r="30">
      <c r="A30" s="5" t="n"/>
      <c r="B30" s="5" t="n"/>
      <c r="C30" s="24" t="n"/>
      <c r="D30" s="5" t="n"/>
      <c r="E30" s="5" t="n"/>
    </row>
    <row r="31">
      <c r="A31" s="5" t="n"/>
      <c r="B31" s="5" t="n"/>
      <c r="C31" s="24" t="n"/>
      <c r="D31" s="5" t="n"/>
      <c r="E31" s="5" t="n"/>
    </row>
    <row r="32">
      <c r="A32" s="5" t="n"/>
      <c r="B32" s="5" t="n"/>
      <c r="C32" s="24" t="n"/>
      <c r="D32" s="5" t="n"/>
      <c r="E32" s="5" t="n"/>
    </row>
    <row r="33">
      <c r="A33" s="5" t="n"/>
      <c r="B33" s="5" t="n"/>
      <c r="C33" s="24" t="n"/>
      <c r="D33" s="5" t="n"/>
      <c r="E33" s="5" t="n"/>
    </row>
    <row r="34">
      <c r="A34" s="5" t="n"/>
      <c r="B34" s="5" t="n"/>
      <c r="C34" s="24" t="n"/>
      <c r="D34" s="5" t="n"/>
      <c r="E34" s="5" t="n"/>
    </row>
    <row r="35">
      <c r="A35" s="5" t="n"/>
      <c r="B35" s="5" t="n"/>
      <c r="C35" s="24" t="n"/>
      <c r="D35" s="5" t="n"/>
      <c r="E35" s="5" t="n"/>
    </row>
    <row r="36">
      <c r="A36" s="5" t="n"/>
      <c r="B36" s="5" t="n"/>
      <c r="C36" s="24" t="n"/>
      <c r="D36" s="5" t="n"/>
      <c r="E36" s="5" t="n"/>
    </row>
    <row r="37">
      <c r="A37" s="5" t="n"/>
      <c r="B37" s="5" t="n"/>
      <c r="C37" s="24" t="n"/>
      <c r="D37" s="5" t="n"/>
      <c r="E37" s="5" t="n"/>
    </row>
    <row r="38">
      <c r="A38" s="5" t="n"/>
      <c r="B38" s="5" t="n"/>
      <c r="C38" s="24" t="n"/>
      <c r="D38" s="5" t="n"/>
      <c r="E38" s="5" t="n"/>
    </row>
    <row r="39">
      <c r="A39" s="5" t="n"/>
      <c r="B39" s="5" t="n"/>
      <c r="C39" s="24" t="n"/>
      <c r="D39" s="5" t="n"/>
      <c r="E39" s="5" t="n"/>
    </row>
    <row r="40">
      <c r="A40" s="5" t="n"/>
      <c r="B40" s="5" t="n"/>
      <c r="C40" s="24" t="n"/>
      <c r="D40" s="5" t="n"/>
      <c r="E40" s="5" t="n"/>
    </row>
    <row r="41">
      <c r="A41" s="5" t="n"/>
      <c r="B41" s="5" t="n"/>
      <c r="C41" s="24" t="n"/>
      <c r="D41" s="5" t="n"/>
      <c r="E41" s="5" t="n"/>
    </row>
    <row r="42">
      <c r="A42" s="5" t="n"/>
      <c r="B42" s="5" t="n"/>
      <c r="C42" s="24" t="n"/>
      <c r="D42" s="5" t="n"/>
      <c r="E42" s="5" t="n"/>
    </row>
    <row r="43">
      <c r="A43" s="5" t="n"/>
      <c r="B43" s="5" t="n"/>
      <c r="C43" s="24" t="n"/>
      <c r="D43" s="5" t="n"/>
      <c r="E43" s="5" t="n"/>
    </row>
    <row r="44">
      <c r="A44" s="5" t="n"/>
      <c r="B44" s="5" t="n"/>
      <c r="C44" s="24" t="n"/>
      <c r="D44" s="5" t="n"/>
      <c r="E44" s="5" t="n"/>
    </row>
    <row r="45">
      <c r="A45" s="5" t="n"/>
      <c r="B45" s="5" t="n"/>
      <c r="C45" s="24" t="n"/>
      <c r="D45" s="5" t="n"/>
      <c r="E45" s="5" t="n"/>
    </row>
    <row r="46">
      <c r="A46" s="5" t="n"/>
      <c r="B46" s="5" t="n"/>
      <c r="C46" s="24" t="n"/>
      <c r="D46" s="5" t="n"/>
      <c r="E46" s="5" t="n"/>
    </row>
    <row r="47">
      <c r="A47" s="5" t="n"/>
      <c r="B47" s="5" t="n"/>
      <c r="C47" s="24" t="n"/>
      <c r="D47" s="5" t="n"/>
      <c r="E47" s="5" t="n"/>
    </row>
    <row r="48">
      <c r="A48" s="5" t="n"/>
      <c r="B48" s="5" t="n"/>
      <c r="C48" s="24" t="n"/>
      <c r="D48" s="5" t="n"/>
      <c r="E48" s="5" t="n"/>
    </row>
    <row r="49">
      <c r="A49" s="5" t="n"/>
      <c r="B49" s="5" t="n"/>
      <c r="C49" s="24" t="n"/>
      <c r="D49" s="5" t="n"/>
      <c r="E49" s="5" t="n"/>
    </row>
    <row r="50">
      <c r="A50" s="5" t="n"/>
      <c r="B50" s="5" t="n"/>
      <c r="C50" s="24" t="n"/>
      <c r="D50" s="5" t="n"/>
      <c r="E50" s="5" t="n"/>
    </row>
    <row r="51">
      <c r="A51" s="5" t="n"/>
      <c r="B51" s="5" t="n"/>
      <c r="C51" s="24" t="n"/>
      <c r="D51" s="5" t="n"/>
      <c r="E51" s="5" t="n"/>
    </row>
    <row r="52">
      <c r="A52" s="5" t="n"/>
      <c r="B52" s="5" t="n"/>
      <c r="C52" s="24" t="n"/>
      <c r="D52" s="5" t="n"/>
      <c r="E52" s="5" t="n"/>
    </row>
    <row r="53">
      <c r="A53" s="5" t="n"/>
      <c r="B53" s="5" t="n"/>
      <c r="C53" s="24" t="n"/>
      <c r="D53" s="5" t="n"/>
      <c r="E53" s="5" t="n"/>
    </row>
    <row r="54">
      <c r="A54" s="5" t="n"/>
      <c r="B54" s="5" t="n"/>
      <c r="C54" s="24" t="n"/>
      <c r="D54" s="5" t="n"/>
      <c r="E54" s="5" t="n"/>
    </row>
    <row r="55">
      <c r="A55" s="5" t="n"/>
      <c r="B55" s="5" t="n"/>
      <c r="C55" s="24" t="n"/>
      <c r="D55" s="5" t="n"/>
      <c r="E55" s="5" t="n"/>
    </row>
    <row r="56">
      <c r="A56" s="5" t="n"/>
      <c r="B56" s="5" t="n"/>
      <c r="C56" s="24" t="n"/>
      <c r="D56" s="5" t="n"/>
      <c r="E56" s="5" t="n"/>
    </row>
    <row r="57">
      <c r="A57" s="5" t="n"/>
      <c r="B57" s="5" t="n"/>
      <c r="C57" s="24" t="n"/>
      <c r="D57" s="5" t="n"/>
      <c r="E57" s="5" t="n"/>
    </row>
    <row r="58">
      <c r="A58" s="5" t="n"/>
      <c r="B58" s="5" t="n"/>
      <c r="C58" s="24" t="n"/>
      <c r="D58" s="5" t="n"/>
      <c r="E58" s="5" t="n"/>
    </row>
    <row r="59">
      <c r="A59" s="5" t="n"/>
      <c r="B59" s="5" t="n"/>
      <c r="C59" s="24" t="n"/>
      <c r="D59" s="5" t="n"/>
      <c r="E59" s="5" t="n"/>
    </row>
    <row r="60">
      <c r="A60" s="5" t="n"/>
      <c r="B60" s="5" t="n"/>
      <c r="C60" s="24" t="n"/>
      <c r="D60" s="5" t="n"/>
      <c r="E60" s="5" t="n"/>
    </row>
    <row r="61">
      <c r="A61" s="5" t="n"/>
      <c r="B61" s="5" t="n"/>
      <c r="C61" s="24" t="n"/>
      <c r="D61" s="5" t="n"/>
      <c r="E61" s="5" t="n"/>
    </row>
    <row r="62">
      <c r="A62" s="5" t="n"/>
      <c r="B62" s="5" t="n"/>
      <c r="C62" s="24" t="n"/>
      <c r="D62" s="5" t="n"/>
      <c r="E62" s="5" t="n"/>
    </row>
    <row r="63">
      <c r="A63" s="5" t="n"/>
      <c r="B63" s="5" t="n"/>
      <c r="C63" s="24" t="n"/>
      <c r="D63" s="5" t="n"/>
      <c r="E63" s="5" t="n"/>
    </row>
    <row r="64">
      <c r="A64" s="5" t="n"/>
      <c r="B64" s="5" t="n"/>
      <c r="C64" s="24" t="n"/>
      <c r="D64" s="5" t="n"/>
      <c r="E64" s="5" t="n"/>
    </row>
    <row r="65">
      <c r="A65" s="5" t="n"/>
      <c r="B65" s="5" t="n"/>
      <c r="C65" s="24" t="n"/>
      <c r="D65" s="5" t="n"/>
      <c r="E65" s="5" t="n"/>
    </row>
    <row r="66">
      <c r="A66" s="5" t="n"/>
      <c r="B66" s="5" t="n"/>
      <c r="C66" s="24" t="n"/>
      <c r="D66" s="5" t="n"/>
      <c r="E66" s="5" t="n"/>
    </row>
    <row r="67">
      <c r="A67" s="5" t="n"/>
      <c r="B67" s="5" t="n"/>
      <c r="C67" s="24" t="n"/>
      <c r="D67" s="5" t="n"/>
      <c r="E67" s="5" t="n"/>
    </row>
    <row r="68">
      <c r="A68" s="5" t="n"/>
      <c r="B68" s="5" t="n"/>
      <c r="C68" s="24" t="n"/>
      <c r="D68" s="5" t="n"/>
      <c r="E68" s="5" t="n"/>
    </row>
    <row r="69">
      <c r="A69" s="5" t="n"/>
      <c r="B69" s="5" t="n"/>
      <c r="C69" s="24" t="n"/>
      <c r="D69" s="5" t="n"/>
      <c r="E69" s="5" t="n"/>
    </row>
    <row r="70">
      <c r="A70" s="5" t="n"/>
      <c r="B70" s="5" t="n"/>
      <c r="C70" s="24" t="n"/>
      <c r="D70" s="5" t="n"/>
      <c r="E70" s="5" t="n"/>
    </row>
    <row r="71">
      <c r="A71" s="5" t="n"/>
      <c r="B71" s="5" t="n"/>
      <c r="C71" s="24" t="n"/>
      <c r="D71" s="5" t="n"/>
      <c r="E71" s="5" t="n"/>
    </row>
    <row r="72">
      <c r="A72" s="5" t="n"/>
      <c r="B72" s="5" t="n"/>
      <c r="C72" s="24" t="n"/>
      <c r="D72" s="5" t="n"/>
      <c r="E72" s="5" t="n"/>
    </row>
    <row r="73">
      <c r="A73" s="5" t="n"/>
      <c r="B73" s="5" t="n"/>
      <c r="C73" s="24" t="n"/>
      <c r="D73" s="5" t="n"/>
      <c r="E73" s="5" t="n"/>
    </row>
    <row r="74">
      <c r="A74" s="5" t="n"/>
      <c r="B74" s="5" t="n"/>
      <c r="C74" s="24" t="n"/>
      <c r="D74" s="5" t="n"/>
      <c r="E74" s="5" t="n"/>
    </row>
    <row r="75">
      <c r="A75" s="5" t="n"/>
      <c r="B75" s="5" t="n"/>
      <c r="C75" s="24" t="n"/>
      <c r="D75" s="5" t="n"/>
      <c r="E75" s="5" t="n"/>
    </row>
    <row r="76">
      <c r="A76" s="5" t="n"/>
      <c r="B76" s="5" t="n"/>
      <c r="C76" s="24" t="n"/>
      <c r="D76" s="5" t="n"/>
      <c r="E76" s="5" t="n"/>
    </row>
    <row r="77">
      <c r="A77" s="5" t="n"/>
      <c r="B77" s="5" t="n"/>
      <c r="C77" s="24" t="n"/>
      <c r="D77" s="5" t="n"/>
      <c r="E77" s="5" t="n"/>
    </row>
    <row r="78">
      <c r="A78" s="5" t="n"/>
      <c r="B78" s="5" t="n"/>
      <c r="C78" s="24" t="n"/>
      <c r="D78" s="5" t="n"/>
      <c r="E78" s="5" t="n"/>
    </row>
    <row r="79">
      <c r="A79" s="5" t="n"/>
      <c r="B79" s="5" t="n"/>
      <c r="C79" s="24" t="n"/>
      <c r="D79" s="5" t="n"/>
      <c r="E79" s="5" t="n"/>
    </row>
    <row r="80">
      <c r="A80" s="5" t="n"/>
      <c r="B80" s="5" t="n"/>
      <c r="C80" s="24" t="n"/>
      <c r="D80" s="5" t="n"/>
      <c r="E80" s="5" t="n"/>
    </row>
    <row r="81">
      <c r="A81" s="5" t="n"/>
      <c r="B81" s="5" t="n"/>
      <c r="C81" s="24" t="n"/>
      <c r="D81" s="5" t="n"/>
      <c r="E81" s="5" t="n"/>
    </row>
    <row r="82">
      <c r="A82" s="5" t="n"/>
      <c r="B82" s="5" t="n"/>
      <c r="C82" s="24" t="n"/>
      <c r="D82" s="5" t="n"/>
      <c r="E82" s="5" t="n"/>
    </row>
    <row r="83">
      <c r="A83" s="5" t="n"/>
      <c r="B83" s="5" t="n"/>
      <c r="C83" s="24" t="n"/>
      <c r="D83" s="5" t="n"/>
      <c r="E83" s="5" t="n"/>
    </row>
    <row r="84">
      <c r="A84" s="5" t="n"/>
      <c r="B84" s="5" t="n"/>
      <c r="C84" s="24" t="n"/>
      <c r="D84" s="5" t="n"/>
      <c r="E84" s="5" t="n"/>
    </row>
    <row r="85">
      <c r="A85" s="5" t="n"/>
      <c r="B85" s="5" t="n"/>
      <c r="C85" s="24" t="n"/>
      <c r="D85" s="5" t="n"/>
      <c r="E85" s="5" t="n"/>
    </row>
    <row r="86">
      <c r="A86" s="5" t="n"/>
      <c r="B86" s="5" t="n"/>
      <c r="C86" s="24" t="n"/>
      <c r="D86" s="5" t="n"/>
      <c r="E86" s="5" t="n"/>
    </row>
    <row r="87">
      <c r="A87" s="5" t="n"/>
      <c r="B87" s="5" t="n"/>
      <c r="C87" s="24" t="n"/>
      <c r="D87" s="5" t="n"/>
      <c r="E87" s="5" t="n"/>
    </row>
    <row r="88">
      <c r="A88" s="5" t="n"/>
      <c r="B88" s="5" t="n"/>
      <c r="C88" s="24" t="n"/>
      <c r="D88" s="5" t="n"/>
      <c r="E88" s="5" t="n"/>
    </row>
    <row r="89">
      <c r="A89" s="5" t="n"/>
      <c r="B89" s="5" t="n"/>
      <c r="C89" s="24" t="n"/>
      <c r="D89" s="5" t="n"/>
      <c r="E89" s="5" t="n"/>
    </row>
    <row r="90">
      <c r="A90" s="5" t="n"/>
      <c r="B90" s="5" t="n"/>
      <c r="C90" s="24" t="n"/>
      <c r="D90" s="5" t="n"/>
      <c r="E90" s="5" t="n"/>
    </row>
    <row r="91">
      <c r="A91" s="5" t="n"/>
      <c r="B91" s="5" t="n"/>
      <c r="C91" s="24" t="n"/>
      <c r="D91" s="5" t="n"/>
      <c r="E91" s="5" t="n"/>
    </row>
    <row r="92">
      <c r="A92" s="5" t="n"/>
      <c r="B92" s="5" t="n"/>
      <c r="C92" s="24" t="n"/>
      <c r="D92" s="5" t="n"/>
      <c r="E92" s="5" t="n"/>
    </row>
    <row r="93">
      <c r="A93" s="5" t="n"/>
      <c r="B93" s="5" t="n"/>
      <c r="C93" s="24" t="n"/>
      <c r="D93" s="5" t="n"/>
      <c r="E93" s="5" t="n"/>
    </row>
    <row r="94">
      <c r="A94" s="5" t="n"/>
      <c r="B94" s="5" t="n"/>
      <c r="C94" s="24" t="n"/>
      <c r="D94" s="5" t="n"/>
      <c r="E94" s="5" t="n"/>
    </row>
    <row r="95">
      <c r="A95" s="5" t="n"/>
      <c r="B95" s="5" t="n"/>
      <c r="C95" s="24" t="n"/>
      <c r="D95" s="5" t="n"/>
      <c r="E95" s="5" t="n"/>
    </row>
    <row r="96">
      <c r="A96" s="5" t="n"/>
      <c r="B96" s="5" t="n"/>
      <c r="C96" s="24" t="n"/>
      <c r="D96" s="5" t="n"/>
      <c r="E96" s="5" t="n"/>
    </row>
    <row r="97">
      <c r="A97" s="5" t="n"/>
      <c r="B97" s="5" t="n"/>
      <c r="C97" s="24" t="n"/>
      <c r="D97" s="5" t="n"/>
      <c r="E97" s="5" t="n"/>
    </row>
    <row r="98">
      <c r="A98" s="5" t="n"/>
      <c r="B98" s="5" t="n"/>
      <c r="C98" s="24" t="n"/>
      <c r="D98" s="5" t="n"/>
      <c r="E98" s="5" t="n"/>
    </row>
    <row r="99">
      <c r="A99" s="5" t="n"/>
      <c r="B99" s="5" t="n"/>
      <c r="C99" s="24" t="n"/>
      <c r="D99" s="5" t="n"/>
      <c r="E99" s="5" t="n"/>
    </row>
    <row r="100">
      <c r="A100" s="5" t="n"/>
      <c r="B100" s="5" t="n"/>
      <c r="C100" s="24" t="n"/>
      <c r="D100" s="5" t="n"/>
      <c r="E100" s="5" t="n"/>
    </row>
    <row r="101">
      <c r="A101" s="5" t="n"/>
      <c r="B101" s="5" t="n"/>
      <c r="C101" s="24" t="n"/>
      <c r="D101" s="5" t="n"/>
      <c r="E101" s="5" t="n"/>
    </row>
    <row r="102">
      <c r="A102" s="5" t="n"/>
      <c r="B102" s="5" t="n"/>
      <c r="C102" s="24" t="n"/>
      <c r="D102" s="5" t="n"/>
      <c r="E102" s="5" t="n"/>
    </row>
    <row r="103">
      <c r="A103" s="5" t="n"/>
      <c r="B103" s="5" t="n"/>
      <c r="C103" s="24" t="n"/>
      <c r="D103" s="5" t="n"/>
      <c r="E103" s="5" t="n"/>
    </row>
    <row r="104">
      <c r="A104" s="5" t="n"/>
      <c r="B104" s="5" t="n"/>
      <c r="C104" s="24" t="n"/>
      <c r="D104" s="5" t="n"/>
      <c r="E104" s="5" t="n"/>
    </row>
    <row r="105">
      <c r="A105" s="5" t="n"/>
      <c r="B105" s="5" t="n"/>
      <c r="C105" s="24" t="n"/>
      <c r="D105" s="5" t="n"/>
      <c r="E105" s="5" t="n"/>
    </row>
    <row r="106">
      <c r="A106" s="5" t="n"/>
      <c r="B106" s="5" t="n"/>
      <c r="C106" s="24" t="n"/>
      <c r="D106" s="5" t="n"/>
      <c r="E106" s="5" t="n"/>
    </row>
    <row r="107">
      <c r="A107" s="5" t="n"/>
      <c r="B107" s="5" t="n"/>
      <c r="C107" s="24" t="n"/>
      <c r="D107" s="5" t="n"/>
      <c r="E107" s="5" t="n"/>
    </row>
    <row r="108">
      <c r="A108" s="5" t="n"/>
      <c r="B108" s="5" t="n"/>
      <c r="C108" s="24" t="n"/>
      <c r="D108" s="5" t="n"/>
      <c r="E108" s="5" t="n"/>
    </row>
    <row r="109">
      <c r="A109" s="5" t="n"/>
      <c r="B109" s="5" t="n"/>
      <c r="C109" s="24" t="n"/>
      <c r="D109" s="5" t="n"/>
      <c r="E109" s="5" t="n"/>
    </row>
    <row r="110">
      <c r="A110" s="5" t="n"/>
      <c r="B110" s="5" t="n"/>
      <c r="C110" s="24" t="n"/>
      <c r="D110" s="5" t="n"/>
      <c r="E110" s="5" t="n"/>
    </row>
    <row r="111">
      <c r="A111" s="5" t="n"/>
      <c r="B111" s="5" t="n"/>
      <c r="C111" s="24" t="n"/>
      <c r="D111" s="5" t="n"/>
      <c r="E111" s="5" t="n"/>
    </row>
    <row r="112">
      <c r="A112" s="5" t="n"/>
      <c r="B112" s="5" t="n"/>
      <c r="C112" s="24" t="n"/>
      <c r="D112" s="5" t="n"/>
      <c r="E112" s="5" t="n"/>
    </row>
    <row r="113">
      <c r="A113" s="5" t="n"/>
      <c r="B113" s="5" t="n"/>
      <c r="C113" s="24" t="n"/>
      <c r="D113" s="5" t="n"/>
      <c r="E113" s="5" t="n"/>
    </row>
    <row r="114">
      <c r="A114" s="5" t="n"/>
      <c r="B114" s="5" t="n"/>
      <c r="C114" s="24" t="n"/>
      <c r="D114" s="5" t="n"/>
      <c r="E114" s="5" t="n"/>
    </row>
    <row r="115">
      <c r="A115" s="5" t="n"/>
      <c r="B115" s="5" t="n"/>
      <c r="C115" s="24" t="n"/>
      <c r="D115" s="5" t="n"/>
      <c r="E115" s="5" t="n"/>
    </row>
    <row r="116">
      <c r="A116" s="5" t="n"/>
      <c r="B116" s="5" t="n"/>
      <c r="C116" s="24" t="n"/>
      <c r="D116" s="5" t="n"/>
      <c r="E116" s="5" t="n"/>
    </row>
    <row r="117">
      <c r="A117" s="5" t="n"/>
      <c r="B117" s="5" t="n"/>
      <c r="C117" s="24" t="n"/>
      <c r="D117" s="5" t="n"/>
      <c r="E117" s="5" t="n"/>
    </row>
    <row r="118">
      <c r="A118" s="5" t="n"/>
      <c r="B118" s="5" t="n"/>
      <c r="C118" s="24" t="n"/>
      <c r="D118" s="5" t="n"/>
      <c r="E118" s="5" t="n"/>
    </row>
    <row r="119">
      <c r="A119" s="5" t="n"/>
      <c r="B119" s="5" t="n"/>
      <c r="C119" s="24" t="n"/>
      <c r="D119" s="5" t="n"/>
      <c r="E119" s="5" t="n"/>
    </row>
    <row r="120">
      <c r="A120" s="5" t="n"/>
      <c r="B120" s="5" t="n"/>
      <c r="C120" s="24" t="n"/>
      <c r="D120" s="5" t="n"/>
      <c r="E120" s="5" t="n"/>
    </row>
    <row r="121">
      <c r="A121" s="5" t="n"/>
      <c r="B121" s="5" t="n"/>
      <c r="C121" s="24" t="n"/>
      <c r="D121" s="5" t="n"/>
      <c r="E121" s="5" t="n"/>
    </row>
    <row r="122">
      <c r="A122" s="5" t="n"/>
      <c r="B122" s="5" t="n"/>
      <c r="C122" s="24" t="n"/>
      <c r="D122" s="5" t="n"/>
      <c r="E122" s="5" t="n"/>
    </row>
    <row r="123">
      <c r="A123" s="5" t="n"/>
      <c r="B123" s="5" t="n"/>
      <c r="C123" s="24" t="n"/>
      <c r="D123" s="5" t="n"/>
      <c r="E123" s="5" t="n"/>
    </row>
    <row r="124">
      <c r="A124" s="5" t="n"/>
      <c r="B124" s="5" t="n"/>
      <c r="C124" s="24" t="n"/>
      <c r="D124" s="5" t="n"/>
      <c r="E124" s="5" t="n"/>
    </row>
    <row r="125">
      <c r="A125" s="5" t="n"/>
      <c r="B125" s="5" t="n"/>
      <c r="C125" s="24" t="n"/>
      <c r="D125" s="5" t="n"/>
      <c r="E125" s="5" t="n"/>
    </row>
    <row r="126">
      <c r="A126" s="5" t="n"/>
      <c r="B126" s="5" t="n"/>
      <c r="C126" s="24" t="n"/>
      <c r="D126" s="5" t="n"/>
      <c r="E126" s="5" t="n"/>
    </row>
    <row r="127">
      <c r="A127" s="5" t="n"/>
      <c r="B127" s="5" t="n"/>
      <c r="C127" s="24" t="n"/>
      <c r="D127" s="5" t="n"/>
      <c r="E127" s="5" t="n"/>
    </row>
    <row r="128">
      <c r="A128" s="5" t="n"/>
      <c r="B128" s="5" t="n"/>
      <c r="C128" s="24" t="n"/>
      <c r="D128" s="5" t="n"/>
      <c r="E128" s="5" t="n"/>
    </row>
    <row r="129">
      <c r="A129" s="5" t="n"/>
      <c r="B129" s="5" t="n"/>
      <c r="C129" s="24" t="n"/>
      <c r="D129" s="5" t="n"/>
      <c r="E129" s="5" t="n"/>
    </row>
    <row r="130">
      <c r="A130" s="5" t="n"/>
      <c r="B130" s="5" t="n"/>
      <c r="C130" s="24" t="n"/>
      <c r="D130" s="5" t="n"/>
      <c r="E130" s="5" t="n"/>
    </row>
    <row r="131">
      <c r="A131" s="5" t="n"/>
      <c r="B131" s="5" t="n"/>
      <c r="C131" s="24" t="n"/>
      <c r="D131" s="5" t="n"/>
      <c r="E131" s="5" t="n"/>
    </row>
    <row r="132">
      <c r="A132" s="5" t="n"/>
      <c r="B132" s="5" t="n"/>
      <c r="C132" s="24" t="n"/>
      <c r="D132" s="5" t="n"/>
      <c r="E132" s="5" t="n"/>
    </row>
    <row r="133">
      <c r="A133" s="5" t="n"/>
      <c r="B133" s="5" t="n"/>
      <c r="C133" s="24" t="n"/>
      <c r="D133" s="5" t="n"/>
      <c r="E133" s="5" t="n"/>
    </row>
    <row r="134">
      <c r="A134" s="5" t="n"/>
      <c r="B134" s="5" t="n"/>
      <c r="C134" s="24" t="n"/>
      <c r="D134" s="5" t="n"/>
      <c r="E134" s="5" t="n"/>
    </row>
    <row r="135">
      <c r="A135" s="5" t="n"/>
      <c r="B135" s="5" t="n"/>
      <c r="C135" s="24" t="n"/>
      <c r="D135" s="5" t="n"/>
      <c r="E135" s="5" t="n"/>
    </row>
    <row r="136">
      <c r="A136" s="5" t="n"/>
      <c r="B136" s="5" t="n"/>
      <c r="C136" s="24" t="n"/>
      <c r="D136" s="5" t="n"/>
      <c r="E136" s="5" t="n"/>
    </row>
    <row r="137">
      <c r="A137" s="5" t="n"/>
      <c r="B137" s="5" t="n"/>
      <c r="C137" s="24" t="n"/>
      <c r="D137" s="5" t="n"/>
      <c r="E137" s="5" t="n"/>
    </row>
    <row r="138">
      <c r="A138" s="5" t="n"/>
      <c r="B138" s="5" t="n"/>
      <c r="C138" s="24" t="n"/>
      <c r="D138" s="5" t="n"/>
      <c r="E138" s="5" t="n"/>
    </row>
    <row r="139">
      <c r="A139" s="5" t="n"/>
      <c r="B139" s="5" t="n"/>
      <c r="C139" s="24" t="n"/>
      <c r="D139" s="5" t="n"/>
      <c r="E139" s="5" t="n"/>
    </row>
    <row r="140">
      <c r="A140" s="5" t="n"/>
      <c r="B140" s="5" t="n"/>
      <c r="C140" s="24" t="n"/>
      <c r="D140" s="5" t="n"/>
      <c r="E140" s="5" t="n"/>
    </row>
    <row r="141">
      <c r="A141" s="5" t="n"/>
      <c r="B141" s="5" t="n"/>
      <c r="C141" s="24" t="n"/>
      <c r="D141" s="5" t="n"/>
      <c r="E141" s="5" t="n"/>
    </row>
    <row r="142">
      <c r="A142" s="5" t="n"/>
      <c r="B142" s="5" t="n"/>
      <c r="C142" s="24" t="n"/>
      <c r="D142" s="5" t="n"/>
      <c r="E142" s="5" t="n"/>
    </row>
    <row r="143">
      <c r="A143" s="5" t="n"/>
      <c r="B143" s="5" t="n"/>
      <c r="C143" s="24" t="n"/>
      <c r="D143" s="5" t="n"/>
      <c r="E143" s="5" t="n"/>
    </row>
    <row r="144">
      <c r="A144" s="5" t="n"/>
      <c r="B144" s="5" t="n"/>
      <c r="C144" s="24" t="n"/>
      <c r="D144" s="5" t="n"/>
      <c r="E144" s="5" t="n"/>
    </row>
    <row r="145">
      <c r="A145" s="5" t="n"/>
      <c r="B145" s="5" t="n"/>
      <c r="C145" s="24" t="n"/>
      <c r="D145" s="5" t="n"/>
      <c r="E145" s="5" t="n"/>
    </row>
    <row r="146">
      <c r="A146" s="5" t="n"/>
      <c r="B146" s="5" t="n"/>
      <c r="C146" s="24" t="n"/>
      <c r="D146" s="5" t="n"/>
      <c r="E146" s="5" t="n"/>
    </row>
    <row r="147">
      <c r="A147" s="5" t="n"/>
      <c r="B147" s="5" t="n"/>
      <c r="C147" s="24" t="n"/>
      <c r="D147" s="5" t="n"/>
      <c r="E147" s="5" t="n"/>
    </row>
    <row r="148">
      <c r="A148" s="5" t="n"/>
      <c r="B148" s="5" t="n"/>
      <c r="C148" s="24" t="n"/>
      <c r="D148" s="5" t="n"/>
      <c r="E148" s="5" t="n"/>
    </row>
    <row r="149">
      <c r="A149" s="5" t="n"/>
      <c r="B149" s="5" t="n"/>
      <c r="C149" s="24" t="n"/>
      <c r="D149" s="5" t="n"/>
      <c r="E149" s="5" t="n"/>
    </row>
    <row r="150">
      <c r="A150" s="5" t="n"/>
      <c r="B150" s="5" t="n"/>
      <c r="C150" s="24" t="n"/>
      <c r="D150" s="5" t="n"/>
      <c r="E150" s="5" t="n"/>
    </row>
    <row r="151">
      <c r="A151" s="5" t="n"/>
      <c r="B151" s="5" t="n"/>
      <c r="C151" s="24" t="n"/>
      <c r="D151" s="5" t="n"/>
      <c r="E151" s="5" t="n"/>
    </row>
    <row r="152">
      <c r="A152" s="5" t="n"/>
      <c r="B152" s="5" t="n"/>
      <c r="C152" s="24" t="n"/>
      <c r="D152" s="5" t="n"/>
      <c r="E152" s="5" t="n"/>
    </row>
    <row r="153">
      <c r="A153" s="5" t="n"/>
      <c r="B153" s="5" t="n"/>
      <c r="C153" s="24" t="n"/>
      <c r="D153" s="5" t="n"/>
      <c r="E153" s="5" t="n"/>
    </row>
    <row r="154">
      <c r="A154" s="5" t="n"/>
      <c r="B154" s="5" t="n"/>
      <c r="C154" s="24" t="n"/>
      <c r="D154" s="5" t="n"/>
      <c r="E154" s="5" t="n"/>
    </row>
    <row r="155">
      <c r="A155" s="5" t="n"/>
      <c r="B155" s="5" t="n"/>
      <c r="C155" s="24" t="n"/>
      <c r="D155" s="5" t="n"/>
      <c r="E155" s="5" t="n"/>
    </row>
    <row r="156">
      <c r="A156" s="5" t="n"/>
      <c r="B156" s="5" t="n"/>
      <c r="C156" s="24" t="n"/>
      <c r="D156" s="5" t="n"/>
      <c r="E156" s="5" t="n"/>
    </row>
    <row r="157">
      <c r="A157" s="5" t="n"/>
      <c r="B157" s="5" t="n"/>
      <c r="C157" s="24" t="n"/>
      <c r="D157" s="5" t="n"/>
      <c r="E157" s="5" t="n"/>
    </row>
    <row r="158">
      <c r="A158" s="5" t="n"/>
      <c r="B158" s="5" t="n"/>
      <c r="C158" s="24" t="n"/>
      <c r="D158" s="5" t="n"/>
      <c r="E158" s="5" t="n"/>
    </row>
    <row r="159">
      <c r="A159" s="5" t="n"/>
      <c r="B159" s="5" t="n"/>
      <c r="C159" s="24" t="n"/>
      <c r="D159" s="5" t="n"/>
      <c r="E159" s="5" t="n"/>
    </row>
    <row r="160">
      <c r="A160" s="5" t="n"/>
      <c r="B160" s="5" t="n"/>
      <c r="C160" s="24" t="n"/>
      <c r="D160" s="5" t="n"/>
      <c r="E160" s="5" t="n"/>
    </row>
    <row r="161">
      <c r="A161" s="5" t="n"/>
      <c r="B161" s="5" t="n"/>
      <c r="C161" s="24" t="n"/>
      <c r="D161" s="5" t="n"/>
      <c r="E161" s="5" t="n"/>
    </row>
    <row r="162">
      <c r="A162" s="5" t="n"/>
      <c r="B162" s="5" t="n"/>
      <c r="C162" s="24" t="n"/>
      <c r="D162" s="5" t="n"/>
      <c r="E162" s="5" t="n"/>
    </row>
    <row r="163">
      <c r="A163" s="5" t="n"/>
      <c r="B163" s="5" t="n"/>
      <c r="C163" s="24" t="n"/>
      <c r="D163" s="5" t="n"/>
      <c r="E163" s="5" t="n"/>
    </row>
    <row r="164">
      <c r="A164" s="5" t="n"/>
      <c r="B164" s="5" t="n"/>
      <c r="C164" s="24" t="n"/>
      <c r="D164" s="5" t="n"/>
      <c r="E164" s="5" t="n"/>
    </row>
    <row r="165">
      <c r="A165" s="5" t="n"/>
      <c r="B165" s="5" t="n"/>
      <c r="C165" s="24" t="n"/>
      <c r="D165" s="5" t="n"/>
      <c r="E165" s="5" t="n"/>
    </row>
    <row r="166">
      <c r="A166" s="5" t="n"/>
      <c r="B166" s="5" t="n"/>
      <c r="C166" s="24" t="n"/>
      <c r="D166" s="5" t="n"/>
      <c r="E166" s="5" t="n"/>
    </row>
    <row r="167">
      <c r="A167" s="5" t="n"/>
      <c r="B167" s="5" t="n"/>
      <c r="C167" s="24" t="n"/>
      <c r="D167" s="5" t="n"/>
      <c r="E167" s="5" t="n"/>
    </row>
    <row r="168">
      <c r="A168" s="5" t="n"/>
      <c r="B168" s="5" t="n"/>
      <c r="C168" s="24" t="n"/>
      <c r="D168" s="5" t="n"/>
      <c r="E168" s="5" t="n"/>
    </row>
    <row r="169">
      <c r="A169" s="5" t="n"/>
      <c r="B169" s="5" t="n"/>
      <c r="C169" s="24" t="n"/>
      <c r="D169" s="5" t="n"/>
      <c r="E169" s="5" t="n"/>
    </row>
    <row r="170">
      <c r="A170" s="5" t="n"/>
      <c r="B170" s="5" t="n"/>
      <c r="C170" s="24" t="n"/>
      <c r="D170" s="5" t="n"/>
      <c r="E170" s="5" t="n"/>
    </row>
    <row r="171">
      <c r="A171" s="5" t="n"/>
      <c r="B171" s="5" t="n"/>
      <c r="C171" s="24" t="n"/>
      <c r="D171" s="5" t="n"/>
      <c r="E171" s="5" t="n"/>
    </row>
    <row r="172">
      <c r="A172" s="5" t="n"/>
      <c r="B172" s="5" t="n"/>
      <c r="C172" s="24" t="n"/>
      <c r="D172" s="5" t="n"/>
      <c r="E172" s="5" t="n"/>
    </row>
    <row r="173">
      <c r="A173" s="5" t="n"/>
      <c r="B173" s="5" t="n"/>
      <c r="C173" s="24" t="n"/>
      <c r="D173" s="5" t="n"/>
      <c r="E173" s="5" t="n"/>
    </row>
    <row r="174">
      <c r="A174" s="5" t="n"/>
      <c r="B174" s="5" t="n"/>
      <c r="C174" s="24" t="n"/>
      <c r="D174" s="5" t="n"/>
      <c r="E174" s="5" t="n"/>
    </row>
    <row r="175">
      <c r="A175" s="5" t="n"/>
      <c r="B175" s="5" t="n"/>
      <c r="C175" s="24" t="n"/>
      <c r="D175" s="5" t="n"/>
      <c r="E175" s="5" t="n"/>
    </row>
    <row r="176">
      <c r="A176" s="5" t="n"/>
      <c r="B176" s="5" t="n"/>
      <c r="C176" s="24" t="n"/>
      <c r="D176" s="5" t="n"/>
      <c r="E176" s="5" t="n"/>
    </row>
    <row r="177">
      <c r="A177" s="5" t="n"/>
      <c r="B177" s="5" t="n"/>
      <c r="C177" s="24" t="n"/>
      <c r="D177" s="5" t="n"/>
      <c r="E177" s="5" t="n"/>
    </row>
    <row r="178">
      <c r="A178" s="5" t="n"/>
      <c r="B178" s="5" t="n"/>
      <c r="C178" s="24" t="n"/>
      <c r="D178" s="5" t="n"/>
      <c r="E178" s="5" t="n"/>
    </row>
    <row r="179">
      <c r="A179" s="5" t="n"/>
      <c r="B179" s="5" t="n"/>
      <c r="C179" s="24" t="n"/>
      <c r="D179" s="5" t="n"/>
      <c r="E179" s="5" t="n"/>
    </row>
    <row r="180">
      <c r="A180" s="5" t="n"/>
      <c r="B180" s="5" t="n"/>
      <c r="C180" s="24" t="n"/>
      <c r="D180" s="5" t="n"/>
      <c r="E180" s="5" t="n"/>
    </row>
    <row r="181">
      <c r="A181" s="5" t="n"/>
      <c r="B181" s="5" t="n"/>
      <c r="C181" s="24" t="n"/>
      <c r="D181" s="5" t="n"/>
      <c r="E181" s="5" t="n"/>
    </row>
    <row r="182">
      <c r="A182" s="5" t="n"/>
      <c r="B182" s="5" t="n"/>
      <c r="C182" s="24" t="n"/>
      <c r="D182" s="5" t="n"/>
      <c r="E182" s="5" t="n"/>
    </row>
    <row r="183">
      <c r="A183" s="5" t="n"/>
      <c r="B183" s="5" t="n"/>
      <c r="C183" s="24" t="n"/>
      <c r="D183" s="5" t="n"/>
      <c r="E183" s="5" t="n"/>
    </row>
    <row r="184">
      <c r="A184" s="5" t="n"/>
      <c r="B184" s="5" t="n"/>
      <c r="C184" s="24" t="n"/>
      <c r="D184" s="5" t="n"/>
      <c r="E184" s="5" t="n"/>
    </row>
    <row r="185">
      <c r="A185" s="5" t="n"/>
      <c r="B185" s="5" t="n"/>
      <c r="C185" s="24" t="n"/>
      <c r="D185" s="5" t="n"/>
      <c r="E185" s="5" t="n"/>
    </row>
    <row r="186">
      <c r="A186" s="5" t="n"/>
      <c r="B186" s="5" t="n"/>
      <c r="C186" s="24" t="n"/>
      <c r="D186" s="5" t="n"/>
      <c r="E186" s="5" t="n"/>
    </row>
    <row r="187">
      <c r="A187" s="5" t="n"/>
      <c r="B187" s="5" t="n"/>
      <c r="C187" s="24" t="n"/>
      <c r="D187" s="5" t="n"/>
      <c r="E187" s="5" t="n"/>
    </row>
    <row r="188">
      <c r="A188" s="5" t="n"/>
      <c r="B188" s="5" t="n"/>
      <c r="C188" s="24" t="n"/>
      <c r="D188" s="5" t="n"/>
      <c r="E188" s="5" t="n"/>
    </row>
    <row r="189">
      <c r="A189" s="5" t="n"/>
      <c r="B189" s="5" t="n"/>
      <c r="C189" s="24" t="n"/>
      <c r="D189" s="5" t="n"/>
      <c r="E189" s="5" t="n"/>
    </row>
    <row r="190">
      <c r="A190" s="5" t="n"/>
      <c r="B190" s="5" t="n"/>
      <c r="C190" s="24" t="n"/>
      <c r="D190" s="5" t="n"/>
      <c r="E190" s="5" t="n"/>
    </row>
    <row r="191">
      <c r="A191" s="5" t="n"/>
      <c r="B191" s="5" t="n"/>
      <c r="C191" s="24" t="n"/>
      <c r="D191" s="5" t="n"/>
      <c r="E191" s="5" t="n"/>
    </row>
    <row r="192">
      <c r="A192" s="5" t="n"/>
      <c r="B192" s="5" t="n"/>
      <c r="C192" s="24" t="n"/>
      <c r="D192" s="5" t="n"/>
      <c r="E192" s="5" t="n"/>
    </row>
    <row r="193">
      <c r="A193" s="5" t="n"/>
      <c r="B193" s="5" t="n"/>
      <c r="C193" s="24" t="n"/>
      <c r="D193" s="5" t="n"/>
      <c r="E193" s="5" t="n"/>
    </row>
    <row r="194">
      <c r="A194" s="5" t="n"/>
      <c r="B194" s="5" t="n"/>
      <c r="C194" s="24" t="n"/>
      <c r="D194" s="5" t="n"/>
      <c r="E194" s="5" t="n"/>
    </row>
    <row r="195">
      <c r="A195" s="5" t="n"/>
      <c r="B195" s="5" t="n"/>
      <c r="C195" s="24" t="n"/>
      <c r="D195" s="5" t="n"/>
      <c r="E195" s="5" t="n"/>
    </row>
    <row r="196">
      <c r="A196" s="5" t="n"/>
      <c r="B196" s="5" t="n"/>
      <c r="C196" s="24" t="n"/>
      <c r="D196" s="5" t="n"/>
      <c r="E196" s="5" t="n"/>
    </row>
    <row r="197">
      <c r="A197" s="5" t="n"/>
      <c r="B197" s="5" t="n"/>
      <c r="C197" s="24" t="n"/>
      <c r="D197" s="5" t="n"/>
      <c r="E197" s="5" t="n"/>
    </row>
    <row r="198">
      <c r="A198" s="5" t="n"/>
      <c r="B198" s="5" t="n"/>
      <c r="C198" s="24" t="n"/>
      <c r="D198" s="5" t="n"/>
      <c r="E198" s="5" t="n"/>
    </row>
    <row r="199">
      <c r="A199" s="5" t="n"/>
      <c r="B199" s="5" t="n"/>
      <c r="C199" s="24" t="n"/>
      <c r="D199" s="5" t="n"/>
      <c r="E199" s="5" t="n"/>
    </row>
    <row r="200">
      <c r="A200" s="5" t="n"/>
      <c r="B200" s="5" t="n"/>
      <c r="C200" s="24" t="n"/>
      <c r="D200" s="5" t="n"/>
      <c r="E200" s="5" t="n"/>
    </row>
    <row r="201">
      <c r="A201" s="5" t="n"/>
      <c r="B201" s="5" t="n"/>
      <c r="C201" s="24" t="n"/>
      <c r="D201" s="5" t="n"/>
      <c r="E201" s="5" t="n"/>
    </row>
    <row r="202">
      <c r="A202" s="5" t="n"/>
      <c r="B202" s="5" t="n"/>
      <c r="C202" s="24" t="n"/>
      <c r="D202" s="5" t="n"/>
      <c r="E202" s="5" t="n"/>
    </row>
    <row r="203">
      <c r="A203" s="5" t="n"/>
      <c r="B203" s="5" t="n"/>
      <c r="C203" s="24" t="n"/>
      <c r="D203" s="5" t="n"/>
      <c r="E203" s="5" t="n"/>
    </row>
    <row r="204">
      <c r="A204" s="5" t="n"/>
      <c r="B204" s="5" t="n"/>
      <c r="C204" s="24" t="n"/>
      <c r="D204" s="5" t="n"/>
      <c r="E204" s="5" t="n"/>
    </row>
    <row r="205">
      <c r="A205" s="5" t="n"/>
      <c r="B205" s="5" t="n"/>
      <c r="C205" s="24" t="n"/>
      <c r="D205" s="5" t="n"/>
      <c r="E205" s="5" t="n"/>
    </row>
    <row r="206">
      <c r="A206" s="5" t="n"/>
      <c r="B206" s="5" t="n"/>
      <c r="C206" s="24" t="n"/>
      <c r="D206" s="5" t="n"/>
      <c r="E206" s="5" t="n"/>
    </row>
    <row r="207">
      <c r="A207" s="5" t="n"/>
      <c r="B207" s="5" t="n"/>
      <c r="C207" s="24" t="n"/>
      <c r="D207" s="5" t="n"/>
      <c r="E207" s="5" t="n"/>
    </row>
    <row r="208">
      <c r="A208" s="5" t="n"/>
      <c r="B208" s="5" t="n"/>
      <c r="C208" s="24" t="n"/>
      <c r="D208" s="5" t="n"/>
      <c r="E208" s="5" t="n"/>
    </row>
    <row r="209">
      <c r="A209" s="5" t="n"/>
      <c r="B209" s="5" t="n"/>
      <c r="C209" s="24" t="n"/>
      <c r="D209" s="5" t="n"/>
      <c r="E209" s="5" t="n"/>
    </row>
    <row r="210">
      <c r="A210" s="5" t="n"/>
      <c r="B210" s="5" t="n"/>
      <c r="C210" s="24" t="n"/>
      <c r="D210" s="5" t="n"/>
      <c r="E210" s="5" t="n"/>
    </row>
    <row r="211">
      <c r="A211" s="5" t="n"/>
      <c r="B211" s="5" t="n"/>
      <c r="C211" s="24" t="n"/>
      <c r="D211" s="5" t="n"/>
      <c r="E211" s="5" t="n"/>
    </row>
    <row r="212">
      <c r="A212" s="5" t="n"/>
      <c r="B212" s="5" t="n"/>
      <c r="C212" s="24" t="n"/>
      <c r="D212" s="5" t="n"/>
      <c r="E212" s="5" t="n"/>
    </row>
    <row r="213">
      <c r="A213" s="5" t="n"/>
      <c r="B213" s="5" t="n"/>
      <c r="C213" s="24" t="n"/>
      <c r="D213" s="5" t="n"/>
      <c r="E213" s="5" t="n"/>
    </row>
    <row r="214">
      <c r="A214" s="5" t="n"/>
      <c r="B214" s="5" t="n"/>
      <c r="C214" s="24" t="n"/>
      <c r="D214" s="5" t="n"/>
      <c r="E214" s="5" t="n"/>
    </row>
    <row r="215">
      <c r="A215" s="5" t="n"/>
      <c r="B215" s="5" t="n"/>
      <c r="C215" s="24" t="n"/>
      <c r="D215" s="5" t="n"/>
      <c r="E215" s="5" t="n"/>
    </row>
    <row r="216">
      <c r="A216" s="5" t="n"/>
      <c r="B216" s="5" t="n"/>
      <c r="C216" s="24" t="n"/>
      <c r="D216" s="5" t="n"/>
      <c r="E216" s="5" t="n"/>
    </row>
    <row r="217">
      <c r="A217" s="5" t="n"/>
      <c r="B217" s="5" t="n"/>
      <c r="C217" s="24" t="n"/>
      <c r="D217" s="5" t="n"/>
      <c r="E217" s="5" t="n"/>
    </row>
    <row r="218">
      <c r="A218" s="5" t="n"/>
      <c r="B218" s="5" t="n"/>
      <c r="C218" s="24" t="n"/>
      <c r="D218" s="5" t="n"/>
      <c r="E218" s="5" t="n"/>
    </row>
    <row r="219">
      <c r="A219" s="5" t="n"/>
      <c r="B219" s="5" t="n"/>
      <c r="C219" s="24" t="n"/>
      <c r="D219" s="5" t="n"/>
      <c r="E219" s="5" t="n"/>
    </row>
    <row r="220">
      <c r="A220" s="5" t="n"/>
      <c r="B220" s="5" t="n"/>
      <c r="C220" s="24" t="n"/>
      <c r="D220" s="5" t="n"/>
      <c r="E220" s="5" t="n"/>
    </row>
    <row r="221">
      <c r="A221" s="5" t="n"/>
      <c r="B221" s="5" t="n"/>
      <c r="C221" s="24" t="n"/>
      <c r="D221" s="5" t="n"/>
      <c r="E221" s="5" t="n"/>
    </row>
    <row r="222">
      <c r="A222" s="5" t="n"/>
      <c r="B222" s="5" t="n"/>
      <c r="C222" s="24" t="n"/>
      <c r="D222" s="5" t="n"/>
      <c r="E222" s="5" t="n"/>
    </row>
    <row r="223">
      <c r="A223" s="5" t="n"/>
      <c r="B223" s="5" t="n"/>
      <c r="C223" s="24" t="n"/>
      <c r="D223" s="5" t="n"/>
      <c r="E223" s="5" t="n"/>
    </row>
    <row r="224">
      <c r="A224" s="5" t="n"/>
      <c r="B224" s="5" t="n"/>
      <c r="C224" s="24" t="n"/>
      <c r="D224" s="5" t="n"/>
      <c r="E224" s="5" t="n"/>
    </row>
    <row r="225">
      <c r="A225" s="5" t="n"/>
      <c r="B225" s="5" t="n"/>
      <c r="C225" s="24" t="n"/>
      <c r="D225" s="5" t="n"/>
      <c r="E225" s="5" t="n"/>
    </row>
    <row r="226">
      <c r="A226" s="5" t="n"/>
      <c r="B226" s="5" t="n"/>
      <c r="C226" s="24" t="n"/>
      <c r="D226" s="5" t="n"/>
      <c r="E226" s="5" t="n"/>
    </row>
    <row r="227">
      <c r="A227" s="5" t="n"/>
      <c r="B227" s="5" t="n"/>
      <c r="C227" s="24" t="n"/>
      <c r="D227" s="5" t="n"/>
      <c r="E227" s="5" t="n"/>
    </row>
    <row r="228">
      <c r="A228" s="5" t="n"/>
      <c r="B228" s="5" t="n"/>
      <c r="C228" s="24" t="n"/>
      <c r="D228" s="5" t="n"/>
      <c r="E228" s="5" t="n"/>
    </row>
    <row r="229">
      <c r="A229" s="5" t="n"/>
      <c r="B229" s="5" t="n"/>
      <c r="C229" s="24" t="n"/>
      <c r="D229" s="5" t="n"/>
      <c r="E229" s="5" t="n"/>
    </row>
    <row r="230">
      <c r="A230" s="5" t="n"/>
      <c r="B230" s="5" t="n"/>
      <c r="C230" s="24" t="n"/>
      <c r="D230" s="5" t="n"/>
      <c r="E230" s="5" t="n"/>
    </row>
    <row r="231">
      <c r="A231" s="5" t="n"/>
      <c r="B231" s="5" t="n"/>
      <c r="C231" s="24" t="n"/>
      <c r="D231" s="5" t="n"/>
      <c r="E231" s="5" t="n"/>
    </row>
    <row r="232">
      <c r="A232" s="5" t="n"/>
      <c r="B232" s="5" t="n"/>
      <c r="C232" s="24" t="n"/>
      <c r="D232" s="5" t="n"/>
      <c r="E232" s="5" t="n"/>
    </row>
    <row r="233">
      <c r="A233" s="5" t="n"/>
      <c r="B233" s="5" t="n"/>
      <c r="C233" s="24" t="n"/>
      <c r="D233" s="5" t="n"/>
      <c r="E233" s="5" t="n"/>
    </row>
    <row r="234">
      <c r="A234" s="5" t="n"/>
      <c r="B234" s="5" t="n"/>
      <c r="C234" s="24" t="n"/>
      <c r="D234" s="5" t="n"/>
      <c r="E234" s="5" t="n"/>
    </row>
    <row r="235">
      <c r="A235" s="5" t="n"/>
      <c r="B235" s="5" t="n"/>
      <c r="C235" s="24" t="n"/>
      <c r="D235" s="5" t="n"/>
      <c r="E235" s="5" t="n"/>
    </row>
    <row r="236">
      <c r="A236" s="5" t="n"/>
      <c r="B236" s="5" t="n"/>
      <c r="C236" s="24" t="n"/>
      <c r="D236" s="5" t="n"/>
      <c r="E236" s="5" t="n"/>
    </row>
    <row r="237">
      <c r="A237" s="5" t="n"/>
      <c r="B237" s="5" t="n"/>
      <c r="C237" s="24" t="n"/>
      <c r="D237" s="5" t="n"/>
      <c r="E237" s="5" t="n"/>
    </row>
    <row r="238">
      <c r="A238" s="5" t="n"/>
      <c r="B238" s="5" t="n"/>
      <c r="C238" s="24" t="n"/>
      <c r="D238" s="5" t="n"/>
      <c r="E238" s="5" t="n"/>
    </row>
    <row r="239">
      <c r="A239" s="5" t="n"/>
      <c r="B239" s="5" t="n"/>
      <c r="C239" s="24" t="n"/>
      <c r="D239" s="5" t="n"/>
      <c r="E239" s="5" t="n"/>
    </row>
    <row r="240">
      <c r="A240" s="5" t="n"/>
      <c r="B240" s="5" t="n"/>
      <c r="C240" s="24" t="n"/>
      <c r="D240" s="5" t="n"/>
      <c r="E240" s="5" t="n"/>
    </row>
    <row r="241">
      <c r="A241" s="5" t="n"/>
      <c r="B241" s="5" t="n"/>
      <c r="C241" s="24" t="n"/>
      <c r="D241" s="5" t="n"/>
      <c r="E241" s="5" t="n"/>
    </row>
    <row r="242">
      <c r="A242" s="5" t="n"/>
      <c r="B242" s="5" t="n"/>
      <c r="C242" s="24" t="n"/>
      <c r="D242" s="5" t="n"/>
      <c r="E242" s="5" t="n"/>
    </row>
    <row r="243">
      <c r="A243" s="5" t="n"/>
      <c r="B243" s="5" t="n"/>
      <c r="C243" s="24" t="n"/>
      <c r="D243" s="5" t="n"/>
      <c r="E243" s="5" t="n"/>
    </row>
    <row r="244">
      <c r="A244" s="5" t="n"/>
      <c r="B244" s="5" t="n"/>
      <c r="C244" s="24" t="n"/>
      <c r="D244" s="5" t="n"/>
      <c r="E244" s="5" t="n"/>
    </row>
    <row r="245">
      <c r="A245" s="5" t="n"/>
      <c r="B245" s="5" t="n"/>
      <c r="C245" s="24" t="n"/>
      <c r="D245" s="5" t="n"/>
      <c r="E245" s="5" t="n"/>
    </row>
    <row r="246">
      <c r="A246" s="5" t="n"/>
      <c r="B246" s="5" t="n"/>
      <c r="C246" s="24" t="n"/>
      <c r="D246" s="5" t="n"/>
      <c r="E246" s="5" t="n"/>
    </row>
    <row r="247">
      <c r="A247" s="5" t="n"/>
      <c r="B247" s="5" t="n"/>
      <c r="C247" s="24" t="n"/>
      <c r="D247" s="5" t="n"/>
      <c r="E247" s="5" t="n"/>
    </row>
    <row r="248">
      <c r="A248" s="5" t="n"/>
      <c r="B248" s="5" t="n"/>
      <c r="C248" s="24" t="n"/>
      <c r="D248" s="5" t="n"/>
      <c r="E248" s="5" t="n"/>
    </row>
    <row r="249">
      <c r="A249" s="5" t="n"/>
      <c r="B249" s="5" t="n"/>
      <c r="C249" s="24" t="n"/>
      <c r="D249" s="5" t="n"/>
      <c r="E249" s="5" t="n"/>
    </row>
    <row r="250">
      <c r="A250" s="5" t="n"/>
      <c r="B250" s="5" t="n"/>
      <c r="C250" s="24" t="n"/>
      <c r="D250" s="5" t="n"/>
      <c r="E250" s="5" t="n"/>
    </row>
    <row r="251">
      <c r="A251" s="5" t="n"/>
      <c r="B251" s="5" t="n"/>
      <c r="C251" s="24" t="n"/>
      <c r="D251" s="5" t="n"/>
      <c r="E251" s="5" t="n"/>
    </row>
    <row r="252">
      <c r="A252" s="5" t="n"/>
      <c r="B252" s="5" t="n"/>
      <c r="C252" s="24" t="n"/>
      <c r="D252" s="5" t="n"/>
      <c r="E252" s="5" t="n"/>
    </row>
    <row r="253">
      <c r="A253" s="5" t="n"/>
      <c r="B253" s="5" t="n"/>
      <c r="C253" s="24" t="n"/>
      <c r="D253" s="5" t="n"/>
      <c r="E253" s="5" t="n"/>
    </row>
    <row r="254">
      <c r="A254" s="5" t="n"/>
      <c r="B254" s="5" t="n"/>
      <c r="C254" s="24" t="n"/>
      <c r="D254" s="5" t="n"/>
      <c r="E254" s="5" t="n"/>
    </row>
    <row r="255">
      <c r="A255" s="5" t="n"/>
      <c r="B255" s="5" t="n"/>
      <c r="C255" s="24" t="n"/>
      <c r="D255" s="5" t="n"/>
      <c r="E255" s="5" t="n"/>
    </row>
    <row r="256">
      <c r="A256" s="5" t="n"/>
      <c r="B256" s="5" t="n"/>
      <c r="C256" s="24" t="n"/>
      <c r="D256" s="5" t="n"/>
      <c r="E256" s="5" t="n"/>
    </row>
    <row r="257">
      <c r="A257" s="5" t="n"/>
      <c r="B257" s="5" t="n"/>
      <c r="C257" s="24" t="n"/>
      <c r="D257" s="5" t="n"/>
      <c r="E257" s="5" t="n"/>
    </row>
    <row r="258">
      <c r="A258" s="5" t="n"/>
      <c r="B258" s="5" t="n"/>
      <c r="C258" s="24" t="n"/>
      <c r="D258" s="5" t="n"/>
      <c r="E258" s="5" t="n"/>
    </row>
    <row r="259">
      <c r="A259" s="5" t="n"/>
      <c r="B259" s="5" t="n"/>
      <c r="C259" s="24" t="n"/>
      <c r="D259" s="5" t="n"/>
      <c r="E259" s="5" t="n"/>
    </row>
    <row r="260">
      <c r="A260" s="5" t="n"/>
      <c r="B260" s="5" t="n"/>
      <c r="C260" s="24" t="n"/>
      <c r="D260" s="5" t="n"/>
      <c r="E260" s="5" t="n"/>
    </row>
    <row r="261">
      <c r="A261" s="5" t="n"/>
      <c r="B261" s="5" t="n"/>
      <c r="C261" s="24" t="n"/>
      <c r="D261" s="5" t="n"/>
      <c r="E261" s="5" t="n"/>
    </row>
    <row r="262">
      <c r="A262" s="5" t="n"/>
      <c r="B262" s="5" t="n"/>
      <c r="C262" s="24" t="n"/>
      <c r="D262" s="5" t="n"/>
      <c r="E262" s="5" t="n"/>
    </row>
    <row r="263">
      <c r="A263" s="5" t="n"/>
      <c r="B263" s="5" t="n"/>
      <c r="C263" s="24" t="n"/>
      <c r="D263" s="5" t="n"/>
      <c r="E263" s="5" t="n"/>
    </row>
    <row r="264">
      <c r="A264" s="5" t="n"/>
      <c r="B264" s="5" t="n"/>
      <c r="C264" s="24" t="n"/>
      <c r="D264" s="5" t="n"/>
      <c r="E264" s="5" t="n"/>
    </row>
    <row r="265">
      <c r="A265" s="5" t="n"/>
      <c r="B265" s="5" t="n"/>
      <c r="C265" s="24" t="n"/>
      <c r="D265" s="5" t="n"/>
      <c r="E265" s="5" t="n"/>
    </row>
    <row r="266">
      <c r="A266" s="5" t="n"/>
      <c r="B266" s="5" t="n"/>
      <c r="C266" s="24" t="n"/>
      <c r="D266" s="5" t="n"/>
      <c r="E266" s="5" t="n"/>
    </row>
    <row r="267">
      <c r="A267" s="5" t="n"/>
      <c r="B267" s="5" t="n"/>
      <c r="C267" s="24" t="n"/>
      <c r="D267" s="5" t="n"/>
      <c r="E267" s="5" t="n"/>
    </row>
    <row r="268">
      <c r="A268" s="5" t="n"/>
      <c r="B268" s="5" t="n"/>
      <c r="C268" s="24" t="n"/>
      <c r="D268" s="5" t="n"/>
      <c r="E268" s="5" t="n"/>
    </row>
    <row r="269">
      <c r="A269" s="5" t="n"/>
      <c r="B269" s="5" t="n"/>
      <c r="C269" s="24" t="n"/>
      <c r="D269" s="5" t="n"/>
      <c r="E269" s="5" t="n"/>
    </row>
    <row r="270">
      <c r="A270" s="5" t="n"/>
      <c r="B270" s="5" t="n"/>
      <c r="C270" s="24" t="n"/>
      <c r="D270" s="5" t="n"/>
      <c r="E270" s="5" t="n"/>
    </row>
    <row r="271">
      <c r="A271" s="5" t="n"/>
      <c r="B271" s="5" t="n"/>
      <c r="C271" s="24" t="n"/>
      <c r="D271" s="5" t="n"/>
      <c r="E271" s="5" t="n"/>
    </row>
    <row r="272">
      <c r="A272" s="5" t="n"/>
      <c r="B272" s="5" t="n"/>
      <c r="C272" s="24" t="n"/>
      <c r="D272" s="5" t="n"/>
      <c r="E272" s="5" t="n"/>
    </row>
    <row r="273">
      <c r="A273" s="5" t="n"/>
      <c r="B273" s="5" t="n"/>
      <c r="C273" s="24" t="n"/>
      <c r="D273" s="5" t="n"/>
      <c r="E273" s="5" t="n"/>
    </row>
    <row r="274">
      <c r="A274" s="5" t="n"/>
      <c r="B274" s="5" t="n"/>
      <c r="C274" s="24" t="n"/>
      <c r="D274" s="5" t="n"/>
      <c r="E274" s="5" t="n"/>
    </row>
    <row r="275">
      <c r="A275" s="5" t="n"/>
      <c r="B275" s="5" t="n"/>
      <c r="C275" s="24" t="n"/>
      <c r="D275" s="5" t="n"/>
      <c r="E275" s="5" t="n"/>
    </row>
    <row r="276">
      <c r="A276" s="5" t="n"/>
      <c r="B276" s="5" t="n"/>
      <c r="C276" s="24" t="n"/>
      <c r="D276" s="5" t="n"/>
      <c r="E276" s="5" t="n"/>
    </row>
    <row r="277">
      <c r="A277" s="5" t="n"/>
      <c r="B277" s="5" t="n"/>
      <c r="C277" s="24" t="n"/>
      <c r="D277" s="5" t="n"/>
      <c r="E277" s="5" t="n"/>
    </row>
    <row r="278">
      <c r="A278" s="5" t="n"/>
      <c r="B278" s="5" t="n"/>
      <c r="C278" s="24" t="n"/>
      <c r="D278" s="5" t="n"/>
      <c r="E278" s="5" t="n"/>
    </row>
    <row r="279">
      <c r="A279" s="5" t="n"/>
      <c r="B279" s="5" t="n"/>
      <c r="C279" s="24" t="n"/>
      <c r="D279" s="5" t="n"/>
      <c r="E279" s="5" t="n"/>
    </row>
    <row r="280">
      <c r="A280" s="5" t="n"/>
      <c r="B280" s="5" t="n"/>
      <c r="C280" s="24" t="n"/>
      <c r="D280" s="5" t="n"/>
      <c r="E280" s="5" t="n"/>
    </row>
    <row r="281">
      <c r="A281" s="5" t="n"/>
      <c r="B281" s="5" t="n"/>
      <c r="C281" s="24" t="n"/>
      <c r="D281" s="5" t="n"/>
      <c r="E281" s="5" t="n"/>
    </row>
    <row r="282">
      <c r="A282" s="5" t="n"/>
      <c r="B282" s="5" t="n"/>
      <c r="C282" s="24" t="n"/>
      <c r="D282" s="5" t="n"/>
      <c r="E282" s="5" t="n"/>
    </row>
    <row r="283">
      <c r="A283" s="5" t="n"/>
      <c r="B283" s="5" t="n"/>
      <c r="C283" s="24" t="n"/>
      <c r="D283" s="5" t="n"/>
      <c r="E283" s="5" t="n"/>
    </row>
    <row r="284">
      <c r="A284" s="5" t="n"/>
      <c r="B284" s="5" t="n"/>
      <c r="C284" s="24" t="n"/>
      <c r="D284" s="5" t="n"/>
      <c r="E284" s="5" t="n"/>
    </row>
    <row r="285">
      <c r="A285" s="5" t="n"/>
      <c r="B285" s="5" t="n"/>
      <c r="C285" s="24" t="n"/>
      <c r="D285" s="5" t="n"/>
      <c r="E285" s="5" t="n"/>
    </row>
    <row r="286">
      <c r="A286" s="5" t="n"/>
      <c r="B286" s="5" t="n"/>
      <c r="C286" s="24" t="n"/>
      <c r="D286" s="5" t="n"/>
      <c r="E286" s="5" t="n"/>
    </row>
    <row r="287">
      <c r="A287" s="5" t="n"/>
      <c r="B287" s="5" t="n"/>
      <c r="C287" s="24" t="n"/>
      <c r="D287" s="5" t="n"/>
      <c r="E287" s="5" t="n"/>
    </row>
    <row r="288">
      <c r="A288" s="5" t="n"/>
      <c r="B288" s="5" t="n"/>
      <c r="C288" s="24" t="n"/>
      <c r="D288" s="5" t="n"/>
      <c r="E288" s="5" t="n"/>
    </row>
    <row r="289">
      <c r="A289" s="5" t="n"/>
      <c r="B289" s="5" t="n"/>
      <c r="C289" s="24" t="n"/>
      <c r="D289" s="5" t="n"/>
      <c r="E289" s="5" t="n"/>
    </row>
    <row r="290">
      <c r="A290" s="5" t="n"/>
      <c r="B290" s="5" t="n"/>
      <c r="C290" s="24" t="n"/>
      <c r="D290" s="5" t="n"/>
      <c r="E290" s="5" t="n"/>
    </row>
    <row r="291">
      <c r="A291" s="5" t="n"/>
      <c r="B291" s="5" t="n"/>
      <c r="C291" s="24" t="n"/>
      <c r="D291" s="5" t="n"/>
      <c r="E291" s="5" t="n"/>
    </row>
    <row r="292">
      <c r="A292" s="5" t="n"/>
      <c r="B292" s="5" t="n"/>
      <c r="C292" s="24" t="n"/>
      <c r="D292" s="5" t="n"/>
      <c r="E292" s="5" t="n"/>
    </row>
    <row r="293">
      <c r="A293" s="5" t="n"/>
      <c r="B293" s="5" t="n"/>
      <c r="C293" s="24" t="n"/>
      <c r="D293" s="5" t="n"/>
      <c r="E293" s="5" t="n"/>
    </row>
    <row r="294">
      <c r="A294" s="5" t="n"/>
      <c r="B294" s="5" t="n"/>
      <c r="C294" s="24" t="n"/>
      <c r="D294" s="5" t="n"/>
      <c r="E294" s="5" t="n"/>
    </row>
    <row r="295">
      <c r="A295" s="5" t="n"/>
      <c r="B295" s="5" t="n"/>
      <c r="C295" s="24" t="n"/>
      <c r="D295" s="5" t="n"/>
      <c r="E295" s="5" t="n"/>
    </row>
    <row r="296">
      <c r="A296" s="5" t="n"/>
      <c r="B296" s="5" t="n"/>
      <c r="C296" s="24" t="n"/>
      <c r="D296" s="5" t="n"/>
      <c r="E296" s="5" t="n"/>
    </row>
    <row r="297">
      <c r="A297" s="5" t="n"/>
      <c r="B297" s="5" t="n"/>
      <c r="C297" s="24" t="n"/>
      <c r="D297" s="5" t="n"/>
      <c r="E297" s="5" t="n"/>
    </row>
    <row r="298">
      <c r="A298" s="5" t="n"/>
      <c r="B298" s="5" t="n"/>
      <c r="C298" s="24" t="n"/>
      <c r="D298" s="5" t="n"/>
      <c r="E298" s="5" t="n"/>
    </row>
    <row r="299">
      <c r="A299" s="5" t="n"/>
      <c r="B299" s="5" t="n"/>
      <c r="C299" s="24" t="n"/>
      <c r="D299" s="5" t="n"/>
      <c r="E299" s="5" t="n"/>
    </row>
    <row r="300">
      <c r="A300" s="5" t="n"/>
      <c r="B300" s="5" t="n"/>
      <c r="C300" s="24" t="n"/>
      <c r="D300" s="5" t="n"/>
      <c r="E300" s="5" t="n"/>
    </row>
    <row r="301">
      <c r="A301" s="5" t="n"/>
      <c r="B301" s="5" t="n"/>
      <c r="C301" s="24" t="n"/>
      <c r="D301" s="5" t="n"/>
      <c r="E301" s="5" t="n"/>
    </row>
    <row r="302">
      <c r="A302" s="5" t="n"/>
      <c r="B302" s="5" t="n"/>
      <c r="C302" s="24" t="n"/>
      <c r="D302" s="5" t="n"/>
      <c r="E302" s="5" t="n"/>
    </row>
    <row r="303">
      <c r="A303" s="5" t="n"/>
      <c r="B303" s="5" t="n"/>
      <c r="C303" s="24" t="n"/>
      <c r="D303" s="5" t="n"/>
      <c r="E303" s="5" t="n"/>
    </row>
    <row r="304">
      <c r="A304" s="5" t="n"/>
      <c r="B304" s="5" t="n"/>
      <c r="C304" s="24" t="n"/>
      <c r="D304" s="5" t="n"/>
      <c r="E304" s="5" t="n"/>
    </row>
    <row r="305">
      <c r="A305" s="5" t="n"/>
      <c r="B305" s="5" t="n"/>
      <c r="C305" s="24" t="n"/>
      <c r="D305" s="5" t="n"/>
      <c r="E305" s="5" t="n"/>
    </row>
    <row r="306">
      <c r="A306" s="5" t="n"/>
      <c r="B306" s="5" t="n"/>
      <c r="C306" s="24" t="n"/>
      <c r="D306" s="5" t="n"/>
      <c r="E306" s="5" t="n"/>
    </row>
    <row r="307">
      <c r="A307" s="5" t="n"/>
      <c r="B307" s="5" t="n"/>
      <c r="C307" s="24" t="n"/>
      <c r="D307" s="5" t="n"/>
      <c r="E307" s="5" t="n"/>
    </row>
    <row r="308">
      <c r="A308" s="5" t="n"/>
      <c r="B308" s="5" t="n"/>
      <c r="C308" s="24" t="n"/>
      <c r="D308" s="5" t="n"/>
      <c r="E308" s="5" t="n"/>
    </row>
    <row r="309">
      <c r="A309" s="5" t="n"/>
      <c r="B309" s="5" t="n"/>
      <c r="C309" s="24" t="n"/>
      <c r="D309" s="5" t="n"/>
      <c r="E309" s="5" t="n"/>
    </row>
    <row r="310">
      <c r="A310" s="5" t="n"/>
      <c r="B310" s="5" t="n"/>
      <c r="C310" s="24" t="n"/>
      <c r="D310" s="5" t="n"/>
      <c r="E310" s="5" t="n"/>
    </row>
    <row r="311">
      <c r="A311" s="5" t="n"/>
      <c r="B311" s="5" t="n"/>
      <c r="C311" s="24" t="n"/>
      <c r="D311" s="5" t="n"/>
      <c r="E311" s="5" t="n"/>
    </row>
    <row r="312">
      <c r="A312" s="5" t="n"/>
      <c r="B312" s="5" t="n"/>
      <c r="C312" s="24" t="n"/>
      <c r="D312" s="5" t="n"/>
      <c r="E312" s="5" t="n"/>
    </row>
    <row r="313">
      <c r="A313" s="5" t="n"/>
      <c r="B313" s="5" t="n"/>
      <c r="C313" s="24" t="n"/>
      <c r="D313" s="5" t="n"/>
      <c r="E313" s="5" t="n"/>
    </row>
    <row r="314">
      <c r="A314" s="5" t="n"/>
      <c r="B314" s="5" t="n"/>
      <c r="C314" s="24" t="n"/>
      <c r="D314" s="5" t="n"/>
      <c r="E314" s="5" t="n"/>
    </row>
    <row r="315">
      <c r="A315" s="5" t="n"/>
      <c r="B315" s="5" t="n"/>
      <c r="C315" s="24" t="n"/>
      <c r="D315" s="5" t="n"/>
      <c r="E315" s="5" t="n"/>
    </row>
    <row r="316">
      <c r="A316" s="5" t="n"/>
      <c r="B316" s="5" t="n"/>
      <c r="C316" s="24" t="n"/>
      <c r="D316" s="5" t="n"/>
      <c r="E316" s="5" t="n"/>
    </row>
    <row r="317">
      <c r="A317" s="5" t="n"/>
      <c r="B317" s="5" t="n"/>
      <c r="C317" s="24" t="n"/>
      <c r="D317" s="5" t="n"/>
      <c r="E317" s="5" t="n"/>
    </row>
    <row r="318">
      <c r="A318" s="5" t="n"/>
      <c r="B318" s="5" t="n"/>
      <c r="C318" s="24" t="n"/>
      <c r="D318" s="5" t="n"/>
      <c r="E318" s="5" t="n"/>
    </row>
    <row r="319">
      <c r="A319" s="5" t="n"/>
      <c r="B319" s="5" t="n"/>
      <c r="C319" s="24" t="n"/>
      <c r="D319" s="5" t="n"/>
      <c r="E319" s="5" t="n"/>
    </row>
    <row r="320">
      <c r="A320" s="5" t="n"/>
      <c r="B320" s="5" t="n"/>
      <c r="C320" s="24" t="n"/>
      <c r="D320" s="5" t="n"/>
      <c r="E320" s="5" t="n"/>
    </row>
    <row r="321">
      <c r="A321" s="5" t="n"/>
      <c r="B321" s="5" t="n"/>
      <c r="C321" s="24" t="n"/>
      <c r="D321" s="5" t="n"/>
      <c r="E321" s="5" t="n"/>
    </row>
    <row r="322">
      <c r="A322" s="5" t="n"/>
      <c r="B322" s="5" t="n"/>
      <c r="C322" s="24" t="n"/>
      <c r="D322" s="5" t="n"/>
      <c r="E322" s="5" t="n"/>
    </row>
    <row r="323">
      <c r="A323" s="5" t="n"/>
      <c r="B323" s="5" t="n"/>
      <c r="C323" s="24" t="n"/>
      <c r="D323" s="5" t="n"/>
      <c r="E323" s="5" t="n"/>
    </row>
    <row r="324">
      <c r="A324" s="5" t="n"/>
      <c r="B324" s="5" t="n"/>
      <c r="C324" s="24" t="n"/>
      <c r="D324" s="5" t="n"/>
      <c r="E324" s="5" t="n"/>
    </row>
    <row r="325">
      <c r="A325" s="5" t="n"/>
      <c r="B325" s="5" t="n"/>
      <c r="C325" s="24" t="n"/>
      <c r="D325" s="5" t="n"/>
      <c r="E325" s="5" t="n"/>
    </row>
    <row r="326">
      <c r="A326" s="5" t="n"/>
      <c r="B326" s="5" t="n"/>
      <c r="C326" s="24" t="n"/>
      <c r="D326" s="5" t="n"/>
      <c r="E326" s="5" t="n"/>
    </row>
    <row r="327">
      <c r="A327" s="5" t="n"/>
      <c r="B327" s="5" t="n"/>
      <c r="C327" s="24" t="n"/>
      <c r="D327" s="5" t="n"/>
      <c r="E327" s="5" t="n"/>
    </row>
    <row r="328">
      <c r="A328" s="5" t="n"/>
      <c r="B328" s="5" t="n"/>
      <c r="C328" s="24" t="n"/>
      <c r="D328" s="5" t="n"/>
      <c r="E328" s="5" t="n"/>
    </row>
    <row r="329">
      <c r="A329" s="5" t="n"/>
      <c r="B329" s="5" t="n"/>
      <c r="C329" s="24" t="n"/>
      <c r="D329" s="5" t="n"/>
      <c r="E329" s="5" t="n"/>
    </row>
    <row r="330">
      <c r="A330" s="5" t="n"/>
      <c r="B330" s="5" t="n"/>
      <c r="C330" s="24" t="n"/>
      <c r="D330" s="5" t="n"/>
      <c r="E330" s="5" t="n"/>
    </row>
    <row r="331">
      <c r="A331" s="5" t="n"/>
      <c r="B331" s="5" t="n"/>
      <c r="C331" s="24" t="n"/>
      <c r="D331" s="5" t="n"/>
      <c r="E331" s="5" t="n"/>
    </row>
    <row r="332">
      <c r="A332" s="5" t="n"/>
      <c r="B332" s="5" t="n"/>
      <c r="C332" s="24" t="n"/>
      <c r="D332" s="5" t="n"/>
      <c r="E332" s="5" t="n"/>
    </row>
    <row r="333">
      <c r="A333" s="5" t="n"/>
      <c r="B333" s="5" t="n"/>
      <c r="C333" s="24" t="n"/>
      <c r="D333" s="5" t="n"/>
      <c r="E333" s="5" t="n"/>
    </row>
    <row r="334">
      <c r="A334" s="5" t="n"/>
      <c r="B334" s="5" t="n"/>
      <c r="C334" s="24" t="n"/>
      <c r="D334" s="5" t="n"/>
      <c r="E334" s="5" t="n"/>
    </row>
    <row r="335">
      <c r="A335" s="5" t="n"/>
      <c r="B335" s="5" t="n"/>
      <c r="C335" s="24" t="n"/>
      <c r="D335" s="5" t="n"/>
      <c r="E335" s="5" t="n"/>
    </row>
    <row r="336">
      <c r="A336" s="5" t="n"/>
      <c r="B336" s="5" t="n"/>
      <c r="C336" s="24" t="n"/>
      <c r="D336" s="5" t="n"/>
      <c r="E336" s="5" t="n"/>
    </row>
    <row r="337">
      <c r="A337" s="5" t="n"/>
      <c r="B337" s="5" t="n"/>
      <c r="C337" s="24" t="n"/>
      <c r="D337" s="5" t="n"/>
      <c r="E337" s="5" t="n"/>
    </row>
    <row r="338">
      <c r="A338" s="5" t="n"/>
      <c r="B338" s="5" t="n"/>
      <c r="C338" s="24" t="n"/>
      <c r="D338" s="5" t="n"/>
      <c r="E338" s="5" t="n"/>
    </row>
    <row r="339">
      <c r="A339" s="5" t="n"/>
      <c r="B339" s="5" t="n"/>
      <c r="C339" s="24" t="n"/>
      <c r="D339" s="5" t="n"/>
      <c r="E339" s="5" t="n"/>
    </row>
    <row r="340">
      <c r="A340" s="5" t="n"/>
      <c r="B340" s="5" t="n"/>
      <c r="C340" s="24" t="n"/>
      <c r="D340" s="5" t="n"/>
      <c r="E340" s="5" t="n"/>
    </row>
    <row r="341">
      <c r="A341" s="5" t="n"/>
      <c r="B341" s="5" t="n"/>
      <c r="C341" s="24" t="n"/>
      <c r="D341" s="5" t="n"/>
      <c r="E341" s="5" t="n"/>
    </row>
    <row r="342">
      <c r="A342" s="5" t="n"/>
      <c r="B342" s="5" t="n"/>
      <c r="C342" s="24" t="n"/>
      <c r="D342" s="5" t="n"/>
      <c r="E342" s="5" t="n"/>
    </row>
    <row r="343">
      <c r="A343" s="5" t="n"/>
      <c r="B343" s="5" t="n"/>
      <c r="C343" s="24" t="n"/>
      <c r="D343" s="5" t="n"/>
      <c r="E343" s="5" t="n"/>
    </row>
    <row r="344">
      <c r="A344" s="5" t="n"/>
      <c r="B344" s="5" t="n"/>
      <c r="C344" s="24" t="n"/>
      <c r="D344" s="5" t="n"/>
      <c r="E344" s="5" t="n"/>
    </row>
    <row r="345">
      <c r="A345" s="5" t="n"/>
      <c r="B345" s="5" t="n"/>
      <c r="C345" s="24" t="n"/>
      <c r="D345" s="5" t="n"/>
      <c r="E345" s="5" t="n"/>
    </row>
    <row r="346">
      <c r="A346" s="5" t="n"/>
      <c r="B346" s="5" t="n"/>
      <c r="C346" s="24" t="n"/>
      <c r="D346" s="5" t="n"/>
      <c r="E346" s="5" t="n"/>
    </row>
    <row r="347">
      <c r="A347" s="5" t="n"/>
      <c r="B347" s="5" t="n"/>
      <c r="C347" s="24" t="n"/>
      <c r="D347" s="5" t="n"/>
      <c r="E347" s="5" t="n"/>
    </row>
    <row r="348">
      <c r="A348" s="5" t="n"/>
      <c r="B348" s="5" t="n"/>
      <c r="C348" s="24" t="n"/>
      <c r="D348" s="5" t="n"/>
      <c r="E348" s="5" t="n"/>
    </row>
    <row r="349">
      <c r="A349" s="5" t="n"/>
      <c r="B349" s="5" t="n"/>
      <c r="C349" s="24" t="n"/>
      <c r="D349" s="5" t="n"/>
      <c r="E349" s="5" t="n"/>
    </row>
    <row r="350">
      <c r="A350" s="5" t="n"/>
      <c r="B350" s="5" t="n"/>
      <c r="C350" s="24" t="n"/>
      <c r="D350" s="5" t="n"/>
      <c r="E350" s="5" t="n"/>
    </row>
    <row r="351">
      <c r="A351" s="5" t="n"/>
      <c r="B351" s="5" t="n"/>
      <c r="C351" s="24" t="n"/>
      <c r="D351" s="5" t="n"/>
      <c r="E351" s="5" t="n"/>
    </row>
    <row r="352">
      <c r="A352" s="5" t="n"/>
      <c r="B352" s="5" t="n"/>
      <c r="C352" s="24" t="n"/>
      <c r="D352" s="5" t="n"/>
      <c r="E352" s="5" t="n"/>
    </row>
    <row r="353">
      <c r="A353" s="5" t="n"/>
      <c r="B353" s="5" t="n"/>
      <c r="C353" s="24" t="n"/>
      <c r="D353" s="5" t="n"/>
      <c r="E353" s="5" t="n"/>
    </row>
    <row r="354">
      <c r="A354" s="5" t="n"/>
      <c r="B354" s="5" t="n"/>
      <c r="C354" s="24" t="n"/>
      <c r="D354" s="5" t="n"/>
      <c r="E354" s="5" t="n"/>
    </row>
    <row r="355">
      <c r="A355" s="5" t="n"/>
      <c r="B355" s="5" t="n"/>
      <c r="C355" s="24" t="n"/>
      <c r="D355" s="5" t="n"/>
      <c r="E355" s="5" t="n"/>
    </row>
    <row r="356">
      <c r="A356" s="5" t="n"/>
      <c r="B356" s="5" t="n"/>
      <c r="C356" s="24" t="n"/>
      <c r="D356" s="5" t="n"/>
      <c r="E356" s="5" t="n"/>
    </row>
    <row r="357">
      <c r="A357" s="5" t="n"/>
      <c r="B357" s="5" t="n"/>
      <c r="C357" s="24" t="n"/>
      <c r="D357" s="5" t="n"/>
      <c r="E357" s="5" t="n"/>
    </row>
    <row r="358">
      <c r="A358" s="5" t="n"/>
      <c r="B358" s="5" t="n"/>
      <c r="C358" s="24" t="n"/>
      <c r="D358" s="5" t="n"/>
      <c r="E358" s="5" t="n"/>
    </row>
    <row r="359">
      <c r="A359" s="5" t="n"/>
      <c r="B359" s="5" t="n"/>
      <c r="C359" s="24" t="n"/>
      <c r="D359" s="5" t="n"/>
      <c r="E359" s="5" t="n"/>
    </row>
    <row r="360">
      <c r="A360" s="5" t="n"/>
      <c r="B360" s="5" t="n"/>
      <c r="C360" s="24" t="n"/>
      <c r="D360" s="5" t="n"/>
      <c r="E360" s="5" t="n"/>
    </row>
    <row r="361">
      <c r="A361" s="5" t="n"/>
      <c r="B361" s="5" t="n"/>
      <c r="C361" s="24" t="n"/>
      <c r="D361" s="5" t="n"/>
      <c r="E361" s="5" t="n"/>
    </row>
    <row r="362">
      <c r="A362" s="5" t="n"/>
      <c r="B362" s="5" t="n"/>
      <c r="C362" s="24" t="n"/>
      <c r="D362" s="5" t="n"/>
      <c r="E362" s="5" t="n"/>
    </row>
    <row r="363">
      <c r="A363" s="5" t="n"/>
      <c r="B363" s="5" t="n"/>
      <c r="C363" s="24" t="n"/>
      <c r="D363" s="5" t="n"/>
      <c r="E363" s="5" t="n"/>
    </row>
    <row r="364">
      <c r="A364" s="5" t="n"/>
      <c r="B364" s="5" t="n"/>
      <c r="C364" s="24" t="n"/>
      <c r="D364" s="5" t="n"/>
      <c r="E364" s="5" t="n"/>
    </row>
    <row r="365">
      <c r="A365" s="5" t="n"/>
      <c r="B365" s="5" t="n"/>
      <c r="C365" s="24" t="n"/>
      <c r="D365" s="5" t="n"/>
      <c r="E365" s="5" t="n"/>
    </row>
    <row r="366">
      <c r="A366" s="5" t="n"/>
      <c r="B366" s="5" t="n"/>
      <c r="C366" s="24" t="n"/>
      <c r="D366" s="5" t="n"/>
      <c r="E366" s="5" t="n"/>
    </row>
    <row r="367">
      <c r="A367" s="5" t="n"/>
      <c r="B367" s="5" t="n"/>
      <c r="C367" s="24" t="n"/>
      <c r="D367" s="5" t="n"/>
      <c r="E367" s="5" t="n"/>
    </row>
    <row r="368">
      <c r="A368" s="5" t="n"/>
      <c r="B368" s="5" t="n"/>
      <c r="C368" s="24" t="n"/>
      <c r="D368" s="5" t="n"/>
      <c r="E368" s="5" t="n"/>
    </row>
    <row r="369">
      <c r="A369" s="5" t="n"/>
      <c r="B369" s="5" t="n"/>
      <c r="C369" s="24" t="n"/>
      <c r="D369" s="5" t="n"/>
      <c r="E369" s="5" t="n"/>
    </row>
    <row r="370">
      <c r="A370" s="5" t="n"/>
      <c r="B370" s="5" t="n"/>
      <c r="C370" s="24" t="n"/>
      <c r="D370" s="5" t="n"/>
      <c r="E370" s="5" t="n"/>
    </row>
    <row r="371">
      <c r="A371" s="5" t="n"/>
      <c r="B371" s="5" t="n"/>
      <c r="C371" s="24" t="n"/>
      <c r="D371" s="5" t="n"/>
      <c r="E371" s="5" t="n"/>
    </row>
    <row r="372">
      <c r="A372" s="5" t="n"/>
      <c r="B372" s="5" t="n"/>
      <c r="C372" s="24" t="n"/>
      <c r="D372" s="5" t="n"/>
      <c r="E372" s="5" t="n"/>
    </row>
    <row r="373">
      <c r="A373" s="5" t="n"/>
      <c r="B373" s="5" t="n"/>
      <c r="C373" s="24" t="n"/>
      <c r="D373" s="5" t="n"/>
      <c r="E373" s="5" t="n"/>
    </row>
    <row r="374">
      <c r="A374" s="5" t="n"/>
      <c r="B374" s="5" t="n"/>
      <c r="C374" s="24" t="n"/>
      <c r="D374" s="5" t="n"/>
      <c r="E374" s="5" t="n"/>
    </row>
    <row r="375">
      <c r="A375" s="5" t="n"/>
      <c r="B375" s="5" t="n"/>
      <c r="C375" s="24" t="n"/>
      <c r="D375" s="5" t="n"/>
      <c r="E375" s="5" t="n"/>
    </row>
    <row r="376">
      <c r="A376" s="5" t="n"/>
      <c r="B376" s="5" t="n"/>
      <c r="C376" s="24" t="n"/>
      <c r="D376" s="5" t="n"/>
      <c r="E376" s="5" t="n"/>
    </row>
    <row r="377">
      <c r="A377" s="5" t="n"/>
      <c r="B377" s="5" t="n"/>
      <c r="C377" s="24" t="n"/>
      <c r="D377" s="5" t="n"/>
      <c r="E377" s="5" t="n"/>
    </row>
    <row r="378">
      <c r="A378" s="5" t="n"/>
      <c r="B378" s="5" t="n"/>
      <c r="C378" s="24" t="n"/>
      <c r="D378" s="5" t="n"/>
      <c r="E378" s="5" t="n"/>
    </row>
    <row r="379">
      <c r="A379" s="5" t="n"/>
      <c r="B379" s="5" t="n"/>
      <c r="C379" s="24" t="n"/>
      <c r="D379" s="5" t="n"/>
      <c r="E379" s="5" t="n"/>
    </row>
    <row r="380">
      <c r="A380" s="5" t="n"/>
      <c r="B380" s="5" t="n"/>
      <c r="C380" s="24" t="n"/>
      <c r="D380" s="5" t="n"/>
      <c r="E380" s="5" t="n"/>
    </row>
    <row r="381">
      <c r="A381" s="5" t="n"/>
      <c r="B381" s="5" t="n"/>
      <c r="C381" s="24" t="n"/>
      <c r="D381" s="5" t="n"/>
      <c r="E381" s="5" t="n"/>
    </row>
    <row r="382">
      <c r="A382" s="5" t="n"/>
      <c r="B382" s="5" t="n"/>
      <c r="C382" s="24" t="n"/>
      <c r="D382" s="5" t="n"/>
      <c r="E382" s="5" t="n"/>
    </row>
    <row r="383">
      <c r="A383" s="5" t="n"/>
      <c r="B383" s="5" t="n"/>
      <c r="C383" s="24" t="n"/>
      <c r="D383" s="5" t="n"/>
      <c r="E383" s="5" t="n"/>
    </row>
    <row r="384">
      <c r="A384" s="5" t="n"/>
      <c r="B384" s="5" t="n"/>
      <c r="C384" s="24" t="n"/>
      <c r="D384" s="5" t="n"/>
      <c r="E384" s="5" t="n"/>
    </row>
    <row r="385">
      <c r="A385" s="5" t="n"/>
      <c r="B385" s="5" t="n"/>
      <c r="C385" s="24" t="n"/>
      <c r="D385" s="5" t="n"/>
      <c r="E385" s="5" t="n"/>
    </row>
    <row r="386">
      <c r="A386" s="5" t="n"/>
      <c r="B386" s="5" t="n"/>
      <c r="C386" s="24" t="n"/>
      <c r="D386" s="5" t="n"/>
      <c r="E386" s="5" t="n"/>
    </row>
    <row r="387">
      <c r="A387" s="5" t="n"/>
      <c r="B387" s="5" t="n"/>
      <c r="C387" s="24" t="n"/>
      <c r="D387" s="5" t="n"/>
      <c r="E387" s="5" t="n"/>
    </row>
    <row r="388">
      <c r="A388" s="5" t="n"/>
      <c r="B388" s="5" t="n"/>
      <c r="C388" s="24" t="n"/>
      <c r="D388" s="5" t="n"/>
      <c r="E388" s="5" t="n"/>
    </row>
    <row r="389">
      <c r="A389" s="5" t="n"/>
      <c r="B389" s="5" t="n"/>
      <c r="C389" s="24" t="n"/>
      <c r="D389" s="5" t="n"/>
      <c r="E389" s="5" t="n"/>
    </row>
    <row r="390">
      <c r="A390" s="5" t="n"/>
      <c r="B390" s="5" t="n"/>
      <c r="C390" s="24" t="n"/>
      <c r="D390" s="5" t="n"/>
      <c r="E390" s="5" t="n"/>
    </row>
    <row r="391">
      <c r="A391" s="5" t="n"/>
      <c r="B391" s="5" t="n"/>
      <c r="C391" s="24" t="n"/>
      <c r="D391" s="5" t="n"/>
      <c r="E391" s="5" t="n"/>
    </row>
    <row r="392">
      <c r="A392" s="5" t="n"/>
      <c r="B392" s="5" t="n"/>
      <c r="C392" s="24" t="n"/>
      <c r="D392" s="5" t="n"/>
      <c r="E392" s="5" t="n"/>
    </row>
    <row r="393">
      <c r="A393" s="5" t="n"/>
      <c r="B393" s="5" t="n"/>
      <c r="C393" s="24" t="n"/>
      <c r="D393" s="5" t="n"/>
      <c r="E393" s="5" t="n"/>
    </row>
    <row r="394">
      <c r="A394" s="5" t="n"/>
      <c r="B394" s="5" t="n"/>
      <c r="C394" s="24" t="n"/>
      <c r="D394" s="5" t="n"/>
      <c r="E394" s="5" t="n"/>
    </row>
    <row r="395">
      <c r="A395" s="5" t="n"/>
      <c r="B395" s="5" t="n"/>
      <c r="C395" s="24" t="n"/>
      <c r="D395" s="5" t="n"/>
      <c r="E395" s="5" t="n"/>
    </row>
    <row r="396">
      <c r="A396" s="5" t="n"/>
      <c r="B396" s="5" t="n"/>
      <c r="C396" s="24" t="n"/>
      <c r="D396" s="5" t="n"/>
      <c r="E396" s="5" t="n"/>
    </row>
    <row r="397">
      <c r="A397" s="5" t="n"/>
      <c r="B397" s="5" t="n"/>
      <c r="C397" s="24" t="n"/>
      <c r="D397" s="5" t="n"/>
      <c r="E397" s="5" t="n"/>
    </row>
    <row r="398">
      <c r="A398" s="5" t="n"/>
      <c r="B398" s="5" t="n"/>
      <c r="C398" s="24" t="n"/>
      <c r="D398" s="5" t="n"/>
      <c r="E398" s="5" t="n"/>
    </row>
    <row r="399">
      <c r="A399" s="5" t="n"/>
      <c r="B399" s="5" t="n"/>
      <c r="C399" s="24" t="n"/>
      <c r="D399" s="5" t="n"/>
      <c r="E399" s="5" t="n"/>
    </row>
    <row r="400">
      <c r="A400" s="5" t="n"/>
      <c r="B400" s="5" t="n"/>
      <c r="C400" s="24" t="n"/>
      <c r="D400" s="5" t="n"/>
      <c r="E400" s="5" t="n"/>
    </row>
    <row r="401">
      <c r="A401" s="5" t="n"/>
      <c r="B401" s="5" t="n"/>
      <c r="C401" s="24" t="n"/>
      <c r="D401" s="5" t="n"/>
      <c r="E401" s="5" t="n"/>
    </row>
    <row r="402">
      <c r="A402" s="5" t="n"/>
      <c r="B402" s="5" t="n"/>
      <c r="C402" s="24" t="n"/>
      <c r="D402" s="5" t="n"/>
      <c r="E402" s="5" t="n"/>
    </row>
    <row r="403">
      <c r="A403" s="5" t="n"/>
      <c r="B403" s="5" t="n"/>
      <c r="C403" s="24" t="n"/>
      <c r="D403" s="5" t="n"/>
      <c r="E403" s="5" t="n"/>
    </row>
    <row r="404">
      <c r="A404" s="5" t="n"/>
      <c r="B404" s="5" t="n"/>
      <c r="C404" s="24" t="n"/>
      <c r="D404" s="5" t="n"/>
      <c r="E404" s="5" t="n"/>
    </row>
    <row r="405">
      <c r="A405" s="5" t="n"/>
      <c r="B405" s="5" t="n"/>
      <c r="C405" s="24" t="n"/>
      <c r="D405" s="5" t="n"/>
      <c r="E405" s="5" t="n"/>
    </row>
    <row r="406">
      <c r="A406" s="5" t="n"/>
      <c r="B406" s="5" t="n"/>
      <c r="C406" s="24" t="n"/>
      <c r="D406" s="5" t="n"/>
      <c r="E406" s="5" t="n"/>
    </row>
    <row r="407">
      <c r="A407" s="5" t="n"/>
      <c r="B407" s="5" t="n"/>
      <c r="C407" s="24" t="n"/>
      <c r="D407" s="5" t="n"/>
      <c r="E407" s="5" t="n"/>
    </row>
    <row r="408">
      <c r="A408" s="5" t="n"/>
      <c r="B408" s="5" t="n"/>
      <c r="C408" s="24" t="n"/>
      <c r="D408" s="5" t="n"/>
      <c r="E408" s="5" t="n"/>
    </row>
    <row r="409">
      <c r="A409" s="5" t="n"/>
      <c r="B409" s="5" t="n"/>
      <c r="C409" s="24" t="n"/>
      <c r="D409" s="5" t="n"/>
      <c r="E409" s="5" t="n"/>
    </row>
    <row r="410">
      <c r="A410" s="5" t="n"/>
      <c r="B410" s="5" t="n"/>
      <c r="C410" s="24" t="n"/>
      <c r="D410" s="5" t="n"/>
      <c r="E410" s="5" t="n"/>
    </row>
    <row r="411">
      <c r="A411" s="5" t="n"/>
      <c r="B411" s="5" t="n"/>
      <c r="C411" s="24" t="n"/>
      <c r="D411" s="5" t="n"/>
      <c r="E411" s="5" t="n"/>
    </row>
    <row r="412">
      <c r="A412" s="5" t="n"/>
      <c r="B412" s="5" t="n"/>
      <c r="C412" s="24" t="n"/>
      <c r="D412" s="5" t="n"/>
      <c r="E412" s="5" t="n"/>
    </row>
    <row r="413">
      <c r="A413" s="5" t="n"/>
      <c r="B413" s="5" t="n"/>
      <c r="C413" s="24" t="n"/>
      <c r="D413" s="5" t="n"/>
      <c r="E413" s="5" t="n"/>
    </row>
    <row r="414">
      <c r="A414" s="5" t="n"/>
      <c r="B414" s="5" t="n"/>
      <c r="C414" s="24" t="n"/>
      <c r="D414" s="5" t="n"/>
      <c r="E414" s="5" t="n"/>
    </row>
    <row r="415">
      <c r="A415" s="5" t="n"/>
      <c r="B415" s="5" t="n"/>
      <c r="C415" s="24" t="n"/>
      <c r="D415" s="5" t="n"/>
      <c r="E415" s="5" t="n"/>
    </row>
    <row r="416">
      <c r="A416" s="5" t="n"/>
      <c r="B416" s="5" t="n"/>
      <c r="C416" s="24" t="n"/>
      <c r="D416" s="5" t="n"/>
      <c r="E416" s="5" t="n"/>
    </row>
    <row r="417">
      <c r="A417" s="5" t="n"/>
      <c r="B417" s="5" t="n"/>
      <c r="C417" s="24" t="n"/>
      <c r="D417" s="5" t="n"/>
      <c r="E417" s="5" t="n"/>
    </row>
    <row r="418">
      <c r="A418" s="5" t="n"/>
      <c r="B418" s="5" t="n"/>
      <c r="C418" s="24" t="n"/>
      <c r="D418" s="5" t="n"/>
      <c r="E418" s="5" t="n"/>
    </row>
    <row r="419">
      <c r="A419" s="5" t="n"/>
      <c r="B419" s="5" t="n"/>
      <c r="C419" s="24" t="n"/>
      <c r="D419" s="5" t="n"/>
      <c r="E419" s="5" t="n"/>
    </row>
    <row r="420">
      <c r="A420" s="5" t="n"/>
      <c r="B420" s="5" t="n"/>
      <c r="C420" s="24" t="n"/>
      <c r="D420" s="5" t="n"/>
      <c r="E420" s="5" t="n"/>
    </row>
    <row r="421">
      <c r="A421" s="5" t="n"/>
      <c r="B421" s="5" t="n"/>
      <c r="C421" s="24" t="n"/>
      <c r="D421" s="5" t="n"/>
      <c r="E421" s="5" t="n"/>
    </row>
    <row r="422">
      <c r="A422" s="5" t="n"/>
      <c r="B422" s="5" t="n"/>
      <c r="C422" s="24" t="n"/>
      <c r="D422" s="5" t="n"/>
      <c r="E422" s="5" t="n"/>
    </row>
    <row r="423">
      <c r="A423" s="5" t="n"/>
      <c r="B423" s="5" t="n"/>
      <c r="C423" s="24" t="n"/>
      <c r="D423" s="5" t="n"/>
      <c r="E423" s="5" t="n"/>
    </row>
    <row r="424">
      <c r="A424" s="5" t="n"/>
      <c r="B424" s="5" t="n"/>
      <c r="C424" s="24" t="n"/>
      <c r="D424" s="5" t="n"/>
      <c r="E424" s="5" t="n"/>
    </row>
    <row r="425">
      <c r="A425" s="5" t="n"/>
      <c r="B425" s="5" t="n"/>
      <c r="C425" s="24" t="n"/>
      <c r="D425" s="5" t="n"/>
      <c r="E425" s="5" t="n"/>
    </row>
    <row r="426">
      <c r="A426" s="5" t="n"/>
      <c r="B426" s="5" t="n"/>
      <c r="C426" s="24" t="n"/>
      <c r="D426" s="5" t="n"/>
      <c r="E426" s="5" t="n"/>
    </row>
    <row r="427">
      <c r="A427" s="5" t="n"/>
      <c r="B427" s="5" t="n"/>
      <c r="C427" s="24" t="n"/>
      <c r="D427" s="5" t="n"/>
      <c r="E427" s="5" t="n"/>
    </row>
    <row r="428">
      <c r="A428" s="5" t="n"/>
      <c r="B428" s="5" t="n"/>
      <c r="C428" s="24" t="n"/>
      <c r="D428" s="5" t="n"/>
      <c r="E428" s="5" t="n"/>
    </row>
    <row r="429">
      <c r="A429" s="5" t="n"/>
      <c r="B429" s="5" t="n"/>
      <c r="C429" s="24" t="n"/>
      <c r="D429" s="5" t="n"/>
      <c r="E429" s="5" t="n"/>
    </row>
    <row r="430">
      <c r="A430" s="5" t="n"/>
      <c r="B430" s="5" t="n"/>
      <c r="C430" s="24" t="n"/>
      <c r="D430" s="5" t="n"/>
      <c r="E430" s="5" t="n"/>
    </row>
    <row r="431">
      <c r="A431" s="5" t="n"/>
      <c r="B431" s="5" t="n"/>
      <c r="C431" s="24" t="n"/>
      <c r="D431" s="5" t="n"/>
      <c r="E431" s="5" t="n"/>
    </row>
    <row r="432">
      <c r="A432" s="5" t="n"/>
      <c r="B432" s="5" t="n"/>
      <c r="C432" s="24" t="n"/>
      <c r="D432" s="5" t="n"/>
      <c r="E432" s="5" t="n"/>
    </row>
    <row r="433">
      <c r="A433" s="5" t="n"/>
      <c r="B433" s="5" t="n"/>
      <c r="C433" s="24" t="n"/>
      <c r="D433" s="5" t="n"/>
      <c r="E433" s="5" t="n"/>
    </row>
    <row r="434">
      <c r="A434" s="5" t="n"/>
      <c r="B434" s="5" t="n"/>
      <c r="C434" s="24" t="n"/>
      <c r="D434" s="5" t="n"/>
      <c r="E434" s="5" t="n"/>
    </row>
    <row r="435">
      <c r="A435" s="5" t="n"/>
      <c r="B435" s="5" t="n"/>
      <c r="C435" s="24" t="n"/>
      <c r="D435" s="5" t="n"/>
      <c r="E435" s="5" t="n"/>
    </row>
    <row r="436">
      <c r="A436" s="5" t="n"/>
      <c r="B436" s="5" t="n"/>
      <c r="C436" s="24" t="n"/>
      <c r="D436" s="5" t="n"/>
      <c r="E436" s="5" t="n"/>
    </row>
    <row r="437">
      <c r="A437" s="5" t="n"/>
      <c r="B437" s="5" t="n"/>
      <c r="C437" s="24" t="n"/>
      <c r="D437" s="5" t="n"/>
      <c r="E437" s="5" t="n"/>
    </row>
    <row r="438">
      <c r="A438" s="5" t="n"/>
      <c r="B438" s="5" t="n"/>
      <c r="C438" s="24" t="n"/>
      <c r="D438" s="5" t="n"/>
      <c r="E438" s="5" t="n"/>
    </row>
    <row r="439">
      <c r="A439" s="5" t="n"/>
      <c r="B439" s="5" t="n"/>
      <c r="C439" s="24" t="n"/>
      <c r="D439" s="5" t="n"/>
      <c r="E439" s="5" t="n"/>
    </row>
    <row r="440">
      <c r="A440" s="5" t="n"/>
      <c r="B440" s="5" t="n"/>
      <c r="C440" s="24" t="n"/>
      <c r="D440" s="5" t="n"/>
      <c r="E440" s="5" t="n"/>
    </row>
    <row r="441">
      <c r="A441" s="5" t="n"/>
      <c r="B441" s="5" t="n"/>
      <c r="C441" s="24" t="n"/>
      <c r="D441" s="5" t="n"/>
      <c r="E441" s="5" t="n"/>
    </row>
    <row r="442">
      <c r="A442" s="5" t="n"/>
      <c r="B442" s="5" t="n"/>
      <c r="C442" s="24" t="n"/>
      <c r="D442" s="5" t="n"/>
      <c r="E442" s="5" t="n"/>
    </row>
    <row r="443">
      <c r="A443" s="5" t="n"/>
      <c r="B443" s="5" t="n"/>
      <c r="C443" s="24" t="n"/>
      <c r="D443" s="5" t="n"/>
      <c r="E443" s="5" t="n"/>
    </row>
    <row r="444">
      <c r="A444" s="5" t="n"/>
      <c r="B444" s="5" t="n"/>
      <c r="C444" s="24" t="n"/>
      <c r="D444" s="5" t="n"/>
      <c r="E444" s="5" t="n"/>
    </row>
    <row r="445">
      <c r="A445" s="5" t="n"/>
      <c r="B445" s="5" t="n"/>
      <c r="C445" s="24" t="n"/>
      <c r="D445" s="5" t="n"/>
      <c r="E445" s="5" t="n"/>
    </row>
    <row r="446">
      <c r="A446" s="5" t="n"/>
      <c r="B446" s="5" t="n"/>
      <c r="C446" s="24" t="n"/>
      <c r="D446" s="5" t="n"/>
      <c r="E446" s="5" t="n"/>
    </row>
    <row r="447">
      <c r="A447" s="5" t="n"/>
      <c r="B447" s="5" t="n"/>
      <c r="C447" s="24" t="n"/>
      <c r="D447" s="5" t="n"/>
      <c r="E447" s="5" t="n"/>
    </row>
    <row r="448">
      <c r="A448" s="5" t="n"/>
      <c r="B448" s="5" t="n"/>
      <c r="C448" s="24" t="n"/>
      <c r="D448" s="5" t="n"/>
      <c r="E448" s="5" t="n"/>
    </row>
    <row r="449">
      <c r="A449" s="5" t="n"/>
      <c r="B449" s="5" t="n"/>
      <c r="C449" s="24" t="n"/>
      <c r="D449" s="5" t="n"/>
      <c r="E449" s="5" t="n"/>
    </row>
    <row r="450">
      <c r="A450" s="5" t="n"/>
      <c r="B450" s="5" t="n"/>
      <c r="C450" s="24" t="n"/>
      <c r="D450" s="5" t="n"/>
      <c r="E450" s="5" t="n"/>
    </row>
    <row r="451">
      <c r="A451" s="5" t="n"/>
      <c r="B451" s="5" t="n"/>
      <c r="C451" s="24" t="n"/>
      <c r="D451" s="5" t="n"/>
      <c r="E451" s="5" t="n"/>
    </row>
    <row r="452">
      <c r="A452" s="5" t="n"/>
      <c r="B452" s="5" t="n"/>
      <c r="C452" s="24" t="n"/>
      <c r="D452" s="5" t="n"/>
      <c r="E452" s="5" t="n"/>
    </row>
    <row r="453">
      <c r="A453" s="5" t="n"/>
      <c r="B453" s="5" t="n"/>
      <c r="C453" s="24" t="n"/>
      <c r="D453" s="5" t="n"/>
      <c r="E453" s="5" t="n"/>
    </row>
    <row r="454">
      <c r="A454" s="5" t="n"/>
      <c r="B454" s="5" t="n"/>
      <c r="C454" s="24" t="n"/>
      <c r="D454" s="5" t="n"/>
      <c r="E454" s="5" t="n"/>
    </row>
    <row r="455">
      <c r="A455" s="5" t="n"/>
      <c r="B455" s="5" t="n"/>
      <c r="C455" s="24" t="n"/>
      <c r="D455" s="5" t="n"/>
      <c r="E455" s="5" t="n"/>
    </row>
    <row r="456">
      <c r="A456" s="5" t="n"/>
      <c r="B456" s="5" t="n"/>
      <c r="C456" s="24" t="n"/>
      <c r="D456" s="5" t="n"/>
      <c r="E456" s="5" t="n"/>
    </row>
    <row r="457">
      <c r="A457" s="5" t="n"/>
      <c r="B457" s="5" t="n"/>
      <c r="C457" s="24" t="n"/>
      <c r="D457" s="5" t="n"/>
      <c r="E457" s="5" t="n"/>
    </row>
    <row r="458">
      <c r="A458" s="5" t="n"/>
      <c r="B458" s="5" t="n"/>
      <c r="C458" s="24" t="n"/>
      <c r="D458" s="5" t="n"/>
      <c r="E458" s="5" t="n"/>
    </row>
    <row r="459">
      <c r="A459" s="5" t="n"/>
      <c r="B459" s="5" t="n"/>
      <c r="C459" s="24" t="n"/>
      <c r="D459" s="5" t="n"/>
      <c r="E459" s="5" t="n"/>
    </row>
    <row r="460">
      <c r="A460" s="5" t="n"/>
      <c r="B460" s="5" t="n"/>
      <c r="C460" s="24" t="n"/>
      <c r="D460" s="5" t="n"/>
      <c r="E460" s="5" t="n"/>
    </row>
    <row r="461">
      <c r="A461" s="5" t="n"/>
      <c r="B461" s="5" t="n"/>
      <c r="C461" s="24" t="n"/>
      <c r="D461" s="5" t="n"/>
      <c r="E461" s="5" t="n"/>
    </row>
    <row r="462">
      <c r="A462" s="5" t="n"/>
      <c r="B462" s="5" t="n"/>
      <c r="C462" s="24" t="n"/>
      <c r="D462" s="5" t="n"/>
      <c r="E462" s="5" t="n"/>
    </row>
    <row r="463">
      <c r="A463" s="5" t="n"/>
      <c r="B463" s="5" t="n"/>
      <c r="C463" s="24" t="n"/>
      <c r="D463" s="5" t="n"/>
      <c r="E463" s="5" t="n"/>
    </row>
    <row r="464">
      <c r="A464" s="5" t="n"/>
      <c r="B464" s="5" t="n"/>
      <c r="C464" s="24" t="n"/>
      <c r="D464" s="5" t="n"/>
      <c r="E464" s="5" t="n"/>
    </row>
    <row r="465">
      <c r="A465" s="5" t="n"/>
      <c r="B465" s="5" t="n"/>
      <c r="C465" s="24" t="n"/>
      <c r="D465" s="5" t="n"/>
      <c r="E465" s="5" t="n"/>
    </row>
    <row r="466">
      <c r="A466" s="5" t="n"/>
      <c r="B466" s="5" t="n"/>
      <c r="C466" s="24" t="n"/>
      <c r="D466" s="5" t="n"/>
      <c r="E466" s="5" t="n"/>
    </row>
    <row r="467">
      <c r="A467" s="5" t="n"/>
      <c r="B467" s="5" t="n"/>
      <c r="C467" s="24" t="n"/>
      <c r="D467" s="5" t="n"/>
      <c r="E467" s="5" t="n"/>
    </row>
    <row r="468">
      <c r="A468" s="5" t="n"/>
      <c r="B468" s="5" t="n"/>
      <c r="C468" s="24" t="n"/>
      <c r="D468" s="5" t="n"/>
      <c r="E468" s="5" t="n"/>
    </row>
    <row r="469">
      <c r="A469" s="5" t="n"/>
      <c r="B469" s="5" t="n"/>
      <c r="C469" s="24" t="n"/>
      <c r="D469" s="5" t="n"/>
      <c r="E469" s="5" t="n"/>
    </row>
    <row r="470">
      <c r="A470" s="5" t="n"/>
      <c r="B470" s="5" t="n"/>
      <c r="C470" s="24" t="n"/>
      <c r="D470" s="5" t="n"/>
      <c r="E470" s="5" t="n"/>
    </row>
    <row r="471">
      <c r="A471" s="5" t="n"/>
      <c r="B471" s="5" t="n"/>
      <c r="C471" s="24" t="n"/>
      <c r="D471" s="5" t="n"/>
      <c r="E471" s="5" t="n"/>
    </row>
    <row r="472">
      <c r="A472" s="5" t="n"/>
      <c r="B472" s="5" t="n"/>
      <c r="C472" s="24" t="n"/>
      <c r="D472" s="5" t="n"/>
      <c r="E472" s="5" t="n"/>
    </row>
    <row r="473">
      <c r="A473" s="5" t="n"/>
      <c r="B473" s="5" t="n"/>
      <c r="C473" s="24" t="n"/>
      <c r="D473" s="5" t="n"/>
      <c r="E473" s="5" t="n"/>
    </row>
    <row r="474">
      <c r="A474" s="5" t="n"/>
      <c r="B474" s="5" t="n"/>
      <c r="C474" s="24" t="n"/>
      <c r="D474" s="5" t="n"/>
      <c r="E474" s="5" t="n"/>
    </row>
    <row r="475">
      <c r="A475" s="5" t="n"/>
      <c r="B475" s="5" t="n"/>
      <c r="C475" s="24" t="n"/>
      <c r="D475" s="5" t="n"/>
      <c r="E475" s="5" t="n"/>
    </row>
    <row r="476">
      <c r="A476" s="5" t="n"/>
      <c r="B476" s="5" t="n"/>
      <c r="C476" s="24" t="n"/>
      <c r="D476" s="5" t="n"/>
      <c r="E476" s="5" t="n"/>
    </row>
    <row r="477">
      <c r="A477" s="5" t="n"/>
      <c r="B477" s="5" t="n"/>
      <c r="C477" s="24" t="n"/>
      <c r="D477" s="5" t="n"/>
      <c r="E477" s="5" t="n"/>
    </row>
    <row r="478">
      <c r="A478" s="5" t="n"/>
      <c r="B478" s="5" t="n"/>
      <c r="C478" s="24" t="n"/>
      <c r="D478" s="5" t="n"/>
      <c r="E478" s="5" t="n"/>
    </row>
    <row r="479">
      <c r="A479" s="5" t="n"/>
      <c r="B479" s="5" t="n"/>
      <c r="C479" s="24" t="n"/>
      <c r="D479" s="5" t="n"/>
      <c r="E479" s="5" t="n"/>
    </row>
    <row r="480">
      <c r="A480" s="5" t="n"/>
      <c r="B480" s="5" t="n"/>
      <c r="C480" s="24" t="n"/>
      <c r="D480" s="5" t="n"/>
      <c r="E480" s="5" t="n"/>
    </row>
    <row r="481">
      <c r="A481" s="5" t="n"/>
      <c r="B481" s="5" t="n"/>
      <c r="C481" s="24" t="n"/>
      <c r="D481" s="5" t="n"/>
      <c r="E481" s="5" t="n"/>
    </row>
    <row r="482">
      <c r="A482" s="5" t="n"/>
      <c r="B482" s="5" t="n"/>
      <c r="C482" s="24" t="n"/>
      <c r="D482" s="5" t="n"/>
      <c r="E482" s="5" t="n"/>
    </row>
    <row r="483">
      <c r="A483" s="5" t="n"/>
      <c r="B483" s="5" t="n"/>
      <c r="C483" s="24" t="n"/>
      <c r="D483" s="5" t="n"/>
      <c r="E483" s="5" t="n"/>
    </row>
    <row r="484">
      <c r="A484" s="5" t="n"/>
      <c r="B484" s="5" t="n"/>
      <c r="C484" s="24" t="n"/>
      <c r="D484" s="5" t="n"/>
      <c r="E484" s="5" t="n"/>
    </row>
    <row r="485">
      <c r="A485" s="5" t="n"/>
      <c r="B485" s="5" t="n"/>
      <c r="C485" s="24" t="n"/>
      <c r="D485" s="5" t="n"/>
      <c r="E485" s="5" t="n"/>
    </row>
    <row r="486">
      <c r="A486" s="5" t="n"/>
      <c r="B486" s="5" t="n"/>
      <c r="C486" s="24" t="n"/>
      <c r="D486" s="5" t="n"/>
      <c r="E486" s="5" t="n"/>
    </row>
    <row r="487">
      <c r="A487" s="5" t="n"/>
      <c r="B487" s="5" t="n"/>
      <c r="C487" s="24" t="n"/>
      <c r="D487" s="5" t="n"/>
      <c r="E487" s="5" t="n"/>
    </row>
    <row r="488">
      <c r="A488" s="5" t="n"/>
      <c r="B488" s="5" t="n"/>
      <c r="C488" s="24" t="n"/>
      <c r="D488" s="5" t="n"/>
      <c r="E488" s="5" t="n"/>
    </row>
    <row r="489">
      <c r="A489" s="5" t="n"/>
      <c r="B489" s="5" t="n"/>
      <c r="C489" s="24" t="n"/>
      <c r="D489" s="5" t="n"/>
      <c r="E489" s="5" t="n"/>
    </row>
    <row r="490">
      <c r="A490" s="5" t="n"/>
      <c r="B490" s="5" t="n"/>
      <c r="C490" s="24" t="n"/>
      <c r="D490" s="5" t="n"/>
      <c r="E490" s="5" t="n"/>
    </row>
    <row r="491">
      <c r="A491" s="5" t="n"/>
      <c r="B491" s="5" t="n"/>
      <c r="C491" s="24" t="n"/>
      <c r="D491" s="5" t="n"/>
      <c r="E491" s="5" t="n"/>
    </row>
    <row r="492">
      <c r="A492" s="5" t="n"/>
      <c r="B492" s="5" t="n"/>
      <c r="C492" s="24" t="n"/>
      <c r="D492" s="5" t="n"/>
      <c r="E492" s="5" t="n"/>
    </row>
    <row r="493">
      <c r="A493" s="5" t="n"/>
      <c r="B493" s="5" t="n"/>
      <c r="C493" s="24" t="n"/>
      <c r="D493" s="5" t="n"/>
      <c r="E493" s="5" t="n"/>
    </row>
    <row r="494">
      <c r="A494" s="5" t="n"/>
      <c r="B494" s="5" t="n"/>
      <c r="C494" s="24" t="n"/>
      <c r="D494" s="5" t="n"/>
      <c r="E494" s="5" t="n"/>
    </row>
    <row r="495">
      <c r="A495" s="5" t="n"/>
      <c r="B495" s="5" t="n"/>
      <c r="C495" s="24" t="n"/>
      <c r="D495" s="5" t="n"/>
      <c r="E495" s="5" t="n"/>
    </row>
    <row r="496">
      <c r="A496" s="5" t="n"/>
      <c r="B496" s="5" t="n"/>
      <c r="C496" s="24" t="n"/>
      <c r="D496" s="5" t="n"/>
      <c r="E496" s="5" t="n"/>
    </row>
    <row r="497">
      <c r="A497" s="5" t="n"/>
      <c r="B497" s="5" t="n"/>
      <c r="C497" s="24" t="n"/>
      <c r="D497" s="5" t="n"/>
      <c r="E497" s="5" t="n"/>
    </row>
    <row r="498">
      <c r="A498" s="5" t="n"/>
      <c r="B498" s="5" t="n"/>
      <c r="C498" s="24" t="n"/>
      <c r="D498" s="5" t="n"/>
      <c r="E498" s="5" t="n"/>
    </row>
    <row r="499">
      <c r="A499" s="5" t="n"/>
      <c r="B499" s="5" t="n"/>
      <c r="C499" s="24" t="n"/>
      <c r="D499" s="5" t="n"/>
      <c r="E499" s="5" t="n"/>
    </row>
    <row r="500">
      <c r="A500" s="5" t="n"/>
      <c r="B500" s="5" t="n"/>
      <c r="C500" s="24" t="n"/>
      <c r="D500" s="5" t="n"/>
      <c r="E500" s="5" t="n"/>
    </row>
    <row r="501">
      <c r="A501" s="5" t="n"/>
      <c r="B501" s="5" t="n"/>
      <c r="C501" s="24" t="n"/>
      <c r="D501" s="5" t="n"/>
      <c r="E501" s="5" t="n"/>
    </row>
    <row r="502">
      <c r="A502" s="5" t="n"/>
      <c r="B502" s="5" t="n"/>
      <c r="C502" s="24" t="n"/>
      <c r="D502" s="5" t="n"/>
      <c r="E502" s="5" t="n"/>
    </row>
    <row r="503">
      <c r="A503" s="5" t="n"/>
      <c r="B503" s="5" t="n"/>
      <c r="C503" s="24" t="n"/>
      <c r="D503" s="5" t="n"/>
      <c r="E503" s="5" t="n"/>
    </row>
    <row r="504">
      <c r="A504" s="5" t="n"/>
      <c r="B504" s="5" t="n"/>
      <c r="C504" s="24" t="n"/>
      <c r="D504" s="5" t="n"/>
      <c r="E504" s="5" t="n"/>
    </row>
  </sheetData>
  <autoFilter ref="A4:E504"/>
  <mergeCells count="2">
    <mergeCell ref="A2:E2"/>
    <mergeCell ref="A1:E1"/>
  </mergeCells>
  <conditionalFormatting sqref="E5:E504">
    <cfRule type="expression" priority="1" dxfId="0">
      <formula>ISNUMBER(SEARCH("Tamam",E5))</formula>
    </cfRule>
    <cfRule type="expression" priority="2" dxfId="1">
      <formula>ISNUMBER(SEARCH("Devam",E5))</formula>
    </cfRule>
  </conditionalFormatting>
  <dataValidations count="1">
    <dataValidation sqref="E5:E504" showDropDown="0" showInputMessage="0" showErrorMessage="0" allowBlank="1" type="list">
      <formula1>"Bekliyor,Devam ediyor,Tamam"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sablon</t>
        </is>
      </c>
      <c r="B1" t="inlineStr">
        <is>
          <t>birim-fiyat</t>
        </is>
      </c>
      <c r="C1" t="inlineStr">
        <is>
          <t>surum</t>
        </is>
      </c>
      <c r="D1" t="inlineStr">
        <is>
          <t>1.0</t>
        </is>
      </c>
    </row>
    <row r="2">
      <c r="A2" t="inlineStr">
        <is>
          <t>sayfa</t>
        </is>
      </c>
      <c r="B2" t="inlineStr">
        <is>
          <t>kaynak</t>
        </is>
      </c>
      <c r="C2" t="inlineStr">
        <is>
          <t>sütun başlığı</t>
        </is>
      </c>
      <c r="D2" t="inlineStr">
        <is>
          <t>alan</t>
        </is>
      </c>
    </row>
    <row r="3">
      <c r="A3" t="inlineStr">
        <is>
          <t>Özet</t>
        </is>
      </c>
      <c r="B3" t="inlineStr">
        <is>
          <t>alanlar:01-ozet.md</t>
        </is>
      </c>
      <c r="C3" t="inlineStr">
        <is>
          <t>İhale Kayıt No (İKN)</t>
        </is>
      </c>
      <c r="D3" t="inlineStr">
        <is>
          <t>İKN|İhale kayıt no|İhale kodu</t>
        </is>
      </c>
    </row>
    <row r="4">
      <c r="A4" t="inlineStr">
        <is>
          <t>Özet</t>
        </is>
      </c>
      <c r="B4" t="inlineStr">
        <is>
          <t>alanlar:01-ozet.md</t>
        </is>
      </c>
      <c r="C4" t="inlineStr">
        <is>
          <t>İdare</t>
        </is>
      </c>
      <c r="D4" t="inlineStr">
        <is>
          <t>İdare</t>
        </is>
      </c>
    </row>
    <row r="5">
      <c r="A5" t="inlineStr">
        <is>
          <t>Özet</t>
        </is>
      </c>
      <c r="B5" t="inlineStr">
        <is>
          <t>alanlar:01-ozet.md</t>
        </is>
      </c>
      <c r="C5" t="inlineStr">
        <is>
          <t>İşin Adı</t>
        </is>
      </c>
      <c r="D5" t="inlineStr">
        <is>
          <t>İşin adı|İşin adı / niteliği / miktarı|İş</t>
        </is>
      </c>
    </row>
    <row r="6">
      <c r="A6" t="inlineStr">
        <is>
          <t>Özet</t>
        </is>
      </c>
      <c r="B6" t="inlineStr">
        <is>
          <t>alanlar:01-ozet.md</t>
        </is>
      </c>
      <c r="C6" t="inlineStr">
        <is>
          <t>İhale Usulü</t>
        </is>
      </c>
      <c r="D6" t="inlineStr">
        <is>
          <t>İhale usulü</t>
        </is>
      </c>
    </row>
    <row r="7">
      <c r="A7" t="inlineStr">
        <is>
          <t>Özet</t>
        </is>
      </c>
      <c r="B7" t="inlineStr">
        <is>
          <t>alanlar:01-ozet.md</t>
        </is>
      </c>
      <c r="C7" t="inlineStr">
        <is>
          <t>Teklif Türü</t>
        </is>
      </c>
      <c r="D7" t="inlineStr">
        <is>
          <t>Teklif türü|Teklif türü (birim fiyat / götürü bedel)</t>
        </is>
      </c>
    </row>
    <row r="8">
      <c r="A8" t="inlineStr">
        <is>
          <t>Özet</t>
        </is>
      </c>
      <c r="B8" t="inlineStr">
        <is>
          <t>alanlar:01-ozet.md</t>
        </is>
      </c>
      <c r="C8" t="inlineStr">
        <is>
          <t>İhale Tarihi ve Saati</t>
        </is>
      </c>
      <c r="D8" t="inlineStr">
        <is>
          <t>İhale tarihi ve saati|İhale tarihi</t>
        </is>
      </c>
    </row>
    <row r="9">
      <c r="A9" t="inlineStr">
        <is>
          <t>Özet</t>
        </is>
      </c>
      <c r="B9" t="inlineStr">
        <is>
          <t>alanlar:01-ozet.md</t>
        </is>
      </c>
      <c r="C9" t="inlineStr">
        <is>
          <t>Yaklaşık Maliyet</t>
        </is>
      </c>
      <c r="D9" t="inlineStr">
        <is>
          <t>Yaklaşık maliyet|Yaklaşık maliyet (açıklanmışsa)</t>
        </is>
      </c>
    </row>
    <row r="10">
      <c r="A10" t="inlineStr">
        <is>
          <t>Özet</t>
        </is>
      </c>
      <c r="B10" t="inlineStr">
        <is>
          <t>alanlar:01-ozet.md</t>
        </is>
      </c>
      <c r="C10" t="inlineStr">
        <is>
          <t>Geçici Teminat Oranı</t>
        </is>
      </c>
      <c r="D10" t="inlineStr">
        <is>
          <t>Geçici teminat oranı</t>
        </is>
      </c>
    </row>
    <row r="11">
      <c r="A11" t="inlineStr">
        <is>
          <t>Özet</t>
        </is>
      </c>
      <c r="B11" t="inlineStr">
        <is>
          <t>alanlar:01-ozet.md</t>
        </is>
      </c>
      <c r="C11" t="inlineStr">
        <is>
          <t>İşin Süresi</t>
        </is>
      </c>
      <c r="D11" t="inlineStr">
        <is>
          <t>İşin süresi|İşin süresi / yeri</t>
        </is>
      </c>
    </row>
    <row r="12">
      <c r="A12" t="inlineStr">
        <is>
          <t>Özet</t>
        </is>
      </c>
      <c r="B12" t="inlineStr">
        <is>
          <t>alanlar:01-ozet.md</t>
        </is>
      </c>
      <c r="C12" t="inlineStr">
        <is>
          <t>İşin Yeri</t>
        </is>
      </c>
      <c r="D12" t="inlineStr">
        <is>
          <t>İşin yeri</t>
        </is>
      </c>
    </row>
    <row r="13">
      <c r="A13" t="inlineStr">
        <is>
          <t>Özet</t>
        </is>
      </c>
      <c r="B13" t="inlineStr">
        <is>
          <t>karar:rapor</t>
        </is>
      </c>
      <c r="C13" t="inlineStr">
        <is>
          <t>Karar</t>
        </is>
      </c>
      <c r="D13" t="inlineStr">
        <is>
          <t>karar</t>
        </is>
      </c>
    </row>
    <row r="14">
      <c r="A14" t="inlineStr">
        <is>
          <t>Özet</t>
        </is>
      </c>
      <c r="B14" t="inlineStr">
        <is>
          <t>karar:rapor</t>
        </is>
      </c>
      <c r="C14" t="inlineStr">
        <is>
          <t>Karar Gerekçesi</t>
        </is>
      </c>
      <c r="D14" t="inlineStr">
        <is>
          <t>gerekce</t>
        </is>
      </c>
    </row>
    <row r="15">
      <c r="A15" t="inlineStr">
        <is>
          <t>Özet</t>
        </is>
      </c>
      <c r="B15" t="inlineStr">
        <is>
          <t>karar:rapor</t>
        </is>
      </c>
      <c r="C15" t="inlineStr">
        <is>
          <t>Analiz Tarihi</t>
        </is>
      </c>
      <c r="D15" t="inlineStr">
        <is>
          <t>tarih</t>
        </is>
      </c>
    </row>
    <row r="16">
      <c r="A16" t="inlineStr">
        <is>
          <t>Yeterlilik</t>
        </is>
      </c>
      <c r="B16" t="inlineStr">
        <is>
          <t>tablo:02-idari.md</t>
        </is>
      </c>
      <c r="C16" t="inlineStr">
        <is>
          <t>Sıra</t>
        </is>
      </c>
      <c r="D16" t="inlineStr">
        <is>
          <t>#sira</t>
        </is>
      </c>
    </row>
    <row r="17">
      <c r="A17" t="inlineStr">
        <is>
          <t>Yeterlilik</t>
        </is>
      </c>
      <c r="B17" t="inlineStr">
        <is>
          <t>tablo:02-idari.md</t>
        </is>
      </c>
      <c r="C17" t="inlineStr">
        <is>
          <t>Koşul</t>
        </is>
      </c>
      <c r="D17" t="inlineStr">
        <is>
          <t>Koşul</t>
        </is>
      </c>
    </row>
    <row r="18">
      <c r="A18" t="inlineStr">
        <is>
          <t>Yeterlilik</t>
        </is>
      </c>
      <c r="B18" t="inlineStr">
        <is>
          <t>tablo:02-idari.md</t>
        </is>
      </c>
      <c r="C18" t="inlineStr">
        <is>
          <t>Şartname Maddesi</t>
        </is>
      </c>
      <c r="D18" t="inlineStr">
        <is>
          <t>Madde</t>
        </is>
      </c>
    </row>
    <row r="19">
      <c r="A19" t="inlineStr">
        <is>
          <t>Yeterlilik</t>
        </is>
      </c>
      <c r="B19" t="inlineStr">
        <is>
          <t>tablo:02-idari.md</t>
        </is>
      </c>
      <c r="C19" t="inlineStr">
        <is>
          <t>Firma Durumu</t>
        </is>
      </c>
      <c r="D19" t="inlineStr">
        <is>
          <t>Firma durumu|Firma durumu (Karşılıyor / Eksik / Belirsiz)|Durum</t>
        </is>
      </c>
    </row>
    <row r="20">
      <c r="A20" t="inlineStr">
        <is>
          <t>Yeterlilik</t>
        </is>
      </c>
      <c r="B20" t="inlineStr">
        <is>
          <t>tablo:02-idari.md</t>
        </is>
      </c>
      <c r="C20" t="inlineStr">
        <is>
          <t>Not</t>
        </is>
      </c>
      <c r="D20" t="inlineStr">
        <is>
          <t>Not</t>
        </is>
      </c>
    </row>
    <row r="21">
      <c r="A21" t="inlineStr">
        <is>
          <t>Teknik</t>
        </is>
      </c>
      <c r="B21" t="inlineStr">
        <is>
          <t>tablo:03-teknik.md</t>
        </is>
      </c>
      <c r="C21" t="inlineStr">
        <is>
          <t>Sıra</t>
        </is>
      </c>
      <c r="D21" t="inlineStr">
        <is>
          <t>#sira</t>
        </is>
      </c>
    </row>
    <row r="22">
      <c r="A22" t="inlineStr">
        <is>
          <t>Teknik</t>
        </is>
      </c>
      <c r="B22" t="inlineStr">
        <is>
          <t>tablo:03-teknik.md</t>
        </is>
      </c>
      <c r="C22" t="inlineStr">
        <is>
          <t>Gereksinim</t>
        </is>
      </c>
      <c r="D22" t="inlineStr">
        <is>
          <t>Gereksinim</t>
        </is>
      </c>
    </row>
    <row r="23">
      <c r="A23" t="inlineStr">
        <is>
          <t>Teknik</t>
        </is>
      </c>
      <c r="B23" t="inlineStr">
        <is>
          <t>tablo:03-teknik.md</t>
        </is>
      </c>
      <c r="C23" t="inlineStr">
        <is>
          <t>Şartname Maddesi</t>
        </is>
      </c>
      <c r="D23" t="inlineStr">
        <is>
          <t>Madde</t>
        </is>
      </c>
    </row>
    <row r="24">
      <c r="A24" t="inlineStr">
        <is>
          <t>Teknik</t>
        </is>
      </c>
      <c r="B24" t="inlineStr">
        <is>
          <t>tablo:03-teknik.md</t>
        </is>
      </c>
      <c r="C24" t="inlineStr">
        <is>
          <t>Durum</t>
        </is>
      </c>
      <c r="D24" t="inlineStr">
        <is>
          <t>Durum</t>
        </is>
      </c>
    </row>
    <row r="25">
      <c r="A25" t="inlineStr">
        <is>
          <t>Teknik</t>
        </is>
      </c>
      <c r="B25" t="inlineStr">
        <is>
          <t>tablo:03-teknik.md</t>
        </is>
      </c>
      <c r="C25" t="inlineStr">
        <is>
          <t>Not</t>
        </is>
      </c>
      <c r="D25" t="inlineStr">
        <is>
          <t>Not</t>
        </is>
      </c>
    </row>
    <row r="26">
      <c r="A26" t="inlineStr">
        <is>
          <t>Mali</t>
        </is>
      </c>
      <c r="B26" t="inlineStr">
        <is>
          <t>tablo:04-mali.md</t>
        </is>
      </c>
      <c r="C26" t="inlineStr">
        <is>
          <t>Sıra</t>
        </is>
      </c>
      <c r="D26" t="inlineStr">
        <is>
          <t>#sira</t>
        </is>
      </c>
    </row>
    <row r="27">
      <c r="A27" t="inlineStr">
        <is>
          <t>Mali</t>
        </is>
      </c>
      <c r="B27" t="inlineStr">
        <is>
          <t>tablo:04-mali.md</t>
        </is>
      </c>
      <c r="C27" t="inlineStr">
        <is>
          <t>Kalem</t>
        </is>
      </c>
      <c r="D27" t="inlineStr">
        <is>
          <t>Kalem</t>
        </is>
      </c>
    </row>
    <row r="28">
      <c r="A28" t="inlineStr">
        <is>
          <t>Mali</t>
        </is>
      </c>
      <c r="B28" t="inlineStr">
        <is>
          <t>tablo:04-mali.md</t>
        </is>
      </c>
      <c r="C28" t="inlineStr">
        <is>
          <t>Değer</t>
        </is>
      </c>
      <c r="D28" t="inlineStr">
        <is>
          <t>Değer</t>
        </is>
      </c>
    </row>
    <row r="29">
      <c r="A29" t="inlineStr">
        <is>
          <t>Mali</t>
        </is>
      </c>
      <c r="B29" t="inlineStr">
        <is>
          <t>tablo:04-mali.md</t>
        </is>
      </c>
      <c r="C29" t="inlineStr">
        <is>
          <t>Kaynak</t>
        </is>
      </c>
      <c r="D29" t="inlineStr">
        <is>
          <t>Kaynak|Madde</t>
        </is>
      </c>
    </row>
    <row r="30">
      <c r="A30" t="inlineStr">
        <is>
          <t>Mali</t>
        </is>
      </c>
      <c r="B30" t="inlineStr">
        <is>
          <t>tablo:04-mali.md</t>
        </is>
      </c>
      <c r="C30" t="inlineStr">
        <is>
          <t>Not</t>
        </is>
      </c>
      <c r="D30" t="inlineStr">
        <is>
          <t>Not</t>
        </is>
      </c>
    </row>
    <row r="31">
      <c r="A31" t="inlineStr">
        <is>
          <t>Riskler</t>
        </is>
      </c>
      <c r="B31" t="inlineStr">
        <is>
          <t>tablo:05-riskler.md</t>
        </is>
      </c>
      <c r="C31" t="inlineStr">
        <is>
          <t>Sıra</t>
        </is>
      </c>
      <c r="D31" t="inlineStr">
        <is>
          <t>#sira</t>
        </is>
      </c>
    </row>
    <row r="32">
      <c r="A32" t="inlineStr">
        <is>
          <t>Riskler</t>
        </is>
      </c>
      <c r="B32" t="inlineStr">
        <is>
          <t>tablo:05-riskler.md</t>
        </is>
      </c>
      <c r="C32" t="inlineStr">
        <is>
          <t>Risk</t>
        </is>
      </c>
      <c r="D32" t="inlineStr">
        <is>
          <t>Risk</t>
        </is>
      </c>
    </row>
    <row r="33">
      <c r="A33" t="inlineStr">
        <is>
          <t>Riskler</t>
        </is>
      </c>
      <c r="B33" t="inlineStr">
        <is>
          <t>tablo:05-riskler.md</t>
        </is>
      </c>
      <c r="C33" t="inlineStr">
        <is>
          <t>Kaynak</t>
        </is>
      </c>
      <c r="D33" t="inlineStr">
        <is>
          <t>Kaynak</t>
        </is>
      </c>
    </row>
    <row r="34">
      <c r="A34" t="inlineStr">
        <is>
          <t>Riskler</t>
        </is>
      </c>
      <c r="B34" t="inlineStr">
        <is>
          <t>tablo:05-riskler.md</t>
        </is>
      </c>
      <c r="C34" t="inlineStr">
        <is>
          <t>Seviye</t>
        </is>
      </c>
      <c r="D34" t="inlineStr">
        <is>
          <t>Seviye|Seviye (Düşük/Orta/Yüksek)</t>
        </is>
      </c>
    </row>
    <row r="35">
      <c r="A35" t="inlineStr">
        <is>
          <t>Riskler</t>
        </is>
      </c>
      <c r="B35" t="inlineStr">
        <is>
          <t>tablo:05-riskler.md</t>
        </is>
      </c>
      <c r="C35" t="inlineStr">
        <is>
          <t>Önlem</t>
        </is>
      </c>
      <c r="D35" t="inlineStr">
        <is>
          <t>Önlem</t>
        </is>
      </c>
    </row>
    <row r="36">
      <c r="A36" t="inlineStr">
        <is>
          <t>Kişisel Hesap</t>
        </is>
      </c>
      <c r="B36" t="inlineStr">
        <is>
          <t>csv:kisisel-hesap.csv</t>
        </is>
      </c>
      <c r="C36" t="inlineStr">
        <is>
          <t>Sıra</t>
        </is>
      </c>
      <c r="D36" t="inlineStr">
        <is>
          <t>#sira</t>
        </is>
      </c>
    </row>
    <row r="37">
      <c r="A37" t="inlineStr">
        <is>
          <t>Kişisel Hesap</t>
        </is>
      </c>
      <c r="B37" t="inlineStr">
        <is>
          <t>csv:kisisel-hesap.csv</t>
        </is>
      </c>
      <c r="C37" t="inlineStr">
        <is>
          <t>Poz No</t>
        </is>
      </c>
      <c r="D37" t="inlineStr">
        <is>
          <t>poz_no</t>
        </is>
      </c>
    </row>
    <row r="38">
      <c r="A38" t="inlineStr">
        <is>
          <t>Kişisel Hesap</t>
        </is>
      </c>
      <c r="B38" t="inlineStr">
        <is>
          <t>csv:kisisel-hesap.csv</t>
        </is>
      </c>
      <c r="C38" t="inlineStr">
        <is>
          <t>Tanım</t>
        </is>
      </c>
      <c r="D38" t="inlineStr">
        <is>
          <t>tanim</t>
        </is>
      </c>
    </row>
    <row r="39">
      <c r="A39" t="inlineStr">
        <is>
          <t>Kişisel Hesap</t>
        </is>
      </c>
      <c r="B39" t="inlineStr">
        <is>
          <t>csv:kisisel-hesap.csv</t>
        </is>
      </c>
      <c r="C39" t="inlineStr">
        <is>
          <t>Birim</t>
        </is>
      </c>
      <c r="D39" t="inlineStr">
        <is>
          <t>birim</t>
        </is>
      </c>
    </row>
    <row r="40">
      <c r="A40" t="inlineStr">
        <is>
          <t>Kişisel Hesap</t>
        </is>
      </c>
      <c r="B40" t="inlineStr">
        <is>
          <t>csv:kisisel-hesap.csv</t>
        </is>
      </c>
      <c r="C40" t="inlineStr">
        <is>
          <t>Miktar</t>
        </is>
      </c>
      <c r="D40" t="inlineStr">
        <is>
          <t>miktar</t>
        </is>
      </c>
    </row>
    <row r="41">
      <c r="A41" t="inlineStr">
        <is>
          <t>Kişisel Hesap</t>
        </is>
      </c>
      <c r="B41" t="inlineStr">
        <is>
          <t>csv:kisisel-hesap.csv</t>
        </is>
      </c>
      <c r="C41" t="inlineStr">
        <is>
          <t>Birim Fiyat</t>
        </is>
      </c>
      <c r="D41" t="inlineStr">
        <is>
          <t>birim_fiyat</t>
        </is>
      </c>
    </row>
    <row r="42">
      <c r="A42" t="inlineStr">
        <is>
          <t>Kişisel Hesap</t>
        </is>
      </c>
      <c r="B42" t="inlineStr">
        <is>
          <t>csv:kisisel-hesap.csv</t>
        </is>
      </c>
      <c r="C42" t="inlineStr">
        <is>
          <t>Sistem Tutarı</t>
        </is>
      </c>
      <c r="D42" t="inlineStr">
        <is>
          <t>sistem_tutar</t>
        </is>
      </c>
    </row>
    <row r="43">
      <c r="A43" t="inlineStr">
        <is>
          <t>Kişisel Hesap</t>
        </is>
      </c>
      <c r="B43" t="inlineStr">
        <is>
          <t>csv:kisisel-hesap.csv</t>
        </is>
      </c>
      <c r="C43" t="inlineStr">
        <is>
          <t>Kişisel Tutar</t>
        </is>
      </c>
      <c r="D43" t="inlineStr">
        <is>
          <t>kisisel_tutar</t>
        </is>
      </c>
    </row>
    <row r="44">
      <c r="A44" t="inlineStr">
        <is>
          <t>Kişisel Hesap</t>
        </is>
      </c>
      <c r="B44" t="inlineStr">
        <is>
          <t>csv:kisisel-hesap.csv</t>
        </is>
      </c>
      <c r="C44" t="inlineStr">
        <is>
          <t>Uygulanan Kurallar</t>
        </is>
      </c>
      <c r="D44" t="inlineStr">
        <is>
          <t>uygulanan_kurallar</t>
        </is>
      </c>
    </row>
    <row r="45">
      <c r="A45" t="inlineStr">
        <is>
          <t>Yapılacaklar</t>
        </is>
      </c>
      <c r="B45" t="inlineStr">
        <is>
          <t>csv:yapilacaklar.csv</t>
        </is>
      </c>
      <c r="C45" t="inlineStr">
        <is>
          <t>Sıra</t>
        </is>
      </c>
      <c r="D45" t="inlineStr">
        <is>
          <t>#sira</t>
        </is>
      </c>
    </row>
    <row r="46">
      <c r="A46" t="inlineStr">
        <is>
          <t>Yapılacaklar</t>
        </is>
      </c>
      <c r="B46" t="inlineStr">
        <is>
          <t>csv:yapilacaklar.csv</t>
        </is>
      </c>
      <c r="C46" t="inlineStr">
        <is>
          <t>İş</t>
        </is>
      </c>
      <c r="D46" t="inlineStr">
        <is>
          <t>is</t>
        </is>
      </c>
    </row>
    <row r="47">
      <c r="A47" t="inlineStr">
        <is>
          <t>Yapılacaklar</t>
        </is>
      </c>
      <c r="B47" t="inlineStr">
        <is>
          <t>csv:yapilacaklar.csv</t>
        </is>
      </c>
      <c r="C47" t="inlineStr">
        <is>
          <t>Son Tarih</t>
        </is>
      </c>
      <c r="D47" t="inlineStr">
        <is>
          <t>son_tarih</t>
        </is>
      </c>
    </row>
    <row r="48">
      <c r="A48" t="inlineStr">
        <is>
          <t>Yapılacaklar</t>
        </is>
      </c>
      <c r="B48" t="inlineStr">
        <is>
          <t>csv:yapilacaklar.csv</t>
        </is>
      </c>
      <c r="C48" t="inlineStr">
        <is>
          <t>Sorumlu</t>
        </is>
      </c>
      <c r="D48" t="inlineStr">
        <is>
          <t>sorumlu</t>
        </is>
      </c>
    </row>
    <row r="49">
      <c r="A49" t="inlineStr">
        <is>
          <t>Yapılacaklar</t>
        </is>
      </c>
      <c r="B49" t="inlineStr">
        <is>
          <t>csv:yapilacaklar.csv</t>
        </is>
      </c>
      <c r="C49" t="inlineStr">
        <is>
          <t>Durum</t>
        </is>
      </c>
      <c r="D49" t="inlineStr">
        <is>
          <t>durum</t>
        </is>
      </c>
    </row>
    <row r="50">
      <c r="A50" t="inlineStr">
        <is>
          <t>BFTC Kıyas</t>
        </is>
      </c>
      <c r="B50" t="inlineStr">
        <is>
          <t>csv:metraj-kiyas.csv</t>
        </is>
      </c>
      <c r="C50" t="inlineStr">
        <is>
          <t>Sıra No</t>
        </is>
      </c>
      <c r="D50" t="inlineStr">
        <is>
          <t>#sira</t>
        </is>
      </c>
    </row>
    <row r="51">
      <c r="A51" t="inlineStr">
        <is>
          <t>BFTC Kıyas</t>
        </is>
      </c>
      <c r="B51" t="inlineStr">
        <is>
          <t>csv:metraj-kiyas.csv</t>
        </is>
      </c>
      <c r="C51" t="inlineStr">
        <is>
          <t>Poz No</t>
        </is>
      </c>
      <c r="D51" t="inlineStr">
        <is>
          <t>poz_no</t>
        </is>
      </c>
    </row>
    <row r="52">
      <c r="A52" t="inlineStr">
        <is>
          <t>BFTC Kıyas</t>
        </is>
      </c>
      <c r="B52" t="inlineStr">
        <is>
          <t>csv:metraj-kiyas.csv</t>
        </is>
      </c>
      <c r="C52" t="inlineStr">
        <is>
          <t>İş Kalemi Tanımı</t>
        </is>
      </c>
      <c r="D52" t="inlineStr">
        <is>
          <t>tanim</t>
        </is>
      </c>
    </row>
    <row r="53">
      <c r="A53" t="inlineStr">
        <is>
          <t>BFTC Kıyas</t>
        </is>
      </c>
      <c r="B53" t="inlineStr">
        <is>
          <t>csv:metraj-kiyas.csv</t>
        </is>
      </c>
      <c r="C53" t="inlineStr">
        <is>
          <t>Birim</t>
        </is>
      </c>
      <c r="D53" t="inlineStr">
        <is>
          <t>birim</t>
        </is>
      </c>
    </row>
    <row r="54">
      <c r="A54" t="inlineStr">
        <is>
          <t>BFTC Kıyas</t>
        </is>
      </c>
      <c r="B54" t="inlineStr">
        <is>
          <t>csv:metraj-kiyas.csv</t>
        </is>
      </c>
      <c r="C54" t="inlineStr">
        <is>
          <t>İdare Miktarı</t>
        </is>
      </c>
      <c r="D54" t="inlineStr">
        <is>
          <t>idare</t>
        </is>
      </c>
    </row>
    <row r="55">
      <c r="A55" t="inlineStr">
        <is>
          <t>BFTC Kıyas</t>
        </is>
      </c>
      <c r="B55" t="inlineStr">
        <is>
          <t>csv:metraj-kiyas.csv</t>
        </is>
      </c>
      <c r="C55" t="inlineStr">
        <is>
          <t>Hesaplanan Miktar</t>
        </is>
      </c>
      <c r="D55" t="inlineStr">
        <is>
          <t>hesap</t>
        </is>
      </c>
    </row>
    <row r="56">
      <c r="A56" t="inlineStr">
        <is>
          <t>BFTC Kıyas</t>
        </is>
      </c>
      <c r="B56" t="inlineStr">
        <is>
          <t>csv:metraj-kiyas.csv</t>
        </is>
      </c>
      <c r="C56" t="inlineStr">
        <is>
          <t>Teklif Birim Fiyatı</t>
        </is>
      </c>
      <c r="D56" t="inlineStr">
        <is>
          <t>birim_fiyat</t>
        </is>
      </c>
    </row>
    <row r="57">
      <c r="A57" t="inlineStr">
        <is>
          <t>BFTC Kıyas</t>
        </is>
      </c>
      <c r="B57" t="inlineStr">
        <is>
          <t>csv:metraj-kiyas.csv</t>
        </is>
      </c>
      <c r="C57" t="inlineStr">
        <is>
          <t>Geçmiş Birim Fiyat (Ort.)</t>
        </is>
      </c>
      <c r="D57" t="inlineStr">
        <is>
          <t>gecmis_fiyat</t>
        </is>
      </c>
    </row>
    <row r="58">
      <c r="A58" t="inlineStr">
        <is>
          <t>BFTC Kıyas</t>
        </is>
      </c>
      <c r="B58" t="inlineStr">
        <is>
          <t>csv:metraj-kiyas.csv</t>
        </is>
      </c>
      <c r="C58" t="inlineStr">
        <is>
          <t>Not</t>
        </is>
      </c>
      <c r="D58" t="inlineStr">
        <is>
          <t>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2026-10-06T12:52:24Z</dcterms:created>
  <dcterms:modified xmlns:dcterms="http://purl.org/dc/terms/" xmlns:xsi="http://www.w3.org/2001/XMLSchema-instance" xsi:type="dcterms:W3CDTF">2026-10-06T12:52:25Z</dcterms:modified>
</cp:coreProperties>
</file>